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-5\AppData\Local\Revizto6\cad\document\19815\output\final output\"/>
    </mc:Choice>
  </mc:AlternateContent>
  <xr:revisionPtr revIDLastSave="0" documentId="13_ncr:1_{2C3288CF-A6CF-4678-AFC7-08AF90372F12}" xr6:coauthVersionLast="47" xr6:coauthVersionMax="47" xr10:uidLastSave="{00000000-0000-0000-0000-000000000000}"/>
  <bookViews>
    <workbookView xWindow="-120" yWindow="-120" windowWidth="38640" windowHeight="21240" activeTab="9" xr2:uid="{BFC1B837-3021-4C1E-8B6C-AD0DCB435A3E}"/>
  </bookViews>
  <sheets>
    <sheet name="SD" sheetId="1" r:id="rId1"/>
    <sheet name="SD (AU)" sheetId="2" r:id="rId2"/>
    <sheet name="Level" sheetId="3" r:id="rId3"/>
    <sheet name="Level Wise PSI" sheetId="4" r:id="rId4"/>
    <sheet name="Lap" sheetId="5" r:id="rId5"/>
    <sheet name="Grade" sheetId="6" r:id="rId6"/>
    <sheet name="Coupler" sheetId="7" r:id="rId7"/>
    <sheet name="Data" sheetId="8" r:id="rId8"/>
    <sheet name="Ties" sheetId="9" r:id="rId9"/>
    <sheet name="Take-off" sheetId="10" r:id="rId10"/>
    <sheet name="Take-off-Edit" sheetId="11" state="hidden" r:id="rId11"/>
    <sheet name="Soule" sheetId="12" r:id="rId12"/>
    <sheet name="TiesFinal" sheetId="13" r:id="rId13"/>
  </sheets>
  <functionGroups builtInGroupCount="19"/>
  <definedNames>
    <definedName name="_xlnm._FilterDatabase" localSheetId="0" hidden="1">SD!$AK$1:$AN$2252</definedName>
    <definedName name="_xlnm._FilterDatabase" localSheetId="9" hidden="1">'Take-off'!$F$1:$S$228</definedName>
    <definedName name="_xlnm._FilterDatabase" localSheetId="8" hidden="1">Ties!#REF!</definedName>
    <definedName name="_xlpm.auDiv6" hidden="1" xlm="1">#NAME?</definedName>
    <definedName name="_xlpm.calculated_value" hidden="1" xlm="1">#NAME?</definedName>
    <definedName name="_xlpm.cb_value" hidden="1" xlm="1">#NAME?</definedName>
    <definedName name="_xlpm.col_match" hidden="1" xlm="1">#NAME?</definedName>
    <definedName name="_xlpm.condition1" hidden="1" xlm="1">#NAME?</definedName>
    <definedName name="_xlpm.Coup" hidden="1" xlm="1">#NAME?</definedName>
    <definedName name="_xlpm.Coup2" hidden="1" xlm="1">#NAME?</definedName>
    <definedName name="_xlpm.Coup3" hidden="1" xlm="1">#NAME?</definedName>
    <definedName name="_xlpm.coupler_value" hidden="1" xlm="1">#NAME?</definedName>
    <definedName name="_xlpm.dashPos" hidden="1" xlm="1">#NAME?</definedName>
    <definedName name="_xlpm.data_j2_empty" hidden="1" xlm="1">#NAME?</definedName>
    <definedName name="_xlpm.dep" hidden="1" xlm="1">#NAME?</definedName>
    <definedName name="_xlpm.Final" hidden="1" xlm="1">#NAME?</definedName>
    <definedName name="_xlpm.final_result" hidden="1" xlm="1">#NAME?</definedName>
    <definedName name="_xlpm.final_value" hidden="1" xlm="1">#NAME?</definedName>
    <definedName name="_xlpm.GR" hidden="1" xlm="1">#NAME?</definedName>
    <definedName name="_xlpm.grade" hidden="1" xlm="1">#NAME?</definedName>
    <definedName name="_xlpm.grade_offset" hidden="1" xlm="1">#NAME?</definedName>
    <definedName name="_xlpm.grade_range" hidden="1" xlm="1">#NAME?</definedName>
    <definedName name="_xlpm.gradeRange" hidden="1" xlm="1">#NAME?</definedName>
    <definedName name="_xlpm.GRR" hidden="1" xlm="1">#NAME?</definedName>
    <definedName name="_xlpm.hyphen_pos" hidden="1" xlm="1">#NAME?</definedName>
    <definedName name="_xlpm.index_result" hidden="1" xlm="1">#NAME?</definedName>
    <definedName name="_xlpm.index1" hidden="1" xlm="1">#NAME?</definedName>
    <definedName name="_xlpm.index2" hidden="1" xlm="1">#NAME?</definedName>
    <definedName name="_xlpm.is_coupler" hidden="1" xlm="1">#NAME?</definedName>
    <definedName name="_xlpm.is_equal" hidden="1" xlm="1">#NAME?</definedName>
    <definedName name="_xlpm.is_number" hidden="1" xlm="1">#NAME?</definedName>
    <definedName name="_xlpm.left_part" hidden="1" xlm="1">#NAME?</definedName>
    <definedName name="_xlpm.leftPart" hidden="1" xlm="1">#NAME?</definedName>
    <definedName name="_xlpm.lookup_table" hidden="1" xlm="1">#NAME?</definedName>
    <definedName name="_xlpm.match_result" hidden="1" xlm="1">#NAME?</definedName>
    <definedName name="_xlpm.matchValue" hidden="1" xlm="1">#NAME?</definedName>
    <definedName name="_xlpm.maxValue" hidden="1" xlm="1">#NAME?</definedName>
    <definedName name="_xlpm.o_value" hidden="1" xlm="1">#NAME?</definedName>
    <definedName name="_xlpm.p_value" hidden="1" xlm="1">#NAME?</definedName>
    <definedName name="_xlpm.PartF" hidden="1" xlm="1">#NAME?</definedName>
    <definedName name="_xlpm.result" hidden="1" xlm="1">#NAME?</definedName>
    <definedName name="_xlpm.result_if_condition1" hidden="1" xlm="1">#NAME?</definedName>
    <definedName name="_xlpm.right_part" hidden="1" xlm="1">#NAME?</definedName>
    <definedName name="_xlpm.rightPart" hidden="1" xlm="1">#NAME?</definedName>
    <definedName name="_xlpm.row_match" hidden="1" xlm="1">#NAME?</definedName>
    <definedName name="_xlpm.u3_value" hidden="1" xlm="1">#NAME?</definedName>
    <definedName name="_xlpm.vlookup1" hidden="1" xlm="1">#NAME?</definedName>
    <definedName name="_xlpm.vlookup2" hidden="1" xlm="1">#NAME?</definedName>
    <definedName name="A615GR100">SD!$BB$1:$BB$457</definedName>
    <definedName name="A615GR60">SD!$AY$1:$AY$457</definedName>
    <definedName name="A615GR75">SD!$AZ$1:$AZ$457</definedName>
    <definedName name="A615GR80">SD!$BA$1:$BA$457</definedName>
    <definedName name="A706GR60">SD!$BC$1:$BC$457</definedName>
    <definedName name="A706GR80">SD!$BD$1:$BD$457</definedName>
    <definedName name="BCName">SD!$AX$1:$AX$457</definedName>
    <definedName name="BSize">SD!$AW$1:$AW$446</definedName>
    <definedName name="BSizeO">SD!$U$4:$U$14</definedName>
    <definedName name="CBSize">SD!$AM$1:$AM$2252</definedName>
    <definedName name="CCFCoupler">SD!$AO$1:$AO$2191</definedName>
    <definedName name="CCMFM">SD!$AK$1:$AK$2252</definedName>
    <definedName name="CCName">SD!$AL$1:$AL$2252</definedName>
    <definedName name="CCoupler">SD!$AN$1:$AN$2252</definedName>
    <definedName name="CLop">SD!$X$2:$X$3</definedName>
    <definedName name="CLPR">SD!$J$2:$J$4</definedName>
    <definedName name="CName">SD!$AG$2:$AG$390</definedName>
    <definedName name="ColumnSize">SD!$AB$2:$AB$26</definedName>
    <definedName name="ColumnType">SD!$AA$2:$AA$26</definedName>
    <definedName name="CountZone">SD!$Z$2:$Z$4</definedName>
    <definedName name="Coupler">SD!$S$2:$S$4</definedName>
    <definedName name="Customername">SD!$K$2:$K$41</definedName>
    <definedName name="DwlEndCon">SD!$Q$2:$Q$3</definedName>
    <definedName name="ElementName">SD!$N$2:$N$11</definedName>
    <definedName name="EName">SD!$AH$2:$AH$390</definedName>
    <definedName name="EndType">SD!$Q$2:$Q$3</definedName>
    <definedName name="Grade">SD!$P$1:$P$10</definedName>
    <definedName name="Grade_VT">SD!$H$2:$H$10</definedName>
    <definedName name="Lap">SD!$O$2:$O$3</definedName>
    <definedName name="LEVEL">Level!$A$1:$A$500</definedName>
    <definedName name="Lift">SD!$L$2:$L$4</definedName>
    <definedName name="LiftO">SD!$L$2:$L$3</definedName>
    <definedName name="PSI">SD!$M$2:$M$22</definedName>
    <definedName name="PSIPL">SD!$M$4:$M$22</definedName>
    <definedName name="Quantity">SD!$AC$3:$AC$26</definedName>
    <definedName name="S135Range">SD!$AS$13:$AU$23</definedName>
    <definedName name="S180Range">SD!$AS$24:$AU$34</definedName>
    <definedName name="S90Range">SD!$AS$2:$AV$12</definedName>
    <definedName name="SAC">SD!$AI$2:$AI$390</definedName>
    <definedName name="TCName">SD!$BF$1:$BF$458</definedName>
    <definedName name="TData">SD!$BM$2:$BM$18</definedName>
    <definedName name="TDBarSize">SD!$BN$2:$BN$12</definedName>
    <definedName name="TDBarSizeStatus">SD!$BO$2:$BO$12</definedName>
    <definedName name="TDL">SD!$W$2:$W$3</definedName>
    <definedName name="TDLevel">SD!$BP$2:$BP$200</definedName>
    <definedName name="TDLevelStatus">SD!$BQ$2:$BQ$200</definedName>
    <definedName name="TDQTY">SD!$V$2:$V$4</definedName>
    <definedName name="TDTH">SD!$W$7:$W$10</definedName>
    <definedName name="TDVertBars">SD!$U$2:$U$14</definedName>
    <definedName name="TDwlBSize">SD!$U$18:$U$29</definedName>
    <definedName name="TDwlCount">SD!$V$18:$V$19</definedName>
    <definedName name="THead">SD!$BH$1:$BH$458</definedName>
    <definedName name="Ties_Type01">Ties!$A$1:$L$480</definedName>
    <definedName name="TiesType">SD!$T$2:$T$6</definedName>
    <definedName name="TopEnd">SD!$R$2:$R$6</definedName>
    <definedName name="TSize">SD!$BG$1:$BG$458</definedName>
    <definedName name="Unit_Wt">SD!$AP$2:$AQ$12</definedName>
    <definedName name="VDBarSize">SD!$BS$2:$BS$12</definedName>
    <definedName name="VDBarSizeStatus">SD!$BT$2:$BT$12</definedName>
    <definedName name="VDLevel">SD!$BU$2:$BU$200</definedName>
    <definedName name="VDLevelStatus">SD!$BV$2:$BV$200</definedName>
    <definedName name="verticalDowel">SD!$B$21:$C$25,SD!$D$25:$E$25</definedName>
    <definedName name="Zone">SD!$Y$2:$Y$4</definedName>
    <definedName name="Zone_V">SD!$I$2:$I$7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U2" i="10" l="1"/>
  <c r="DU3" i="10"/>
  <c r="DU4" i="10"/>
  <c r="DU5" i="10"/>
  <c r="DU6" i="10"/>
  <c r="DU7" i="10"/>
  <c r="DU8" i="10"/>
  <c r="DU9" i="10"/>
  <c r="DU10" i="10"/>
  <c r="DU11" i="10"/>
  <c r="DU12" i="10"/>
  <c r="DU13" i="10"/>
  <c r="DU14" i="10"/>
  <c r="DU15" i="10"/>
  <c r="DU16" i="10"/>
  <c r="DU17" i="10"/>
  <c r="DU18" i="10"/>
  <c r="DU19" i="10"/>
  <c r="DU20" i="10"/>
  <c r="DU21" i="10"/>
  <c r="DU22" i="10"/>
  <c r="DU23" i="10"/>
  <c r="DU24" i="10"/>
  <c r="DU25" i="10"/>
  <c r="DU26" i="10"/>
  <c r="DU27" i="10"/>
  <c r="DU28" i="10"/>
  <c r="DU29" i="10"/>
  <c r="DU30" i="10"/>
  <c r="DU31" i="10"/>
  <c r="DU32" i="10"/>
  <c r="DU33" i="10"/>
  <c r="DU34" i="10"/>
  <c r="DU35" i="10"/>
  <c r="DU36" i="10"/>
  <c r="DU37" i="10"/>
  <c r="DU38" i="10"/>
  <c r="DU39" i="10"/>
  <c r="DU40" i="10"/>
  <c r="DU41" i="10"/>
  <c r="DU42" i="10"/>
  <c r="DU43" i="10"/>
  <c r="DU44" i="10"/>
  <c r="DU45" i="10"/>
  <c r="DU46" i="10"/>
  <c r="DU47" i="10"/>
  <c r="DU48" i="10"/>
  <c r="DU49" i="10"/>
  <c r="DU50" i="10"/>
  <c r="DU51" i="10"/>
  <c r="DU52" i="10"/>
  <c r="DU53" i="10"/>
  <c r="DU54" i="10"/>
  <c r="DU55" i="10"/>
  <c r="DU56" i="10"/>
  <c r="DU57" i="10"/>
  <c r="DU58" i="10"/>
  <c r="DU59" i="10"/>
  <c r="DU60" i="10"/>
  <c r="DU61" i="10"/>
  <c r="DU62" i="10"/>
  <c r="DU63" i="10"/>
  <c r="DU64" i="10"/>
  <c r="DU65" i="10"/>
  <c r="DU66" i="10"/>
  <c r="DU67" i="10"/>
  <c r="DU68" i="10"/>
  <c r="DU69" i="10"/>
  <c r="DU70" i="10"/>
  <c r="DU71" i="10"/>
  <c r="DU72" i="10"/>
  <c r="DU73" i="10"/>
  <c r="DU74" i="10"/>
  <c r="DU75" i="10"/>
  <c r="DU76" i="10"/>
  <c r="DU77" i="10"/>
  <c r="DU78" i="10"/>
  <c r="DU79" i="10"/>
  <c r="DU80" i="10"/>
  <c r="DU81" i="10"/>
  <c r="DU82" i="10"/>
  <c r="DU83" i="10"/>
  <c r="DU84" i="10"/>
  <c r="DU85" i="10"/>
  <c r="DU86" i="10"/>
  <c r="DU87" i="10"/>
  <c r="DU88" i="10"/>
  <c r="DU89" i="10"/>
  <c r="DU90" i="10"/>
  <c r="DU91" i="10"/>
  <c r="DU92" i="10"/>
  <c r="DU93" i="10"/>
  <c r="DU94" i="10"/>
  <c r="DU95" i="10"/>
  <c r="DU96" i="10"/>
  <c r="DU97" i="10"/>
  <c r="DU98" i="10"/>
  <c r="DU99" i="10"/>
  <c r="DU100" i="10"/>
  <c r="DU101" i="10"/>
  <c r="DU102" i="10"/>
  <c r="DU103" i="10"/>
  <c r="DU104" i="10"/>
  <c r="DU105" i="10"/>
  <c r="DU106" i="10"/>
  <c r="DU107" i="10"/>
  <c r="DU108" i="10"/>
  <c r="DU109" i="10"/>
  <c r="DU110" i="10"/>
  <c r="DU111" i="10"/>
  <c r="DU112" i="10"/>
  <c r="DU113" i="10"/>
  <c r="DU114" i="10"/>
  <c r="DU115" i="10"/>
  <c r="DU116" i="10"/>
  <c r="DU117" i="10"/>
  <c r="DU118" i="10"/>
  <c r="DU119" i="10"/>
  <c r="DU120" i="10"/>
  <c r="DU121" i="10"/>
  <c r="DU122" i="10"/>
  <c r="DU123" i="10"/>
  <c r="DU124" i="10"/>
  <c r="DU125" i="10"/>
  <c r="DU126" i="10"/>
  <c r="DU127" i="10"/>
  <c r="DU128" i="10"/>
  <c r="DU129" i="10"/>
  <c r="DU130" i="10"/>
  <c r="DU131" i="10"/>
  <c r="DU132" i="10"/>
  <c r="DU133" i="10"/>
  <c r="DU134" i="10"/>
  <c r="DU135" i="10"/>
  <c r="DU136" i="10"/>
  <c r="DU137" i="10"/>
  <c r="DU138" i="10"/>
  <c r="DU139" i="10"/>
  <c r="DU140" i="10"/>
  <c r="DU141" i="10"/>
  <c r="DU142" i="10"/>
  <c r="DU143" i="10"/>
  <c r="DU144" i="10"/>
  <c r="DU145" i="10"/>
  <c r="DU146" i="10"/>
  <c r="DU147" i="10"/>
  <c r="DU148" i="10"/>
  <c r="DU149" i="10"/>
  <c r="DU150" i="10"/>
  <c r="DU151" i="10"/>
  <c r="DU152" i="10"/>
  <c r="DU153" i="10"/>
  <c r="DU154" i="10"/>
  <c r="DU155" i="10"/>
  <c r="DU156" i="10"/>
  <c r="DU157" i="10"/>
  <c r="DU158" i="10"/>
  <c r="DU159" i="10"/>
  <c r="DU160" i="10"/>
  <c r="DU161" i="10"/>
  <c r="DU162" i="10"/>
  <c r="DU163" i="10"/>
  <c r="DU164" i="10"/>
  <c r="DU165" i="10"/>
  <c r="DU166" i="10"/>
  <c r="DU167" i="10"/>
  <c r="DU168" i="10"/>
  <c r="DU169" i="10"/>
  <c r="DU170" i="10"/>
  <c r="DU171" i="10"/>
  <c r="DU172" i="10"/>
  <c r="DU173" i="10"/>
  <c r="DU174" i="10"/>
  <c r="DU175" i="10"/>
  <c r="DU176" i="10"/>
  <c r="DU177" i="10"/>
  <c r="DU178" i="10"/>
  <c r="DU179" i="10"/>
  <c r="DU180" i="10"/>
  <c r="DU181" i="10"/>
  <c r="DU182" i="10"/>
  <c r="DU183" i="10"/>
  <c r="DU184" i="10"/>
  <c r="DU185" i="10"/>
  <c r="DU186" i="10"/>
  <c r="DU187" i="10"/>
  <c r="DU188" i="10"/>
  <c r="DU189" i="10"/>
  <c r="DU190" i="10"/>
  <c r="DU191" i="10"/>
  <c r="DU192" i="10"/>
  <c r="DU193" i="10"/>
  <c r="DU194" i="10"/>
  <c r="DU195" i="10"/>
  <c r="DU196" i="10"/>
  <c r="DU197" i="10"/>
  <c r="DU198" i="10"/>
  <c r="DU199" i="10"/>
  <c r="DU200" i="10"/>
  <c r="DU201" i="10"/>
  <c r="DU202" i="10"/>
  <c r="DU203" i="10"/>
  <c r="DU204" i="10"/>
  <c r="DU205" i="10"/>
  <c r="DU206" i="10"/>
  <c r="DU207" i="10"/>
  <c r="DU208" i="10"/>
  <c r="DU209" i="10"/>
  <c r="DU210" i="10"/>
  <c r="DU211" i="10"/>
  <c r="DU212" i="10"/>
  <c r="DU213" i="10"/>
  <c r="DU214" i="10"/>
  <c r="DU215" i="10"/>
  <c r="DU216" i="10"/>
  <c r="DU217" i="10"/>
  <c r="DU218" i="10"/>
  <c r="DU219" i="10"/>
  <c r="DU220" i="10"/>
  <c r="DU221" i="10"/>
  <c r="DU222" i="10"/>
  <c r="DU223" i="10"/>
  <c r="DU224" i="10"/>
  <c r="DU225" i="10"/>
  <c r="DU226" i="10"/>
  <c r="DU227" i="10"/>
  <c r="DU228" i="10"/>
  <c r="DT2" i="10"/>
  <c r="DT3" i="10"/>
  <c r="DT4" i="10"/>
  <c r="DT5" i="10"/>
  <c r="DT6" i="10"/>
  <c r="DT7" i="10"/>
  <c r="DT8" i="10"/>
  <c r="DT9" i="10"/>
  <c r="DT10" i="10"/>
  <c r="DT11" i="10"/>
  <c r="DT12" i="10"/>
  <c r="DT13" i="10"/>
  <c r="DT14" i="10"/>
  <c r="DT15" i="10"/>
  <c r="DT16" i="10"/>
  <c r="DT17" i="10"/>
  <c r="DT18" i="10"/>
  <c r="DT19" i="10"/>
  <c r="DT20" i="10"/>
  <c r="DT21" i="10"/>
  <c r="DT22" i="10"/>
  <c r="DT23" i="10"/>
  <c r="DT24" i="10"/>
  <c r="DT25" i="10"/>
  <c r="DT26" i="10"/>
  <c r="DT27" i="10"/>
  <c r="DT28" i="10"/>
  <c r="DT29" i="10"/>
  <c r="DT30" i="10"/>
  <c r="DT31" i="10"/>
  <c r="DT32" i="10"/>
  <c r="DT33" i="10"/>
  <c r="DT34" i="10"/>
  <c r="DT35" i="10"/>
  <c r="DT36" i="10"/>
  <c r="DT37" i="10"/>
  <c r="DT38" i="10"/>
  <c r="DT39" i="10"/>
  <c r="DT40" i="10"/>
  <c r="DT41" i="10"/>
  <c r="DT42" i="10"/>
  <c r="DT43" i="10"/>
  <c r="DT44" i="10"/>
  <c r="DT45" i="10"/>
  <c r="DT46" i="10"/>
  <c r="DT47" i="10"/>
  <c r="DT48" i="10"/>
  <c r="DT49" i="10"/>
  <c r="DT50" i="10"/>
  <c r="DT51" i="10"/>
  <c r="DT52" i="10"/>
  <c r="DT53" i="10"/>
  <c r="DT54" i="10"/>
  <c r="DT55" i="10"/>
  <c r="DT56" i="10"/>
  <c r="DT57" i="10"/>
  <c r="DT58" i="10"/>
  <c r="DT59" i="10"/>
  <c r="DT60" i="10"/>
  <c r="DT61" i="10"/>
  <c r="DT62" i="10"/>
  <c r="DT63" i="10"/>
  <c r="DT64" i="10"/>
  <c r="DT65" i="10"/>
  <c r="DT66" i="10"/>
  <c r="DT67" i="10"/>
  <c r="DT68" i="10"/>
  <c r="DT69" i="10"/>
  <c r="DT70" i="10"/>
  <c r="DT71" i="10"/>
  <c r="DT72" i="10"/>
  <c r="DT73" i="10"/>
  <c r="DT74" i="10"/>
  <c r="DT75" i="10"/>
  <c r="DT76" i="10"/>
  <c r="DT77" i="10"/>
  <c r="DT78" i="10"/>
  <c r="DT79" i="10"/>
  <c r="DT80" i="10"/>
  <c r="DT81" i="10"/>
  <c r="DT82" i="10"/>
  <c r="DT83" i="10"/>
  <c r="DT84" i="10"/>
  <c r="DT85" i="10"/>
  <c r="DT86" i="10"/>
  <c r="DT87" i="10"/>
  <c r="DT88" i="10"/>
  <c r="DT89" i="10"/>
  <c r="DT90" i="10"/>
  <c r="DT91" i="10"/>
  <c r="DT92" i="10"/>
  <c r="DT93" i="10"/>
  <c r="DT94" i="10"/>
  <c r="DT95" i="10"/>
  <c r="DT96" i="10"/>
  <c r="DT97" i="10"/>
  <c r="DT98" i="10"/>
  <c r="DT99" i="10"/>
  <c r="DT100" i="10"/>
  <c r="DT101" i="10"/>
  <c r="DT102" i="10"/>
  <c r="DT103" i="10"/>
  <c r="DT104" i="10"/>
  <c r="DT105" i="10"/>
  <c r="DT106" i="10"/>
  <c r="DT107" i="10"/>
  <c r="DT108" i="10"/>
  <c r="DT109" i="10"/>
  <c r="DT110" i="10"/>
  <c r="DT111" i="10"/>
  <c r="DT112" i="10"/>
  <c r="DT113" i="10"/>
  <c r="DT114" i="10"/>
  <c r="DT115" i="10"/>
  <c r="DT116" i="10"/>
  <c r="DT117" i="10"/>
  <c r="DT118" i="10"/>
  <c r="DT119" i="10"/>
  <c r="DT120" i="10"/>
  <c r="DT121" i="10"/>
  <c r="DT122" i="10"/>
  <c r="DT123" i="10"/>
  <c r="DT124" i="10"/>
  <c r="DT125" i="10"/>
  <c r="DT126" i="10"/>
  <c r="DT127" i="10"/>
  <c r="DT128" i="10"/>
  <c r="DT129" i="10"/>
  <c r="DT130" i="10"/>
  <c r="DT131" i="10"/>
  <c r="DT132" i="10"/>
  <c r="DT133" i="10"/>
  <c r="DT134" i="10"/>
  <c r="DT135" i="10"/>
  <c r="DT136" i="10"/>
  <c r="DT137" i="10"/>
  <c r="DT138" i="10"/>
  <c r="DT139" i="10"/>
  <c r="DT140" i="10"/>
  <c r="DT141" i="10"/>
  <c r="DT142" i="10"/>
  <c r="DT143" i="10"/>
  <c r="DT144" i="10"/>
  <c r="DT145" i="10"/>
  <c r="DT146" i="10"/>
  <c r="DT147" i="10"/>
  <c r="DT148" i="10"/>
  <c r="DT149" i="10"/>
  <c r="DT150" i="10"/>
  <c r="DT151" i="10"/>
  <c r="DT152" i="10"/>
  <c r="DT153" i="10"/>
  <c r="DT154" i="10"/>
  <c r="DT155" i="10"/>
  <c r="DT156" i="10"/>
  <c r="DT157" i="10"/>
  <c r="DT158" i="10"/>
  <c r="DT159" i="10"/>
  <c r="DT160" i="10"/>
  <c r="DT161" i="10"/>
  <c r="DT162" i="10"/>
  <c r="DT163" i="10"/>
  <c r="DT164" i="10"/>
  <c r="DT165" i="10"/>
  <c r="DT166" i="10"/>
  <c r="DT167" i="10"/>
  <c r="DT168" i="10"/>
  <c r="DT169" i="10"/>
  <c r="DT170" i="10"/>
  <c r="DT171" i="10"/>
  <c r="DT172" i="10"/>
  <c r="DT173" i="10"/>
  <c r="DT174" i="10"/>
  <c r="DT175" i="10"/>
  <c r="DT176" i="10"/>
  <c r="DT177" i="10"/>
  <c r="DT178" i="10"/>
  <c r="DT179" i="10"/>
  <c r="DT180" i="10"/>
  <c r="DT181" i="10"/>
  <c r="DT182" i="10"/>
  <c r="DT183" i="10"/>
  <c r="DT184" i="10"/>
  <c r="DT185" i="10"/>
  <c r="DT186" i="10"/>
  <c r="DT187" i="10"/>
  <c r="DT188" i="10"/>
  <c r="DT189" i="10"/>
  <c r="DT190" i="10"/>
  <c r="DT191" i="10"/>
  <c r="DT192" i="10"/>
  <c r="DT193" i="10"/>
  <c r="DT194" i="10"/>
  <c r="DT195" i="10"/>
  <c r="DT196" i="10"/>
  <c r="DT197" i="10"/>
  <c r="DT198" i="10"/>
  <c r="DT199" i="10"/>
  <c r="DT200" i="10"/>
  <c r="DT201" i="10"/>
  <c r="DT202" i="10"/>
  <c r="DT203" i="10"/>
  <c r="DT204" i="10"/>
  <c r="DT205" i="10"/>
  <c r="DT206" i="10"/>
  <c r="DT207" i="10"/>
  <c r="DT208" i="10"/>
  <c r="DT209" i="10"/>
  <c r="DT210" i="10"/>
  <c r="DT211" i="10"/>
  <c r="DT212" i="10"/>
  <c r="DT213" i="10"/>
  <c r="DT214" i="10"/>
  <c r="DT215" i="10"/>
  <c r="DT216" i="10"/>
  <c r="DT217" i="10"/>
  <c r="DT218" i="10"/>
  <c r="DT219" i="10"/>
  <c r="DT220" i="10"/>
  <c r="DT221" i="10"/>
  <c r="DT222" i="10"/>
  <c r="DT223" i="10"/>
  <c r="DT224" i="10"/>
  <c r="DT225" i="10"/>
  <c r="DT226" i="10"/>
  <c r="DT227" i="10"/>
  <c r="DT228" i="10"/>
  <c r="DS2" i="10"/>
  <c r="DS3" i="10"/>
  <c r="DS4" i="10"/>
  <c r="DS5" i="10"/>
  <c r="DS6" i="10"/>
  <c r="DS7" i="10"/>
  <c r="DS8" i="10"/>
  <c r="DS9" i="10"/>
  <c r="DS10" i="10"/>
  <c r="DS11" i="10"/>
  <c r="DS12" i="10"/>
  <c r="DS13" i="10"/>
  <c r="DS14" i="10"/>
  <c r="DS15" i="10"/>
  <c r="DS16" i="10"/>
  <c r="DS17" i="10"/>
  <c r="DS18" i="10"/>
  <c r="DS19" i="10"/>
  <c r="DS20" i="10"/>
  <c r="DS21" i="10"/>
  <c r="DS22" i="10"/>
  <c r="DS23" i="10"/>
  <c r="DS24" i="10"/>
  <c r="DS25" i="10"/>
  <c r="DS26" i="10"/>
  <c r="DS27" i="10"/>
  <c r="DS28" i="10"/>
  <c r="DS29" i="10"/>
  <c r="DS30" i="10"/>
  <c r="DS31" i="10"/>
  <c r="DS32" i="10"/>
  <c r="DS33" i="10"/>
  <c r="DS34" i="10"/>
  <c r="DS35" i="10"/>
  <c r="DS36" i="10"/>
  <c r="DS37" i="10"/>
  <c r="DS38" i="10"/>
  <c r="DS39" i="10"/>
  <c r="DS40" i="10"/>
  <c r="DS41" i="10"/>
  <c r="DS42" i="10"/>
  <c r="DS43" i="10"/>
  <c r="DS44" i="10"/>
  <c r="DS45" i="10"/>
  <c r="DS46" i="10"/>
  <c r="DS47" i="10"/>
  <c r="DS48" i="10"/>
  <c r="DS49" i="10"/>
  <c r="DS50" i="10"/>
  <c r="DS51" i="10"/>
  <c r="DS52" i="10"/>
  <c r="DS53" i="10"/>
  <c r="DS54" i="10"/>
  <c r="DS55" i="10"/>
  <c r="DS56" i="10"/>
  <c r="DS57" i="10"/>
  <c r="DS58" i="10"/>
  <c r="DS59" i="10"/>
  <c r="DS60" i="10"/>
  <c r="DS61" i="10"/>
  <c r="DS62" i="10"/>
  <c r="DS63" i="10"/>
  <c r="DS64" i="10"/>
  <c r="DS65" i="10"/>
  <c r="DS66" i="10"/>
  <c r="DS67" i="10"/>
  <c r="DS68" i="10"/>
  <c r="DS69" i="10"/>
  <c r="DS70" i="10"/>
  <c r="DS71" i="10"/>
  <c r="DS72" i="10"/>
  <c r="DS73" i="10"/>
  <c r="DS74" i="10"/>
  <c r="DS75" i="10"/>
  <c r="DS76" i="10"/>
  <c r="DS77" i="10"/>
  <c r="DS78" i="10"/>
  <c r="DS79" i="10"/>
  <c r="DS80" i="10"/>
  <c r="DS81" i="10"/>
  <c r="DS82" i="10"/>
  <c r="DS83" i="10"/>
  <c r="DS84" i="10"/>
  <c r="DS85" i="10"/>
  <c r="DS86" i="10"/>
  <c r="DS87" i="10"/>
  <c r="DS88" i="10"/>
  <c r="DS89" i="10"/>
  <c r="DS90" i="10"/>
  <c r="DS91" i="10"/>
  <c r="DS92" i="10"/>
  <c r="DS93" i="10"/>
  <c r="DS94" i="10"/>
  <c r="DS95" i="10"/>
  <c r="DS96" i="10"/>
  <c r="DS97" i="10"/>
  <c r="DS98" i="10"/>
  <c r="DS99" i="10"/>
  <c r="DS100" i="10"/>
  <c r="DS101" i="10"/>
  <c r="DS102" i="10"/>
  <c r="DS103" i="10"/>
  <c r="DS104" i="10"/>
  <c r="DS105" i="10"/>
  <c r="DS106" i="10"/>
  <c r="DS107" i="10"/>
  <c r="DS108" i="10"/>
  <c r="DS109" i="10"/>
  <c r="DS110" i="10"/>
  <c r="DS111" i="10"/>
  <c r="DS112" i="10"/>
  <c r="DS113" i="10"/>
  <c r="DS114" i="10"/>
  <c r="DS115" i="10"/>
  <c r="DS116" i="10"/>
  <c r="DS117" i="10"/>
  <c r="DS118" i="10"/>
  <c r="DS119" i="10"/>
  <c r="DS120" i="10"/>
  <c r="DS121" i="10"/>
  <c r="DS122" i="10"/>
  <c r="DS123" i="10"/>
  <c r="DS124" i="10"/>
  <c r="DS125" i="10"/>
  <c r="DS126" i="10"/>
  <c r="DS127" i="10"/>
  <c r="DS128" i="10"/>
  <c r="DS129" i="10"/>
  <c r="DS130" i="10"/>
  <c r="DS131" i="10"/>
  <c r="DS132" i="10"/>
  <c r="DS133" i="10"/>
  <c r="DS134" i="10"/>
  <c r="DS135" i="10"/>
  <c r="DS136" i="10"/>
  <c r="DS137" i="10"/>
  <c r="DS138" i="10"/>
  <c r="DS139" i="10"/>
  <c r="DS140" i="10"/>
  <c r="DS141" i="10"/>
  <c r="DS142" i="10"/>
  <c r="DS143" i="10"/>
  <c r="DS144" i="10"/>
  <c r="DS145" i="10"/>
  <c r="DS146" i="10"/>
  <c r="DS147" i="10"/>
  <c r="DS148" i="10"/>
  <c r="DS149" i="10"/>
  <c r="DS150" i="10"/>
  <c r="DS151" i="10"/>
  <c r="DS152" i="10"/>
  <c r="DS153" i="10"/>
  <c r="DS154" i="10"/>
  <c r="DS155" i="10"/>
  <c r="DS156" i="10"/>
  <c r="DS157" i="10"/>
  <c r="DS158" i="10"/>
  <c r="DS159" i="10"/>
  <c r="DS160" i="10"/>
  <c r="DS161" i="10"/>
  <c r="DS162" i="10"/>
  <c r="DS163" i="10"/>
  <c r="DS164" i="10"/>
  <c r="DS165" i="10"/>
  <c r="DS166" i="10"/>
  <c r="DS167" i="10"/>
  <c r="DS168" i="10"/>
  <c r="DS169" i="10"/>
  <c r="DS170" i="10"/>
  <c r="DS171" i="10"/>
  <c r="DS172" i="10"/>
  <c r="DS173" i="10"/>
  <c r="DS174" i="10"/>
  <c r="DS175" i="10"/>
  <c r="DS176" i="10"/>
  <c r="DS177" i="10"/>
  <c r="DS178" i="10"/>
  <c r="DS179" i="10"/>
  <c r="DS180" i="10"/>
  <c r="DS181" i="10"/>
  <c r="DS182" i="10"/>
  <c r="DS183" i="10"/>
  <c r="DS184" i="10"/>
  <c r="DS185" i="10"/>
  <c r="DS186" i="10"/>
  <c r="DS187" i="10"/>
  <c r="DS188" i="10"/>
  <c r="DS189" i="10"/>
  <c r="DS190" i="10"/>
  <c r="DS191" i="10"/>
  <c r="DS192" i="10"/>
  <c r="DS193" i="10"/>
  <c r="DS194" i="10"/>
  <c r="DS195" i="10"/>
  <c r="DS196" i="10"/>
  <c r="DS197" i="10"/>
  <c r="DS198" i="10"/>
  <c r="DS199" i="10"/>
  <c r="DS200" i="10"/>
  <c r="DS201" i="10"/>
  <c r="DS202" i="10"/>
  <c r="DS203" i="10"/>
  <c r="DS204" i="10"/>
  <c r="DS205" i="10"/>
  <c r="DS206" i="10"/>
  <c r="DS207" i="10"/>
  <c r="DS208" i="10"/>
  <c r="DS209" i="10"/>
  <c r="DS210" i="10"/>
  <c r="DS211" i="10"/>
  <c r="DS212" i="10"/>
  <c r="DS213" i="10"/>
  <c r="DS214" i="10"/>
  <c r="DS215" i="10"/>
  <c r="DS216" i="10"/>
  <c r="DS217" i="10"/>
  <c r="DS218" i="10"/>
  <c r="DS219" i="10"/>
  <c r="DS220" i="10"/>
  <c r="DS221" i="10"/>
  <c r="DS222" i="10"/>
  <c r="DS223" i="10"/>
  <c r="DS224" i="10"/>
  <c r="DS225" i="10"/>
  <c r="DS226" i="10"/>
  <c r="DS227" i="10"/>
  <c r="DS228" i="10"/>
  <c r="DR2" i="10"/>
  <c r="DR3" i="10"/>
  <c r="DR4" i="10"/>
  <c r="DR5" i="10"/>
  <c r="DR6" i="10"/>
  <c r="DR7" i="10"/>
  <c r="DR8" i="10"/>
  <c r="DR9" i="10"/>
  <c r="DR10" i="10"/>
  <c r="DR11" i="10"/>
  <c r="DR12" i="10"/>
  <c r="DR13" i="10"/>
  <c r="DR14" i="10"/>
  <c r="DR15" i="10"/>
  <c r="DR16" i="10"/>
  <c r="DR17" i="10"/>
  <c r="DR18" i="10"/>
  <c r="DR19" i="10"/>
  <c r="DR20" i="10"/>
  <c r="DR21" i="10"/>
  <c r="DR22" i="10"/>
  <c r="DR23" i="10"/>
  <c r="DR24" i="10"/>
  <c r="DR25" i="10"/>
  <c r="DR26" i="10"/>
  <c r="DR27" i="10"/>
  <c r="DR28" i="10"/>
  <c r="DR29" i="10"/>
  <c r="DR30" i="10"/>
  <c r="DR31" i="10"/>
  <c r="DR32" i="10"/>
  <c r="DR33" i="10"/>
  <c r="DR34" i="10"/>
  <c r="DR35" i="10"/>
  <c r="DR36" i="10"/>
  <c r="DR37" i="10"/>
  <c r="DR38" i="10"/>
  <c r="DR39" i="10"/>
  <c r="DR40" i="10"/>
  <c r="DR41" i="10"/>
  <c r="DR42" i="10"/>
  <c r="DR43" i="10"/>
  <c r="DR44" i="10"/>
  <c r="DR45" i="10"/>
  <c r="DR46" i="10"/>
  <c r="DR47" i="10"/>
  <c r="DR48" i="10"/>
  <c r="DR49" i="10"/>
  <c r="DR50" i="10"/>
  <c r="DR51" i="10"/>
  <c r="DR52" i="10"/>
  <c r="DR53" i="10"/>
  <c r="DR54" i="10"/>
  <c r="DR55" i="10"/>
  <c r="DR56" i="10"/>
  <c r="DR57" i="10"/>
  <c r="DR58" i="10"/>
  <c r="DR59" i="10"/>
  <c r="DR60" i="10"/>
  <c r="DR61" i="10"/>
  <c r="DR62" i="10"/>
  <c r="DR63" i="10"/>
  <c r="DR64" i="10"/>
  <c r="DR65" i="10"/>
  <c r="DR66" i="10"/>
  <c r="DR67" i="10"/>
  <c r="DR68" i="10"/>
  <c r="DR69" i="10"/>
  <c r="DR70" i="10"/>
  <c r="DR71" i="10"/>
  <c r="DR72" i="10"/>
  <c r="DR73" i="10"/>
  <c r="DR74" i="10"/>
  <c r="DR75" i="10"/>
  <c r="DR76" i="10"/>
  <c r="DR77" i="10"/>
  <c r="DR78" i="10"/>
  <c r="DR79" i="10"/>
  <c r="DR80" i="10"/>
  <c r="DR81" i="10"/>
  <c r="DR82" i="10"/>
  <c r="DR83" i="10"/>
  <c r="DR84" i="10"/>
  <c r="DR85" i="10"/>
  <c r="DR86" i="10"/>
  <c r="DR87" i="10"/>
  <c r="DR88" i="10"/>
  <c r="DR89" i="10"/>
  <c r="DR90" i="10"/>
  <c r="DR91" i="10"/>
  <c r="DR92" i="10"/>
  <c r="DR93" i="10"/>
  <c r="DR94" i="10"/>
  <c r="DR95" i="10"/>
  <c r="DR96" i="10"/>
  <c r="DR97" i="10"/>
  <c r="DR98" i="10"/>
  <c r="DR99" i="10"/>
  <c r="DR100" i="10"/>
  <c r="DR101" i="10"/>
  <c r="DR102" i="10"/>
  <c r="DR103" i="10"/>
  <c r="DR104" i="10"/>
  <c r="DR105" i="10"/>
  <c r="DR106" i="10"/>
  <c r="DR107" i="10"/>
  <c r="DR108" i="10"/>
  <c r="DR109" i="10"/>
  <c r="DR110" i="10"/>
  <c r="DR111" i="10"/>
  <c r="DR112" i="10"/>
  <c r="DR113" i="10"/>
  <c r="DR114" i="10"/>
  <c r="DR115" i="10"/>
  <c r="DR116" i="10"/>
  <c r="DR117" i="10"/>
  <c r="DR118" i="10"/>
  <c r="DR119" i="10"/>
  <c r="DR120" i="10"/>
  <c r="DR121" i="10"/>
  <c r="DR122" i="10"/>
  <c r="DR123" i="10"/>
  <c r="DR124" i="10"/>
  <c r="DR125" i="10"/>
  <c r="DR126" i="10"/>
  <c r="DR127" i="10"/>
  <c r="DR128" i="10"/>
  <c r="DR129" i="10"/>
  <c r="DR130" i="10"/>
  <c r="DR131" i="10"/>
  <c r="DR132" i="10"/>
  <c r="DR133" i="10"/>
  <c r="DR134" i="10"/>
  <c r="DR135" i="10"/>
  <c r="DR136" i="10"/>
  <c r="DR137" i="10"/>
  <c r="DR138" i="10"/>
  <c r="DR139" i="10"/>
  <c r="DR140" i="10"/>
  <c r="DR141" i="10"/>
  <c r="DR142" i="10"/>
  <c r="DR143" i="10"/>
  <c r="DR144" i="10"/>
  <c r="DR145" i="10"/>
  <c r="DR146" i="10"/>
  <c r="DR147" i="10"/>
  <c r="DR148" i="10"/>
  <c r="DR149" i="10"/>
  <c r="DR150" i="10"/>
  <c r="DR151" i="10"/>
  <c r="DR152" i="10"/>
  <c r="DR153" i="10"/>
  <c r="DR154" i="10"/>
  <c r="DR155" i="10"/>
  <c r="DR156" i="10"/>
  <c r="DR157" i="10"/>
  <c r="DR158" i="10"/>
  <c r="DR159" i="10"/>
  <c r="DR160" i="10"/>
  <c r="DR161" i="10"/>
  <c r="DR162" i="10"/>
  <c r="DR163" i="10"/>
  <c r="DR164" i="10"/>
  <c r="DR165" i="10"/>
  <c r="DR166" i="10"/>
  <c r="DR167" i="10"/>
  <c r="DR168" i="10"/>
  <c r="DR169" i="10"/>
  <c r="DR170" i="10"/>
  <c r="DR171" i="10"/>
  <c r="DR172" i="10"/>
  <c r="DR173" i="10"/>
  <c r="DR174" i="10"/>
  <c r="DR175" i="10"/>
  <c r="DR176" i="10"/>
  <c r="DR177" i="10"/>
  <c r="DR178" i="10"/>
  <c r="DR179" i="10"/>
  <c r="DR180" i="10"/>
  <c r="DR181" i="10"/>
  <c r="DR182" i="10"/>
  <c r="DR183" i="10"/>
  <c r="DR184" i="10"/>
  <c r="DR185" i="10"/>
  <c r="DR186" i="10"/>
  <c r="DR187" i="10"/>
  <c r="DR188" i="10"/>
  <c r="DR189" i="10"/>
  <c r="DR190" i="10"/>
  <c r="DR191" i="10"/>
  <c r="DR192" i="10"/>
  <c r="DR193" i="10"/>
  <c r="DR194" i="10"/>
  <c r="DR195" i="10"/>
  <c r="DR196" i="10"/>
  <c r="DR197" i="10"/>
  <c r="DR198" i="10"/>
  <c r="DR199" i="10"/>
  <c r="DR200" i="10"/>
  <c r="DR201" i="10"/>
  <c r="DR202" i="10"/>
  <c r="DR203" i="10"/>
  <c r="DR204" i="10"/>
  <c r="DR205" i="10"/>
  <c r="DR206" i="10"/>
  <c r="DR207" i="10"/>
  <c r="DR208" i="10"/>
  <c r="DR209" i="10"/>
  <c r="DR210" i="10"/>
  <c r="DR211" i="10"/>
  <c r="DR212" i="10"/>
  <c r="DR213" i="10"/>
  <c r="DR214" i="10"/>
  <c r="DR215" i="10"/>
  <c r="DR216" i="10"/>
  <c r="DR217" i="10"/>
  <c r="DR218" i="10"/>
  <c r="DR219" i="10"/>
  <c r="DR220" i="10"/>
  <c r="DR221" i="10"/>
  <c r="DR222" i="10"/>
  <c r="DR223" i="10"/>
  <c r="DR224" i="10"/>
  <c r="DR225" i="10"/>
  <c r="DR226" i="10"/>
  <c r="DR227" i="10"/>
  <c r="DR228" i="10"/>
  <c r="DQ2" i="10"/>
  <c r="DQ3" i="10"/>
  <c r="DQ4" i="10"/>
  <c r="DQ5" i="10"/>
  <c r="DQ6" i="10"/>
  <c r="DQ7" i="10"/>
  <c r="DQ8" i="10"/>
  <c r="DQ9" i="10"/>
  <c r="DQ10" i="10"/>
  <c r="DQ11" i="10"/>
  <c r="DQ12" i="10"/>
  <c r="DQ13" i="10"/>
  <c r="DQ14" i="10"/>
  <c r="DQ15" i="10"/>
  <c r="DQ16" i="10"/>
  <c r="DQ17" i="10"/>
  <c r="DQ18" i="10"/>
  <c r="DQ19" i="10"/>
  <c r="DQ20" i="10"/>
  <c r="DQ21" i="10"/>
  <c r="DQ22" i="10"/>
  <c r="DQ23" i="10"/>
  <c r="DQ24" i="10"/>
  <c r="DQ25" i="10"/>
  <c r="DQ26" i="10"/>
  <c r="DQ27" i="10"/>
  <c r="DQ28" i="10"/>
  <c r="DQ29" i="10"/>
  <c r="DQ30" i="10"/>
  <c r="DQ31" i="10"/>
  <c r="DQ32" i="10"/>
  <c r="DQ33" i="10"/>
  <c r="DQ34" i="10"/>
  <c r="DQ35" i="10"/>
  <c r="DQ36" i="10"/>
  <c r="DQ37" i="10"/>
  <c r="DQ38" i="10"/>
  <c r="DQ39" i="10"/>
  <c r="DQ40" i="10"/>
  <c r="DQ41" i="10"/>
  <c r="DQ42" i="10"/>
  <c r="DQ43" i="10"/>
  <c r="DQ44" i="10"/>
  <c r="DQ45" i="10"/>
  <c r="DQ46" i="10"/>
  <c r="DQ47" i="10"/>
  <c r="DQ48" i="10"/>
  <c r="DQ49" i="10"/>
  <c r="DQ50" i="10"/>
  <c r="DQ51" i="10"/>
  <c r="DQ52" i="10"/>
  <c r="DQ53" i="10"/>
  <c r="DQ54" i="10"/>
  <c r="DQ55" i="10"/>
  <c r="DQ56" i="10"/>
  <c r="DQ57" i="10"/>
  <c r="DQ58" i="10"/>
  <c r="DQ59" i="10"/>
  <c r="DQ60" i="10"/>
  <c r="DQ61" i="10"/>
  <c r="DQ62" i="10"/>
  <c r="DQ63" i="10"/>
  <c r="DQ64" i="10"/>
  <c r="DQ65" i="10"/>
  <c r="DQ66" i="10"/>
  <c r="DQ67" i="10"/>
  <c r="DQ68" i="10"/>
  <c r="DQ69" i="10"/>
  <c r="DQ70" i="10"/>
  <c r="DQ71" i="10"/>
  <c r="DQ72" i="10"/>
  <c r="DQ73" i="10"/>
  <c r="DQ74" i="10"/>
  <c r="DQ75" i="10"/>
  <c r="DQ76" i="10"/>
  <c r="DQ77" i="10"/>
  <c r="DQ78" i="10"/>
  <c r="DQ79" i="10"/>
  <c r="DQ80" i="10"/>
  <c r="DQ81" i="10"/>
  <c r="DQ82" i="10"/>
  <c r="DQ83" i="10"/>
  <c r="DQ84" i="10"/>
  <c r="DQ85" i="10"/>
  <c r="DQ86" i="10"/>
  <c r="DQ87" i="10"/>
  <c r="DQ88" i="10"/>
  <c r="DQ89" i="10"/>
  <c r="DQ90" i="10"/>
  <c r="DQ91" i="10"/>
  <c r="DQ92" i="10"/>
  <c r="DQ93" i="10"/>
  <c r="DQ94" i="10"/>
  <c r="DQ95" i="10"/>
  <c r="DQ96" i="10"/>
  <c r="DQ97" i="10"/>
  <c r="DQ98" i="10"/>
  <c r="DQ99" i="10"/>
  <c r="DQ100" i="10"/>
  <c r="DQ101" i="10"/>
  <c r="DQ102" i="10"/>
  <c r="DQ103" i="10"/>
  <c r="DQ104" i="10"/>
  <c r="DQ105" i="10"/>
  <c r="DQ106" i="10"/>
  <c r="DQ107" i="10"/>
  <c r="DQ108" i="10"/>
  <c r="DQ109" i="10"/>
  <c r="DQ110" i="10"/>
  <c r="DQ111" i="10"/>
  <c r="DQ112" i="10"/>
  <c r="DQ113" i="10"/>
  <c r="DQ114" i="10"/>
  <c r="DQ115" i="10"/>
  <c r="DQ116" i="10"/>
  <c r="DQ117" i="10"/>
  <c r="DQ118" i="10"/>
  <c r="DQ119" i="10"/>
  <c r="DQ120" i="10"/>
  <c r="DQ121" i="10"/>
  <c r="DQ122" i="10"/>
  <c r="DQ123" i="10"/>
  <c r="DQ124" i="10"/>
  <c r="DQ125" i="10"/>
  <c r="DQ126" i="10"/>
  <c r="DQ127" i="10"/>
  <c r="DQ128" i="10"/>
  <c r="DQ129" i="10"/>
  <c r="DQ130" i="10"/>
  <c r="DQ131" i="10"/>
  <c r="DQ132" i="10"/>
  <c r="DQ133" i="10"/>
  <c r="DQ134" i="10"/>
  <c r="DQ135" i="10"/>
  <c r="DQ136" i="10"/>
  <c r="DQ137" i="10"/>
  <c r="DQ138" i="10"/>
  <c r="DQ139" i="10"/>
  <c r="DQ140" i="10"/>
  <c r="DQ141" i="10"/>
  <c r="DQ142" i="10"/>
  <c r="DQ143" i="10"/>
  <c r="DQ144" i="10"/>
  <c r="DQ145" i="10"/>
  <c r="DQ146" i="10"/>
  <c r="DQ147" i="10"/>
  <c r="DQ148" i="10"/>
  <c r="DQ149" i="10"/>
  <c r="DQ150" i="10"/>
  <c r="DQ151" i="10"/>
  <c r="DQ152" i="10"/>
  <c r="DQ153" i="10"/>
  <c r="DQ154" i="10"/>
  <c r="DQ155" i="10"/>
  <c r="DQ156" i="10"/>
  <c r="DQ157" i="10"/>
  <c r="DQ158" i="10"/>
  <c r="DQ159" i="10"/>
  <c r="DQ160" i="10"/>
  <c r="DQ161" i="10"/>
  <c r="DQ162" i="10"/>
  <c r="DQ163" i="10"/>
  <c r="DQ164" i="10"/>
  <c r="DQ165" i="10"/>
  <c r="DQ166" i="10"/>
  <c r="DQ167" i="10"/>
  <c r="DQ168" i="10"/>
  <c r="DQ169" i="10"/>
  <c r="DQ170" i="10"/>
  <c r="DQ171" i="10"/>
  <c r="DQ172" i="10"/>
  <c r="DQ173" i="10"/>
  <c r="DQ174" i="10"/>
  <c r="DQ175" i="10"/>
  <c r="DQ176" i="10"/>
  <c r="DQ177" i="10"/>
  <c r="DQ178" i="10"/>
  <c r="DQ179" i="10"/>
  <c r="DQ180" i="10"/>
  <c r="DQ181" i="10"/>
  <c r="DQ182" i="10"/>
  <c r="DQ183" i="10"/>
  <c r="DQ184" i="10"/>
  <c r="DQ185" i="10"/>
  <c r="DQ186" i="10"/>
  <c r="DQ187" i="10"/>
  <c r="DQ188" i="10"/>
  <c r="DQ189" i="10"/>
  <c r="DQ190" i="10"/>
  <c r="DQ191" i="10"/>
  <c r="DQ192" i="10"/>
  <c r="DQ193" i="10"/>
  <c r="DQ194" i="10"/>
  <c r="DQ195" i="10"/>
  <c r="DQ196" i="10"/>
  <c r="DQ197" i="10"/>
  <c r="DQ198" i="10"/>
  <c r="DQ199" i="10"/>
  <c r="DQ200" i="10"/>
  <c r="DQ201" i="10"/>
  <c r="DQ202" i="10"/>
  <c r="DQ203" i="10"/>
  <c r="DQ204" i="10"/>
  <c r="DQ205" i="10"/>
  <c r="DQ206" i="10"/>
  <c r="DQ207" i="10"/>
  <c r="DQ208" i="10"/>
  <c r="DQ209" i="10"/>
  <c r="DQ210" i="10"/>
  <c r="DQ211" i="10"/>
  <c r="DQ212" i="10"/>
  <c r="DQ213" i="10"/>
  <c r="DQ214" i="10"/>
  <c r="DQ215" i="10"/>
  <c r="DQ216" i="10"/>
  <c r="DQ217" i="10"/>
  <c r="DQ218" i="10"/>
  <c r="DQ219" i="10"/>
  <c r="DQ220" i="10"/>
  <c r="DQ221" i="10"/>
  <c r="DQ222" i="10"/>
  <c r="DQ223" i="10"/>
  <c r="DQ224" i="10"/>
  <c r="DQ225" i="10"/>
  <c r="DQ226" i="10"/>
  <c r="DQ227" i="10"/>
  <c r="DQ228" i="10"/>
  <c r="DO2" i="10"/>
  <c r="DO3" i="10"/>
  <c r="DO4" i="10"/>
  <c r="DO5" i="10"/>
  <c r="DO6" i="10"/>
  <c r="DO7" i="10"/>
  <c r="DO8" i="10"/>
  <c r="DO9" i="10"/>
  <c r="DO10" i="10"/>
  <c r="DO11" i="10"/>
  <c r="DO12" i="10"/>
  <c r="DO13" i="10"/>
  <c r="DO14" i="10"/>
  <c r="DO15" i="10"/>
  <c r="DO16" i="10"/>
  <c r="DO17" i="10"/>
  <c r="DO18" i="10"/>
  <c r="DO19" i="10"/>
  <c r="DO20" i="10"/>
  <c r="DO21" i="10"/>
  <c r="DO22" i="10"/>
  <c r="DO23" i="10"/>
  <c r="DO24" i="10"/>
  <c r="DO25" i="10"/>
  <c r="DO26" i="10"/>
  <c r="DO27" i="10"/>
  <c r="DO28" i="10"/>
  <c r="DO29" i="10"/>
  <c r="DO30" i="10"/>
  <c r="DO31" i="10"/>
  <c r="DO32" i="10"/>
  <c r="DO33" i="10"/>
  <c r="DO34" i="10"/>
  <c r="DO35" i="10"/>
  <c r="DO36" i="10"/>
  <c r="DO37" i="10"/>
  <c r="DO38" i="10"/>
  <c r="DO39" i="10"/>
  <c r="DO40" i="10"/>
  <c r="DO41" i="10"/>
  <c r="DO42" i="10"/>
  <c r="DO43" i="10"/>
  <c r="DO44" i="10"/>
  <c r="DO45" i="10"/>
  <c r="DO46" i="10"/>
  <c r="DO47" i="10"/>
  <c r="DO48" i="10"/>
  <c r="DO49" i="10"/>
  <c r="DO50" i="10"/>
  <c r="DO51" i="10"/>
  <c r="DO52" i="10"/>
  <c r="DO53" i="10"/>
  <c r="DO54" i="10"/>
  <c r="DO55" i="10"/>
  <c r="DO56" i="10"/>
  <c r="DO57" i="10"/>
  <c r="DO58" i="10"/>
  <c r="DO59" i="10"/>
  <c r="DO60" i="10"/>
  <c r="DO61" i="10"/>
  <c r="DO62" i="10"/>
  <c r="DO63" i="10"/>
  <c r="DO64" i="10"/>
  <c r="DO65" i="10"/>
  <c r="DO66" i="10"/>
  <c r="DO67" i="10"/>
  <c r="DO68" i="10"/>
  <c r="DO69" i="10"/>
  <c r="DO70" i="10"/>
  <c r="DO71" i="10"/>
  <c r="DO72" i="10"/>
  <c r="DO73" i="10"/>
  <c r="DO74" i="10"/>
  <c r="DO75" i="10"/>
  <c r="DO76" i="10"/>
  <c r="DO77" i="10"/>
  <c r="DO78" i="10"/>
  <c r="DO79" i="10"/>
  <c r="DO80" i="10"/>
  <c r="DO81" i="10"/>
  <c r="DO82" i="10"/>
  <c r="DO83" i="10"/>
  <c r="DO84" i="10"/>
  <c r="DO85" i="10"/>
  <c r="DO86" i="10"/>
  <c r="DO87" i="10"/>
  <c r="DO88" i="10"/>
  <c r="DO89" i="10"/>
  <c r="DO90" i="10"/>
  <c r="DO91" i="10"/>
  <c r="DO92" i="10"/>
  <c r="DO93" i="10"/>
  <c r="DO94" i="10"/>
  <c r="DO95" i="10"/>
  <c r="DO96" i="10"/>
  <c r="DO97" i="10"/>
  <c r="DO98" i="10"/>
  <c r="DO99" i="10"/>
  <c r="DO100" i="10"/>
  <c r="DO101" i="10"/>
  <c r="DO102" i="10"/>
  <c r="DO103" i="10"/>
  <c r="DO104" i="10"/>
  <c r="DO105" i="10"/>
  <c r="DO106" i="10"/>
  <c r="DO107" i="10"/>
  <c r="DO108" i="10"/>
  <c r="DO109" i="10"/>
  <c r="DO110" i="10"/>
  <c r="DO111" i="10"/>
  <c r="DO112" i="10"/>
  <c r="DO113" i="10"/>
  <c r="DO114" i="10"/>
  <c r="DO115" i="10"/>
  <c r="DO116" i="10"/>
  <c r="DO117" i="10"/>
  <c r="DO118" i="10"/>
  <c r="DO119" i="10"/>
  <c r="DO120" i="10"/>
  <c r="DO121" i="10"/>
  <c r="DO122" i="10"/>
  <c r="DO123" i="10"/>
  <c r="DO124" i="10"/>
  <c r="DO125" i="10"/>
  <c r="DO126" i="10"/>
  <c r="DO127" i="10"/>
  <c r="DO128" i="10"/>
  <c r="DO129" i="10"/>
  <c r="DO130" i="10"/>
  <c r="DO131" i="10"/>
  <c r="DO132" i="10"/>
  <c r="DO133" i="10"/>
  <c r="DO134" i="10"/>
  <c r="DO135" i="10"/>
  <c r="DO136" i="10"/>
  <c r="DO137" i="10"/>
  <c r="DO138" i="10"/>
  <c r="DO139" i="10"/>
  <c r="DO140" i="10"/>
  <c r="DO141" i="10"/>
  <c r="DO142" i="10"/>
  <c r="DO143" i="10"/>
  <c r="DO144" i="10"/>
  <c r="DO145" i="10"/>
  <c r="DO146" i="10"/>
  <c r="DO147" i="10"/>
  <c r="DO148" i="10"/>
  <c r="DO149" i="10"/>
  <c r="DO150" i="10"/>
  <c r="DO151" i="10"/>
  <c r="DO152" i="10"/>
  <c r="DO153" i="10"/>
  <c r="DO154" i="10"/>
  <c r="DO155" i="10"/>
  <c r="DO156" i="10"/>
  <c r="DO157" i="10"/>
  <c r="DO158" i="10"/>
  <c r="DO159" i="10"/>
  <c r="DO160" i="10"/>
  <c r="DO161" i="10"/>
  <c r="DO162" i="10"/>
  <c r="DO163" i="10"/>
  <c r="DO164" i="10"/>
  <c r="DO165" i="10"/>
  <c r="DO166" i="10"/>
  <c r="DO167" i="10"/>
  <c r="DO168" i="10"/>
  <c r="DO169" i="10"/>
  <c r="DO170" i="10"/>
  <c r="DO171" i="10"/>
  <c r="DO172" i="10"/>
  <c r="DO173" i="10"/>
  <c r="DO174" i="10"/>
  <c r="DO175" i="10"/>
  <c r="DO176" i="10"/>
  <c r="DO177" i="10"/>
  <c r="DO178" i="10"/>
  <c r="DO179" i="10"/>
  <c r="DO180" i="10"/>
  <c r="DO181" i="10"/>
  <c r="DO182" i="10"/>
  <c r="DO183" i="10"/>
  <c r="DO184" i="10"/>
  <c r="DO185" i="10"/>
  <c r="DO186" i="10"/>
  <c r="DO187" i="10"/>
  <c r="DO188" i="10"/>
  <c r="DO189" i="10"/>
  <c r="DO190" i="10"/>
  <c r="DO191" i="10"/>
  <c r="DO192" i="10"/>
  <c r="DO193" i="10"/>
  <c r="DO194" i="10"/>
  <c r="DO195" i="10"/>
  <c r="DO196" i="10"/>
  <c r="DO197" i="10"/>
  <c r="DO198" i="10"/>
  <c r="DO199" i="10"/>
  <c r="DO200" i="10"/>
  <c r="DO201" i="10"/>
  <c r="DO202" i="10"/>
  <c r="DO203" i="10"/>
  <c r="DO204" i="10"/>
  <c r="DO205" i="10"/>
  <c r="DO206" i="10"/>
  <c r="DO207" i="10"/>
  <c r="DO208" i="10"/>
  <c r="DO209" i="10"/>
  <c r="DO210" i="10"/>
  <c r="DO211" i="10"/>
  <c r="DO212" i="10"/>
  <c r="DO213" i="10"/>
  <c r="DO214" i="10"/>
  <c r="DO215" i="10"/>
  <c r="DO216" i="10"/>
  <c r="DO217" i="10"/>
  <c r="DO218" i="10"/>
  <c r="DO219" i="10"/>
  <c r="DO220" i="10"/>
  <c r="DO221" i="10"/>
  <c r="DO222" i="10"/>
  <c r="DO223" i="10"/>
  <c r="DO224" i="10"/>
  <c r="DO225" i="10"/>
  <c r="DO226" i="10"/>
  <c r="DO227" i="10"/>
  <c r="DO228" i="10"/>
  <c r="DM2" i="10"/>
  <c r="DM3" i="10"/>
  <c r="DM4" i="10"/>
  <c r="DM5" i="10"/>
  <c r="DM6" i="10"/>
  <c r="DM7" i="10"/>
  <c r="DM8" i="10"/>
  <c r="DM9" i="10"/>
  <c r="DM10" i="10"/>
  <c r="DM11" i="10"/>
  <c r="DM12" i="10"/>
  <c r="DM13" i="10"/>
  <c r="DM14" i="10"/>
  <c r="DM15" i="10"/>
  <c r="DM16" i="10"/>
  <c r="DM17" i="10"/>
  <c r="DM18" i="10"/>
  <c r="DM19" i="10"/>
  <c r="DM20" i="10"/>
  <c r="DM21" i="10"/>
  <c r="DM22" i="10"/>
  <c r="DM23" i="10"/>
  <c r="DM24" i="10"/>
  <c r="DM25" i="10"/>
  <c r="DM26" i="10"/>
  <c r="DM27" i="10"/>
  <c r="DM28" i="10"/>
  <c r="DM29" i="10"/>
  <c r="DM30" i="10"/>
  <c r="DM31" i="10"/>
  <c r="DM32" i="10"/>
  <c r="DM33" i="10"/>
  <c r="DM34" i="10"/>
  <c r="DM35" i="10"/>
  <c r="DM36" i="10"/>
  <c r="DM37" i="10"/>
  <c r="DM38" i="10"/>
  <c r="DM39" i="10"/>
  <c r="DM40" i="10"/>
  <c r="DM41" i="10"/>
  <c r="DM42" i="10"/>
  <c r="DM43" i="10"/>
  <c r="DM44" i="10"/>
  <c r="DM45" i="10"/>
  <c r="DM46" i="10"/>
  <c r="DM47" i="10"/>
  <c r="DM48" i="10"/>
  <c r="DM49" i="10"/>
  <c r="DM50" i="10"/>
  <c r="DM51" i="10"/>
  <c r="DM52" i="10"/>
  <c r="DM53" i="10"/>
  <c r="DM54" i="10"/>
  <c r="DM55" i="10"/>
  <c r="DM56" i="10"/>
  <c r="DM57" i="10"/>
  <c r="DM58" i="10"/>
  <c r="DM59" i="10"/>
  <c r="DM60" i="10"/>
  <c r="DM61" i="10"/>
  <c r="DM62" i="10"/>
  <c r="DM63" i="10"/>
  <c r="DM64" i="10"/>
  <c r="DM65" i="10"/>
  <c r="DM66" i="10"/>
  <c r="DM67" i="10"/>
  <c r="DM68" i="10"/>
  <c r="DM69" i="10"/>
  <c r="DM70" i="10"/>
  <c r="DM71" i="10"/>
  <c r="DM72" i="10"/>
  <c r="DM73" i="10"/>
  <c r="DM74" i="10"/>
  <c r="DM75" i="10"/>
  <c r="DM76" i="10"/>
  <c r="DM77" i="10"/>
  <c r="DM78" i="10"/>
  <c r="DM79" i="10"/>
  <c r="DM80" i="10"/>
  <c r="DM81" i="10"/>
  <c r="DM82" i="10"/>
  <c r="DM83" i="10"/>
  <c r="DM84" i="10"/>
  <c r="DM85" i="10"/>
  <c r="DM86" i="10"/>
  <c r="DM87" i="10"/>
  <c r="DM88" i="10"/>
  <c r="DM89" i="10"/>
  <c r="DM90" i="10"/>
  <c r="DM91" i="10"/>
  <c r="DM92" i="10"/>
  <c r="DM93" i="10"/>
  <c r="DM94" i="10"/>
  <c r="DM95" i="10"/>
  <c r="DM96" i="10"/>
  <c r="DM97" i="10"/>
  <c r="DM98" i="10"/>
  <c r="DM99" i="10"/>
  <c r="DM100" i="10"/>
  <c r="DM101" i="10"/>
  <c r="DM102" i="10"/>
  <c r="DM103" i="10"/>
  <c r="DM104" i="10"/>
  <c r="DM105" i="10"/>
  <c r="DM106" i="10"/>
  <c r="DM107" i="10"/>
  <c r="DM108" i="10"/>
  <c r="DM109" i="10"/>
  <c r="DM110" i="10"/>
  <c r="DM111" i="10"/>
  <c r="DM112" i="10"/>
  <c r="DM113" i="10"/>
  <c r="DM114" i="10"/>
  <c r="DM115" i="10"/>
  <c r="DM116" i="10"/>
  <c r="DM117" i="10"/>
  <c r="DM118" i="10"/>
  <c r="DM119" i="10"/>
  <c r="DM120" i="10"/>
  <c r="DM121" i="10"/>
  <c r="DM122" i="10"/>
  <c r="DM123" i="10"/>
  <c r="DM124" i="10"/>
  <c r="DM125" i="10"/>
  <c r="DM126" i="10"/>
  <c r="DM127" i="10"/>
  <c r="DM128" i="10"/>
  <c r="DM129" i="10"/>
  <c r="DM130" i="10"/>
  <c r="DM131" i="10"/>
  <c r="DM132" i="10"/>
  <c r="DM133" i="10"/>
  <c r="DM134" i="10"/>
  <c r="DM135" i="10"/>
  <c r="DM136" i="10"/>
  <c r="DM137" i="10"/>
  <c r="DM138" i="10"/>
  <c r="DM139" i="10"/>
  <c r="DM140" i="10"/>
  <c r="DM141" i="10"/>
  <c r="DM142" i="10"/>
  <c r="DM143" i="10"/>
  <c r="DM144" i="10"/>
  <c r="DM145" i="10"/>
  <c r="DM146" i="10"/>
  <c r="DM147" i="10"/>
  <c r="DM148" i="10"/>
  <c r="DM149" i="10"/>
  <c r="DM150" i="10"/>
  <c r="DM151" i="10"/>
  <c r="DM152" i="10"/>
  <c r="DM153" i="10"/>
  <c r="DM154" i="10"/>
  <c r="DM155" i="10"/>
  <c r="DM156" i="10"/>
  <c r="DM157" i="10"/>
  <c r="DM158" i="10"/>
  <c r="DM159" i="10"/>
  <c r="DM160" i="10"/>
  <c r="DM161" i="10"/>
  <c r="DM162" i="10"/>
  <c r="DM163" i="10"/>
  <c r="DM164" i="10"/>
  <c r="DM165" i="10"/>
  <c r="DM166" i="10"/>
  <c r="DM167" i="10"/>
  <c r="DM168" i="10"/>
  <c r="DM169" i="10"/>
  <c r="DM170" i="10"/>
  <c r="DM171" i="10"/>
  <c r="DM172" i="10"/>
  <c r="DM173" i="10"/>
  <c r="DM174" i="10"/>
  <c r="DM175" i="10"/>
  <c r="DM176" i="10"/>
  <c r="DM177" i="10"/>
  <c r="DM178" i="10"/>
  <c r="DM179" i="10"/>
  <c r="DM180" i="10"/>
  <c r="DM181" i="10"/>
  <c r="DM182" i="10"/>
  <c r="DM183" i="10"/>
  <c r="DM184" i="10"/>
  <c r="DM185" i="10"/>
  <c r="DM186" i="10"/>
  <c r="DM187" i="10"/>
  <c r="DM188" i="10"/>
  <c r="DM189" i="10"/>
  <c r="DM190" i="10"/>
  <c r="DM191" i="10"/>
  <c r="DM192" i="10"/>
  <c r="DM193" i="10"/>
  <c r="DM194" i="10"/>
  <c r="DM195" i="10"/>
  <c r="DM196" i="10"/>
  <c r="DM197" i="10"/>
  <c r="DM198" i="10"/>
  <c r="DM199" i="10"/>
  <c r="DM200" i="10"/>
  <c r="DM201" i="10"/>
  <c r="DM202" i="10"/>
  <c r="DM203" i="10"/>
  <c r="DM204" i="10"/>
  <c r="DM205" i="10"/>
  <c r="DM206" i="10"/>
  <c r="DM207" i="10"/>
  <c r="DM208" i="10"/>
  <c r="DM209" i="10"/>
  <c r="DM210" i="10"/>
  <c r="DM211" i="10"/>
  <c r="DM212" i="10"/>
  <c r="DM213" i="10"/>
  <c r="DM214" i="10"/>
  <c r="DM215" i="10"/>
  <c r="DM216" i="10"/>
  <c r="DM217" i="10"/>
  <c r="DM218" i="10"/>
  <c r="DM219" i="10"/>
  <c r="DM220" i="10"/>
  <c r="DM221" i="10"/>
  <c r="DM222" i="10"/>
  <c r="DM223" i="10"/>
  <c r="DM224" i="10"/>
  <c r="DM225" i="10"/>
  <c r="DM226" i="10"/>
  <c r="DM227" i="10"/>
  <c r="DM228" i="10"/>
  <c r="DK2" i="10" a="1"/>
  <c r="DK2" i="10"/>
  <c r="DK3" i="10" a="1"/>
  <c r="DK3" i="10" s="1"/>
  <c r="DK4" i="10" a="1"/>
  <c r="DK4" i="10" s="1"/>
  <c r="DK5" i="10" a="1"/>
  <c r="DK5" i="10" s="1"/>
  <c r="DK6" i="10" a="1"/>
  <c r="DK6" i="10"/>
  <c r="DK7" i="10" a="1"/>
  <c r="DK7" i="10"/>
  <c r="DK8" i="10" a="1"/>
  <c r="DK8" i="10"/>
  <c r="DK9" i="10" a="1"/>
  <c r="DK9" i="10"/>
  <c r="DK10" i="10" a="1"/>
  <c r="DK10" i="10"/>
  <c r="DK11" i="10" a="1"/>
  <c r="DK11" i="10"/>
  <c r="DK12" i="10" a="1"/>
  <c r="DK12" i="10" s="1"/>
  <c r="DK13" i="10" a="1"/>
  <c r="DK13" i="10" s="1"/>
  <c r="DK14" i="10" a="1"/>
  <c r="DK14" i="10" s="1"/>
  <c r="DK15" i="10" a="1"/>
  <c r="DK15" i="10" s="1"/>
  <c r="DK16" i="10" a="1"/>
  <c r="DK16" i="10"/>
  <c r="DK17" i="10" a="1"/>
  <c r="DK17" i="10"/>
  <c r="DK18" i="10" a="1"/>
  <c r="DK18" i="10"/>
  <c r="DK19" i="10" a="1"/>
  <c r="DK19" i="10"/>
  <c r="DK20" i="10" a="1"/>
  <c r="DK20" i="10"/>
  <c r="DK21" i="10" a="1"/>
  <c r="DK21" i="10"/>
  <c r="DK22" i="10" a="1"/>
  <c r="DK22" i="10" s="1"/>
  <c r="DK23" i="10" a="1"/>
  <c r="DK23" i="10" s="1"/>
  <c r="DK24" i="10" a="1"/>
  <c r="DK24" i="10" s="1"/>
  <c r="DK25" i="10" a="1"/>
  <c r="DK25" i="10" s="1"/>
  <c r="DK26" i="10" a="1"/>
  <c r="DK26" i="10"/>
  <c r="DK27" i="10" a="1"/>
  <c r="DK27" i="10"/>
  <c r="DK28" i="10" a="1"/>
  <c r="DK28" i="10"/>
  <c r="DK29" i="10" a="1"/>
  <c r="DK29" i="10"/>
  <c r="DK30" i="10" a="1"/>
  <c r="DK30" i="10"/>
  <c r="DK31" i="10" a="1"/>
  <c r="DK31" i="10"/>
  <c r="DK32" i="10" a="1"/>
  <c r="DK32" i="10" s="1"/>
  <c r="DK33" i="10" a="1"/>
  <c r="DK33" i="10" s="1"/>
  <c r="DK34" i="10" a="1"/>
  <c r="DK34" i="10" s="1"/>
  <c r="DK35" i="10" a="1"/>
  <c r="DK35" i="10" s="1"/>
  <c r="DK36" i="10" a="1"/>
  <c r="DK36" i="10"/>
  <c r="DK37" i="10" a="1"/>
  <c r="DK37" i="10"/>
  <c r="DK38" i="10" a="1"/>
  <c r="DK38" i="10"/>
  <c r="DK39" i="10" a="1"/>
  <c r="DK39" i="10"/>
  <c r="DK40" i="10" a="1"/>
  <c r="DK40" i="10"/>
  <c r="DK41" i="10" a="1"/>
  <c r="DK41" i="10"/>
  <c r="DK42" i="10" a="1"/>
  <c r="DK42" i="10" s="1"/>
  <c r="DK43" i="10" a="1"/>
  <c r="DK43" i="10" s="1"/>
  <c r="DK44" i="10" a="1"/>
  <c r="DK44" i="10" s="1"/>
  <c r="DK45" i="10" a="1"/>
  <c r="DK45" i="10" s="1"/>
  <c r="DK46" i="10" a="1"/>
  <c r="DK46" i="10"/>
  <c r="DK47" i="10" a="1"/>
  <c r="DK47" i="10"/>
  <c r="DK48" i="10" a="1"/>
  <c r="DK48" i="10"/>
  <c r="DK49" i="10" a="1"/>
  <c r="DK49" i="10"/>
  <c r="DK50" i="10" a="1"/>
  <c r="DK50" i="10"/>
  <c r="DK51" i="10" a="1"/>
  <c r="DK51" i="10"/>
  <c r="DK52" i="10" a="1"/>
  <c r="DK52" i="10" s="1"/>
  <c r="DK53" i="10" a="1"/>
  <c r="DK53" i="10" s="1"/>
  <c r="DK54" i="10" a="1"/>
  <c r="DK54" i="10" s="1"/>
  <c r="DK55" i="10" a="1"/>
  <c r="DK55" i="10" s="1"/>
  <c r="DK56" i="10" a="1"/>
  <c r="DK56" i="10"/>
  <c r="DK57" i="10" a="1"/>
  <c r="DK57" i="10"/>
  <c r="DK58" i="10" a="1"/>
  <c r="DK58" i="10"/>
  <c r="DK59" i="10" a="1"/>
  <c r="DK59" i="10"/>
  <c r="DK60" i="10" a="1"/>
  <c r="DK60" i="10"/>
  <c r="DK61" i="10" a="1"/>
  <c r="DK61" i="10"/>
  <c r="DK62" i="10" a="1"/>
  <c r="DK62" i="10" s="1"/>
  <c r="DK63" i="10" a="1"/>
  <c r="DK63" i="10" s="1"/>
  <c r="DK64" i="10" a="1"/>
  <c r="DK64" i="10" s="1"/>
  <c r="DK65" i="10" a="1"/>
  <c r="DK65" i="10" s="1"/>
  <c r="DK66" i="10" a="1"/>
  <c r="DK66" i="10"/>
  <c r="DK67" i="10" a="1"/>
  <c r="DK67" i="10"/>
  <c r="DK68" i="10" a="1"/>
  <c r="DK68" i="10"/>
  <c r="DK69" i="10" a="1"/>
  <c r="DK69" i="10"/>
  <c r="DK70" i="10" a="1"/>
  <c r="DK70" i="10"/>
  <c r="DK71" i="10" a="1"/>
  <c r="DK71" i="10"/>
  <c r="DK72" i="10" a="1"/>
  <c r="DK72" i="10" s="1"/>
  <c r="DK73" i="10" a="1"/>
  <c r="DK73" i="10" s="1"/>
  <c r="DK74" i="10" a="1"/>
  <c r="DK74" i="10" s="1"/>
  <c r="DK75" i="10" a="1"/>
  <c r="DK75" i="10" s="1"/>
  <c r="DK76" i="10" a="1"/>
  <c r="DK76" i="10"/>
  <c r="DK77" i="10" a="1"/>
  <c r="DK77" i="10"/>
  <c r="DK78" i="10" a="1"/>
  <c r="DK78" i="10"/>
  <c r="DK79" i="10" a="1"/>
  <c r="DK79" i="10"/>
  <c r="DK80" i="10" a="1"/>
  <c r="DK80" i="10"/>
  <c r="DK81" i="10" a="1"/>
  <c r="DK81" i="10"/>
  <c r="DK82" i="10" a="1"/>
  <c r="DK82" i="10" s="1"/>
  <c r="DK83" i="10" a="1"/>
  <c r="DK83" i="10" s="1"/>
  <c r="DK84" i="10" a="1"/>
  <c r="DK84" i="10" s="1"/>
  <c r="DK85" i="10" a="1"/>
  <c r="DK85" i="10" s="1"/>
  <c r="DK86" i="10" a="1"/>
  <c r="DK86" i="10"/>
  <c r="DK87" i="10" a="1"/>
  <c r="DK87" i="10"/>
  <c r="DK88" i="10" a="1"/>
  <c r="DK88" i="10"/>
  <c r="DK89" i="10" a="1"/>
  <c r="DK89" i="10"/>
  <c r="DK90" i="10" a="1"/>
  <c r="DK90" i="10"/>
  <c r="DK91" i="10" a="1"/>
  <c r="DK91" i="10"/>
  <c r="DK92" i="10" a="1"/>
  <c r="DK92" i="10" s="1"/>
  <c r="DK93" i="10" a="1"/>
  <c r="DK93" i="10" s="1"/>
  <c r="DK94" i="10" a="1"/>
  <c r="DK94" i="10" s="1"/>
  <c r="DK95" i="10" a="1"/>
  <c r="DK95" i="10" s="1"/>
  <c r="DK96" i="10" a="1"/>
  <c r="DK96" i="10"/>
  <c r="DK97" i="10" a="1"/>
  <c r="DK97" i="10"/>
  <c r="DK98" i="10" a="1"/>
  <c r="DK98" i="10"/>
  <c r="DK99" i="10" a="1"/>
  <c r="DK99" i="10"/>
  <c r="DK100" i="10" a="1"/>
  <c r="DK100" i="10"/>
  <c r="DK101" i="10" a="1"/>
  <c r="DK101" i="10"/>
  <c r="DK102" i="10" a="1"/>
  <c r="DK102" i="10" s="1"/>
  <c r="DK103" i="10" a="1"/>
  <c r="DK103" i="10" s="1"/>
  <c r="DK104" i="10" a="1"/>
  <c r="DK104" i="10" s="1"/>
  <c r="DK105" i="10" a="1"/>
  <c r="DK105" i="10" s="1"/>
  <c r="DK106" i="10" a="1"/>
  <c r="DK106" i="10"/>
  <c r="DK107" i="10" a="1"/>
  <c r="DK107" i="10"/>
  <c r="DK108" i="10" a="1"/>
  <c r="DK108" i="10"/>
  <c r="DK109" i="10" a="1"/>
  <c r="DK109" i="10"/>
  <c r="DK110" i="10" a="1"/>
  <c r="DK110" i="10"/>
  <c r="DK111" i="10" a="1"/>
  <c r="DK111" i="10"/>
  <c r="DK112" i="10" a="1"/>
  <c r="DK112" i="10" s="1"/>
  <c r="DK113" i="10" a="1"/>
  <c r="DK113" i="10" s="1"/>
  <c r="DK114" i="10" a="1"/>
  <c r="DK114" i="10" s="1"/>
  <c r="DK115" i="10" a="1"/>
  <c r="DK115" i="10" s="1"/>
  <c r="DK116" i="10" a="1"/>
  <c r="DK116" i="10"/>
  <c r="DK117" i="10" a="1"/>
  <c r="DK117" i="10"/>
  <c r="DK118" i="10" a="1"/>
  <c r="DK118" i="10"/>
  <c r="DK119" i="10" a="1"/>
  <c r="DK119" i="10"/>
  <c r="DK120" i="10" a="1"/>
  <c r="DK120" i="10"/>
  <c r="DK121" i="10" a="1"/>
  <c r="DK121" i="10"/>
  <c r="DK122" i="10" a="1"/>
  <c r="DK122" i="10" s="1"/>
  <c r="DK123" i="10" a="1"/>
  <c r="DK123" i="10" s="1"/>
  <c r="DK124" i="10" a="1"/>
  <c r="DK124" i="10" s="1"/>
  <c r="DK125" i="10" a="1"/>
  <c r="DK125" i="10" s="1"/>
  <c r="DK126" i="10" a="1"/>
  <c r="DK126" i="10"/>
  <c r="DK127" i="10" a="1"/>
  <c r="DK127" i="10"/>
  <c r="DK128" i="10" a="1"/>
  <c r="DK128" i="10"/>
  <c r="DK129" i="10" a="1"/>
  <c r="DK129" i="10"/>
  <c r="DK130" i="10" a="1"/>
  <c r="DK130" i="10"/>
  <c r="DK131" i="10" a="1"/>
  <c r="DK131" i="10"/>
  <c r="DK132" i="10" a="1"/>
  <c r="DK132" i="10" s="1"/>
  <c r="DK133" i="10" a="1"/>
  <c r="DK133" i="10" s="1"/>
  <c r="DK134" i="10" a="1"/>
  <c r="DK134" i="10" s="1"/>
  <c r="DK135" i="10" a="1"/>
  <c r="DK135" i="10" s="1"/>
  <c r="DK136" i="10" a="1"/>
  <c r="DK136" i="10"/>
  <c r="DK137" i="10" a="1"/>
  <c r="DK137" i="10"/>
  <c r="DK138" i="10" a="1"/>
  <c r="DK138" i="10"/>
  <c r="DK139" i="10" a="1"/>
  <c r="DK139" i="10"/>
  <c r="DK140" i="10" a="1"/>
  <c r="DK140" i="10"/>
  <c r="DK141" i="10" a="1"/>
  <c r="DK141" i="10"/>
  <c r="DK142" i="10" a="1"/>
  <c r="DK142" i="10" s="1"/>
  <c r="DK143" i="10" a="1"/>
  <c r="DK143" i="10" s="1"/>
  <c r="DK144" i="10" a="1"/>
  <c r="DK144" i="10" s="1"/>
  <c r="DK145" i="10" a="1"/>
  <c r="DK145" i="10" s="1"/>
  <c r="DK146" i="10" a="1"/>
  <c r="DK146" i="10"/>
  <c r="DK147" i="10" a="1"/>
  <c r="DK147" i="10"/>
  <c r="DK148" i="10" a="1"/>
  <c r="DK148" i="10"/>
  <c r="DK149" i="10" a="1"/>
  <c r="DK149" i="10"/>
  <c r="DK150" i="10" a="1"/>
  <c r="DK150" i="10"/>
  <c r="DK151" i="10" a="1"/>
  <c r="DK151" i="10"/>
  <c r="DK152" i="10" a="1"/>
  <c r="DK152" i="10" s="1"/>
  <c r="DK153" i="10" a="1"/>
  <c r="DK153" i="10" s="1"/>
  <c r="DK154" i="10" a="1"/>
  <c r="DK154" i="10" s="1"/>
  <c r="DK155" i="10" a="1"/>
  <c r="DK155" i="10" s="1"/>
  <c r="DK156" i="10" a="1"/>
  <c r="DK156" i="10"/>
  <c r="DK157" i="10" a="1"/>
  <c r="DK157" i="10"/>
  <c r="DK158" i="10" a="1"/>
  <c r="DK158" i="10"/>
  <c r="DK159" i="10" a="1"/>
  <c r="DK159" i="10"/>
  <c r="DK160" i="10" a="1"/>
  <c r="DK160" i="10"/>
  <c r="DK161" i="10" a="1"/>
  <c r="DK161" i="10"/>
  <c r="DK162" i="10" a="1"/>
  <c r="DK162" i="10" s="1"/>
  <c r="DK163" i="10" a="1"/>
  <c r="DK163" i="10" s="1"/>
  <c r="DK164" i="10" a="1"/>
  <c r="DK164" i="10" s="1"/>
  <c r="DK165" i="10" a="1"/>
  <c r="DK165" i="10" s="1"/>
  <c r="DK166" i="10" a="1"/>
  <c r="DK166" i="10"/>
  <c r="DK167" i="10" a="1"/>
  <c r="DK167" i="10"/>
  <c r="DK168" i="10" a="1"/>
  <c r="DK168" i="10"/>
  <c r="DK169" i="10" a="1"/>
  <c r="DK169" i="10"/>
  <c r="DK170" i="10" a="1"/>
  <c r="DK170" i="10"/>
  <c r="DK171" i="10" a="1"/>
  <c r="DK171" i="10"/>
  <c r="DK172" i="10" a="1"/>
  <c r="DK172" i="10" s="1"/>
  <c r="DK173" i="10" a="1"/>
  <c r="DK173" i="10" s="1"/>
  <c r="DK174" i="10" a="1"/>
  <c r="DK174" i="10" s="1"/>
  <c r="DK175" i="10" a="1"/>
  <c r="DK175" i="10" s="1"/>
  <c r="DK176" i="10" a="1"/>
  <c r="DK176" i="10"/>
  <c r="DK177" i="10" a="1"/>
  <c r="DK177" i="10"/>
  <c r="DK178" i="10" a="1"/>
  <c r="DK178" i="10"/>
  <c r="DK179" i="10" a="1"/>
  <c r="DK179" i="10"/>
  <c r="DK180" i="10" a="1"/>
  <c r="DK180" i="10"/>
  <c r="DK181" i="10" a="1"/>
  <c r="DK181" i="10"/>
  <c r="DK182" i="10" a="1"/>
  <c r="DK182" i="10" s="1"/>
  <c r="DK183" i="10" a="1"/>
  <c r="DK183" i="10" s="1"/>
  <c r="DK184" i="10" a="1"/>
  <c r="DK184" i="10" s="1"/>
  <c r="DK185" i="10" a="1"/>
  <c r="DK185" i="10" s="1"/>
  <c r="DK186" i="10" a="1"/>
  <c r="DK186" i="10"/>
  <c r="DK187" i="10" a="1"/>
  <c r="DK187" i="10"/>
  <c r="DK188" i="10" a="1"/>
  <c r="DK188" i="10"/>
  <c r="DK189" i="10" a="1"/>
  <c r="DK189" i="10"/>
  <c r="DK190" i="10" a="1"/>
  <c r="DK190" i="10"/>
  <c r="DK191" i="10" a="1"/>
  <c r="DK191" i="10"/>
  <c r="DK192" i="10" a="1"/>
  <c r="DK192" i="10" s="1"/>
  <c r="DK193" i="10" a="1"/>
  <c r="DK193" i="10" s="1"/>
  <c r="DK194" i="10" a="1"/>
  <c r="DK194" i="10" s="1"/>
  <c r="DK195" i="10" a="1"/>
  <c r="DK195" i="10" s="1"/>
  <c r="DK196" i="10" a="1"/>
  <c r="DK196" i="10"/>
  <c r="DK197" i="10" a="1"/>
  <c r="DK197" i="10"/>
  <c r="DK198" i="10" a="1"/>
  <c r="DK198" i="10"/>
  <c r="DK199" i="10" a="1"/>
  <c r="DK199" i="10"/>
  <c r="DK200" i="10" a="1"/>
  <c r="DK200" i="10"/>
  <c r="DK201" i="10" a="1"/>
  <c r="DK201" i="10"/>
  <c r="DK202" i="10" a="1"/>
  <c r="DK202" i="10" s="1"/>
  <c r="DK203" i="10" a="1"/>
  <c r="DK203" i="10" s="1"/>
  <c r="DK204" i="10" a="1"/>
  <c r="DK204" i="10" s="1"/>
  <c r="DK205" i="10" a="1"/>
  <c r="DK205" i="10" s="1"/>
  <c r="DK206" i="10" a="1"/>
  <c r="DK206" i="10"/>
  <c r="DK207" i="10" a="1"/>
  <c r="DK207" i="10"/>
  <c r="DK208" i="10" a="1"/>
  <c r="DK208" i="10"/>
  <c r="DK209" i="10" a="1"/>
  <c r="DK209" i="10"/>
  <c r="DK210" i="10" a="1"/>
  <c r="DK210" i="10"/>
  <c r="DK211" i="10" a="1"/>
  <c r="DK211" i="10"/>
  <c r="DK212" i="10" a="1"/>
  <c r="DK212" i="10" s="1"/>
  <c r="DK213" i="10" a="1"/>
  <c r="DK213" i="10" s="1"/>
  <c r="DK214" i="10" a="1"/>
  <c r="DK214" i="10" s="1"/>
  <c r="DK215" i="10" a="1"/>
  <c r="DK215" i="10" s="1"/>
  <c r="DK216" i="10" a="1"/>
  <c r="DK216" i="10"/>
  <c r="DK217" i="10" a="1"/>
  <c r="DK217" i="10"/>
  <c r="DK218" i="10" a="1"/>
  <c r="DK218" i="10"/>
  <c r="DK219" i="10" a="1"/>
  <c r="DK219" i="10"/>
  <c r="DK220" i="10" a="1"/>
  <c r="DK220" i="10"/>
  <c r="DK221" i="10" a="1"/>
  <c r="DK221" i="10"/>
  <c r="DK222" i="10" a="1"/>
  <c r="DK222" i="10" s="1"/>
  <c r="DK223" i="10" a="1"/>
  <c r="DK223" i="10" s="1"/>
  <c r="DK224" i="10" a="1"/>
  <c r="DK224" i="10" s="1"/>
  <c r="DK225" i="10" a="1"/>
  <c r="DK225" i="10" s="1"/>
  <c r="DK226" i="10" a="1"/>
  <c r="DK226" i="10"/>
  <c r="DK227" i="10" a="1"/>
  <c r="DK227" i="10"/>
  <c r="DK228" i="10" a="1"/>
  <c r="DK228" i="10"/>
  <c r="DJ2" i="10" a="1"/>
  <c r="DJ2" i="10"/>
  <c r="DJ3" i="10" a="1"/>
  <c r="DJ3" i="10" s="1"/>
  <c r="DJ4" i="10" a="1"/>
  <c r="DJ4" i="10" s="1"/>
  <c r="DJ5" i="10" a="1"/>
  <c r="DJ5" i="10" s="1"/>
  <c r="DJ6" i="10" a="1"/>
  <c r="DJ6" i="10"/>
  <c r="DJ7" i="10" a="1"/>
  <c r="DJ7" i="10"/>
  <c r="DJ8" i="10" a="1"/>
  <c r="DJ8" i="10"/>
  <c r="DJ9" i="10" a="1"/>
  <c r="DJ9" i="10"/>
  <c r="DJ10" i="10" a="1"/>
  <c r="DJ10" i="10"/>
  <c r="DJ11" i="10" a="1"/>
  <c r="DJ11" i="10"/>
  <c r="DJ12" i="10" a="1"/>
  <c r="DJ12" i="10" s="1"/>
  <c r="DJ13" i="10" a="1"/>
  <c r="DJ13" i="10" s="1"/>
  <c r="DJ14" i="10" a="1"/>
  <c r="DJ14" i="10" s="1"/>
  <c r="DJ15" i="10" a="1"/>
  <c r="DJ15" i="10" s="1"/>
  <c r="DJ16" i="10" a="1"/>
  <c r="DJ16" i="10"/>
  <c r="DJ17" i="10" a="1"/>
  <c r="DJ17" i="10"/>
  <c r="DJ18" i="10" a="1"/>
  <c r="DJ18" i="10"/>
  <c r="DJ19" i="10" a="1"/>
  <c r="DJ19" i="10"/>
  <c r="DJ20" i="10" a="1"/>
  <c r="DJ20" i="10"/>
  <c r="DJ21" i="10" a="1"/>
  <c r="DJ21" i="10"/>
  <c r="DJ22" i="10" a="1"/>
  <c r="DJ22" i="10" s="1"/>
  <c r="DJ23" i="10" a="1"/>
  <c r="DJ23" i="10" s="1"/>
  <c r="DJ24" i="10" a="1"/>
  <c r="DJ24" i="10" s="1"/>
  <c r="DJ25" i="10" a="1"/>
  <c r="DJ25" i="10" s="1"/>
  <c r="DJ26" i="10" a="1"/>
  <c r="DJ26" i="10"/>
  <c r="DJ27" i="10" a="1"/>
  <c r="DJ27" i="10"/>
  <c r="DJ28" i="10" a="1"/>
  <c r="DJ28" i="10"/>
  <c r="DJ29" i="10" a="1"/>
  <c r="DJ29" i="10"/>
  <c r="DJ30" i="10" a="1"/>
  <c r="DJ30" i="10"/>
  <c r="DJ31" i="10" a="1"/>
  <c r="DJ31" i="10"/>
  <c r="DJ32" i="10" a="1"/>
  <c r="DJ32" i="10" s="1"/>
  <c r="DJ33" i="10" a="1"/>
  <c r="DJ33" i="10" s="1"/>
  <c r="DJ34" i="10" a="1"/>
  <c r="DJ34" i="10" s="1"/>
  <c r="DJ35" i="10" a="1"/>
  <c r="DJ35" i="10" s="1"/>
  <c r="DJ36" i="10" a="1"/>
  <c r="DJ36" i="10"/>
  <c r="DJ37" i="10" a="1"/>
  <c r="DJ37" i="10"/>
  <c r="DJ38" i="10" a="1"/>
  <c r="DJ38" i="10"/>
  <c r="DJ39" i="10" a="1"/>
  <c r="DJ39" i="10"/>
  <c r="DJ40" i="10" a="1"/>
  <c r="DJ40" i="10"/>
  <c r="DJ41" i="10" a="1"/>
  <c r="DJ41" i="10"/>
  <c r="DJ42" i="10" a="1"/>
  <c r="DJ42" i="10" s="1"/>
  <c r="DJ43" i="10" a="1"/>
  <c r="DJ43" i="10" s="1"/>
  <c r="DJ44" i="10" a="1"/>
  <c r="DJ44" i="10" s="1"/>
  <c r="DJ45" i="10" a="1"/>
  <c r="DJ45" i="10" s="1"/>
  <c r="DJ46" i="10" a="1"/>
  <c r="DJ46" i="10"/>
  <c r="DJ47" i="10" a="1"/>
  <c r="DJ47" i="10"/>
  <c r="DJ48" i="10" a="1"/>
  <c r="DJ48" i="10"/>
  <c r="DJ49" i="10" a="1"/>
  <c r="DJ49" i="10"/>
  <c r="DJ50" i="10" a="1"/>
  <c r="DJ50" i="10"/>
  <c r="DJ51" i="10" a="1"/>
  <c r="DJ51" i="10"/>
  <c r="DJ52" i="10" a="1"/>
  <c r="DJ52" i="10" s="1"/>
  <c r="DJ53" i="10" a="1"/>
  <c r="DJ53" i="10" s="1"/>
  <c r="DJ54" i="10" a="1"/>
  <c r="DJ54" i="10" s="1"/>
  <c r="DJ55" i="10" a="1"/>
  <c r="DJ55" i="10" s="1"/>
  <c r="DJ56" i="10" a="1"/>
  <c r="DJ56" i="10"/>
  <c r="DJ57" i="10" a="1"/>
  <c r="DJ57" i="10"/>
  <c r="DJ58" i="10" a="1"/>
  <c r="DJ58" i="10"/>
  <c r="DJ59" i="10" a="1"/>
  <c r="DJ59" i="10"/>
  <c r="DJ60" i="10" a="1"/>
  <c r="DJ60" i="10"/>
  <c r="DJ61" i="10" a="1"/>
  <c r="DJ61" i="10"/>
  <c r="DJ62" i="10" a="1"/>
  <c r="DJ62" i="10" s="1"/>
  <c r="DJ63" i="10" a="1"/>
  <c r="DJ63" i="10" s="1"/>
  <c r="DJ64" i="10" a="1"/>
  <c r="DJ64" i="10" s="1"/>
  <c r="DJ65" i="10" a="1"/>
  <c r="DJ65" i="10" s="1"/>
  <c r="DJ66" i="10" a="1"/>
  <c r="DJ66" i="10"/>
  <c r="DJ67" i="10" a="1"/>
  <c r="DJ67" i="10"/>
  <c r="DJ68" i="10" a="1"/>
  <c r="DJ68" i="10"/>
  <c r="DJ69" i="10" a="1"/>
  <c r="DJ69" i="10"/>
  <c r="DJ70" i="10" a="1"/>
  <c r="DJ70" i="10"/>
  <c r="DJ71" i="10" a="1"/>
  <c r="DJ71" i="10"/>
  <c r="DJ72" i="10" a="1"/>
  <c r="DJ72" i="10" s="1"/>
  <c r="DJ73" i="10" a="1"/>
  <c r="DJ73" i="10" s="1"/>
  <c r="DJ74" i="10" a="1"/>
  <c r="DJ74" i="10" s="1"/>
  <c r="DJ75" i="10" a="1"/>
  <c r="DJ75" i="10" s="1"/>
  <c r="DJ76" i="10" a="1"/>
  <c r="DJ76" i="10"/>
  <c r="DJ77" i="10" a="1"/>
  <c r="DJ77" i="10"/>
  <c r="DJ78" i="10" a="1"/>
  <c r="DJ78" i="10"/>
  <c r="DJ79" i="10" a="1"/>
  <c r="DJ79" i="10"/>
  <c r="DJ80" i="10" a="1"/>
  <c r="DJ80" i="10"/>
  <c r="DJ81" i="10" a="1"/>
  <c r="DJ81" i="10"/>
  <c r="DJ82" i="10" a="1"/>
  <c r="DJ82" i="10" s="1"/>
  <c r="DJ83" i="10" a="1"/>
  <c r="DJ83" i="10" s="1"/>
  <c r="DJ84" i="10" a="1"/>
  <c r="DJ84" i="10" s="1"/>
  <c r="DJ85" i="10" a="1"/>
  <c r="DJ85" i="10" s="1"/>
  <c r="DJ86" i="10" a="1"/>
  <c r="DJ86" i="10"/>
  <c r="DJ87" i="10" a="1"/>
  <c r="DJ87" i="10"/>
  <c r="DJ88" i="10" a="1"/>
  <c r="DJ88" i="10"/>
  <c r="DJ89" i="10" a="1"/>
  <c r="DJ89" i="10"/>
  <c r="DJ90" i="10" a="1"/>
  <c r="DJ90" i="10"/>
  <c r="DJ91" i="10" a="1"/>
  <c r="DJ91" i="10"/>
  <c r="DJ92" i="10" a="1"/>
  <c r="DJ92" i="10" s="1"/>
  <c r="DJ93" i="10" a="1"/>
  <c r="DJ93" i="10" s="1"/>
  <c r="DJ94" i="10" a="1"/>
  <c r="DJ94" i="10" s="1"/>
  <c r="DJ95" i="10" a="1"/>
  <c r="DJ95" i="10" s="1"/>
  <c r="DJ96" i="10" a="1"/>
  <c r="DJ96" i="10"/>
  <c r="DJ97" i="10" a="1"/>
  <c r="DJ97" i="10"/>
  <c r="DJ98" i="10" a="1"/>
  <c r="DJ98" i="10"/>
  <c r="DJ99" i="10" a="1"/>
  <c r="DJ99" i="10"/>
  <c r="DJ100" i="10" a="1"/>
  <c r="DJ100" i="10"/>
  <c r="DJ101" i="10" a="1"/>
  <c r="DJ101" i="10"/>
  <c r="DJ102" i="10" a="1"/>
  <c r="DJ102" i="10" s="1"/>
  <c r="DJ103" i="10" a="1"/>
  <c r="DJ103" i="10" s="1"/>
  <c r="DJ104" i="10" a="1"/>
  <c r="DJ104" i="10" s="1"/>
  <c r="DJ105" i="10" a="1"/>
  <c r="DJ105" i="10" s="1"/>
  <c r="DJ106" i="10" a="1"/>
  <c r="DJ106" i="10"/>
  <c r="DJ107" i="10" a="1"/>
  <c r="DJ107" i="10"/>
  <c r="DJ108" i="10" a="1"/>
  <c r="DJ108" i="10"/>
  <c r="DJ109" i="10" a="1"/>
  <c r="DJ109" i="10"/>
  <c r="DJ110" i="10" a="1"/>
  <c r="DJ110" i="10"/>
  <c r="DJ111" i="10" a="1"/>
  <c r="DJ111" i="10"/>
  <c r="DJ112" i="10" a="1"/>
  <c r="DJ112" i="10" s="1"/>
  <c r="DJ113" i="10" a="1"/>
  <c r="DJ113" i="10" s="1"/>
  <c r="DJ114" i="10" a="1"/>
  <c r="DJ114" i="10" s="1"/>
  <c r="DJ115" i="10" a="1"/>
  <c r="DJ115" i="10" s="1"/>
  <c r="DJ116" i="10" a="1"/>
  <c r="DJ116" i="10"/>
  <c r="DJ117" i="10" a="1"/>
  <c r="DJ117" i="10"/>
  <c r="DJ118" i="10" a="1"/>
  <c r="DJ118" i="10"/>
  <c r="DJ119" i="10" a="1"/>
  <c r="DJ119" i="10"/>
  <c r="DJ120" i="10" a="1"/>
  <c r="DJ120" i="10"/>
  <c r="DJ121" i="10" a="1"/>
  <c r="DJ121" i="10"/>
  <c r="DJ122" i="10" a="1"/>
  <c r="DJ122" i="10" s="1"/>
  <c r="DJ123" i="10" a="1"/>
  <c r="DJ123" i="10" s="1"/>
  <c r="DJ124" i="10" a="1"/>
  <c r="DJ124" i="10" s="1"/>
  <c r="DJ125" i="10" a="1"/>
  <c r="DJ125" i="10" s="1"/>
  <c r="DJ126" i="10" a="1"/>
  <c r="DJ126" i="10"/>
  <c r="DJ127" i="10" a="1"/>
  <c r="DJ127" i="10"/>
  <c r="DJ128" i="10" a="1"/>
  <c r="DJ128" i="10"/>
  <c r="DJ129" i="10" a="1"/>
  <c r="DJ129" i="10"/>
  <c r="DJ130" i="10" a="1"/>
  <c r="DJ130" i="10"/>
  <c r="DJ131" i="10" a="1"/>
  <c r="DJ131" i="10"/>
  <c r="DJ132" i="10" a="1"/>
  <c r="DJ132" i="10" s="1"/>
  <c r="DJ133" i="10" a="1"/>
  <c r="DJ133" i="10" s="1"/>
  <c r="DJ134" i="10" a="1"/>
  <c r="DJ134" i="10" s="1"/>
  <c r="DJ135" i="10" a="1"/>
  <c r="DJ135" i="10" s="1"/>
  <c r="DJ136" i="10" a="1"/>
  <c r="DJ136" i="10"/>
  <c r="DJ137" i="10" a="1"/>
  <c r="DJ137" i="10"/>
  <c r="DJ138" i="10" a="1"/>
  <c r="DJ138" i="10"/>
  <c r="DJ139" i="10" a="1"/>
  <c r="DJ139" i="10"/>
  <c r="DJ140" i="10" a="1"/>
  <c r="DJ140" i="10"/>
  <c r="DJ141" i="10" a="1"/>
  <c r="DJ141" i="10"/>
  <c r="DJ142" i="10" a="1"/>
  <c r="DJ142" i="10" s="1"/>
  <c r="DJ143" i="10" a="1"/>
  <c r="DJ143" i="10" s="1"/>
  <c r="DJ144" i="10" a="1"/>
  <c r="DJ144" i="10" s="1"/>
  <c r="DJ145" i="10" a="1"/>
  <c r="DJ145" i="10" s="1"/>
  <c r="DJ146" i="10" a="1"/>
  <c r="DJ146" i="10"/>
  <c r="DJ147" i="10" a="1"/>
  <c r="DJ147" i="10"/>
  <c r="DJ148" i="10" a="1"/>
  <c r="DJ148" i="10"/>
  <c r="DJ149" i="10" a="1"/>
  <c r="DJ149" i="10"/>
  <c r="DJ150" i="10" a="1"/>
  <c r="DJ150" i="10"/>
  <c r="DJ151" i="10" a="1"/>
  <c r="DJ151" i="10"/>
  <c r="DJ152" i="10" a="1"/>
  <c r="DJ152" i="10" s="1"/>
  <c r="DJ153" i="10" a="1"/>
  <c r="DJ153" i="10" s="1"/>
  <c r="DJ154" i="10" a="1"/>
  <c r="DJ154" i="10" s="1"/>
  <c r="DJ155" i="10" a="1"/>
  <c r="DJ155" i="10" s="1"/>
  <c r="DJ156" i="10" a="1"/>
  <c r="DJ156" i="10"/>
  <c r="DJ157" i="10" a="1"/>
  <c r="DJ157" i="10"/>
  <c r="DJ158" i="10" a="1"/>
  <c r="DJ158" i="10"/>
  <c r="DJ159" i="10" a="1"/>
  <c r="DJ159" i="10"/>
  <c r="DJ160" i="10" a="1"/>
  <c r="DJ160" i="10"/>
  <c r="DJ161" i="10" a="1"/>
  <c r="DJ161" i="10"/>
  <c r="DJ162" i="10" a="1"/>
  <c r="DJ162" i="10" s="1"/>
  <c r="DJ163" i="10" a="1"/>
  <c r="DJ163" i="10" s="1"/>
  <c r="DJ164" i="10" a="1"/>
  <c r="DJ164" i="10" s="1"/>
  <c r="DJ165" i="10" a="1"/>
  <c r="DJ165" i="10" s="1"/>
  <c r="DJ166" i="10" a="1"/>
  <c r="DJ166" i="10"/>
  <c r="DJ167" i="10" a="1"/>
  <c r="DJ167" i="10"/>
  <c r="DJ168" i="10" a="1"/>
  <c r="DJ168" i="10"/>
  <c r="DJ169" i="10" a="1"/>
  <c r="DJ169" i="10"/>
  <c r="DJ170" i="10" a="1"/>
  <c r="DJ170" i="10"/>
  <c r="DJ171" i="10" a="1"/>
  <c r="DJ171" i="10"/>
  <c r="DJ172" i="10" a="1"/>
  <c r="DJ172" i="10" s="1"/>
  <c r="DJ173" i="10" a="1"/>
  <c r="DJ173" i="10" s="1"/>
  <c r="DJ174" i="10" a="1"/>
  <c r="DJ174" i="10" s="1"/>
  <c r="DJ175" i="10" a="1"/>
  <c r="DJ175" i="10" s="1"/>
  <c r="DJ176" i="10" a="1"/>
  <c r="DJ176" i="10"/>
  <c r="DJ177" i="10" a="1"/>
  <c r="DJ177" i="10"/>
  <c r="DJ178" i="10" a="1"/>
  <c r="DJ178" i="10"/>
  <c r="DJ179" i="10" a="1"/>
  <c r="DJ179" i="10"/>
  <c r="DJ180" i="10" a="1"/>
  <c r="DJ180" i="10"/>
  <c r="DJ181" i="10" a="1"/>
  <c r="DJ181" i="10"/>
  <c r="DJ182" i="10" a="1"/>
  <c r="DJ182" i="10" s="1"/>
  <c r="DJ183" i="10" a="1"/>
  <c r="DJ183" i="10" s="1"/>
  <c r="DJ184" i="10" a="1"/>
  <c r="DJ184" i="10" s="1"/>
  <c r="DJ185" i="10" a="1"/>
  <c r="DJ185" i="10" s="1"/>
  <c r="DJ186" i="10" a="1"/>
  <c r="DJ186" i="10"/>
  <c r="DJ187" i="10" a="1"/>
  <c r="DJ187" i="10"/>
  <c r="DJ188" i="10" a="1"/>
  <c r="DJ188" i="10"/>
  <c r="DJ189" i="10" a="1"/>
  <c r="DJ189" i="10"/>
  <c r="DJ190" i="10" a="1"/>
  <c r="DJ190" i="10"/>
  <c r="DJ191" i="10" a="1"/>
  <c r="DJ191" i="10"/>
  <c r="DJ192" i="10" a="1"/>
  <c r="DJ192" i="10" s="1"/>
  <c r="DJ193" i="10" a="1"/>
  <c r="DJ193" i="10" s="1"/>
  <c r="DJ194" i="10" a="1"/>
  <c r="DJ194" i="10" s="1"/>
  <c r="DJ195" i="10" a="1"/>
  <c r="DJ195" i="10" s="1"/>
  <c r="DJ196" i="10" a="1"/>
  <c r="DJ196" i="10"/>
  <c r="DJ197" i="10" a="1"/>
  <c r="DJ197" i="10"/>
  <c r="DJ198" i="10" a="1"/>
  <c r="DJ198" i="10"/>
  <c r="DJ199" i="10" a="1"/>
  <c r="DJ199" i="10"/>
  <c r="DJ200" i="10" a="1"/>
  <c r="DJ200" i="10"/>
  <c r="DJ201" i="10" a="1"/>
  <c r="DJ201" i="10"/>
  <c r="DJ202" i="10" a="1"/>
  <c r="DJ202" i="10" s="1"/>
  <c r="DJ203" i="10" a="1"/>
  <c r="DJ203" i="10" s="1"/>
  <c r="DJ204" i="10" a="1"/>
  <c r="DJ204" i="10" s="1"/>
  <c r="DJ205" i="10" a="1"/>
  <c r="DJ205" i="10" s="1"/>
  <c r="DJ206" i="10" a="1"/>
  <c r="DJ206" i="10"/>
  <c r="DJ207" i="10" a="1"/>
  <c r="DJ207" i="10"/>
  <c r="DJ208" i="10" a="1"/>
  <c r="DJ208" i="10"/>
  <c r="DJ209" i="10" a="1"/>
  <c r="DJ209" i="10"/>
  <c r="DJ210" i="10" a="1"/>
  <c r="DJ210" i="10"/>
  <c r="DJ211" i="10" a="1"/>
  <c r="DJ211" i="10"/>
  <c r="DJ212" i="10" a="1"/>
  <c r="DJ212" i="10" s="1"/>
  <c r="DJ213" i="10" a="1"/>
  <c r="DJ213" i="10" s="1"/>
  <c r="DJ214" i="10" a="1"/>
  <c r="DJ214" i="10" s="1"/>
  <c r="DJ215" i="10" a="1"/>
  <c r="DJ215" i="10" s="1"/>
  <c r="DJ216" i="10" a="1"/>
  <c r="DJ216" i="10"/>
  <c r="DJ217" i="10" a="1"/>
  <c r="DJ217" i="10"/>
  <c r="DJ218" i="10" a="1"/>
  <c r="DJ218" i="10"/>
  <c r="DJ219" i="10" a="1"/>
  <c r="DJ219" i="10"/>
  <c r="DJ220" i="10" a="1"/>
  <c r="DJ220" i="10"/>
  <c r="DJ221" i="10" a="1"/>
  <c r="DJ221" i="10"/>
  <c r="DJ222" i="10" a="1"/>
  <c r="DJ222" i="10" s="1"/>
  <c r="DJ223" i="10" a="1"/>
  <c r="DJ223" i="10" s="1"/>
  <c r="DJ224" i="10" a="1"/>
  <c r="DJ224" i="10" s="1"/>
  <c r="DJ225" i="10" a="1"/>
  <c r="DJ225" i="10" s="1"/>
  <c r="DJ226" i="10" a="1"/>
  <c r="DJ226" i="10"/>
  <c r="DJ227" i="10" a="1"/>
  <c r="DJ227" i="10"/>
  <c r="DJ228" i="10" a="1"/>
  <c r="DJ228" i="10"/>
  <c r="DD3" i="10"/>
  <c r="DD4" i="10"/>
  <c r="DD5" i="10"/>
  <c r="DD6" i="10"/>
  <c r="DD7" i="10"/>
  <c r="DD8" i="10"/>
  <c r="DD9" i="10"/>
  <c r="DD10" i="10"/>
  <c r="DC10" i="10" s="1"/>
  <c r="DB10" i="10" s="1"/>
  <c r="DD11" i="10"/>
  <c r="DD12" i="10"/>
  <c r="DD13" i="10"/>
  <c r="DD14" i="10"/>
  <c r="DD15" i="10"/>
  <c r="DC15" i="10" s="1"/>
  <c r="DB15" i="10" s="1"/>
  <c r="DD16" i="10"/>
  <c r="DD17" i="10"/>
  <c r="DC17" i="10" s="1"/>
  <c r="DB17" i="10" s="1"/>
  <c r="DD18" i="10"/>
  <c r="DC18" i="10" s="1"/>
  <c r="DB18" i="10" s="1"/>
  <c r="DD19" i="10"/>
  <c r="DC19" i="10" s="1"/>
  <c r="DB19" i="10" s="1"/>
  <c r="DD20" i="10"/>
  <c r="DD32" i="10"/>
  <c r="DD44" i="10"/>
  <c r="DD45" i="10"/>
  <c r="DD57" i="10"/>
  <c r="DC57" i="10" s="1"/>
  <c r="DB57" i="10" s="1"/>
  <c r="DD58" i="10"/>
  <c r="DD70" i="10"/>
  <c r="DD81" i="10"/>
  <c r="DC81" i="10" s="1"/>
  <c r="DB81" i="10" s="1"/>
  <c r="DD82" i="10"/>
  <c r="DD83" i="10"/>
  <c r="DD95" i="10"/>
  <c r="DC95" i="10" s="1"/>
  <c r="DB95" i="10" s="1"/>
  <c r="DD96" i="10"/>
  <c r="DD97" i="10"/>
  <c r="DD109" i="10"/>
  <c r="DD110" i="10"/>
  <c r="DC110" i="10" s="1"/>
  <c r="DB110" i="10" s="1"/>
  <c r="DD111" i="10"/>
  <c r="DD112" i="10"/>
  <c r="DD113" i="10"/>
  <c r="DD114" i="10"/>
  <c r="DD115" i="10"/>
  <c r="DC115" i="10" s="1"/>
  <c r="DB115" i="10" s="1"/>
  <c r="DD116" i="10"/>
  <c r="DD117" i="10"/>
  <c r="DD129" i="10"/>
  <c r="DD141" i="10"/>
  <c r="DD153" i="10"/>
  <c r="DD165" i="10"/>
  <c r="DD166" i="10"/>
  <c r="DD167" i="10"/>
  <c r="DD168" i="10"/>
  <c r="DD169" i="10"/>
  <c r="DD170" i="10"/>
  <c r="DD171" i="10"/>
  <c r="DD172" i="10"/>
  <c r="DD173" i="10"/>
  <c r="DD174" i="10"/>
  <c r="DD175" i="10"/>
  <c r="DC175" i="10" s="1"/>
  <c r="DB175" i="10" s="1"/>
  <c r="DD176" i="10"/>
  <c r="DD177" i="10"/>
  <c r="DC177" i="10" s="1"/>
  <c r="DB177" i="10" s="1"/>
  <c r="DD178" i="10"/>
  <c r="DC178" i="10" s="1"/>
  <c r="DB178" i="10" s="1"/>
  <c r="DD179" i="10"/>
  <c r="DC179" i="10" s="1"/>
  <c r="DB179" i="10" s="1"/>
  <c r="DD180" i="10"/>
  <c r="DC180" i="10" s="1"/>
  <c r="DB180" i="10" s="1"/>
  <c r="DD181" i="10"/>
  <c r="DC181" i="10" s="1"/>
  <c r="DB181" i="10" s="1"/>
  <c r="DD226" i="10"/>
  <c r="DD227" i="10"/>
  <c r="DD228" i="10"/>
  <c r="DC3" i="10"/>
  <c r="DB3" i="10" s="1"/>
  <c r="DC4" i="10"/>
  <c r="DB4" i="10" s="1"/>
  <c r="DC5" i="10"/>
  <c r="DB5" i="10" s="1"/>
  <c r="DC6" i="10"/>
  <c r="DC7" i="10"/>
  <c r="DC8" i="10"/>
  <c r="DB8" i="10" s="1"/>
  <c r="DC9" i="10"/>
  <c r="DC11" i="10"/>
  <c r="DB11" i="10" s="1"/>
  <c r="DC12" i="10"/>
  <c r="DB12" i="10" s="1"/>
  <c r="DC13" i="10"/>
  <c r="DB13" i="10" s="1"/>
  <c r="DC14" i="10"/>
  <c r="DB14" i="10" s="1"/>
  <c r="DC16" i="10"/>
  <c r="DB16" i="10" s="1"/>
  <c r="DC21" i="10"/>
  <c r="DC22" i="10"/>
  <c r="DC23" i="10"/>
  <c r="DC24" i="10"/>
  <c r="DC25" i="10"/>
  <c r="DC26" i="10"/>
  <c r="DC27" i="10"/>
  <c r="DC28" i="10"/>
  <c r="DC29" i="10"/>
  <c r="DC30" i="10"/>
  <c r="DC31" i="10"/>
  <c r="DC33" i="10"/>
  <c r="DC34" i="10"/>
  <c r="DC35" i="10"/>
  <c r="DC36" i="10"/>
  <c r="DC37" i="10"/>
  <c r="DC38" i="10"/>
  <c r="DC39" i="10"/>
  <c r="DC40" i="10"/>
  <c r="DC41" i="10"/>
  <c r="DC42" i="10"/>
  <c r="DC43" i="10"/>
  <c r="DC44" i="10"/>
  <c r="DB44" i="10" s="1"/>
  <c r="DC46" i="10"/>
  <c r="DC47" i="10"/>
  <c r="DC48" i="10"/>
  <c r="DC49" i="10"/>
  <c r="DC50" i="10"/>
  <c r="DC51" i="10"/>
  <c r="DC52" i="10"/>
  <c r="DC53" i="10"/>
  <c r="DC54" i="10"/>
  <c r="DC55" i="10"/>
  <c r="DC56" i="10"/>
  <c r="DC59" i="10"/>
  <c r="DC60" i="10"/>
  <c r="DC61" i="10"/>
  <c r="DC62" i="10"/>
  <c r="DC63" i="10"/>
  <c r="DC64" i="10"/>
  <c r="DC65" i="10"/>
  <c r="DC66" i="10"/>
  <c r="DC67" i="10"/>
  <c r="DC68" i="10"/>
  <c r="DC69" i="10"/>
  <c r="DC71" i="10"/>
  <c r="DC72" i="10"/>
  <c r="DC73" i="10"/>
  <c r="DC74" i="10"/>
  <c r="DC75" i="10"/>
  <c r="DC76" i="10"/>
  <c r="DC77" i="10"/>
  <c r="DC78" i="10"/>
  <c r="DC79" i="10"/>
  <c r="DC80" i="10"/>
  <c r="DC82" i="10"/>
  <c r="DB82" i="10" s="1"/>
  <c r="DC84" i="10"/>
  <c r="DC85" i="10"/>
  <c r="DC86" i="10"/>
  <c r="DC87" i="10"/>
  <c r="DC88" i="10"/>
  <c r="DC89" i="10"/>
  <c r="DC90" i="10"/>
  <c r="DC91" i="10"/>
  <c r="DC92" i="10"/>
  <c r="DC93" i="10"/>
  <c r="DC94" i="10"/>
  <c r="DC96" i="10"/>
  <c r="DB96" i="10" s="1"/>
  <c r="DC98" i="10"/>
  <c r="DC99" i="10"/>
  <c r="DC100" i="10"/>
  <c r="DC101" i="10"/>
  <c r="DC102" i="10"/>
  <c r="DC103" i="10"/>
  <c r="DC104" i="10"/>
  <c r="DC105" i="10"/>
  <c r="DC106" i="10"/>
  <c r="DC107" i="10"/>
  <c r="DC108" i="10"/>
  <c r="DC109" i="10"/>
  <c r="DB109" i="10" s="1"/>
  <c r="DC111" i="10"/>
  <c r="DB111" i="10" s="1"/>
  <c r="DC112" i="10"/>
  <c r="DB112" i="10" s="1"/>
  <c r="DC113" i="10"/>
  <c r="DB113" i="10" s="1"/>
  <c r="DC114" i="10"/>
  <c r="DB114" i="10" s="1"/>
  <c r="DC116" i="10"/>
  <c r="DB116" i="10" s="1"/>
  <c r="DC118" i="10"/>
  <c r="DC119" i="10"/>
  <c r="DC120" i="10"/>
  <c r="DC121" i="10"/>
  <c r="DC122" i="10"/>
  <c r="DC123" i="10"/>
  <c r="DC124" i="10"/>
  <c r="DC125" i="10"/>
  <c r="DC126" i="10"/>
  <c r="DC127" i="10"/>
  <c r="DC128" i="10"/>
  <c r="DC130" i="10"/>
  <c r="DC131" i="10"/>
  <c r="DC132" i="10"/>
  <c r="DC133" i="10"/>
  <c r="DC134" i="10"/>
  <c r="DC135" i="10"/>
  <c r="DC136" i="10"/>
  <c r="DC137" i="10"/>
  <c r="DC138" i="10"/>
  <c r="DC139" i="10"/>
  <c r="DC140" i="10"/>
  <c r="DC142" i="10"/>
  <c r="DC143" i="10"/>
  <c r="DC144" i="10"/>
  <c r="DC145" i="10"/>
  <c r="DC146" i="10"/>
  <c r="DC147" i="10"/>
  <c r="DC148" i="10"/>
  <c r="DC149" i="10"/>
  <c r="DC150" i="10"/>
  <c r="DC151" i="10"/>
  <c r="DC152" i="10"/>
  <c r="DC154" i="10"/>
  <c r="DC155" i="10"/>
  <c r="DC156" i="10"/>
  <c r="DC157" i="10"/>
  <c r="DC158" i="10"/>
  <c r="DC159" i="10"/>
  <c r="DC160" i="10"/>
  <c r="DC161" i="10"/>
  <c r="DC162" i="10"/>
  <c r="DC163" i="10"/>
  <c r="DC164" i="10"/>
  <c r="DC165" i="10"/>
  <c r="DB165" i="10" s="1"/>
  <c r="DC166" i="10"/>
  <c r="DB166" i="10" s="1"/>
  <c r="DC167" i="10"/>
  <c r="DC168" i="10"/>
  <c r="DB168" i="10" s="1"/>
  <c r="DC169" i="10"/>
  <c r="DB169" i="10" s="1"/>
  <c r="DC170" i="10"/>
  <c r="DB170" i="10" s="1"/>
  <c r="DC171" i="10"/>
  <c r="DB171" i="10" s="1"/>
  <c r="DC172" i="10"/>
  <c r="DB172" i="10" s="1"/>
  <c r="DC173" i="10"/>
  <c r="DB173" i="10" s="1"/>
  <c r="DC174" i="10"/>
  <c r="DB174" i="10" s="1"/>
  <c r="DC176" i="10"/>
  <c r="DB176" i="10" s="1"/>
  <c r="DC183" i="10"/>
  <c r="DC184" i="10"/>
  <c r="DC185" i="10"/>
  <c r="DC186" i="10"/>
  <c r="DC187" i="10"/>
  <c r="DC188" i="10"/>
  <c r="DC189" i="10"/>
  <c r="DC190" i="10"/>
  <c r="DC191" i="10"/>
  <c r="DC192" i="10"/>
  <c r="DC194" i="10"/>
  <c r="DC195" i="10"/>
  <c r="DC196" i="10"/>
  <c r="DC197" i="10"/>
  <c r="DC198" i="10"/>
  <c r="DC199" i="10"/>
  <c r="DC200" i="10"/>
  <c r="DC201" i="10"/>
  <c r="DC202" i="10"/>
  <c r="DC203" i="10"/>
  <c r="DC205" i="10"/>
  <c r="DC206" i="10"/>
  <c r="DC207" i="10"/>
  <c r="DC208" i="10"/>
  <c r="DC209" i="10"/>
  <c r="DC210" i="10"/>
  <c r="DC211" i="10"/>
  <c r="DC212" i="10"/>
  <c r="DC213" i="10"/>
  <c r="DC214" i="10"/>
  <c r="DC216" i="10"/>
  <c r="DC217" i="10"/>
  <c r="DC218" i="10"/>
  <c r="DC219" i="10"/>
  <c r="DC220" i="10"/>
  <c r="DC221" i="10"/>
  <c r="DC222" i="10"/>
  <c r="DC223" i="10"/>
  <c r="DC224" i="10"/>
  <c r="DC225" i="10"/>
  <c r="DC226" i="10"/>
  <c r="DB226" i="10" s="1"/>
  <c r="DC227" i="10"/>
  <c r="DB227" i="10" s="1"/>
  <c r="DC228" i="10"/>
  <c r="DB228" i="10" s="1"/>
  <c r="DB6" i="10"/>
  <c r="DB7" i="10"/>
  <c r="DB9" i="10"/>
  <c r="DB21" i="10"/>
  <c r="DB22" i="10"/>
  <c r="DB23" i="10"/>
  <c r="DB24" i="10"/>
  <c r="DB25" i="10"/>
  <c r="DB26" i="10"/>
  <c r="DB27" i="10"/>
  <c r="DB28" i="10"/>
  <c r="DB29" i="10"/>
  <c r="DB30" i="10"/>
  <c r="DB31" i="10"/>
  <c r="DB33" i="10"/>
  <c r="DB34" i="10"/>
  <c r="DB35" i="10"/>
  <c r="DB36" i="10"/>
  <c r="DB37" i="10"/>
  <c r="DB38" i="10"/>
  <c r="DB39" i="10"/>
  <c r="DB40" i="10"/>
  <c r="DB41" i="10"/>
  <c r="DB42" i="10"/>
  <c r="DB43" i="10"/>
  <c r="DB46" i="10"/>
  <c r="DB47" i="10"/>
  <c r="DB48" i="10"/>
  <c r="DB49" i="10"/>
  <c r="DB50" i="10"/>
  <c r="DB51" i="10"/>
  <c r="DB52" i="10"/>
  <c r="DB53" i="10"/>
  <c r="DB54" i="10"/>
  <c r="DB55" i="10"/>
  <c r="DB56" i="10"/>
  <c r="DB59" i="10"/>
  <c r="DB60" i="10"/>
  <c r="DB61" i="10"/>
  <c r="DB62" i="10"/>
  <c r="DB63" i="10"/>
  <c r="DB64" i="10"/>
  <c r="DB65" i="10"/>
  <c r="DB66" i="10"/>
  <c r="DB67" i="10"/>
  <c r="DB68" i="10"/>
  <c r="DB69" i="10"/>
  <c r="DB71" i="10"/>
  <c r="DB72" i="10"/>
  <c r="DB73" i="10"/>
  <c r="DB74" i="10"/>
  <c r="DB75" i="10"/>
  <c r="DB76" i="10"/>
  <c r="DB77" i="10"/>
  <c r="DB78" i="10"/>
  <c r="DB79" i="10"/>
  <c r="DB80" i="10"/>
  <c r="DB84" i="10"/>
  <c r="DB85" i="10"/>
  <c r="DB86" i="10"/>
  <c r="DB87" i="10"/>
  <c r="DB88" i="10"/>
  <c r="DB89" i="10"/>
  <c r="DB90" i="10"/>
  <c r="DB91" i="10"/>
  <c r="DB92" i="10"/>
  <c r="DB93" i="10"/>
  <c r="DB94" i="10"/>
  <c r="DB98" i="10"/>
  <c r="DB99" i="10"/>
  <c r="DB100" i="10"/>
  <c r="DB101" i="10"/>
  <c r="DB102" i="10"/>
  <c r="DB103" i="10"/>
  <c r="DB104" i="10"/>
  <c r="DB105" i="10"/>
  <c r="DB106" i="10"/>
  <c r="DB107" i="10"/>
  <c r="DB108" i="10"/>
  <c r="DB118" i="10"/>
  <c r="DB119" i="10"/>
  <c r="DB120" i="10"/>
  <c r="DB121" i="10"/>
  <c r="DB122" i="10"/>
  <c r="DB123" i="10"/>
  <c r="DB124" i="10"/>
  <c r="DB125" i="10"/>
  <c r="DB126" i="10"/>
  <c r="DB127" i="10"/>
  <c r="DB128" i="10"/>
  <c r="DB130" i="10"/>
  <c r="DB131" i="10"/>
  <c r="DB132" i="10"/>
  <c r="DB133" i="10"/>
  <c r="DB134" i="10"/>
  <c r="DB135" i="10"/>
  <c r="DB136" i="10"/>
  <c r="DB137" i="10"/>
  <c r="DB138" i="10"/>
  <c r="DB139" i="10"/>
  <c r="DB140" i="10"/>
  <c r="DB142" i="10"/>
  <c r="DB143" i="10"/>
  <c r="DB144" i="10"/>
  <c r="DB145" i="10"/>
  <c r="DB146" i="10"/>
  <c r="DB147" i="10"/>
  <c r="DB148" i="10"/>
  <c r="DB149" i="10"/>
  <c r="DB150" i="10"/>
  <c r="DB151" i="10"/>
  <c r="DB152" i="10"/>
  <c r="DB154" i="10"/>
  <c r="DB155" i="10"/>
  <c r="DB156" i="10"/>
  <c r="DB157" i="10"/>
  <c r="DB158" i="10"/>
  <c r="DB159" i="10"/>
  <c r="DB160" i="10"/>
  <c r="DB161" i="10"/>
  <c r="DB162" i="10"/>
  <c r="DB163" i="10"/>
  <c r="DB164" i="10"/>
  <c r="DB167" i="10"/>
  <c r="DB183" i="10"/>
  <c r="DB184" i="10"/>
  <c r="DB185" i="10"/>
  <c r="DB186" i="10"/>
  <c r="DB187" i="10"/>
  <c r="DB188" i="10"/>
  <c r="DB189" i="10"/>
  <c r="DB190" i="10"/>
  <c r="DB191" i="10"/>
  <c r="DB192" i="10"/>
  <c r="DB194" i="10"/>
  <c r="DB195" i="10"/>
  <c r="DB196" i="10"/>
  <c r="DB197" i="10"/>
  <c r="DB198" i="10"/>
  <c r="DB199" i="10"/>
  <c r="DB200" i="10"/>
  <c r="DB201" i="10"/>
  <c r="DB202" i="10"/>
  <c r="DB203" i="10"/>
  <c r="DB205" i="10"/>
  <c r="DB206" i="10"/>
  <c r="DB207" i="10"/>
  <c r="DB208" i="10"/>
  <c r="DB209" i="10"/>
  <c r="DB210" i="10"/>
  <c r="DB211" i="10"/>
  <c r="DB212" i="10"/>
  <c r="DB213" i="10"/>
  <c r="DB214" i="10"/>
  <c r="DB216" i="10"/>
  <c r="DB217" i="10"/>
  <c r="DB218" i="10"/>
  <c r="DB219" i="10"/>
  <c r="DB220" i="10"/>
  <c r="DB221" i="10"/>
  <c r="DB222" i="10"/>
  <c r="DB223" i="10"/>
  <c r="DB224" i="10"/>
  <c r="DB225" i="10"/>
  <c r="DA2" i="10"/>
  <c r="DA3" i="10"/>
  <c r="DA4" i="10"/>
  <c r="DA5" i="10"/>
  <c r="DA6" i="10"/>
  <c r="DA7" i="10"/>
  <c r="DA8" i="10"/>
  <c r="DA9" i="10"/>
  <c r="DA10" i="10"/>
  <c r="DA11" i="10"/>
  <c r="DA12" i="10"/>
  <c r="DA13" i="10"/>
  <c r="DA14" i="10"/>
  <c r="DA15" i="10"/>
  <c r="DA16" i="10"/>
  <c r="DA17" i="10"/>
  <c r="DA18" i="10"/>
  <c r="DA19" i="10"/>
  <c r="DA20" i="10"/>
  <c r="DA21" i="10"/>
  <c r="DA22" i="10"/>
  <c r="DA23" i="10"/>
  <c r="DA24" i="10"/>
  <c r="DA25" i="10"/>
  <c r="DA26" i="10"/>
  <c r="DA27" i="10"/>
  <c r="DA28" i="10"/>
  <c r="DA29" i="10"/>
  <c r="DA30" i="10"/>
  <c r="DA31" i="10"/>
  <c r="DA32" i="10"/>
  <c r="DA33" i="10"/>
  <c r="DA34" i="10"/>
  <c r="DA35" i="10"/>
  <c r="DA36" i="10"/>
  <c r="DA37" i="10"/>
  <c r="DA38" i="10"/>
  <c r="DA39" i="10"/>
  <c r="DA40" i="10"/>
  <c r="DA41" i="10"/>
  <c r="DA42" i="10"/>
  <c r="DA43" i="10"/>
  <c r="DA44" i="10"/>
  <c r="DA45" i="10"/>
  <c r="DA46" i="10"/>
  <c r="DA47" i="10"/>
  <c r="DA48" i="10"/>
  <c r="DA49" i="10"/>
  <c r="DA50" i="10"/>
  <c r="DA51" i="10"/>
  <c r="DA52" i="10"/>
  <c r="DA53" i="10"/>
  <c r="DA54" i="10"/>
  <c r="DA55" i="10"/>
  <c r="DA56" i="10"/>
  <c r="DA57" i="10"/>
  <c r="DA58" i="10"/>
  <c r="DA59" i="10"/>
  <c r="DA60" i="10"/>
  <c r="DA61" i="10"/>
  <c r="DA62" i="10"/>
  <c r="DA63" i="10"/>
  <c r="DA64" i="10"/>
  <c r="DA65" i="10"/>
  <c r="DA66" i="10"/>
  <c r="DA67" i="10"/>
  <c r="DA68" i="10"/>
  <c r="DA69" i="10"/>
  <c r="DA70" i="10"/>
  <c r="DA71" i="10"/>
  <c r="DA72" i="10"/>
  <c r="DA73" i="10"/>
  <c r="DA74" i="10"/>
  <c r="DA75" i="10"/>
  <c r="DA76" i="10"/>
  <c r="DA77" i="10"/>
  <c r="DA78" i="10"/>
  <c r="DA79" i="10"/>
  <c r="DA80" i="10"/>
  <c r="DA81" i="10"/>
  <c r="DA82" i="10"/>
  <c r="DA83" i="10"/>
  <c r="DA84" i="10"/>
  <c r="DA85" i="10"/>
  <c r="DA86" i="10"/>
  <c r="DA87" i="10"/>
  <c r="DA88" i="10"/>
  <c r="DA89" i="10"/>
  <c r="DA90" i="10"/>
  <c r="DA91" i="10"/>
  <c r="DA92" i="10"/>
  <c r="DA93" i="10"/>
  <c r="DA94" i="10"/>
  <c r="DA95" i="10"/>
  <c r="DA96" i="10"/>
  <c r="DA97" i="10"/>
  <c r="DA98" i="10"/>
  <c r="DA99" i="10"/>
  <c r="DA100" i="10"/>
  <c r="DA101" i="10"/>
  <c r="DA102" i="10"/>
  <c r="DA103" i="10"/>
  <c r="DA104" i="10"/>
  <c r="DA105" i="10"/>
  <c r="DA106" i="10"/>
  <c r="DA107" i="10"/>
  <c r="DA108" i="10"/>
  <c r="DA109" i="10"/>
  <c r="DA110" i="10"/>
  <c r="DA111" i="10"/>
  <c r="DA112" i="10"/>
  <c r="DA113" i="10"/>
  <c r="DA114" i="10"/>
  <c r="DA115" i="10"/>
  <c r="DA116" i="10"/>
  <c r="DA117" i="10"/>
  <c r="DA118" i="10"/>
  <c r="DA119" i="10"/>
  <c r="DA120" i="10"/>
  <c r="DA121" i="10"/>
  <c r="DA122" i="10"/>
  <c r="DA123" i="10"/>
  <c r="DA124" i="10"/>
  <c r="DA125" i="10"/>
  <c r="DA126" i="10"/>
  <c r="DA127" i="10"/>
  <c r="DA128" i="10"/>
  <c r="DA129" i="10"/>
  <c r="DA130" i="10"/>
  <c r="DA131" i="10"/>
  <c r="DA132" i="10"/>
  <c r="DA133" i="10"/>
  <c r="DA134" i="10"/>
  <c r="DA135" i="10"/>
  <c r="DA136" i="10"/>
  <c r="DA137" i="10"/>
  <c r="DA138" i="10"/>
  <c r="DA139" i="10"/>
  <c r="DA140" i="10"/>
  <c r="DA141" i="10"/>
  <c r="DA142" i="10"/>
  <c r="DA143" i="10"/>
  <c r="DA144" i="10"/>
  <c r="DA145" i="10"/>
  <c r="DA146" i="10"/>
  <c r="DA147" i="10"/>
  <c r="DA148" i="10"/>
  <c r="DA149" i="10"/>
  <c r="DA150" i="10"/>
  <c r="DA151" i="10"/>
  <c r="DA152" i="10"/>
  <c r="DA153" i="10"/>
  <c r="DA154" i="10"/>
  <c r="DA155" i="10"/>
  <c r="DA156" i="10"/>
  <c r="DA157" i="10"/>
  <c r="DA158" i="10"/>
  <c r="DA159" i="10"/>
  <c r="DA160" i="10"/>
  <c r="DA161" i="10"/>
  <c r="DA162" i="10"/>
  <c r="DA163" i="10"/>
  <c r="DA164" i="10"/>
  <c r="DA165" i="10"/>
  <c r="DA166" i="10"/>
  <c r="DA167" i="10"/>
  <c r="DA168" i="10"/>
  <c r="DA169" i="10"/>
  <c r="DA170" i="10"/>
  <c r="DA171" i="10"/>
  <c r="DA172" i="10"/>
  <c r="DA173" i="10"/>
  <c r="DA174" i="10"/>
  <c r="DA175" i="10"/>
  <c r="DA176" i="10"/>
  <c r="DA177" i="10"/>
  <c r="DA178" i="10"/>
  <c r="DA179" i="10"/>
  <c r="DA180" i="10"/>
  <c r="DA181" i="10"/>
  <c r="DA182" i="10"/>
  <c r="DA183" i="10"/>
  <c r="DA184" i="10"/>
  <c r="DA185" i="10"/>
  <c r="DA186" i="10"/>
  <c r="DA187" i="10"/>
  <c r="DA188" i="10"/>
  <c r="DA189" i="10"/>
  <c r="DA190" i="10"/>
  <c r="DA191" i="10"/>
  <c r="DA192" i="10"/>
  <c r="DA193" i="10"/>
  <c r="DA194" i="10"/>
  <c r="DA195" i="10"/>
  <c r="DA196" i="10"/>
  <c r="DA197" i="10"/>
  <c r="DA198" i="10"/>
  <c r="DA199" i="10"/>
  <c r="DA200" i="10"/>
  <c r="DA201" i="10"/>
  <c r="DA202" i="10"/>
  <c r="DA203" i="10"/>
  <c r="DA204" i="10"/>
  <c r="DA205" i="10"/>
  <c r="DA206" i="10"/>
  <c r="DA207" i="10"/>
  <c r="DA208" i="10"/>
  <c r="DA209" i="10"/>
  <c r="DA210" i="10"/>
  <c r="DA211" i="10"/>
  <c r="DA212" i="10"/>
  <c r="DA213" i="10"/>
  <c r="DA214" i="10"/>
  <c r="DA215" i="10"/>
  <c r="DA216" i="10"/>
  <c r="DA217" i="10"/>
  <c r="DA218" i="10"/>
  <c r="DA219" i="10"/>
  <c r="DA220" i="10"/>
  <c r="DA221" i="10"/>
  <c r="DA222" i="10"/>
  <c r="DA223" i="10"/>
  <c r="DA224" i="10"/>
  <c r="DA225" i="10"/>
  <c r="DA226" i="10"/>
  <c r="DA227" i="10"/>
  <c r="DA228" i="10"/>
  <c r="CY2" i="10"/>
  <c r="CY3" i="10"/>
  <c r="CY4" i="10"/>
  <c r="CY5" i="10"/>
  <c r="CY6" i="10"/>
  <c r="CY7" i="10"/>
  <c r="CY8" i="10"/>
  <c r="CY9" i="10"/>
  <c r="CY10" i="10"/>
  <c r="CY11" i="10"/>
  <c r="CY12" i="10"/>
  <c r="CY13" i="10"/>
  <c r="CY14" i="10"/>
  <c r="CY15" i="10"/>
  <c r="CY16" i="10"/>
  <c r="CY17" i="10"/>
  <c r="CY18" i="10"/>
  <c r="CY19" i="10"/>
  <c r="CY20" i="10"/>
  <c r="CY21" i="10"/>
  <c r="CY22" i="10"/>
  <c r="CY23" i="10"/>
  <c r="CY24" i="10"/>
  <c r="CY25" i="10"/>
  <c r="CY26" i="10"/>
  <c r="CY27" i="10"/>
  <c r="CY28" i="10"/>
  <c r="CY29" i="10"/>
  <c r="CY30" i="10"/>
  <c r="CY31" i="10"/>
  <c r="CY32" i="10"/>
  <c r="CY33" i="10"/>
  <c r="CY34" i="10"/>
  <c r="CY35" i="10"/>
  <c r="CY36" i="10"/>
  <c r="CY37" i="10"/>
  <c r="CY38" i="10"/>
  <c r="CY39" i="10"/>
  <c r="CY40" i="10"/>
  <c r="CY41" i="10"/>
  <c r="CY42" i="10"/>
  <c r="CY43" i="10"/>
  <c r="CY44" i="10"/>
  <c r="CY45" i="10"/>
  <c r="CY46" i="10"/>
  <c r="CY47" i="10"/>
  <c r="CY48" i="10"/>
  <c r="CY49" i="10"/>
  <c r="CY50" i="10"/>
  <c r="CY51" i="10"/>
  <c r="CY52" i="10"/>
  <c r="CY53" i="10"/>
  <c r="CY54" i="10"/>
  <c r="CY55" i="10"/>
  <c r="CY56" i="10"/>
  <c r="CY57" i="10"/>
  <c r="CY58" i="10"/>
  <c r="CY59" i="10"/>
  <c r="CY60" i="10"/>
  <c r="CY61" i="10"/>
  <c r="CY62" i="10"/>
  <c r="CY63" i="10"/>
  <c r="CY64" i="10"/>
  <c r="CY65" i="10"/>
  <c r="CY66" i="10"/>
  <c r="CY67" i="10"/>
  <c r="CY68" i="10"/>
  <c r="CY69" i="10"/>
  <c r="CY70" i="10"/>
  <c r="CY71" i="10"/>
  <c r="CY72" i="10"/>
  <c r="CY73" i="10"/>
  <c r="CY74" i="10"/>
  <c r="CY75" i="10"/>
  <c r="CY76" i="10"/>
  <c r="CY77" i="10"/>
  <c r="CY78" i="10"/>
  <c r="CY79" i="10"/>
  <c r="CY80" i="10"/>
  <c r="CY81" i="10"/>
  <c r="CY82" i="10"/>
  <c r="CY83" i="10"/>
  <c r="CY84" i="10"/>
  <c r="CY85" i="10"/>
  <c r="CY86" i="10"/>
  <c r="CY87" i="10"/>
  <c r="CY88" i="10"/>
  <c r="CY89" i="10"/>
  <c r="CY90" i="10"/>
  <c r="CY91" i="10"/>
  <c r="CY92" i="10"/>
  <c r="CY93" i="10"/>
  <c r="CY94" i="10"/>
  <c r="CY95" i="10"/>
  <c r="CY96" i="10"/>
  <c r="CY97" i="10"/>
  <c r="CY98" i="10"/>
  <c r="CY99" i="10"/>
  <c r="CY100" i="10"/>
  <c r="CY101" i="10"/>
  <c r="CY102" i="10"/>
  <c r="CY103" i="10"/>
  <c r="CY104" i="10"/>
  <c r="CY105" i="10"/>
  <c r="CY106" i="10"/>
  <c r="CY107" i="10"/>
  <c r="CY108" i="10"/>
  <c r="CY109" i="10"/>
  <c r="CY110" i="10"/>
  <c r="CY111" i="10"/>
  <c r="CY112" i="10"/>
  <c r="CY113" i="10"/>
  <c r="CY114" i="10"/>
  <c r="CY115" i="10"/>
  <c r="CY116" i="10"/>
  <c r="CY117" i="10"/>
  <c r="CY118" i="10"/>
  <c r="CY119" i="10"/>
  <c r="CY120" i="10"/>
  <c r="CY121" i="10"/>
  <c r="CY122" i="10"/>
  <c r="CY123" i="10"/>
  <c r="CY124" i="10"/>
  <c r="CY125" i="10"/>
  <c r="CY126" i="10"/>
  <c r="CY127" i="10"/>
  <c r="CY128" i="10"/>
  <c r="CY129" i="10"/>
  <c r="CY130" i="10"/>
  <c r="CY131" i="10"/>
  <c r="CY132" i="10"/>
  <c r="CY133" i="10"/>
  <c r="CY134" i="10"/>
  <c r="CY135" i="10"/>
  <c r="CY136" i="10"/>
  <c r="CY137" i="10"/>
  <c r="CY138" i="10"/>
  <c r="CY139" i="10"/>
  <c r="CY140" i="10"/>
  <c r="CY141" i="10"/>
  <c r="CY142" i="10"/>
  <c r="CY143" i="10"/>
  <c r="CY144" i="10"/>
  <c r="CY145" i="10"/>
  <c r="CY146" i="10"/>
  <c r="CY147" i="10"/>
  <c r="CY148" i="10"/>
  <c r="CY149" i="10"/>
  <c r="CY150" i="10"/>
  <c r="CY151" i="10"/>
  <c r="CY152" i="10"/>
  <c r="CY153" i="10"/>
  <c r="CY154" i="10"/>
  <c r="CY155" i="10"/>
  <c r="CY156" i="10"/>
  <c r="CY157" i="10"/>
  <c r="CY158" i="10"/>
  <c r="CY159" i="10"/>
  <c r="CY160" i="10"/>
  <c r="CY161" i="10"/>
  <c r="CY162" i="10"/>
  <c r="CY163" i="10"/>
  <c r="CY164" i="10"/>
  <c r="CY165" i="10"/>
  <c r="CY166" i="10"/>
  <c r="CY167" i="10"/>
  <c r="CY168" i="10"/>
  <c r="CY169" i="10"/>
  <c r="CY170" i="10"/>
  <c r="CY171" i="10"/>
  <c r="CY172" i="10"/>
  <c r="CY173" i="10"/>
  <c r="CY174" i="10"/>
  <c r="CY175" i="10"/>
  <c r="CY176" i="10"/>
  <c r="CY177" i="10"/>
  <c r="CY178" i="10"/>
  <c r="CY179" i="10"/>
  <c r="CY180" i="10"/>
  <c r="CY181" i="10"/>
  <c r="CY182" i="10"/>
  <c r="CY183" i="10"/>
  <c r="CY184" i="10"/>
  <c r="CY185" i="10"/>
  <c r="CY186" i="10"/>
  <c r="CY187" i="10"/>
  <c r="CY188" i="10"/>
  <c r="CY189" i="10"/>
  <c r="CY190" i="10"/>
  <c r="CY191" i="10"/>
  <c r="CY192" i="10"/>
  <c r="CY193" i="10"/>
  <c r="CY194" i="10"/>
  <c r="CY195" i="10"/>
  <c r="CY196" i="10"/>
  <c r="CY197" i="10"/>
  <c r="CY198" i="10"/>
  <c r="CY199" i="10"/>
  <c r="CY200" i="10"/>
  <c r="CY201" i="10"/>
  <c r="CY202" i="10"/>
  <c r="CY203" i="10"/>
  <c r="CY204" i="10"/>
  <c r="CY205" i="10"/>
  <c r="CY206" i="10"/>
  <c r="CY207" i="10"/>
  <c r="CY208" i="10"/>
  <c r="CY209" i="10"/>
  <c r="CY210" i="10"/>
  <c r="CY211" i="10"/>
  <c r="CY212" i="10"/>
  <c r="CY213" i="10"/>
  <c r="CY214" i="10"/>
  <c r="CY215" i="10"/>
  <c r="CY216" i="10"/>
  <c r="CY217" i="10"/>
  <c r="CY218" i="10"/>
  <c r="CY219" i="10"/>
  <c r="CY220" i="10"/>
  <c r="CY221" i="10"/>
  <c r="CY222" i="10"/>
  <c r="CY223" i="10"/>
  <c r="CY224" i="10"/>
  <c r="CY225" i="10"/>
  <c r="CY226" i="10"/>
  <c r="CY227" i="10"/>
  <c r="CY228" i="10"/>
  <c r="CX80" i="10"/>
  <c r="CX140" i="10"/>
  <c r="CX180" i="10"/>
  <c r="CW33" i="10"/>
  <c r="CX33" i="10" s="1"/>
  <c r="CW35" i="10"/>
  <c r="CX35" i="10" s="1"/>
  <c r="CW36" i="10"/>
  <c r="CX36" i="10" s="1"/>
  <c r="CW37" i="10"/>
  <c r="CX37" i="10" s="1"/>
  <c r="CW38" i="10"/>
  <c r="CX38" i="10" s="1"/>
  <c r="CW39" i="10"/>
  <c r="CX39" i="10" s="1"/>
  <c r="CW40" i="10"/>
  <c r="CX40" i="10" s="1"/>
  <c r="CW41" i="10"/>
  <c r="CX41" i="10" s="1"/>
  <c r="CW53" i="10"/>
  <c r="CX53" i="10" s="1"/>
  <c r="CW55" i="10"/>
  <c r="CX55" i="10" s="1"/>
  <c r="CW56" i="10"/>
  <c r="CX56" i="10" s="1"/>
  <c r="CW75" i="10"/>
  <c r="CX75" i="10" s="1"/>
  <c r="CW76" i="10"/>
  <c r="CX76" i="10" s="1"/>
  <c r="CW77" i="10"/>
  <c r="CX77" i="10" s="1"/>
  <c r="CW78" i="10"/>
  <c r="CX78" i="10" s="1"/>
  <c r="CW79" i="10"/>
  <c r="CX79" i="10" s="1"/>
  <c r="CW80" i="10"/>
  <c r="CW81" i="10"/>
  <c r="CX81" i="10" s="1"/>
  <c r="CW93" i="10"/>
  <c r="CX93" i="10" s="1"/>
  <c r="CW95" i="10"/>
  <c r="CX95" i="10" s="1"/>
  <c r="CW96" i="10"/>
  <c r="CX96" i="10" s="1"/>
  <c r="CW97" i="10"/>
  <c r="CX97" i="10" s="1"/>
  <c r="CW98" i="10"/>
  <c r="CX98" i="10" s="1"/>
  <c r="CW99" i="10"/>
  <c r="CX99" i="10" s="1"/>
  <c r="CW100" i="10"/>
  <c r="CX100" i="10" s="1"/>
  <c r="CW121" i="10"/>
  <c r="CX121" i="10" s="1"/>
  <c r="CW133" i="10"/>
  <c r="CX133" i="10" s="1"/>
  <c r="CW135" i="10"/>
  <c r="CX135" i="10" s="1"/>
  <c r="CW136" i="10"/>
  <c r="CX136" i="10" s="1"/>
  <c r="CW137" i="10"/>
  <c r="CX137" i="10" s="1"/>
  <c r="CW138" i="10"/>
  <c r="CX138" i="10" s="1"/>
  <c r="CW139" i="10"/>
  <c r="CX139" i="10" s="1"/>
  <c r="CW140" i="10"/>
  <c r="CW141" i="10"/>
  <c r="CX141" i="10" s="1"/>
  <c r="CW153" i="10"/>
  <c r="CX153" i="10" s="1"/>
  <c r="CW155" i="10"/>
  <c r="CX155" i="10" s="1"/>
  <c r="CW156" i="10"/>
  <c r="CX156" i="10" s="1"/>
  <c r="CW175" i="10"/>
  <c r="CX175" i="10" s="1"/>
  <c r="CW176" i="10"/>
  <c r="CX176" i="10" s="1"/>
  <c r="CW177" i="10"/>
  <c r="CX177" i="10" s="1"/>
  <c r="CW178" i="10"/>
  <c r="CX178" i="10" s="1"/>
  <c r="CW179" i="10"/>
  <c r="CX179" i="10" s="1"/>
  <c r="CW180" i="10"/>
  <c r="CW181" i="10"/>
  <c r="CX181" i="10" s="1"/>
  <c r="CW193" i="10"/>
  <c r="CX193" i="10" s="1"/>
  <c r="CW195" i="10"/>
  <c r="CX195" i="10" s="1"/>
  <c r="CW196" i="10"/>
  <c r="CX196" i="10" s="1"/>
  <c r="CW197" i="10"/>
  <c r="CX197" i="10" s="1"/>
  <c r="CW198" i="10"/>
  <c r="CX198" i="10" s="1"/>
  <c r="CW199" i="10"/>
  <c r="CX199" i="10" s="1"/>
  <c r="CW200" i="10"/>
  <c r="CX200" i="10" s="1"/>
  <c r="CW221" i="10"/>
  <c r="CX221" i="10" s="1"/>
  <c r="CV2" i="10"/>
  <c r="CW2" i="10" s="1"/>
  <c r="CX2" i="10" s="1"/>
  <c r="CV3" i="10"/>
  <c r="CW3" i="10" s="1"/>
  <c r="CX3" i="10" s="1"/>
  <c r="CV4" i="10"/>
  <c r="CW4" i="10" s="1"/>
  <c r="CX4" i="10" s="1"/>
  <c r="CV5" i="10"/>
  <c r="CW5" i="10" s="1"/>
  <c r="CX5" i="10" s="1"/>
  <c r="CV6" i="10"/>
  <c r="CW6" i="10" s="1"/>
  <c r="CX6" i="10" s="1"/>
  <c r="CV7" i="10"/>
  <c r="CW7" i="10" s="1"/>
  <c r="CX7" i="10" s="1"/>
  <c r="CV8" i="10"/>
  <c r="CW8" i="10" s="1"/>
  <c r="CX8" i="10" s="1"/>
  <c r="CV9" i="10"/>
  <c r="CW9" i="10" s="1"/>
  <c r="CX9" i="10" s="1"/>
  <c r="CV10" i="10"/>
  <c r="CW10" i="10" s="1"/>
  <c r="CX10" i="10" s="1"/>
  <c r="CV11" i="10"/>
  <c r="CW11" i="10" s="1"/>
  <c r="CX11" i="10" s="1"/>
  <c r="CV12" i="10"/>
  <c r="CW12" i="10" s="1"/>
  <c r="CX12" i="10" s="1"/>
  <c r="CV13" i="10"/>
  <c r="CW13" i="10" s="1"/>
  <c r="CX13" i="10" s="1"/>
  <c r="CV14" i="10"/>
  <c r="CW14" i="10" s="1"/>
  <c r="CX14" i="10" s="1"/>
  <c r="CV15" i="10"/>
  <c r="CW15" i="10" s="1"/>
  <c r="CX15" i="10" s="1"/>
  <c r="CV16" i="10"/>
  <c r="CW16" i="10" s="1"/>
  <c r="CX16" i="10" s="1"/>
  <c r="CV17" i="10"/>
  <c r="CW17" i="10" s="1"/>
  <c r="CX17" i="10" s="1"/>
  <c r="CV18" i="10"/>
  <c r="CW18" i="10" s="1"/>
  <c r="CX18" i="10" s="1"/>
  <c r="CV19" i="10"/>
  <c r="CW19" i="10" s="1"/>
  <c r="CX19" i="10" s="1"/>
  <c r="CV20" i="10"/>
  <c r="CW20" i="10" s="1"/>
  <c r="CX20" i="10" s="1"/>
  <c r="CV21" i="10"/>
  <c r="CW21" i="10" s="1"/>
  <c r="CX21" i="10" s="1"/>
  <c r="CV22" i="10"/>
  <c r="CW22" i="10" s="1"/>
  <c r="CX22" i="10" s="1"/>
  <c r="CV23" i="10"/>
  <c r="CW23" i="10" s="1"/>
  <c r="CX23" i="10" s="1"/>
  <c r="CV24" i="10"/>
  <c r="CW24" i="10" s="1"/>
  <c r="CX24" i="10" s="1"/>
  <c r="CV25" i="10"/>
  <c r="CW25" i="10" s="1"/>
  <c r="CX25" i="10" s="1"/>
  <c r="CV26" i="10"/>
  <c r="CW26" i="10" s="1"/>
  <c r="CX26" i="10" s="1"/>
  <c r="CV27" i="10"/>
  <c r="CW27" i="10" s="1"/>
  <c r="CX27" i="10" s="1"/>
  <c r="CV28" i="10"/>
  <c r="CW28" i="10" s="1"/>
  <c r="CX28" i="10" s="1"/>
  <c r="CV29" i="10"/>
  <c r="CW29" i="10" s="1"/>
  <c r="CX29" i="10" s="1"/>
  <c r="CV30" i="10"/>
  <c r="CW30" i="10" s="1"/>
  <c r="CX30" i="10" s="1"/>
  <c r="CV31" i="10"/>
  <c r="CW31" i="10" s="1"/>
  <c r="CX31" i="10" s="1"/>
  <c r="CV32" i="10"/>
  <c r="CW32" i="10" s="1"/>
  <c r="CX32" i="10" s="1"/>
  <c r="CV33" i="10"/>
  <c r="CV34" i="10"/>
  <c r="CW34" i="10" s="1"/>
  <c r="CX34" i="10" s="1"/>
  <c r="CV35" i="10"/>
  <c r="CV36" i="10"/>
  <c r="CV37" i="10"/>
  <c r="CV38" i="10"/>
  <c r="CV39" i="10"/>
  <c r="CV40" i="10"/>
  <c r="CV41" i="10"/>
  <c r="CV42" i="10"/>
  <c r="CW42" i="10" s="1"/>
  <c r="CX42" i="10" s="1"/>
  <c r="CV43" i="10"/>
  <c r="CW43" i="10" s="1"/>
  <c r="CX43" i="10" s="1"/>
  <c r="CV44" i="10"/>
  <c r="CW44" i="10" s="1"/>
  <c r="CX44" i="10" s="1"/>
  <c r="CV45" i="10"/>
  <c r="CW45" i="10" s="1"/>
  <c r="CX45" i="10" s="1"/>
  <c r="CV46" i="10"/>
  <c r="CW46" i="10" s="1"/>
  <c r="CX46" i="10" s="1"/>
  <c r="CV47" i="10"/>
  <c r="CW47" i="10" s="1"/>
  <c r="CX47" i="10" s="1"/>
  <c r="CV48" i="10"/>
  <c r="CW48" i="10" s="1"/>
  <c r="CX48" i="10" s="1"/>
  <c r="CV49" i="10"/>
  <c r="CW49" i="10" s="1"/>
  <c r="CX49" i="10" s="1"/>
  <c r="CV50" i="10"/>
  <c r="CW50" i="10" s="1"/>
  <c r="CX50" i="10" s="1"/>
  <c r="CV51" i="10"/>
  <c r="CW51" i="10" s="1"/>
  <c r="CX51" i="10" s="1"/>
  <c r="CV52" i="10"/>
  <c r="CW52" i="10" s="1"/>
  <c r="CX52" i="10" s="1"/>
  <c r="CV53" i="10"/>
  <c r="CV54" i="10"/>
  <c r="CW54" i="10" s="1"/>
  <c r="CX54" i="10" s="1"/>
  <c r="CV55" i="10"/>
  <c r="CV56" i="10"/>
  <c r="CV57" i="10"/>
  <c r="CW57" i="10" s="1"/>
  <c r="CX57" i="10" s="1"/>
  <c r="CV58" i="10"/>
  <c r="CW58" i="10" s="1"/>
  <c r="CX58" i="10" s="1"/>
  <c r="CV59" i="10"/>
  <c r="CW59" i="10" s="1"/>
  <c r="CX59" i="10" s="1"/>
  <c r="CV60" i="10"/>
  <c r="CW60" i="10" s="1"/>
  <c r="CX60" i="10" s="1"/>
  <c r="CV61" i="10"/>
  <c r="CW61" i="10" s="1"/>
  <c r="CX61" i="10" s="1"/>
  <c r="CV62" i="10"/>
  <c r="CW62" i="10" s="1"/>
  <c r="CX62" i="10" s="1"/>
  <c r="CV63" i="10"/>
  <c r="CW63" i="10" s="1"/>
  <c r="CX63" i="10" s="1"/>
  <c r="CV64" i="10"/>
  <c r="CW64" i="10" s="1"/>
  <c r="CX64" i="10" s="1"/>
  <c r="CV65" i="10"/>
  <c r="CW65" i="10" s="1"/>
  <c r="CX65" i="10" s="1"/>
  <c r="CV66" i="10"/>
  <c r="CW66" i="10" s="1"/>
  <c r="CX66" i="10" s="1"/>
  <c r="CV67" i="10"/>
  <c r="CW67" i="10" s="1"/>
  <c r="CX67" i="10" s="1"/>
  <c r="CV68" i="10"/>
  <c r="CW68" i="10" s="1"/>
  <c r="CX68" i="10" s="1"/>
  <c r="CV69" i="10"/>
  <c r="CW69" i="10" s="1"/>
  <c r="CX69" i="10" s="1"/>
  <c r="CV70" i="10"/>
  <c r="CW70" i="10" s="1"/>
  <c r="CX70" i="10" s="1"/>
  <c r="CV71" i="10"/>
  <c r="CW71" i="10" s="1"/>
  <c r="CX71" i="10" s="1"/>
  <c r="CV72" i="10"/>
  <c r="CW72" i="10" s="1"/>
  <c r="CX72" i="10" s="1"/>
  <c r="CV73" i="10"/>
  <c r="CW73" i="10" s="1"/>
  <c r="CX73" i="10" s="1"/>
  <c r="CV74" i="10"/>
  <c r="CW74" i="10" s="1"/>
  <c r="CX74" i="10" s="1"/>
  <c r="CV75" i="10"/>
  <c r="CV76" i="10"/>
  <c r="CV77" i="10"/>
  <c r="CV78" i="10"/>
  <c r="CV79" i="10"/>
  <c r="CV80" i="10"/>
  <c r="CV81" i="10"/>
  <c r="CV82" i="10"/>
  <c r="CW82" i="10" s="1"/>
  <c r="CX82" i="10" s="1"/>
  <c r="CV83" i="10"/>
  <c r="CW83" i="10" s="1"/>
  <c r="CX83" i="10" s="1"/>
  <c r="CV84" i="10"/>
  <c r="CW84" i="10" s="1"/>
  <c r="CX84" i="10" s="1"/>
  <c r="CV85" i="10"/>
  <c r="CW85" i="10" s="1"/>
  <c r="CX85" i="10" s="1"/>
  <c r="CV86" i="10"/>
  <c r="CW86" i="10" s="1"/>
  <c r="CX86" i="10" s="1"/>
  <c r="CV87" i="10"/>
  <c r="CW87" i="10" s="1"/>
  <c r="CX87" i="10" s="1"/>
  <c r="CV88" i="10"/>
  <c r="CW88" i="10" s="1"/>
  <c r="CX88" i="10" s="1"/>
  <c r="CV89" i="10"/>
  <c r="CW89" i="10" s="1"/>
  <c r="CX89" i="10" s="1"/>
  <c r="CV90" i="10"/>
  <c r="CW90" i="10" s="1"/>
  <c r="CX90" i="10" s="1"/>
  <c r="CV91" i="10"/>
  <c r="CW91" i="10" s="1"/>
  <c r="CX91" i="10" s="1"/>
  <c r="CV92" i="10"/>
  <c r="CW92" i="10" s="1"/>
  <c r="CX92" i="10" s="1"/>
  <c r="CV93" i="10"/>
  <c r="CV94" i="10"/>
  <c r="CW94" i="10" s="1"/>
  <c r="CX94" i="10" s="1"/>
  <c r="CV95" i="10"/>
  <c r="CV96" i="10"/>
  <c r="CV97" i="10"/>
  <c r="CV98" i="10"/>
  <c r="CV99" i="10"/>
  <c r="CV100" i="10"/>
  <c r="CV101" i="10"/>
  <c r="CW101" i="10" s="1"/>
  <c r="CX101" i="10" s="1"/>
  <c r="CV102" i="10"/>
  <c r="CW102" i="10" s="1"/>
  <c r="CX102" i="10" s="1"/>
  <c r="CV103" i="10"/>
  <c r="CW103" i="10" s="1"/>
  <c r="CX103" i="10" s="1"/>
  <c r="CV104" i="10"/>
  <c r="CW104" i="10" s="1"/>
  <c r="CX104" i="10" s="1"/>
  <c r="CV105" i="10"/>
  <c r="CW105" i="10" s="1"/>
  <c r="CX105" i="10" s="1"/>
  <c r="CV106" i="10"/>
  <c r="CW106" i="10" s="1"/>
  <c r="CX106" i="10" s="1"/>
  <c r="CV107" i="10"/>
  <c r="CW107" i="10" s="1"/>
  <c r="CX107" i="10" s="1"/>
  <c r="CV108" i="10"/>
  <c r="CW108" i="10" s="1"/>
  <c r="CX108" i="10" s="1"/>
  <c r="CV109" i="10"/>
  <c r="CW109" i="10" s="1"/>
  <c r="CX109" i="10" s="1"/>
  <c r="CV110" i="10"/>
  <c r="CW110" i="10" s="1"/>
  <c r="CX110" i="10" s="1"/>
  <c r="CV111" i="10"/>
  <c r="CW111" i="10" s="1"/>
  <c r="CX111" i="10" s="1"/>
  <c r="CV112" i="10"/>
  <c r="CW112" i="10" s="1"/>
  <c r="CX112" i="10" s="1"/>
  <c r="CV113" i="10"/>
  <c r="CW113" i="10" s="1"/>
  <c r="CX113" i="10" s="1"/>
  <c r="CV114" i="10"/>
  <c r="CW114" i="10" s="1"/>
  <c r="CX114" i="10" s="1"/>
  <c r="CV115" i="10"/>
  <c r="CW115" i="10" s="1"/>
  <c r="CX115" i="10" s="1"/>
  <c r="CV116" i="10"/>
  <c r="CW116" i="10" s="1"/>
  <c r="CX116" i="10" s="1"/>
  <c r="CV117" i="10"/>
  <c r="CW117" i="10" s="1"/>
  <c r="CX117" i="10" s="1"/>
  <c r="CV118" i="10"/>
  <c r="CW118" i="10" s="1"/>
  <c r="CX118" i="10" s="1"/>
  <c r="CV119" i="10"/>
  <c r="CW119" i="10" s="1"/>
  <c r="CX119" i="10" s="1"/>
  <c r="CV120" i="10"/>
  <c r="CW120" i="10" s="1"/>
  <c r="CX120" i="10" s="1"/>
  <c r="CV121" i="10"/>
  <c r="CV122" i="10"/>
  <c r="CW122" i="10" s="1"/>
  <c r="CX122" i="10" s="1"/>
  <c r="CV123" i="10"/>
  <c r="CW123" i="10" s="1"/>
  <c r="CX123" i="10" s="1"/>
  <c r="CV124" i="10"/>
  <c r="CW124" i="10" s="1"/>
  <c r="CX124" i="10" s="1"/>
  <c r="CV125" i="10"/>
  <c r="CW125" i="10" s="1"/>
  <c r="CX125" i="10" s="1"/>
  <c r="CV126" i="10"/>
  <c r="CW126" i="10" s="1"/>
  <c r="CX126" i="10" s="1"/>
  <c r="CV127" i="10"/>
  <c r="CW127" i="10" s="1"/>
  <c r="CX127" i="10" s="1"/>
  <c r="CV128" i="10"/>
  <c r="CW128" i="10" s="1"/>
  <c r="CX128" i="10" s="1"/>
  <c r="CV129" i="10"/>
  <c r="CW129" i="10" s="1"/>
  <c r="CX129" i="10" s="1"/>
  <c r="CV130" i="10"/>
  <c r="CW130" i="10" s="1"/>
  <c r="CX130" i="10" s="1"/>
  <c r="CV131" i="10"/>
  <c r="CW131" i="10" s="1"/>
  <c r="CX131" i="10" s="1"/>
  <c r="CV132" i="10"/>
  <c r="CW132" i="10" s="1"/>
  <c r="CX132" i="10" s="1"/>
  <c r="CV133" i="10"/>
  <c r="CV134" i="10"/>
  <c r="CW134" i="10" s="1"/>
  <c r="CX134" i="10" s="1"/>
  <c r="CV135" i="10"/>
  <c r="CV136" i="10"/>
  <c r="CV137" i="10"/>
  <c r="CV138" i="10"/>
  <c r="CV139" i="10"/>
  <c r="CV140" i="10"/>
  <c r="CV141" i="10"/>
  <c r="CV142" i="10"/>
  <c r="CW142" i="10" s="1"/>
  <c r="CX142" i="10" s="1"/>
  <c r="CV143" i="10"/>
  <c r="CW143" i="10" s="1"/>
  <c r="CX143" i="10" s="1"/>
  <c r="CV144" i="10"/>
  <c r="CW144" i="10" s="1"/>
  <c r="CX144" i="10" s="1"/>
  <c r="CV145" i="10"/>
  <c r="CW145" i="10" s="1"/>
  <c r="CX145" i="10" s="1"/>
  <c r="CV146" i="10"/>
  <c r="CW146" i="10" s="1"/>
  <c r="CX146" i="10" s="1"/>
  <c r="CV147" i="10"/>
  <c r="CW147" i="10" s="1"/>
  <c r="CX147" i="10" s="1"/>
  <c r="CV148" i="10"/>
  <c r="CW148" i="10" s="1"/>
  <c r="CX148" i="10" s="1"/>
  <c r="CV149" i="10"/>
  <c r="CW149" i="10" s="1"/>
  <c r="CX149" i="10" s="1"/>
  <c r="CV150" i="10"/>
  <c r="CW150" i="10" s="1"/>
  <c r="CX150" i="10" s="1"/>
  <c r="CV151" i="10"/>
  <c r="CW151" i="10" s="1"/>
  <c r="CX151" i="10" s="1"/>
  <c r="CV152" i="10"/>
  <c r="CW152" i="10" s="1"/>
  <c r="CX152" i="10" s="1"/>
  <c r="CV153" i="10"/>
  <c r="CV154" i="10"/>
  <c r="CW154" i="10" s="1"/>
  <c r="CX154" i="10" s="1"/>
  <c r="CV155" i="10"/>
  <c r="CV156" i="10"/>
  <c r="CV157" i="10"/>
  <c r="CW157" i="10" s="1"/>
  <c r="CX157" i="10" s="1"/>
  <c r="CV158" i="10"/>
  <c r="CW158" i="10" s="1"/>
  <c r="CX158" i="10" s="1"/>
  <c r="CV159" i="10"/>
  <c r="CW159" i="10" s="1"/>
  <c r="CX159" i="10" s="1"/>
  <c r="CV160" i="10"/>
  <c r="CW160" i="10" s="1"/>
  <c r="CX160" i="10" s="1"/>
  <c r="CV161" i="10"/>
  <c r="CW161" i="10" s="1"/>
  <c r="CX161" i="10" s="1"/>
  <c r="CV162" i="10"/>
  <c r="CW162" i="10" s="1"/>
  <c r="CX162" i="10" s="1"/>
  <c r="CV163" i="10"/>
  <c r="CW163" i="10" s="1"/>
  <c r="CX163" i="10" s="1"/>
  <c r="CV164" i="10"/>
  <c r="CW164" i="10" s="1"/>
  <c r="CX164" i="10" s="1"/>
  <c r="CV165" i="10"/>
  <c r="CW165" i="10" s="1"/>
  <c r="CX165" i="10" s="1"/>
  <c r="CV166" i="10"/>
  <c r="CW166" i="10" s="1"/>
  <c r="CX166" i="10" s="1"/>
  <c r="CV167" i="10"/>
  <c r="CW167" i="10" s="1"/>
  <c r="CX167" i="10" s="1"/>
  <c r="CV168" i="10"/>
  <c r="CW168" i="10" s="1"/>
  <c r="CX168" i="10" s="1"/>
  <c r="CV169" i="10"/>
  <c r="CW169" i="10" s="1"/>
  <c r="CX169" i="10" s="1"/>
  <c r="CV170" i="10"/>
  <c r="CW170" i="10" s="1"/>
  <c r="CX170" i="10" s="1"/>
  <c r="CV171" i="10"/>
  <c r="CW171" i="10" s="1"/>
  <c r="CX171" i="10" s="1"/>
  <c r="CV172" i="10"/>
  <c r="CW172" i="10" s="1"/>
  <c r="CX172" i="10" s="1"/>
  <c r="CV173" i="10"/>
  <c r="CW173" i="10" s="1"/>
  <c r="CX173" i="10" s="1"/>
  <c r="CV174" i="10"/>
  <c r="CW174" i="10" s="1"/>
  <c r="CX174" i="10" s="1"/>
  <c r="CV175" i="10"/>
  <c r="CV176" i="10"/>
  <c r="CV177" i="10"/>
  <c r="CV178" i="10"/>
  <c r="CV179" i="10"/>
  <c r="CV180" i="10"/>
  <c r="CV181" i="10"/>
  <c r="CV182" i="10"/>
  <c r="CW182" i="10" s="1"/>
  <c r="CX182" i="10" s="1"/>
  <c r="CV183" i="10"/>
  <c r="CW183" i="10" s="1"/>
  <c r="CX183" i="10" s="1"/>
  <c r="CV184" i="10"/>
  <c r="CW184" i="10" s="1"/>
  <c r="CX184" i="10" s="1"/>
  <c r="CV185" i="10"/>
  <c r="CW185" i="10" s="1"/>
  <c r="CX185" i="10" s="1"/>
  <c r="CV186" i="10"/>
  <c r="CW186" i="10" s="1"/>
  <c r="CX186" i="10" s="1"/>
  <c r="CV187" i="10"/>
  <c r="CW187" i="10" s="1"/>
  <c r="CX187" i="10" s="1"/>
  <c r="CV188" i="10"/>
  <c r="CW188" i="10" s="1"/>
  <c r="CX188" i="10" s="1"/>
  <c r="CV189" i="10"/>
  <c r="CW189" i="10" s="1"/>
  <c r="CX189" i="10" s="1"/>
  <c r="CV190" i="10"/>
  <c r="CW190" i="10" s="1"/>
  <c r="CX190" i="10" s="1"/>
  <c r="CV191" i="10"/>
  <c r="CW191" i="10" s="1"/>
  <c r="CX191" i="10" s="1"/>
  <c r="CV192" i="10"/>
  <c r="CW192" i="10" s="1"/>
  <c r="CX192" i="10" s="1"/>
  <c r="CV193" i="10"/>
  <c r="CV194" i="10"/>
  <c r="CW194" i="10" s="1"/>
  <c r="CX194" i="10" s="1"/>
  <c r="CV195" i="10"/>
  <c r="CV196" i="10"/>
  <c r="CV197" i="10"/>
  <c r="CV198" i="10"/>
  <c r="CV199" i="10"/>
  <c r="CV200" i="10"/>
  <c r="CV201" i="10"/>
  <c r="CW201" i="10" s="1"/>
  <c r="CX201" i="10" s="1"/>
  <c r="CV202" i="10"/>
  <c r="CW202" i="10" s="1"/>
  <c r="CX202" i="10" s="1"/>
  <c r="CV203" i="10"/>
  <c r="CW203" i="10" s="1"/>
  <c r="CX203" i="10" s="1"/>
  <c r="CV204" i="10"/>
  <c r="CW204" i="10" s="1"/>
  <c r="CX204" i="10" s="1"/>
  <c r="CV205" i="10"/>
  <c r="CW205" i="10" s="1"/>
  <c r="CX205" i="10" s="1"/>
  <c r="CV206" i="10"/>
  <c r="CW206" i="10" s="1"/>
  <c r="CX206" i="10" s="1"/>
  <c r="CV207" i="10"/>
  <c r="CW207" i="10" s="1"/>
  <c r="CX207" i="10" s="1"/>
  <c r="CV208" i="10"/>
  <c r="CW208" i="10" s="1"/>
  <c r="CX208" i="10" s="1"/>
  <c r="CV209" i="10"/>
  <c r="CW209" i="10" s="1"/>
  <c r="CX209" i="10" s="1"/>
  <c r="CV210" i="10"/>
  <c r="CW210" i="10" s="1"/>
  <c r="CX210" i="10" s="1"/>
  <c r="CV211" i="10"/>
  <c r="CW211" i="10" s="1"/>
  <c r="CX211" i="10" s="1"/>
  <c r="CV212" i="10"/>
  <c r="CW212" i="10" s="1"/>
  <c r="CX212" i="10" s="1"/>
  <c r="CV213" i="10"/>
  <c r="CW213" i="10" s="1"/>
  <c r="CX213" i="10" s="1"/>
  <c r="CV214" i="10"/>
  <c r="CW214" i="10" s="1"/>
  <c r="CX214" i="10" s="1"/>
  <c r="CV215" i="10"/>
  <c r="CW215" i="10" s="1"/>
  <c r="CX215" i="10" s="1"/>
  <c r="CV216" i="10"/>
  <c r="CW216" i="10" s="1"/>
  <c r="CX216" i="10" s="1"/>
  <c r="CV217" i="10"/>
  <c r="CW217" i="10" s="1"/>
  <c r="CX217" i="10" s="1"/>
  <c r="CV218" i="10"/>
  <c r="CW218" i="10" s="1"/>
  <c r="CX218" i="10" s="1"/>
  <c r="CV219" i="10"/>
  <c r="CW219" i="10" s="1"/>
  <c r="CX219" i="10" s="1"/>
  <c r="CV220" i="10"/>
  <c r="CW220" i="10" s="1"/>
  <c r="CX220" i="10" s="1"/>
  <c r="CV221" i="10"/>
  <c r="CV222" i="10"/>
  <c r="CW222" i="10" s="1"/>
  <c r="CX222" i="10" s="1"/>
  <c r="CV223" i="10"/>
  <c r="CW223" i="10" s="1"/>
  <c r="CX223" i="10" s="1"/>
  <c r="CV224" i="10"/>
  <c r="CW224" i="10" s="1"/>
  <c r="CX224" i="10" s="1"/>
  <c r="CV225" i="10"/>
  <c r="CW225" i="10" s="1"/>
  <c r="CX225" i="10" s="1"/>
  <c r="CV226" i="10"/>
  <c r="CW226" i="10" s="1"/>
  <c r="CX226" i="10" s="1"/>
  <c r="CV227" i="10"/>
  <c r="CW227" i="10" s="1"/>
  <c r="CX227" i="10" s="1"/>
  <c r="CV228" i="10"/>
  <c r="CW228" i="10" s="1"/>
  <c r="CX228" i="10" s="1"/>
  <c r="CU2" i="10" a="1"/>
  <c r="CU2" i="10" s="1"/>
  <c r="CU3" i="10" a="1"/>
  <c r="CU3" i="10" s="1"/>
  <c r="CU4" i="10" a="1"/>
  <c r="CU4" i="10" s="1"/>
  <c r="CU5" i="10" a="1"/>
  <c r="CU5" i="10" s="1"/>
  <c r="CU6" i="10" a="1"/>
  <c r="CU6" i="10"/>
  <c r="CU7" i="10" a="1"/>
  <c r="CU7" i="10"/>
  <c r="CU8" i="10" a="1"/>
  <c r="CU8" i="10"/>
  <c r="CU9" i="10" a="1"/>
  <c r="CU9" i="10"/>
  <c r="CU10" i="10" a="1"/>
  <c r="CU10" i="10"/>
  <c r="CU11" i="10" a="1"/>
  <c r="CU11" i="10"/>
  <c r="CU12" i="10" a="1"/>
  <c r="CU12" i="10" s="1"/>
  <c r="CU13" i="10" a="1"/>
  <c r="CU13" i="10" s="1"/>
  <c r="CU14" i="10" a="1"/>
  <c r="CU14" i="10" s="1"/>
  <c r="CU15" i="10" a="1"/>
  <c r="CU15" i="10" s="1"/>
  <c r="CU16" i="10" a="1"/>
  <c r="CU16" i="10"/>
  <c r="CU17" i="10" a="1"/>
  <c r="CU17" i="10"/>
  <c r="CU18" i="10" a="1"/>
  <c r="CU18" i="10"/>
  <c r="CU19" i="10" a="1"/>
  <c r="CU19" i="10"/>
  <c r="CU20" i="10" a="1"/>
  <c r="CU20" i="10"/>
  <c r="CU21" i="10" a="1"/>
  <c r="CU21" i="10"/>
  <c r="CU22" i="10" a="1"/>
  <c r="CU22" i="10" s="1"/>
  <c r="CU23" i="10" a="1"/>
  <c r="CU23" i="10" s="1"/>
  <c r="CU24" i="10" a="1"/>
  <c r="CU24" i="10" s="1"/>
  <c r="CU25" i="10" a="1"/>
  <c r="CU25" i="10" s="1"/>
  <c r="CU26" i="10" a="1"/>
  <c r="CU26" i="10"/>
  <c r="CU27" i="10" a="1"/>
  <c r="CU27" i="10"/>
  <c r="CU28" i="10" a="1"/>
  <c r="CU28" i="10"/>
  <c r="CU29" i="10" a="1"/>
  <c r="CU29" i="10"/>
  <c r="CU30" i="10" a="1"/>
  <c r="CU30" i="10"/>
  <c r="CU31" i="10" a="1"/>
  <c r="CU31" i="10"/>
  <c r="CU32" i="10" a="1"/>
  <c r="CU32" i="10" s="1"/>
  <c r="CU33" i="10" a="1"/>
  <c r="CU33" i="10" s="1"/>
  <c r="CU34" i="10" a="1"/>
  <c r="CU34" i="10" s="1"/>
  <c r="CU35" i="10" a="1"/>
  <c r="CU35" i="10" s="1"/>
  <c r="CU36" i="10" a="1"/>
  <c r="CU36" i="10"/>
  <c r="CU37" i="10" a="1"/>
  <c r="CU37" i="10"/>
  <c r="CU38" i="10" a="1"/>
  <c r="CU38" i="10"/>
  <c r="CU39" i="10" a="1"/>
  <c r="CU39" i="10"/>
  <c r="CU40" i="10" a="1"/>
  <c r="CU40" i="10"/>
  <c r="CU41" i="10" a="1"/>
  <c r="CU41" i="10"/>
  <c r="CU42" i="10" a="1"/>
  <c r="CU42" i="10" s="1"/>
  <c r="CU43" i="10" a="1"/>
  <c r="CU43" i="10" s="1"/>
  <c r="CU44" i="10" a="1"/>
  <c r="CU44" i="10" s="1"/>
  <c r="CU45" i="10" a="1"/>
  <c r="CU45" i="10" s="1"/>
  <c r="CU46" i="10" a="1"/>
  <c r="CU46" i="10"/>
  <c r="CU47" i="10" a="1"/>
  <c r="CU47" i="10"/>
  <c r="CU48" i="10" a="1"/>
  <c r="CU48" i="10"/>
  <c r="CU49" i="10" a="1"/>
  <c r="CU49" i="10"/>
  <c r="CU50" i="10" a="1"/>
  <c r="CU50" i="10"/>
  <c r="CU51" i="10" a="1"/>
  <c r="CU51" i="10"/>
  <c r="CU52" i="10" a="1"/>
  <c r="CU52" i="10" s="1"/>
  <c r="CU53" i="10" a="1"/>
  <c r="CU53" i="10" s="1"/>
  <c r="CU54" i="10" a="1"/>
  <c r="CU54" i="10" s="1"/>
  <c r="CU55" i="10" a="1"/>
  <c r="CU55" i="10" s="1"/>
  <c r="CU56" i="10" a="1"/>
  <c r="CU56" i="10"/>
  <c r="CU57" i="10" a="1"/>
  <c r="CU57" i="10"/>
  <c r="CU58" i="10" a="1"/>
  <c r="CU58" i="10"/>
  <c r="CU59" i="10" a="1"/>
  <c r="CU59" i="10"/>
  <c r="CU60" i="10" a="1"/>
  <c r="CU60" i="10"/>
  <c r="CU61" i="10" a="1"/>
  <c r="CU61" i="10"/>
  <c r="CU62" i="10" a="1"/>
  <c r="CU62" i="10" s="1"/>
  <c r="CU63" i="10" a="1"/>
  <c r="CU63" i="10" s="1"/>
  <c r="CU64" i="10" a="1"/>
  <c r="CU64" i="10" s="1"/>
  <c r="CU65" i="10" a="1"/>
  <c r="CU65" i="10" s="1"/>
  <c r="CU66" i="10" a="1"/>
  <c r="CU66" i="10"/>
  <c r="CU67" i="10" a="1"/>
  <c r="CU67" i="10"/>
  <c r="CU68" i="10" a="1"/>
  <c r="CU68" i="10"/>
  <c r="CU69" i="10" a="1"/>
  <c r="CU69" i="10"/>
  <c r="CU70" i="10" a="1"/>
  <c r="CU70" i="10"/>
  <c r="CU71" i="10" a="1"/>
  <c r="CU71" i="10"/>
  <c r="CU72" i="10" a="1"/>
  <c r="CU72" i="10" s="1"/>
  <c r="CU73" i="10" a="1"/>
  <c r="CU73" i="10" s="1"/>
  <c r="CU74" i="10" a="1"/>
  <c r="CU74" i="10" s="1"/>
  <c r="CU75" i="10" a="1"/>
  <c r="CU75" i="10" s="1"/>
  <c r="CU76" i="10" a="1"/>
  <c r="CU76" i="10"/>
  <c r="CU77" i="10" a="1"/>
  <c r="CU77" i="10"/>
  <c r="CU78" i="10" a="1"/>
  <c r="CU78" i="10"/>
  <c r="CU79" i="10" a="1"/>
  <c r="CU79" i="10"/>
  <c r="CU80" i="10" a="1"/>
  <c r="CU80" i="10"/>
  <c r="CU81" i="10" a="1"/>
  <c r="CU81" i="10"/>
  <c r="CU82" i="10" a="1"/>
  <c r="CU82" i="10" s="1"/>
  <c r="CU83" i="10" a="1"/>
  <c r="CU83" i="10" s="1"/>
  <c r="CU84" i="10" a="1"/>
  <c r="CU84" i="10" s="1"/>
  <c r="CU85" i="10" a="1"/>
  <c r="CU85" i="10" s="1"/>
  <c r="CU86" i="10" a="1"/>
  <c r="CU86" i="10"/>
  <c r="CU87" i="10" a="1"/>
  <c r="CU87" i="10"/>
  <c r="CU88" i="10" a="1"/>
  <c r="CU88" i="10"/>
  <c r="CU89" i="10" a="1"/>
  <c r="CU89" i="10"/>
  <c r="CU90" i="10" a="1"/>
  <c r="CU90" i="10"/>
  <c r="CU91" i="10" a="1"/>
  <c r="CU91" i="10"/>
  <c r="CU92" i="10" a="1"/>
  <c r="CU92" i="10" s="1"/>
  <c r="CU93" i="10" a="1"/>
  <c r="CU93" i="10" s="1"/>
  <c r="CU94" i="10" a="1"/>
  <c r="CU94" i="10" s="1"/>
  <c r="CU95" i="10" a="1"/>
  <c r="CU95" i="10" s="1"/>
  <c r="CU96" i="10" a="1"/>
  <c r="CU96" i="10"/>
  <c r="CU97" i="10" a="1"/>
  <c r="CU97" i="10"/>
  <c r="CU98" i="10" a="1"/>
  <c r="CU98" i="10"/>
  <c r="CU99" i="10" a="1"/>
  <c r="CU99" i="10"/>
  <c r="CU100" i="10" a="1"/>
  <c r="CU100" i="10"/>
  <c r="CU101" i="10" a="1"/>
  <c r="CU101" i="10"/>
  <c r="CU102" i="10" a="1"/>
  <c r="CU102" i="10" s="1"/>
  <c r="CU103" i="10" a="1"/>
  <c r="CU103" i="10" s="1"/>
  <c r="CU104" i="10" a="1"/>
  <c r="CU104" i="10" s="1"/>
  <c r="CU105" i="10" a="1"/>
  <c r="CU105" i="10" s="1"/>
  <c r="CU106" i="10" a="1"/>
  <c r="CU106" i="10"/>
  <c r="CU107" i="10" a="1"/>
  <c r="CU107" i="10"/>
  <c r="CU108" i="10" a="1"/>
  <c r="CU108" i="10"/>
  <c r="CU109" i="10" a="1"/>
  <c r="CU109" i="10"/>
  <c r="CU110" i="10" a="1"/>
  <c r="CU110" i="10"/>
  <c r="CU111" i="10" a="1"/>
  <c r="CU111" i="10"/>
  <c r="CU112" i="10" a="1"/>
  <c r="CU112" i="10" s="1"/>
  <c r="CU113" i="10" a="1"/>
  <c r="CU113" i="10" s="1"/>
  <c r="CU114" i="10" a="1"/>
  <c r="CU114" i="10" s="1"/>
  <c r="CU115" i="10" a="1"/>
  <c r="CU115" i="10" s="1"/>
  <c r="CU116" i="10" a="1"/>
  <c r="CU116" i="10"/>
  <c r="CU117" i="10" a="1"/>
  <c r="CU117" i="10"/>
  <c r="CU118" i="10" a="1"/>
  <c r="CU118" i="10"/>
  <c r="CU119" i="10" a="1"/>
  <c r="CU119" i="10"/>
  <c r="CU120" i="10" a="1"/>
  <c r="CU120" i="10"/>
  <c r="CU121" i="10" a="1"/>
  <c r="CU121" i="10"/>
  <c r="CU122" i="10" a="1"/>
  <c r="CU122" i="10" s="1"/>
  <c r="CU123" i="10" a="1"/>
  <c r="CU123" i="10" s="1"/>
  <c r="CU124" i="10" a="1"/>
  <c r="CU124" i="10" s="1"/>
  <c r="CU125" i="10" a="1"/>
  <c r="CU125" i="10" s="1"/>
  <c r="CU126" i="10" a="1"/>
  <c r="CU126" i="10"/>
  <c r="CU127" i="10" a="1"/>
  <c r="CU127" i="10"/>
  <c r="CU128" i="10" a="1"/>
  <c r="CU128" i="10"/>
  <c r="CU129" i="10" a="1"/>
  <c r="CU129" i="10"/>
  <c r="CU130" i="10" a="1"/>
  <c r="CU130" i="10"/>
  <c r="CU131" i="10" a="1"/>
  <c r="CU131" i="10"/>
  <c r="CU132" i="10" a="1"/>
  <c r="CU132" i="10" s="1"/>
  <c r="CU133" i="10" a="1"/>
  <c r="CU133" i="10" s="1"/>
  <c r="CU134" i="10" a="1"/>
  <c r="CU134" i="10" s="1"/>
  <c r="CU135" i="10" a="1"/>
  <c r="CU135" i="10" s="1"/>
  <c r="CU136" i="10" a="1"/>
  <c r="CU136" i="10"/>
  <c r="CU137" i="10" a="1"/>
  <c r="CU137" i="10"/>
  <c r="CU138" i="10" a="1"/>
  <c r="CU138" i="10"/>
  <c r="CU139" i="10" a="1"/>
  <c r="CU139" i="10"/>
  <c r="CU140" i="10" a="1"/>
  <c r="CU140" i="10"/>
  <c r="CU141" i="10" a="1"/>
  <c r="CU141" i="10"/>
  <c r="CU142" i="10" a="1"/>
  <c r="CU142" i="10" s="1"/>
  <c r="CU143" i="10" a="1"/>
  <c r="CU143" i="10" s="1"/>
  <c r="CU144" i="10" a="1"/>
  <c r="CU144" i="10" s="1"/>
  <c r="CU145" i="10" a="1"/>
  <c r="CU145" i="10" s="1"/>
  <c r="CU146" i="10" a="1"/>
  <c r="CU146" i="10"/>
  <c r="CU147" i="10" a="1"/>
  <c r="CU147" i="10"/>
  <c r="CU148" i="10" a="1"/>
  <c r="CU148" i="10"/>
  <c r="CU149" i="10" a="1"/>
  <c r="CU149" i="10"/>
  <c r="CU150" i="10" a="1"/>
  <c r="CU150" i="10"/>
  <c r="CU151" i="10" a="1"/>
  <c r="CU151" i="10"/>
  <c r="CU152" i="10" a="1"/>
  <c r="CU152" i="10" s="1"/>
  <c r="CU153" i="10" a="1"/>
  <c r="CU153" i="10" s="1"/>
  <c r="CU154" i="10" a="1"/>
  <c r="CU154" i="10" s="1"/>
  <c r="CU155" i="10" a="1"/>
  <c r="CU155" i="10" s="1"/>
  <c r="CU156" i="10" a="1"/>
  <c r="CU156" i="10"/>
  <c r="CU157" i="10" a="1"/>
  <c r="CU157" i="10"/>
  <c r="CU158" i="10" a="1"/>
  <c r="CU158" i="10"/>
  <c r="CU159" i="10" a="1"/>
  <c r="CU159" i="10"/>
  <c r="CU160" i="10" a="1"/>
  <c r="CU160" i="10"/>
  <c r="CU161" i="10" a="1"/>
  <c r="CU161" i="10"/>
  <c r="CU162" i="10" a="1"/>
  <c r="CU162" i="10" s="1"/>
  <c r="CU163" i="10" a="1"/>
  <c r="CU163" i="10" s="1"/>
  <c r="CU164" i="10" a="1"/>
  <c r="CU164" i="10" s="1"/>
  <c r="CU165" i="10" a="1"/>
  <c r="CU165" i="10" s="1"/>
  <c r="CU166" i="10" a="1"/>
  <c r="CU166" i="10"/>
  <c r="CU167" i="10" a="1"/>
  <c r="CU167" i="10"/>
  <c r="CU168" i="10" a="1"/>
  <c r="CU168" i="10"/>
  <c r="CU169" i="10" a="1"/>
  <c r="CU169" i="10"/>
  <c r="CU170" i="10" a="1"/>
  <c r="CU170" i="10"/>
  <c r="CU171" i="10" a="1"/>
  <c r="CU171" i="10"/>
  <c r="CU172" i="10" a="1"/>
  <c r="CU172" i="10" s="1"/>
  <c r="CU173" i="10" a="1"/>
  <c r="CU173" i="10" s="1"/>
  <c r="CU174" i="10" a="1"/>
  <c r="CU174" i="10" s="1"/>
  <c r="CU175" i="10" a="1"/>
  <c r="CU175" i="10" s="1"/>
  <c r="CU176" i="10" a="1"/>
  <c r="CU176" i="10"/>
  <c r="CU177" i="10" a="1"/>
  <c r="CU177" i="10"/>
  <c r="CU178" i="10" a="1"/>
  <c r="CU178" i="10"/>
  <c r="CU179" i="10" a="1"/>
  <c r="CU179" i="10"/>
  <c r="CU180" i="10" a="1"/>
  <c r="CU180" i="10"/>
  <c r="CU181" i="10" a="1"/>
  <c r="CU181" i="10"/>
  <c r="CU182" i="10" a="1"/>
  <c r="CU182" i="10" s="1"/>
  <c r="CU183" i="10" a="1"/>
  <c r="CU183" i="10" s="1"/>
  <c r="CU184" i="10" a="1"/>
  <c r="CU184" i="10" s="1"/>
  <c r="CU185" i="10" a="1"/>
  <c r="CU185" i="10" s="1"/>
  <c r="CU186" i="10" a="1"/>
  <c r="CU186" i="10"/>
  <c r="CU187" i="10" a="1"/>
  <c r="CU187" i="10"/>
  <c r="CU188" i="10" a="1"/>
  <c r="CU188" i="10"/>
  <c r="CU189" i="10" a="1"/>
  <c r="CU189" i="10"/>
  <c r="CU190" i="10" a="1"/>
  <c r="CU190" i="10"/>
  <c r="CU191" i="10" a="1"/>
  <c r="CU191" i="10"/>
  <c r="CU192" i="10" a="1"/>
  <c r="CU192" i="10" s="1"/>
  <c r="CU193" i="10" a="1"/>
  <c r="CU193" i="10" s="1"/>
  <c r="CU194" i="10" a="1"/>
  <c r="CU194" i="10" s="1"/>
  <c r="CU195" i="10" a="1"/>
  <c r="CU195" i="10" s="1"/>
  <c r="CU196" i="10" a="1"/>
  <c r="CU196" i="10"/>
  <c r="CU197" i="10" a="1"/>
  <c r="CU197" i="10"/>
  <c r="CU198" i="10" a="1"/>
  <c r="CU198" i="10"/>
  <c r="CU199" i="10" a="1"/>
  <c r="CU199" i="10"/>
  <c r="CU200" i="10" a="1"/>
  <c r="CU200" i="10"/>
  <c r="CU201" i="10" a="1"/>
  <c r="CU201" i="10"/>
  <c r="CU202" i="10" a="1"/>
  <c r="CU202" i="10" s="1"/>
  <c r="CU203" i="10" a="1"/>
  <c r="CU203" i="10" s="1"/>
  <c r="CU204" i="10" a="1"/>
  <c r="CU204" i="10" s="1"/>
  <c r="CU205" i="10" a="1"/>
  <c r="CU205" i="10" s="1"/>
  <c r="CU206" i="10" a="1"/>
  <c r="CU206" i="10"/>
  <c r="CU207" i="10" a="1"/>
  <c r="CU207" i="10"/>
  <c r="CU208" i="10" a="1"/>
  <c r="CU208" i="10"/>
  <c r="CU209" i="10" a="1"/>
  <c r="CU209" i="10"/>
  <c r="CU210" i="10" a="1"/>
  <c r="CU210" i="10"/>
  <c r="CU211" i="10" a="1"/>
  <c r="CU211" i="10"/>
  <c r="CU212" i="10" a="1"/>
  <c r="CU212" i="10" s="1"/>
  <c r="CU213" i="10" a="1"/>
  <c r="CU213" i="10" s="1"/>
  <c r="CU214" i="10" a="1"/>
  <c r="CU214" i="10" s="1"/>
  <c r="CU215" i="10" a="1"/>
  <c r="CU215" i="10" s="1"/>
  <c r="CU216" i="10" a="1"/>
  <c r="CU216" i="10"/>
  <c r="CU217" i="10" a="1"/>
  <c r="CU217" i="10"/>
  <c r="CU218" i="10" a="1"/>
  <c r="CU218" i="10"/>
  <c r="CU219" i="10" a="1"/>
  <c r="CU219" i="10"/>
  <c r="CU220" i="10" a="1"/>
  <c r="CU220" i="10"/>
  <c r="CU221" i="10" a="1"/>
  <c r="CU221" i="10"/>
  <c r="CU222" i="10" a="1"/>
  <c r="CU222" i="10" s="1"/>
  <c r="CU223" i="10" a="1"/>
  <c r="CU223" i="10" s="1"/>
  <c r="CU224" i="10" a="1"/>
  <c r="CU224" i="10" s="1"/>
  <c r="CU225" i="10" a="1"/>
  <c r="CU225" i="10" s="1"/>
  <c r="CU226" i="10" a="1"/>
  <c r="CU226" i="10"/>
  <c r="CU227" i="10" a="1"/>
  <c r="CU227" i="10"/>
  <c r="CU228" i="10" a="1"/>
  <c r="CU228" i="10"/>
  <c r="CT2" i="10"/>
  <c r="CT3" i="10"/>
  <c r="CT4" i="10"/>
  <c r="CT5" i="10"/>
  <c r="CT6" i="10"/>
  <c r="CT7" i="10"/>
  <c r="CT8" i="10"/>
  <c r="CT9" i="10"/>
  <c r="CT10" i="10"/>
  <c r="CT11" i="10"/>
  <c r="CT12" i="10"/>
  <c r="CT13" i="10"/>
  <c r="CT14" i="10"/>
  <c r="CT15" i="10"/>
  <c r="CT16" i="10"/>
  <c r="CT17" i="10"/>
  <c r="CT18" i="10"/>
  <c r="CT19" i="10"/>
  <c r="CT20" i="10"/>
  <c r="CT21" i="10"/>
  <c r="CT22" i="10"/>
  <c r="CT23" i="10"/>
  <c r="CT24" i="10"/>
  <c r="CT25" i="10"/>
  <c r="CT26" i="10"/>
  <c r="CT27" i="10"/>
  <c r="CT28" i="10"/>
  <c r="CT29" i="10"/>
  <c r="CT30" i="10"/>
  <c r="CT31" i="10"/>
  <c r="CT32" i="10"/>
  <c r="CT33" i="10"/>
  <c r="CT34" i="10"/>
  <c r="CT35" i="10"/>
  <c r="CT36" i="10"/>
  <c r="CT37" i="10"/>
  <c r="CT38" i="10"/>
  <c r="CT39" i="10"/>
  <c r="CT40" i="10"/>
  <c r="CT41" i="10"/>
  <c r="CT42" i="10"/>
  <c r="CT43" i="10"/>
  <c r="CT44" i="10"/>
  <c r="CT45" i="10"/>
  <c r="CT46" i="10"/>
  <c r="CT47" i="10"/>
  <c r="CT48" i="10"/>
  <c r="CT49" i="10"/>
  <c r="CT50" i="10"/>
  <c r="CT51" i="10"/>
  <c r="CT52" i="10"/>
  <c r="CT53" i="10"/>
  <c r="CT54" i="10"/>
  <c r="CT55" i="10"/>
  <c r="CT56" i="10"/>
  <c r="CT57" i="10"/>
  <c r="CT58" i="10"/>
  <c r="CT59" i="10"/>
  <c r="CT60" i="10"/>
  <c r="CT61" i="10"/>
  <c r="CT62" i="10"/>
  <c r="CT63" i="10"/>
  <c r="CT64" i="10"/>
  <c r="CT65" i="10"/>
  <c r="CT66" i="10"/>
  <c r="CT67" i="10"/>
  <c r="CT68" i="10"/>
  <c r="CT69" i="10"/>
  <c r="CT70" i="10"/>
  <c r="CT71" i="10"/>
  <c r="CT72" i="10"/>
  <c r="CT73" i="10"/>
  <c r="CT74" i="10"/>
  <c r="CT75" i="10"/>
  <c r="CT76" i="10"/>
  <c r="CT77" i="10"/>
  <c r="CT78" i="10"/>
  <c r="CT79" i="10"/>
  <c r="CT80" i="10"/>
  <c r="CT81" i="10"/>
  <c r="CT82" i="10"/>
  <c r="CT83" i="10"/>
  <c r="CT84" i="10"/>
  <c r="CT85" i="10"/>
  <c r="CT86" i="10"/>
  <c r="CT87" i="10"/>
  <c r="CT88" i="10"/>
  <c r="CT89" i="10"/>
  <c r="CT90" i="10"/>
  <c r="CT91" i="10"/>
  <c r="CT92" i="10"/>
  <c r="CT93" i="10"/>
  <c r="CT94" i="10"/>
  <c r="CT95" i="10"/>
  <c r="CT96" i="10"/>
  <c r="CT97" i="10"/>
  <c r="CT98" i="10"/>
  <c r="CT99" i="10"/>
  <c r="CT100" i="10"/>
  <c r="CT101" i="10"/>
  <c r="CT102" i="10"/>
  <c r="CT103" i="10"/>
  <c r="CT104" i="10"/>
  <c r="CT105" i="10"/>
  <c r="CT106" i="10"/>
  <c r="CT107" i="10"/>
  <c r="CT108" i="10"/>
  <c r="CT109" i="10"/>
  <c r="CT110" i="10"/>
  <c r="CT111" i="10"/>
  <c r="CT112" i="10"/>
  <c r="CT113" i="10"/>
  <c r="CT114" i="10"/>
  <c r="CT115" i="10"/>
  <c r="CT116" i="10"/>
  <c r="CT117" i="10"/>
  <c r="CT118" i="10"/>
  <c r="CT119" i="10"/>
  <c r="CT120" i="10"/>
  <c r="CT121" i="10"/>
  <c r="CT122" i="10"/>
  <c r="CT123" i="10"/>
  <c r="CT124" i="10"/>
  <c r="CT125" i="10"/>
  <c r="CT126" i="10"/>
  <c r="CT127" i="10"/>
  <c r="CT128" i="10"/>
  <c r="CT129" i="10"/>
  <c r="CT130" i="10"/>
  <c r="CT131" i="10"/>
  <c r="CT132" i="10"/>
  <c r="CT133" i="10"/>
  <c r="CT134" i="10"/>
  <c r="CT135" i="10"/>
  <c r="CT136" i="10"/>
  <c r="CT137" i="10"/>
  <c r="CT138" i="10"/>
  <c r="CT139" i="10"/>
  <c r="CT140" i="10"/>
  <c r="CT141" i="10"/>
  <c r="CT142" i="10"/>
  <c r="CT143" i="10"/>
  <c r="CT144" i="10"/>
  <c r="CT145" i="10"/>
  <c r="CT146" i="10"/>
  <c r="CT147" i="10"/>
  <c r="CT148" i="10"/>
  <c r="CT149" i="10"/>
  <c r="CT150" i="10"/>
  <c r="CT151" i="10"/>
  <c r="CT152" i="10"/>
  <c r="CT153" i="10"/>
  <c r="CT154" i="10"/>
  <c r="CT155" i="10"/>
  <c r="CT156" i="10"/>
  <c r="CT157" i="10"/>
  <c r="CT158" i="10"/>
  <c r="CT159" i="10"/>
  <c r="CT160" i="10"/>
  <c r="CT161" i="10"/>
  <c r="CT162" i="10"/>
  <c r="CT163" i="10"/>
  <c r="CT164" i="10"/>
  <c r="CT165" i="10"/>
  <c r="CT166" i="10"/>
  <c r="CT167" i="10"/>
  <c r="CT168" i="10"/>
  <c r="CT169" i="10"/>
  <c r="CT170" i="10"/>
  <c r="CT171" i="10"/>
  <c r="CT172" i="10"/>
  <c r="CT173" i="10"/>
  <c r="CT174" i="10"/>
  <c r="CT175" i="10"/>
  <c r="CT176" i="10"/>
  <c r="CT177" i="10"/>
  <c r="CT178" i="10"/>
  <c r="CT179" i="10"/>
  <c r="CT180" i="10"/>
  <c r="CT181" i="10"/>
  <c r="CT182" i="10"/>
  <c r="CT183" i="10"/>
  <c r="CT184" i="10"/>
  <c r="CT185" i="10"/>
  <c r="CT186" i="10"/>
  <c r="CT187" i="10"/>
  <c r="CT188" i="10"/>
  <c r="CT189" i="10"/>
  <c r="CT190" i="10"/>
  <c r="CT191" i="10"/>
  <c r="CT192" i="10"/>
  <c r="CT193" i="10"/>
  <c r="CT194" i="10"/>
  <c r="CT195" i="10"/>
  <c r="CT196" i="10"/>
  <c r="CT197" i="10"/>
  <c r="CT198" i="10"/>
  <c r="CT199" i="10"/>
  <c r="CT200" i="10"/>
  <c r="CT201" i="10"/>
  <c r="CT202" i="10"/>
  <c r="CT203" i="10"/>
  <c r="CT204" i="10"/>
  <c r="CT205" i="10"/>
  <c r="CT206" i="10"/>
  <c r="CT207" i="10"/>
  <c r="CT208" i="10"/>
  <c r="CT209" i="10"/>
  <c r="CT210" i="10"/>
  <c r="CT211" i="10"/>
  <c r="CT212" i="10"/>
  <c r="CT213" i="10"/>
  <c r="CT214" i="10"/>
  <c r="CT215" i="10"/>
  <c r="CT216" i="10"/>
  <c r="CT217" i="10"/>
  <c r="CT218" i="10"/>
  <c r="CT219" i="10"/>
  <c r="CT220" i="10"/>
  <c r="CT221" i="10"/>
  <c r="CT222" i="10"/>
  <c r="CT223" i="10"/>
  <c r="CT224" i="10"/>
  <c r="CT225" i="10"/>
  <c r="CT226" i="10"/>
  <c r="CT227" i="10"/>
  <c r="CT228" i="10"/>
  <c r="CS2" i="10" a="1"/>
  <c r="CS2" i="10" s="1"/>
  <c r="CS3" i="10" a="1"/>
  <c r="CS3" i="10" s="1"/>
  <c r="CS4" i="10" a="1"/>
  <c r="CS4" i="10" s="1"/>
  <c r="CS5" i="10" a="1"/>
  <c r="CS5" i="10" s="1"/>
  <c r="CS6" i="10" a="1"/>
  <c r="CS6" i="10"/>
  <c r="CS7" i="10" a="1"/>
  <c r="CS7" i="10"/>
  <c r="CS8" i="10" a="1"/>
  <c r="CS8" i="10"/>
  <c r="CS9" i="10" a="1"/>
  <c r="CS9" i="10"/>
  <c r="CS10" i="10" a="1"/>
  <c r="CS10" i="10"/>
  <c r="CS11" i="10" a="1"/>
  <c r="CS11" i="10"/>
  <c r="CS12" i="10" a="1"/>
  <c r="CS12" i="10" s="1"/>
  <c r="CS13" i="10" a="1"/>
  <c r="CS13" i="10" s="1"/>
  <c r="CS14" i="10" a="1"/>
  <c r="CS14" i="10" s="1"/>
  <c r="CS15" i="10" a="1"/>
  <c r="CS15" i="10" s="1"/>
  <c r="CS16" i="10" a="1"/>
  <c r="CS16" i="10"/>
  <c r="CS17" i="10" a="1"/>
  <c r="CS17" i="10"/>
  <c r="CS18" i="10" a="1"/>
  <c r="CS18" i="10"/>
  <c r="CS19" i="10" a="1"/>
  <c r="CS19" i="10"/>
  <c r="CS20" i="10" a="1"/>
  <c r="CS20" i="10"/>
  <c r="CS21" i="10" a="1"/>
  <c r="CS21" i="10"/>
  <c r="CS22" i="10" a="1"/>
  <c r="CS22" i="10" s="1"/>
  <c r="CS23" i="10" a="1"/>
  <c r="CS23" i="10" s="1"/>
  <c r="CS24" i="10" a="1"/>
  <c r="CS24" i="10" s="1"/>
  <c r="CS25" i="10" a="1"/>
  <c r="CS25" i="10" s="1"/>
  <c r="CS26" i="10" a="1"/>
  <c r="CS26" i="10"/>
  <c r="CS27" i="10" a="1"/>
  <c r="CS27" i="10"/>
  <c r="CS28" i="10" a="1"/>
  <c r="CS28" i="10"/>
  <c r="CS29" i="10" a="1"/>
  <c r="CS29" i="10"/>
  <c r="CS30" i="10" a="1"/>
  <c r="CS30" i="10"/>
  <c r="CS31" i="10" a="1"/>
  <c r="CS31" i="10"/>
  <c r="CS32" i="10" a="1"/>
  <c r="CS32" i="10" s="1"/>
  <c r="CS33" i="10" a="1"/>
  <c r="CS33" i="10" s="1"/>
  <c r="CS34" i="10" a="1"/>
  <c r="CS34" i="10" s="1"/>
  <c r="CS35" i="10" a="1"/>
  <c r="CS35" i="10" s="1"/>
  <c r="CS36" i="10" a="1"/>
  <c r="CS36" i="10"/>
  <c r="CS37" i="10" a="1"/>
  <c r="CS37" i="10"/>
  <c r="CS38" i="10" a="1"/>
  <c r="CS38" i="10"/>
  <c r="CS39" i="10" a="1"/>
  <c r="CS39" i="10"/>
  <c r="CS40" i="10" a="1"/>
  <c r="CS40" i="10"/>
  <c r="CS41" i="10" a="1"/>
  <c r="CS41" i="10"/>
  <c r="CS42" i="10" a="1"/>
  <c r="CS42" i="10" s="1"/>
  <c r="CS43" i="10" a="1"/>
  <c r="CS43" i="10" s="1"/>
  <c r="CS44" i="10" a="1"/>
  <c r="CS44" i="10" s="1"/>
  <c r="CS45" i="10" a="1"/>
  <c r="CS45" i="10" s="1"/>
  <c r="CS46" i="10" a="1"/>
  <c r="CS46" i="10"/>
  <c r="CS47" i="10" a="1"/>
  <c r="CS47" i="10"/>
  <c r="CS48" i="10" a="1"/>
  <c r="CS48" i="10"/>
  <c r="CS49" i="10" a="1"/>
  <c r="CS49" i="10"/>
  <c r="CS50" i="10" a="1"/>
  <c r="CS50" i="10"/>
  <c r="CS51" i="10" a="1"/>
  <c r="CS51" i="10"/>
  <c r="CS52" i="10" a="1"/>
  <c r="CS52" i="10" s="1"/>
  <c r="CS53" i="10" a="1"/>
  <c r="CS53" i="10" s="1"/>
  <c r="CS54" i="10" a="1"/>
  <c r="CS54" i="10" s="1"/>
  <c r="CS55" i="10" a="1"/>
  <c r="CS55" i="10" s="1"/>
  <c r="CS56" i="10" a="1"/>
  <c r="CS56" i="10"/>
  <c r="CS57" i="10" a="1"/>
  <c r="CS57" i="10"/>
  <c r="CS58" i="10" a="1"/>
  <c r="CS58" i="10"/>
  <c r="CS59" i="10" a="1"/>
  <c r="CS59" i="10"/>
  <c r="CS60" i="10" a="1"/>
  <c r="CS60" i="10"/>
  <c r="CS61" i="10" a="1"/>
  <c r="CS61" i="10"/>
  <c r="CS62" i="10" a="1"/>
  <c r="CS62" i="10" s="1"/>
  <c r="CS63" i="10" a="1"/>
  <c r="CS63" i="10" s="1"/>
  <c r="CS64" i="10" a="1"/>
  <c r="CS64" i="10" s="1"/>
  <c r="CS65" i="10" a="1"/>
  <c r="CS65" i="10" s="1"/>
  <c r="CS66" i="10" a="1"/>
  <c r="CS66" i="10"/>
  <c r="CS67" i="10" a="1"/>
  <c r="CS67" i="10"/>
  <c r="CS68" i="10" a="1"/>
  <c r="CS68" i="10"/>
  <c r="CS69" i="10" a="1"/>
  <c r="CS69" i="10"/>
  <c r="CS70" i="10" a="1"/>
  <c r="CS70" i="10"/>
  <c r="CS71" i="10" a="1"/>
  <c r="CS71" i="10"/>
  <c r="CS72" i="10" a="1"/>
  <c r="CS72" i="10" s="1"/>
  <c r="CS73" i="10" a="1"/>
  <c r="CS73" i="10" s="1"/>
  <c r="CS74" i="10" a="1"/>
  <c r="CS74" i="10" s="1"/>
  <c r="CS75" i="10" a="1"/>
  <c r="CS75" i="10" s="1"/>
  <c r="CS76" i="10" a="1"/>
  <c r="CS76" i="10"/>
  <c r="CS77" i="10" a="1"/>
  <c r="CS77" i="10"/>
  <c r="CS78" i="10" a="1"/>
  <c r="CS78" i="10"/>
  <c r="CS79" i="10" a="1"/>
  <c r="CS79" i="10"/>
  <c r="CS80" i="10" a="1"/>
  <c r="CS80" i="10"/>
  <c r="CS81" i="10" a="1"/>
  <c r="CS81" i="10"/>
  <c r="CS82" i="10" a="1"/>
  <c r="CS82" i="10" s="1"/>
  <c r="CS83" i="10" a="1"/>
  <c r="CS83" i="10" s="1"/>
  <c r="CS84" i="10" a="1"/>
  <c r="CS84" i="10" s="1"/>
  <c r="CS85" i="10" a="1"/>
  <c r="CS85" i="10" s="1"/>
  <c r="CS86" i="10" a="1"/>
  <c r="CS86" i="10"/>
  <c r="CS87" i="10" a="1"/>
  <c r="CS87" i="10"/>
  <c r="CS88" i="10" a="1"/>
  <c r="CS88" i="10"/>
  <c r="CS89" i="10" a="1"/>
  <c r="CS89" i="10"/>
  <c r="CS90" i="10" a="1"/>
  <c r="CS90" i="10"/>
  <c r="CS91" i="10" a="1"/>
  <c r="CS91" i="10"/>
  <c r="CS92" i="10" a="1"/>
  <c r="CS92" i="10" s="1"/>
  <c r="CS93" i="10" a="1"/>
  <c r="CS93" i="10" s="1"/>
  <c r="CS94" i="10" a="1"/>
  <c r="CS94" i="10" s="1"/>
  <c r="CS95" i="10" a="1"/>
  <c r="CS95" i="10" s="1"/>
  <c r="CS96" i="10" a="1"/>
  <c r="CS96" i="10"/>
  <c r="CS97" i="10" a="1"/>
  <c r="CS97" i="10"/>
  <c r="CS98" i="10" a="1"/>
  <c r="CS98" i="10"/>
  <c r="CS99" i="10" a="1"/>
  <c r="CS99" i="10"/>
  <c r="CS100" i="10" a="1"/>
  <c r="CS100" i="10"/>
  <c r="CS101" i="10" a="1"/>
  <c r="CS101" i="10"/>
  <c r="CS102" i="10" a="1"/>
  <c r="CS102" i="10" s="1"/>
  <c r="CS103" i="10" a="1"/>
  <c r="CS103" i="10" s="1"/>
  <c r="CS104" i="10" a="1"/>
  <c r="CS104" i="10" s="1"/>
  <c r="CS105" i="10" a="1"/>
  <c r="CS105" i="10" s="1"/>
  <c r="CS106" i="10" a="1"/>
  <c r="CS106" i="10"/>
  <c r="CS107" i="10" a="1"/>
  <c r="CS107" i="10"/>
  <c r="CS108" i="10" a="1"/>
  <c r="CS108" i="10"/>
  <c r="CS109" i="10" a="1"/>
  <c r="CS109" i="10"/>
  <c r="CS110" i="10" a="1"/>
  <c r="CS110" i="10"/>
  <c r="CS111" i="10" a="1"/>
  <c r="CS111" i="10"/>
  <c r="CS112" i="10" a="1"/>
  <c r="CS112" i="10" s="1"/>
  <c r="CS113" i="10" a="1"/>
  <c r="CS113" i="10" s="1"/>
  <c r="CS114" i="10" a="1"/>
  <c r="CS114" i="10" s="1"/>
  <c r="CS115" i="10" a="1"/>
  <c r="CS115" i="10" s="1"/>
  <c r="CS116" i="10" a="1"/>
  <c r="CS116" i="10"/>
  <c r="CS117" i="10" a="1"/>
  <c r="CS117" i="10"/>
  <c r="CS118" i="10" a="1"/>
  <c r="CS118" i="10"/>
  <c r="CS119" i="10" a="1"/>
  <c r="CS119" i="10"/>
  <c r="CS120" i="10" a="1"/>
  <c r="CS120" i="10"/>
  <c r="CS121" i="10" a="1"/>
  <c r="CS121" i="10"/>
  <c r="CS122" i="10" a="1"/>
  <c r="CS122" i="10" s="1"/>
  <c r="CS123" i="10" a="1"/>
  <c r="CS123" i="10" s="1"/>
  <c r="CS124" i="10" a="1"/>
  <c r="CS124" i="10" s="1"/>
  <c r="CS125" i="10" a="1"/>
  <c r="CS125" i="10" s="1"/>
  <c r="CS126" i="10" a="1"/>
  <c r="CS126" i="10"/>
  <c r="CS127" i="10" a="1"/>
  <c r="CS127" i="10"/>
  <c r="CS128" i="10" a="1"/>
  <c r="CS128" i="10"/>
  <c r="CS129" i="10" a="1"/>
  <c r="CS129" i="10"/>
  <c r="CS130" i="10" a="1"/>
  <c r="CS130" i="10"/>
  <c r="CS131" i="10" a="1"/>
  <c r="CS131" i="10"/>
  <c r="CS132" i="10" a="1"/>
  <c r="CS132" i="10" s="1"/>
  <c r="CS133" i="10" a="1"/>
  <c r="CS133" i="10" s="1"/>
  <c r="CS134" i="10" a="1"/>
  <c r="CS134" i="10" s="1"/>
  <c r="CS135" i="10" a="1"/>
  <c r="CS135" i="10" s="1"/>
  <c r="CS136" i="10" a="1"/>
  <c r="CS136" i="10"/>
  <c r="CS137" i="10" a="1"/>
  <c r="CS137" i="10"/>
  <c r="CS138" i="10" a="1"/>
  <c r="CS138" i="10"/>
  <c r="CS139" i="10" a="1"/>
  <c r="CS139" i="10"/>
  <c r="CS140" i="10" a="1"/>
  <c r="CS140" i="10"/>
  <c r="CS141" i="10" a="1"/>
  <c r="CS141" i="10"/>
  <c r="CS142" i="10" a="1"/>
  <c r="CS142" i="10" s="1"/>
  <c r="CS143" i="10" a="1"/>
  <c r="CS143" i="10" s="1"/>
  <c r="CS144" i="10" a="1"/>
  <c r="CS144" i="10" s="1"/>
  <c r="CS145" i="10" a="1"/>
  <c r="CS145" i="10" s="1"/>
  <c r="CS146" i="10" a="1"/>
  <c r="CS146" i="10"/>
  <c r="CS147" i="10" a="1"/>
  <c r="CS147" i="10"/>
  <c r="CS148" i="10" a="1"/>
  <c r="CS148" i="10"/>
  <c r="CS149" i="10" a="1"/>
  <c r="CS149" i="10"/>
  <c r="CS150" i="10" a="1"/>
  <c r="CS150" i="10"/>
  <c r="CS151" i="10" a="1"/>
  <c r="CS151" i="10"/>
  <c r="CS152" i="10" a="1"/>
  <c r="CS152" i="10" s="1"/>
  <c r="CS153" i="10" a="1"/>
  <c r="CS153" i="10" s="1"/>
  <c r="CS154" i="10" a="1"/>
  <c r="CS154" i="10" s="1"/>
  <c r="CS155" i="10" a="1"/>
  <c r="CS155" i="10" s="1"/>
  <c r="CS156" i="10" a="1"/>
  <c r="CS156" i="10"/>
  <c r="CS157" i="10" a="1"/>
  <c r="CS157" i="10"/>
  <c r="CS158" i="10" a="1"/>
  <c r="CS158" i="10"/>
  <c r="CS159" i="10" a="1"/>
  <c r="CS159" i="10"/>
  <c r="CS160" i="10" a="1"/>
  <c r="CS160" i="10"/>
  <c r="CS161" i="10" a="1"/>
  <c r="CS161" i="10"/>
  <c r="CS162" i="10" a="1"/>
  <c r="CS162" i="10" s="1"/>
  <c r="CS163" i="10" a="1"/>
  <c r="CS163" i="10" s="1"/>
  <c r="CS164" i="10" a="1"/>
  <c r="CS164" i="10" s="1"/>
  <c r="CS165" i="10" a="1"/>
  <c r="CS165" i="10" s="1"/>
  <c r="CS166" i="10" a="1"/>
  <c r="CS166" i="10"/>
  <c r="CS167" i="10" a="1"/>
  <c r="CS167" i="10"/>
  <c r="CS168" i="10" a="1"/>
  <c r="CS168" i="10"/>
  <c r="CS169" i="10" a="1"/>
  <c r="CS169" i="10"/>
  <c r="CS170" i="10" a="1"/>
  <c r="CS170" i="10"/>
  <c r="CS171" i="10" a="1"/>
  <c r="CS171" i="10"/>
  <c r="CS172" i="10" a="1"/>
  <c r="CS172" i="10" s="1"/>
  <c r="CS173" i="10" a="1"/>
  <c r="CS173" i="10" s="1"/>
  <c r="CS174" i="10" a="1"/>
  <c r="CS174" i="10" s="1"/>
  <c r="CS175" i="10" a="1"/>
  <c r="CS175" i="10" s="1"/>
  <c r="CS176" i="10" a="1"/>
  <c r="CS176" i="10"/>
  <c r="CS177" i="10" a="1"/>
  <c r="CS177" i="10"/>
  <c r="CS178" i="10" a="1"/>
  <c r="CS178" i="10"/>
  <c r="CS179" i="10" a="1"/>
  <c r="CS179" i="10"/>
  <c r="CS180" i="10" a="1"/>
  <c r="CS180" i="10"/>
  <c r="CS181" i="10" a="1"/>
  <c r="CS181" i="10"/>
  <c r="CS182" i="10" a="1"/>
  <c r="CS182" i="10" s="1"/>
  <c r="CS183" i="10" a="1"/>
  <c r="CS183" i="10" s="1"/>
  <c r="CS184" i="10" a="1"/>
  <c r="CS184" i="10" s="1"/>
  <c r="CS185" i="10" a="1"/>
  <c r="CS185" i="10" s="1"/>
  <c r="CS186" i="10" a="1"/>
  <c r="CS186" i="10"/>
  <c r="CS187" i="10" a="1"/>
  <c r="CS187" i="10"/>
  <c r="CS188" i="10" a="1"/>
  <c r="CS188" i="10"/>
  <c r="CS189" i="10" a="1"/>
  <c r="CS189" i="10"/>
  <c r="CS190" i="10" a="1"/>
  <c r="CS190" i="10"/>
  <c r="CS191" i="10" a="1"/>
  <c r="CS191" i="10"/>
  <c r="CS192" i="10" a="1"/>
  <c r="CS192" i="10" s="1"/>
  <c r="CS193" i="10" a="1"/>
  <c r="CS193" i="10" s="1"/>
  <c r="CS194" i="10" a="1"/>
  <c r="CS194" i="10" s="1"/>
  <c r="CS195" i="10" a="1"/>
  <c r="CS195" i="10" s="1"/>
  <c r="CS196" i="10" a="1"/>
  <c r="CS196" i="10"/>
  <c r="CS197" i="10" a="1"/>
  <c r="CS197" i="10"/>
  <c r="CS198" i="10" a="1"/>
  <c r="CS198" i="10"/>
  <c r="CS199" i="10" a="1"/>
  <c r="CS199" i="10"/>
  <c r="CS200" i="10" a="1"/>
  <c r="CS200" i="10"/>
  <c r="CS201" i="10" a="1"/>
  <c r="CS201" i="10"/>
  <c r="CS202" i="10" a="1"/>
  <c r="CS202" i="10" s="1"/>
  <c r="CS203" i="10" a="1"/>
  <c r="CS203" i="10" s="1"/>
  <c r="CS204" i="10" a="1"/>
  <c r="CS204" i="10" s="1"/>
  <c r="CS205" i="10" a="1"/>
  <c r="CS205" i="10" s="1"/>
  <c r="CS206" i="10" a="1"/>
  <c r="CS206" i="10"/>
  <c r="CS207" i="10" a="1"/>
  <c r="CS207" i="10"/>
  <c r="CS208" i="10" a="1"/>
  <c r="CS208" i="10"/>
  <c r="CS209" i="10" a="1"/>
  <c r="CS209" i="10"/>
  <c r="CS210" i="10" a="1"/>
  <c r="CS210" i="10"/>
  <c r="CS211" i="10" a="1"/>
  <c r="CS211" i="10"/>
  <c r="CS212" i="10" a="1"/>
  <c r="CS212" i="10" s="1"/>
  <c r="CS213" i="10" a="1"/>
  <c r="CS213" i="10" s="1"/>
  <c r="CS214" i="10" a="1"/>
  <c r="CS214" i="10" s="1"/>
  <c r="CS215" i="10" a="1"/>
  <c r="CS215" i="10" s="1"/>
  <c r="CS216" i="10" a="1"/>
  <c r="CS216" i="10"/>
  <c r="CS217" i="10" a="1"/>
  <c r="CS217" i="10"/>
  <c r="CS218" i="10" a="1"/>
  <c r="CS218" i="10"/>
  <c r="CS219" i="10" a="1"/>
  <c r="CS219" i="10"/>
  <c r="CS220" i="10" a="1"/>
  <c r="CS220" i="10"/>
  <c r="CS221" i="10" a="1"/>
  <c r="CS221" i="10"/>
  <c r="CS222" i="10" a="1"/>
  <c r="CS222" i="10" s="1"/>
  <c r="CS223" i="10" a="1"/>
  <c r="CS223" i="10" s="1"/>
  <c r="CS224" i="10" a="1"/>
  <c r="CS224" i="10" s="1"/>
  <c r="CS225" i="10" a="1"/>
  <c r="CS225" i="10" s="1"/>
  <c r="CS226" i="10" a="1"/>
  <c r="CS226" i="10"/>
  <c r="CS227" i="10" a="1"/>
  <c r="CS227" i="10"/>
  <c r="CS228" i="10" a="1"/>
  <c r="CS228" i="10"/>
  <c r="CR2" i="10"/>
  <c r="CR3" i="10"/>
  <c r="CR4" i="10"/>
  <c r="CR5" i="10"/>
  <c r="CR6" i="10"/>
  <c r="CR7" i="10"/>
  <c r="CR8" i="10"/>
  <c r="CR9" i="10"/>
  <c r="CR10" i="10"/>
  <c r="CR11" i="10"/>
  <c r="CR12" i="10"/>
  <c r="CR13" i="10"/>
  <c r="CR14" i="10"/>
  <c r="CR15" i="10"/>
  <c r="CR16" i="10"/>
  <c r="CR17" i="10"/>
  <c r="CR18" i="10"/>
  <c r="CR19" i="10"/>
  <c r="CR20" i="10"/>
  <c r="CR21" i="10"/>
  <c r="CR22" i="10"/>
  <c r="CR23" i="10"/>
  <c r="CR24" i="10"/>
  <c r="CR25" i="10"/>
  <c r="CR26" i="10"/>
  <c r="CR27" i="10"/>
  <c r="CR28" i="10"/>
  <c r="CR29" i="10"/>
  <c r="CR30" i="10"/>
  <c r="CR31" i="10"/>
  <c r="CR32" i="10"/>
  <c r="CR33" i="10"/>
  <c r="CR34" i="10"/>
  <c r="CR35" i="10"/>
  <c r="CR36" i="10"/>
  <c r="CR37" i="10"/>
  <c r="CR38" i="10"/>
  <c r="CR39" i="10"/>
  <c r="CR40" i="10"/>
  <c r="CR41" i="10"/>
  <c r="CR42" i="10"/>
  <c r="CR43" i="10"/>
  <c r="CR44" i="10"/>
  <c r="CR45" i="10"/>
  <c r="CR46" i="10"/>
  <c r="CR47" i="10"/>
  <c r="CR48" i="10"/>
  <c r="CR49" i="10"/>
  <c r="CR50" i="10"/>
  <c r="CR51" i="10"/>
  <c r="CR52" i="10"/>
  <c r="CR53" i="10"/>
  <c r="CR54" i="10"/>
  <c r="CR55" i="10"/>
  <c r="CR56" i="10"/>
  <c r="CR57" i="10"/>
  <c r="CR58" i="10"/>
  <c r="CR59" i="10"/>
  <c r="CR60" i="10"/>
  <c r="CR61" i="10"/>
  <c r="CR62" i="10"/>
  <c r="CR63" i="10"/>
  <c r="CR64" i="10"/>
  <c r="CR65" i="10"/>
  <c r="CR66" i="10"/>
  <c r="CR67" i="10"/>
  <c r="CR68" i="10"/>
  <c r="CR69" i="10"/>
  <c r="CR70" i="10"/>
  <c r="CR71" i="10"/>
  <c r="CR72" i="10"/>
  <c r="CR73" i="10"/>
  <c r="CR74" i="10"/>
  <c r="CR75" i="10"/>
  <c r="CR76" i="10"/>
  <c r="CR77" i="10"/>
  <c r="CR78" i="10"/>
  <c r="CR79" i="10"/>
  <c r="CR80" i="10"/>
  <c r="CR81" i="10"/>
  <c r="CR82" i="10"/>
  <c r="CR83" i="10"/>
  <c r="CR84" i="10"/>
  <c r="CR85" i="10"/>
  <c r="CR86" i="10"/>
  <c r="CR87" i="10"/>
  <c r="CR88" i="10"/>
  <c r="CR89" i="10"/>
  <c r="CR90" i="10"/>
  <c r="CR91" i="10"/>
  <c r="CR92" i="10"/>
  <c r="CR93" i="10"/>
  <c r="CR94" i="10"/>
  <c r="CR95" i="10"/>
  <c r="CR96" i="10"/>
  <c r="CR97" i="10"/>
  <c r="CR98" i="10"/>
  <c r="CR99" i="10"/>
  <c r="CR100" i="10"/>
  <c r="CR101" i="10"/>
  <c r="CR102" i="10"/>
  <c r="CR103" i="10"/>
  <c r="CR104" i="10"/>
  <c r="CR105" i="10"/>
  <c r="CR106" i="10"/>
  <c r="CR107" i="10"/>
  <c r="CR108" i="10"/>
  <c r="CR109" i="10"/>
  <c r="CR110" i="10"/>
  <c r="CR111" i="10"/>
  <c r="CR112" i="10"/>
  <c r="CR113" i="10"/>
  <c r="CR114" i="10"/>
  <c r="CR115" i="10"/>
  <c r="CR116" i="10"/>
  <c r="CR117" i="10"/>
  <c r="CR118" i="10"/>
  <c r="CR119" i="10"/>
  <c r="CR120" i="10"/>
  <c r="CR121" i="10"/>
  <c r="CR122" i="10"/>
  <c r="CR123" i="10"/>
  <c r="CR124" i="10"/>
  <c r="CR125" i="10"/>
  <c r="CR126" i="10"/>
  <c r="CR127" i="10"/>
  <c r="CR128" i="10"/>
  <c r="CR129" i="10"/>
  <c r="CR130" i="10"/>
  <c r="CR131" i="10"/>
  <c r="CR132" i="10"/>
  <c r="CR133" i="10"/>
  <c r="CR134" i="10"/>
  <c r="CR135" i="10"/>
  <c r="CR136" i="10"/>
  <c r="CR137" i="10"/>
  <c r="CR138" i="10"/>
  <c r="CR139" i="10"/>
  <c r="CR140" i="10"/>
  <c r="CR141" i="10"/>
  <c r="CR142" i="10"/>
  <c r="CR143" i="10"/>
  <c r="CR144" i="10"/>
  <c r="CR145" i="10"/>
  <c r="CR146" i="10"/>
  <c r="CR147" i="10"/>
  <c r="CR148" i="10"/>
  <c r="CR149" i="10"/>
  <c r="CR150" i="10"/>
  <c r="CR151" i="10"/>
  <c r="CR152" i="10"/>
  <c r="CR153" i="10"/>
  <c r="CR154" i="10"/>
  <c r="CR155" i="10"/>
  <c r="CR156" i="10"/>
  <c r="CR157" i="10"/>
  <c r="CR158" i="10"/>
  <c r="CR159" i="10"/>
  <c r="CR160" i="10"/>
  <c r="CR161" i="10"/>
  <c r="CR162" i="10"/>
  <c r="CR163" i="10"/>
  <c r="CR164" i="10"/>
  <c r="CR165" i="10"/>
  <c r="CR166" i="10"/>
  <c r="CR167" i="10"/>
  <c r="CR168" i="10"/>
  <c r="CR169" i="10"/>
  <c r="CR170" i="10"/>
  <c r="CR171" i="10"/>
  <c r="CR172" i="10"/>
  <c r="CR173" i="10"/>
  <c r="CR174" i="10"/>
  <c r="CR175" i="10"/>
  <c r="CR176" i="10"/>
  <c r="CR177" i="10"/>
  <c r="CR178" i="10"/>
  <c r="CR179" i="10"/>
  <c r="CR180" i="10"/>
  <c r="CR181" i="10"/>
  <c r="CR182" i="10"/>
  <c r="CR183" i="10"/>
  <c r="CR184" i="10"/>
  <c r="CR185" i="10"/>
  <c r="CR186" i="10"/>
  <c r="CR187" i="10"/>
  <c r="CR188" i="10"/>
  <c r="CR189" i="10"/>
  <c r="CR190" i="10"/>
  <c r="CR191" i="10"/>
  <c r="CR192" i="10"/>
  <c r="CR193" i="10"/>
  <c r="CR194" i="10"/>
  <c r="CR195" i="10"/>
  <c r="CR196" i="10"/>
  <c r="CR197" i="10"/>
  <c r="CR198" i="10"/>
  <c r="CR199" i="10"/>
  <c r="CR200" i="10"/>
  <c r="CR201" i="10"/>
  <c r="CR202" i="10"/>
  <c r="CR203" i="10"/>
  <c r="CR204" i="10"/>
  <c r="CR205" i="10"/>
  <c r="CR206" i="10"/>
  <c r="CR207" i="10"/>
  <c r="CR208" i="10"/>
  <c r="CR209" i="10"/>
  <c r="CR210" i="10"/>
  <c r="CR211" i="10"/>
  <c r="CR212" i="10"/>
  <c r="CR213" i="10"/>
  <c r="CR214" i="10"/>
  <c r="CR215" i="10"/>
  <c r="CR216" i="10"/>
  <c r="CR217" i="10"/>
  <c r="CR218" i="10"/>
  <c r="CR219" i="10"/>
  <c r="CR220" i="10"/>
  <c r="CR221" i="10"/>
  <c r="CR222" i="10"/>
  <c r="CR223" i="10"/>
  <c r="CR224" i="10"/>
  <c r="CR225" i="10"/>
  <c r="CR226" i="10"/>
  <c r="CR227" i="10"/>
  <c r="CR228" i="10"/>
  <c r="CN2" i="10"/>
  <c r="CN3" i="10"/>
  <c r="CN4" i="10"/>
  <c r="CN5" i="10"/>
  <c r="CN6" i="10"/>
  <c r="CN7" i="10"/>
  <c r="CN8" i="10"/>
  <c r="CN9" i="10"/>
  <c r="CN10" i="10"/>
  <c r="CN11" i="10"/>
  <c r="CN12" i="10"/>
  <c r="CN13" i="10"/>
  <c r="CN14" i="10"/>
  <c r="CN15" i="10"/>
  <c r="CN16" i="10"/>
  <c r="CN17" i="10"/>
  <c r="CN18" i="10"/>
  <c r="CN19" i="10"/>
  <c r="CN20" i="10"/>
  <c r="CN21" i="10"/>
  <c r="CN22" i="10"/>
  <c r="CN23" i="10"/>
  <c r="CN24" i="10"/>
  <c r="CN25" i="10"/>
  <c r="CN26" i="10"/>
  <c r="CN27" i="10"/>
  <c r="CN28" i="10"/>
  <c r="CN29" i="10"/>
  <c r="CN30" i="10"/>
  <c r="CN31" i="10"/>
  <c r="CN32" i="10"/>
  <c r="CN33" i="10"/>
  <c r="CN34" i="10"/>
  <c r="CN35" i="10"/>
  <c r="CN36" i="10"/>
  <c r="CN37" i="10"/>
  <c r="CN38" i="10"/>
  <c r="CN39" i="10"/>
  <c r="CN40" i="10"/>
  <c r="CN41" i="10"/>
  <c r="CN42" i="10"/>
  <c r="CN43" i="10"/>
  <c r="CN44" i="10"/>
  <c r="CN45" i="10"/>
  <c r="CN46" i="10"/>
  <c r="CN47" i="10"/>
  <c r="CN48" i="10"/>
  <c r="CN49" i="10"/>
  <c r="CN50" i="10"/>
  <c r="CN51" i="10"/>
  <c r="CN52" i="10"/>
  <c r="CN53" i="10"/>
  <c r="CN54" i="10"/>
  <c r="CN55" i="10"/>
  <c r="CN56" i="10"/>
  <c r="CN57" i="10"/>
  <c r="CN58" i="10"/>
  <c r="CN59" i="10"/>
  <c r="CN60" i="10"/>
  <c r="CN61" i="10"/>
  <c r="CN62" i="10"/>
  <c r="CN63" i="10"/>
  <c r="CN64" i="10"/>
  <c r="CN65" i="10"/>
  <c r="CN66" i="10"/>
  <c r="CN67" i="10"/>
  <c r="CN68" i="10"/>
  <c r="CN69" i="10"/>
  <c r="CN70" i="10"/>
  <c r="CN71" i="10"/>
  <c r="CN72" i="10"/>
  <c r="CN73" i="10"/>
  <c r="CN74" i="10"/>
  <c r="CN75" i="10"/>
  <c r="CN76" i="10"/>
  <c r="CN77" i="10"/>
  <c r="CN78" i="10"/>
  <c r="CN79" i="10"/>
  <c r="CN80" i="10"/>
  <c r="CN81" i="10"/>
  <c r="CN82" i="10"/>
  <c r="CN83" i="10"/>
  <c r="CN84" i="10"/>
  <c r="CN85" i="10"/>
  <c r="CN86" i="10"/>
  <c r="CN87" i="10"/>
  <c r="CN88" i="10"/>
  <c r="CN89" i="10"/>
  <c r="CN90" i="10"/>
  <c r="CN91" i="10"/>
  <c r="CN92" i="10"/>
  <c r="CN93" i="10"/>
  <c r="CN94" i="10"/>
  <c r="CN95" i="10"/>
  <c r="CN96" i="10"/>
  <c r="CN97" i="10"/>
  <c r="CN98" i="10"/>
  <c r="CN99" i="10"/>
  <c r="CN100" i="10"/>
  <c r="CN101" i="10"/>
  <c r="CN102" i="10"/>
  <c r="CN103" i="10"/>
  <c r="CN104" i="10"/>
  <c r="CN105" i="10"/>
  <c r="CN106" i="10"/>
  <c r="CN107" i="10"/>
  <c r="CN108" i="10"/>
  <c r="CN109" i="10"/>
  <c r="CN110" i="10"/>
  <c r="CN111" i="10"/>
  <c r="CN112" i="10"/>
  <c r="CN113" i="10"/>
  <c r="CN114" i="10"/>
  <c r="CN115" i="10"/>
  <c r="CN116" i="10"/>
  <c r="CN117" i="10"/>
  <c r="CN118" i="10"/>
  <c r="CN119" i="10"/>
  <c r="CN120" i="10"/>
  <c r="CN121" i="10"/>
  <c r="CN122" i="10"/>
  <c r="CN123" i="10"/>
  <c r="CN124" i="10"/>
  <c r="CN125" i="10"/>
  <c r="CN126" i="10"/>
  <c r="CN127" i="10"/>
  <c r="CN128" i="10"/>
  <c r="CN129" i="10"/>
  <c r="CN130" i="10"/>
  <c r="CN131" i="10"/>
  <c r="CN132" i="10"/>
  <c r="CN133" i="10"/>
  <c r="CN134" i="10"/>
  <c r="CN135" i="10"/>
  <c r="CN136" i="10"/>
  <c r="CN137" i="10"/>
  <c r="CN138" i="10"/>
  <c r="CN139" i="10"/>
  <c r="CN140" i="10"/>
  <c r="CN141" i="10"/>
  <c r="CN142" i="10"/>
  <c r="CN143" i="10"/>
  <c r="CN144" i="10"/>
  <c r="CN145" i="10"/>
  <c r="CN146" i="10"/>
  <c r="CN147" i="10"/>
  <c r="CN148" i="10"/>
  <c r="CN149" i="10"/>
  <c r="CN150" i="10"/>
  <c r="CN151" i="10"/>
  <c r="CN152" i="10"/>
  <c r="CN153" i="10"/>
  <c r="CN154" i="10"/>
  <c r="CN155" i="10"/>
  <c r="CN156" i="10"/>
  <c r="CN157" i="10"/>
  <c r="CN158" i="10"/>
  <c r="CN159" i="10"/>
  <c r="CN160" i="10"/>
  <c r="CN161" i="10"/>
  <c r="CN162" i="10"/>
  <c r="CN163" i="10"/>
  <c r="CN164" i="10"/>
  <c r="CN165" i="10"/>
  <c r="CN166" i="10"/>
  <c r="CN167" i="10"/>
  <c r="CN168" i="10"/>
  <c r="CN169" i="10"/>
  <c r="CN170" i="10"/>
  <c r="CN171" i="10"/>
  <c r="CN172" i="10"/>
  <c r="CN173" i="10"/>
  <c r="CN174" i="10"/>
  <c r="CN175" i="10"/>
  <c r="CN176" i="10"/>
  <c r="CN177" i="10"/>
  <c r="CN178" i="10"/>
  <c r="CN179" i="10"/>
  <c r="CN180" i="10"/>
  <c r="CN181" i="10"/>
  <c r="CN182" i="10"/>
  <c r="CN183" i="10"/>
  <c r="CN184" i="10"/>
  <c r="CN185" i="10"/>
  <c r="CN186" i="10"/>
  <c r="CN187" i="10"/>
  <c r="CN188" i="10"/>
  <c r="CN189" i="10"/>
  <c r="CN190" i="10"/>
  <c r="CN191" i="10"/>
  <c r="CN192" i="10"/>
  <c r="CN193" i="10"/>
  <c r="CN194" i="10"/>
  <c r="CN195" i="10"/>
  <c r="CN196" i="10"/>
  <c r="CN197" i="10"/>
  <c r="CN198" i="10"/>
  <c r="CN199" i="10"/>
  <c r="CN200" i="10"/>
  <c r="CN201" i="10"/>
  <c r="CN202" i="10"/>
  <c r="CN203" i="10"/>
  <c r="CN204" i="10"/>
  <c r="CN205" i="10"/>
  <c r="CN206" i="10"/>
  <c r="CN207" i="10"/>
  <c r="CN208" i="10"/>
  <c r="CN209" i="10"/>
  <c r="CN210" i="10"/>
  <c r="CN211" i="10"/>
  <c r="CN212" i="10"/>
  <c r="CN213" i="10"/>
  <c r="CN214" i="10"/>
  <c r="CN215" i="10"/>
  <c r="CN216" i="10"/>
  <c r="CN217" i="10"/>
  <c r="CN218" i="10"/>
  <c r="CN219" i="10"/>
  <c r="CN220" i="10"/>
  <c r="CN221" i="10"/>
  <c r="CN222" i="10"/>
  <c r="CN223" i="10"/>
  <c r="CN224" i="10"/>
  <c r="CN225" i="10"/>
  <c r="CN226" i="10"/>
  <c r="CN227" i="10"/>
  <c r="CN228" i="10"/>
  <c r="CL2" i="10"/>
  <c r="CL3" i="10"/>
  <c r="CL4" i="10"/>
  <c r="CL5" i="10"/>
  <c r="CL6" i="10"/>
  <c r="CL7" i="10"/>
  <c r="CL8" i="10"/>
  <c r="CL9" i="10"/>
  <c r="CL10" i="10"/>
  <c r="CL11" i="10"/>
  <c r="CL12" i="10"/>
  <c r="CL13" i="10"/>
  <c r="CL14" i="10"/>
  <c r="CL15" i="10"/>
  <c r="CL16" i="10"/>
  <c r="CL17" i="10"/>
  <c r="CL18" i="10"/>
  <c r="CL19" i="10"/>
  <c r="CL20" i="10"/>
  <c r="CL21" i="10"/>
  <c r="CL22" i="10"/>
  <c r="CL23" i="10"/>
  <c r="CL24" i="10"/>
  <c r="CL25" i="10"/>
  <c r="CL26" i="10"/>
  <c r="CL27" i="10"/>
  <c r="CL28" i="10"/>
  <c r="CL29" i="10"/>
  <c r="CL30" i="10"/>
  <c r="CL31" i="10"/>
  <c r="CL32" i="10"/>
  <c r="CL33" i="10"/>
  <c r="CL34" i="10"/>
  <c r="CL35" i="10"/>
  <c r="CL36" i="10"/>
  <c r="CL37" i="10"/>
  <c r="CL38" i="10"/>
  <c r="CL39" i="10"/>
  <c r="CL40" i="10"/>
  <c r="CL41" i="10"/>
  <c r="CL42" i="10"/>
  <c r="CL43" i="10"/>
  <c r="CL44" i="10"/>
  <c r="CL45" i="10"/>
  <c r="CL46" i="10"/>
  <c r="CL47" i="10"/>
  <c r="CL48" i="10"/>
  <c r="CL49" i="10"/>
  <c r="CL50" i="10"/>
  <c r="CL51" i="10"/>
  <c r="CL52" i="10"/>
  <c r="CL53" i="10"/>
  <c r="CL54" i="10"/>
  <c r="CL55" i="10"/>
  <c r="CL56" i="10"/>
  <c r="CL57" i="10"/>
  <c r="CL58" i="10"/>
  <c r="CL59" i="10"/>
  <c r="CL60" i="10"/>
  <c r="CL61" i="10"/>
  <c r="CL62" i="10"/>
  <c r="CL63" i="10"/>
  <c r="CL64" i="10"/>
  <c r="CL65" i="10"/>
  <c r="CL66" i="10"/>
  <c r="CL67" i="10"/>
  <c r="CL68" i="10"/>
  <c r="CL69" i="10"/>
  <c r="CL70" i="10"/>
  <c r="CL71" i="10"/>
  <c r="CL72" i="10"/>
  <c r="CL73" i="10"/>
  <c r="CL74" i="10"/>
  <c r="CL75" i="10"/>
  <c r="CL76" i="10"/>
  <c r="CL77" i="10"/>
  <c r="CL78" i="10"/>
  <c r="CL79" i="10"/>
  <c r="CL80" i="10"/>
  <c r="CL81" i="10"/>
  <c r="CL82" i="10"/>
  <c r="CL83" i="10"/>
  <c r="CL84" i="10"/>
  <c r="CL85" i="10"/>
  <c r="CL86" i="10"/>
  <c r="CL87" i="10"/>
  <c r="CL88" i="10"/>
  <c r="CL89" i="10"/>
  <c r="CL90" i="10"/>
  <c r="CL91" i="10"/>
  <c r="CL92" i="10"/>
  <c r="CL93" i="10"/>
  <c r="CL94" i="10"/>
  <c r="CL95" i="10"/>
  <c r="CL96" i="10"/>
  <c r="CL97" i="10"/>
  <c r="CL98" i="10"/>
  <c r="CL99" i="10"/>
  <c r="CL100" i="10"/>
  <c r="CL101" i="10"/>
  <c r="CL102" i="10"/>
  <c r="CL103" i="10"/>
  <c r="CL104" i="10"/>
  <c r="CL105" i="10"/>
  <c r="CL106" i="10"/>
  <c r="CL107" i="10"/>
  <c r="CL108" i="10"/>
  <c r="CL109" i="10"/>
  <c r="CL110" i="10"/>
  <c r="CL111" i="10"/>
  <c r="CL112" i="10"/>
  <c r="CL113" i="10"/>
  <c r="CL114" i="10"/>
  <c r="CL115" i="10"/>
  <c r="CL116" i="10"/>
  <c r="CL117" i="10"/>
  <c r="CL118" i="10"/>
  <c r="CL119" i="10"/>
  <c r="CL120" i="10"/>
  <c r="CL121" i="10"/>
  <c r="CL122" i="10"/>
  <c r="CL123" i="10"/>
  <c r="CL124" i="10"/>
  <c r="CL125" i="10"/>
  <c r="CL126" i="10"/>
  <c r="CL127" i="10"/>
  <c r="CL128" i="10"/>
  <c r="CL129" i="10"/>
  <c r="CL130" i="10"/>
  <c r="CL131" i="10"/>
  <c r="CL132" i="10"/>
  <c r="CL133" i="10"/>
  <c r="CL134" i="10"/>
  <c r="CL135" i="10"/>
  <c r="CL136" i="10"/>
  <c r="CL137" i="10"/>
  <c r="CL138" i="10"/>
  <c r="CL139" i="10"/>
  <c r="CL140" i="10"/>
  <c r="CL141" i="10"/>
  <c r="CL142" i="10"/>
  <c r="CL143" i="10"/>
  <c r="CL144" i="10"/>
  <c r="CL145" i="10"/>
  <c r="CL146" i="10"/>
  <c r="CL147" i="10"/>
  <c r="CL148" i="10"/>
  <c r="CL149" i="10"/>
  <c r="CL150" i="10"/>
  <c r="CL151" i="10"/>
  <c r="CL152" i="10"/>
  <c r="CL153" i="10"/>
  <c r="CL154" i="10"/>
  <c r="CL155" i="10"/>
  <c r="CL156" i="10"/>
  <c r="CL157" i="10"/>
  <c r="CL158" i="10"/>
  <c r="CL159" i="10"/>
  <c r="CL160" i="10"/>
  <c r="CL161" i="10"/>
  <c r="CL162" i="10"/>
  <c r="CL163" i="10"/>
  <c r="CL164" i="10"/>
  <c r="CL165" i="10"/>
  <c r="CL166" i="10"/>
  <c r="CL167" i="10"/>
  <c r="CL168" i="10"/>
  <c r="CL169" i="10"/>
  <c r="CL170" i="10"/>
  <c r="CL171" i="10"/>
  <c r="CL172" i="10"/>
  <c r="CL173" i="10"/>
  <c r="CL174" i="10"/>
  <c r="CL175" i="10"/>
  <c r="CL176" i="10"/>
  <c r="CL177" i="10"/>
  <c r="CL178" i="10"/>
  <c r="CL179" i="10"/>
  <c r="CL180" i="10"/>
  <c r="CL181" i="10"/>
  <c r="CL182" i="10"/>
  <c r="CL183" i="10"/>
  <c r="CL184" i="10"/>
  <c r="CL185" i="10"/>
  <c r="CL186" i="10"/>
  <c r="CL187" i="10"/>
  <c r="CL188" i="10"/>
  <c r="CL189" i="10"/>
  <c r="CL190" i="10"/>
  <c r="CL191" i="10"/>
  <c r="CL192" i="10"/>
  <c r="CL193" i="10"/>
  <c r="CL194" i="10"/>
  <c r="CL195" i="10"/>
  <c r="CL196" i="10"/>
  <c r="CL197" i="10"/>
  <c r="CL198" i="10"/>
  <c r="CL199" i="10"/>
  <c r="CL200" i="10"/>
  <c r="CL201" i="10"/>
  <c r="CL202" i="10"/>
  <c r="CL203" i="10"/>
  <c r="CL204" i="10"/>
  <c r="CL205" i="10"/>
  <c r="CL206" i="10"/>
  <c r="CL207" i="10"/>
  <c r="CL208" i="10"/>
  <c r="CL209" i="10"/>
  <c r="CL210" i="10"/>
  <c r="CL211" i="10"/>
  <c r="CL212" i="10"/>
  <c r="CL213" i="10"/>
  <c r="CL214" i="10"/>
  <c r="CL215" i="10"/>
  <c r="CL216" i="10"/>
  <c r="CL217" i="10"/>
  <c r="CL218" i="10"/>
  <c r="CL219" i="10"/>
  <c r="CL220" i="10"/>
  <c r="CL221" i="10"/>
  <c r="CL222" i="10"/>
  <c r="CL223" i="10"/>
  <c r="CL224" i="10"/>
  <c r="CL225" i="10"/>
  <c r="CL226" i="10"/>
  <c r="CL227" i="10"/>
  <c r="CL228" i="10"/>
  <c r="CK2" i="10" a="1"/>
  <c r="CK2" i="10" s="1"/>
  <c r="CK3" i="10" a="1"/>
  <c r="CK3" i="10" s="1"/>
  <c r="CK4" i="10" a="1"/>
  <c r="CK4" i="10" s="1"/>
  <c r="CK5" i="10" a="1"/>
  <c r="CK5" i="10" s="1"/>
  <c r="CK6" i="10" a="1"/>
  <c r="CK6" i="10"/>
  <c r="CK7" i="10" a="1"/>
  <c r="CK7" i="10"/>
  <c r="CK8" i="10" a="1"/>
  <c r="CK8" i="10"/>
  <c r="CK9" i="10" a="1"/>
  <c r="CK9" i="10"/>
  <c r="CK10" i="10" a="1"/>
  <c r="CK10" i="10"/>
  <c r="CK11" i="10" a="1"/>
  <c r="CK11" i="10"/>
  <c r="CK12" i="10" a="1"/>
  <c r="CK12" i="10" s="1"/>
  <c r="CK13" i="10" a="1"/>
  <c r="CK13" i="10" s="1"/>
  <c r="CK14" i="10" a="1"/>
  <c r="CK14" i="10" s="1"/>
  <c r="CK15" i="10" a="1"/>
  <c r="CK15" i="10" s="1"/>
  <c r="CK16" i="10" a="1"/>
  <c r="CK16" i="10"/>
  <c r="CK17" i="10" a="1"/>
  <c r="CK17" i="10"/>
  <c r="CK18" i="10" a="1"/>
  <c r="CK18" i="10"/>
  <c r="CK19" i="10" a="1"/>
  <c r="CK19" i="10"/>
  <c r="CK20" i="10" a="1"/>
  <c r="CK20" i="10"/>
  <c r="CK21" i="10" a="1"/>
  <c r="CK21" i="10"/>
  <c r="CK22" i="10" a="1"/>
  <c r="CK22" i="10" s="1"/>
  <c r="CK23" i="10" a="1"/>
  <c r="CK23" i="10" s="1"/>
  <c r="CK24" i="10" a="1"/>
  <c r="CK24" i="10" s="1"/>
  <c r="CK25" i="10" a="1"/>
  <c r="CK25" i="10" s="1"/>
  <c r="CK26" i="10" a="1"/>
  <c r="CK26" i="10"/>
  <c r="CK27" i="10" a="1"/>
  <c r="CK27" i="10"/>
  <c r="CK28" i="10" a="1"/>
  <c r="CK28" i="10"/>
  <c r="CK29" i="10" a="1"/>
  <c r="CK29" i="10"/>
  <c r="CK30" i="10" a="1"/>
  <c r="CK30" i="10"/>
  <c r="CK31" i="10" a="1"/>
  <c r="CK31" i="10"/>
  <c r="CK32" i="10" a="1"/>
  <c r="CK32" i="10" s="1"/>
  <c r="CK33" i="10" a="1"/>
  <c r="CK33" i="10" s="1"/>
  <c r="CK34" i="10" a="1"/>
  <c r="CK34" i="10" s="1"/>
  <c r="CK35" i="10" a="1"/>
  <c r="CK35" i="10" s="1"/>
  <c r="CK36" i="10" a="1"/>
  <c r="CK36" i="10"/>
  <c r="CK37" i="10" a="1"/>
  <c r="CK37" i="10"/>
  <c r="CK38" i="10" a="1"/>
  <c r="CK38" i="10"/>
  <c r="CK39" i="10" a="1"/>
  <c r="CK39" i="10"/>
  <c r="CK40" i="10" a="1"/>
  <c r="CK40" i="10"/>
  <c r="CK41" i="10" a="1"/>
  <c r="CK41" i="10"/>
  <c r="CK42" i="10" a="1"/>
  <c r="CK42" i="10" s="1"/>
  <c r="CK43" i="10" a="1"/>
  <c r="CK43" i="10" s="1"/>
  <c r="CK44" i="10" a="1"/>
  <c r="CK44" i="10" s="1"/>
  <c r="CK45" i="10" a="1"/>
  <c r="CK45" i="10" s="1"/>
  <c r="CK46" i="10" a="1"/>
  <c r="CK46" i="10"/>
  <c r="CK47" i="10" a="1"/>
  <c r="CK47" i="10"/>
  <c r="CK48" i="10" a="1"/>
  <c r="CK48" i="10"/>
  <c r="CK49" i="10" a="1"/>
  <c r="CK49" i="10"/>
  <c r="CK50" i="10" a="1"/>
  <c r="CK50" i="10"/>
  <c r="CK51" i="10" a="1"/>
  <c r="CK51" i="10"/>
  <c r="CK52" i="10" a="1"/>
  <c r="CK52" i="10" s="1"/>
  <c r="CK53" i="10" a="1"/>
  <c r="CK53" i="10" s="1"/>
  <c r="CK54" i="10" a="1"/>
  <c r="CK54" i="10" s="1"/>
  <c r="CK55" i="10" a="1"/>
  <c r="CK55" i="10" s="1"/>
  <c r="CK56" i="10" a="1"/>
  <c r="CK56" i="10"/>
  <c r="CK57" i="10" a="1"/>
  <c r="CK57" i="10"/>
  <c r="CK58" i="10" a="1"/>
  <c r="CK58" i="10"/>
  <c r="CK59" i="10" a="1"/>
  <c r="CK59" i="10"/>
  <c r="CK60" i="10" a="1"/>
  <c r="CK60" i="10"/>
  <c r="CK61" i="10" a="1"/>
  <c r="CK61" i="10"/>
  <c r="CK62" i="10" a="1"/>
  <c r="CK62" i="10" s="1"/>
  <c r="CK63" i="10" a="1"/>
  <c r="CK63" i="10" s="1"/>
  <c r="CK64" i="10" a="1"/>
  <c r="CK64" i="10" s="1"/>
  <c r="CK65" i="10" a="1"/>
  <c r="CK65" i="10" s="1"/>
  <c r="CK66" i="10" a="1"/>
  <c r="CK66" i="10"/>
  <c r="CK67" i="10" a="1"/>
  <c r="CK67" i="10"/>
  <c r="CK68" i="10" a="1"/>
  <c r="CK68" i="10"/>
  <c r="CK69" i="10" a="1"/>
  <c r="CK69" i="10"/>
  <c r="CK70" i="10" a="1"/>
  <c r="CK70" i="10"/>
  <c r="CK71" i="10" a="1"/>
  <c r="CK71" i="10"/>
  <c r="CK72" i="10" a="1"/>
  <c r="CK72" i="10" s="1"/>
  <c r="CK73" i="10" a="1"/>
  <c r="CK73" i="10" s="1"/>
  <c r="CK74" i="10" a="1"/>
  <c r="CK74" i="10" s="1"/>
  <c r="CK75" i="10" a="1"/>
  <c r="CK75" i="10" s="1"/>
  <c r="CK76" i="10" a="1"/>
  <c r="CK76" i="10"/>
  <c r="CK77" i="10" a="1"/>
  <c r="CK77" i="10"/>
  <c r="CK78" i="10" a="1"/>
  <c r="CK78" i="10"/>
  <c r="CK79" i="10" a="1"/>
  <c r="CK79" i="10"/>
  <c r="CK80" i="10" a="1"/>
  <c r="CK80" i="10"/>
  <c r="CK81" i="10" a="1"/>
  <c r="CK81" i="10"/>
  <c r="CK82" i="10" a="1"/>
  <c r="CK82" i="10" s="1"/>
  <c r="CK83" i="10" a="1"/>
  <c r="CK83" i="10" s="1"/>
  <c r="CK84" i="10" a="1"/>
  <c r="CK84" i="10" s="1"/>
  <c r="CK85" i="10" a="1"/>
  <c r="CK85" i="10" s="1"/>
  <c r="CK86" i="10" a="1"/>
  <c r="CK86" i="10"/>
  <c r="CK87" i="10" a="1"/>
  <c r="CK87" i="10"/>
  <c r="CK88" i="10" a="1"/>
  <c r="CK88" i="10"/>
  <c r="CK89" i="10" a="1"/>
  <c r="CK89" i="10"/>
  <c r="CK90" i="10" a="1"/>
  <c r="CK90" i="10"/>
  <c r="CK91" i="10" a="1"/>
  <c r="CK91" i="10"/>
  <c r="CK92" i="10" a="1"/>
  <c r="CK92" i="10" s="1"/>
  <c r="CK93" i="10" a="1"/>
  <c r="CK93" i="10" s="1"/>
  <c r="CK94" i="10" a="1"/>
  <c r="CK94" i="10" s="1"/>
  <c r="CK95" i="10" a="1"/>
  <c r="CK95" i="10" s="1"/>
  <c r="CK96" i="10" a="1"/>
  <c r="CK96" i="10"/>
  <c r="CK97" i="10" a="1"/>
  <c r="CK97" i="10"/>
  <c r="CK98" i="10" a="1"/>
  <c r="CK98" i="10"/>
  <c r="CK99" i="10" a="1"/>
  <c r="CK99" i="10"/>
  <c r="CK100" i="10" a="1"/>
  <c r="CK100" i="10"/>
  <c r="CK101" i="10" a="1"/>
  <c r="CK101" i="10"/>
  <c r="CK102" i="10" a="1"/>
  <c r="CK102" i="10" s="1"/>
  <c r="CK103" i="10" a="1"/>
  <c r="CK103" i="10" s="1"/>
  <c r="CK104" i="10" a="1"/>
  <c r="CK104" i="10" s="1"/>
  <c r="CK105" i="10" a="1"/>
  <c r="CK105" i="10" s="1"/>
  <c r="CK106" i="10" a="1"/>
  <c r="CK106" i="10"/>
  <c r="CK107" i="10" a="1"/>
  <c r="CK107" i="10"/>
  <c r="CK108" i="10" a="1"/>
  <c r="CK108" i="10"/>
  <c r="CK109" i="10" a="1"/>
  <c r="CK109" i="10"/>
  <c r="CK110" i="10" a="1"/>
  <c r="CK110" i="10"/>
  <c r="CK111" i="10" a="1"/>
  <c r="CK111" i="10"/>
  <c r="CK112" i="10" a="1"/>
  <c r="CK112" i="10" s="1"/>
  <c r="CK113" i="10" a="1"/>
  <c r="CK113" i="10" s="1"/>
  <c r="CK114" i="10" a="1"/>
  <c r="CK114" i="10" s="1"/>
  <c r="CK115" i="10" a="1"/>
  <c r="CK115" i="10" s="1"/>
  <c r="CK116" i="10" a="1"/>
  <c r="CK116" i="10"/>
  <c r="CK117" i="10" a="1"/>
  <c r="CK117" i="10"/>
  <c r="CK118" i="10" a="1"/>
  <c r="CK118" i="10"/>
  <c r="CK119" i="10" a="1"/>
  <c r="CK119" i="10"/>
  <c r="CK120" i="10" a="1"/>
  <c r="CK120" i="10"/>
  <c r="CK121" i="10" a="1"/>
  <c r="CK121" i="10"/>
  <c r="CK122" i="10" a="1"/>
  <c r="CK122" i="10" s="1"/>
  <c r="CK123" i="10" a="1"/>
  <c r="CK123" i="10" s="1"/>
  <c r="CK124" i="10" a="1"/>
  <c r="CK124" i="10" s="1"/>
  <c r="CK125" i="10" a="1"/>
  <c r="CK125" i="10" s="1"/>
  <c r="CK126" i="10" a="1"/>
  <c r="CK126" i="10"/>
  <c r="CK127" i="10" a="1"/>
  <c r="CK127" i="10"/>
  <c r="CK128" i="10" a="1"/>
  <c r="CK128" i="10"/>
  <c r="CK129" i="10" a="1"/>
  <c r="CK129" i="10"/>
  <c r="CK130" i="10" a="1"/>
  <c r="CK130" i="10"/>
  <c r="CK131" i="10" a="1"/>
  <c r="CK131" i="10"/>
  <c r="CK132" i="10" a="1"/>
  <c r="CK132" i="10" s="1"/>
  <c r="CK133" i="10" a="1"/>
  <c r="CK133" i="10" s="1"/>
  <c r="CK134" i="10" a="1"/>
  <c r="CK134" i="10" s="1"/>
  <c r="CK135" i="10" a="1"/>
  <c r="CK135" i="10" s="1"/>
  <c r="CK136" i="10" a="1"/>
  <c r="CK136" i="10"/>
  <c r="CK137" i="10" a="1"/>
  <c r="CK137" i="10"/>
  <c r="CK138" i="10" a="1"/>
  <c r="CK138" i="10"/>
  <c r="CK139" i="10" a="1"/>
  <c r="CK139" i="10"/>
  <c r="CK140" i="10" a="1"/>
  <c r="CK140" i="10"/>
  <c r="CK141" i="10" a="1"/>
  <c r="CK141" i="10"/>
  <c r="CK142" i="10" a="1"/>
  <c r="CK142" i="10" s="1"/>
  <c r="CK143" i="10" a="1"/>
  <c r="CK143" i="10" s="1"/>
  <c r="CK144" i="10" a="1"/>
  <c r="CK144" i="10" s="1"/>
  <c r="CK145" i="10" a="1"/>
  <c r="CK145" i="10" s="1"/>
  <c r="CK146" i="10" a="1"/>
  <c r="CK146" i="10"/>
  <c r="CK147" i="10" a="1"/>
  <c r="CK147" i="10"/>
  <c r="CK148" i="10" a="1"/>
  <c r="CK148" i="10"/>
  <c r="CK149" i="10" a="1"/>
  <c r="CK149" i="10"/>
  <c r="CK150" i="10" a="1"/>
  <c r="CK150" i="10"/>
  <c r="CK151" i="10" a="1"/>
  <c r="CK151" i="10"/>
  <c r="CK152" i="10" a="1"/>
  <c r="CK152" i="10" s="1"/>
  <c r="CK153" i="10" a="1"/>
  <c r="CK153" i="10" s="1"/>
  <c r="CK154" i="10" a="1"/>
  <c r="CK154" i="10" s="1"/>
  <c r="CK155" i="10" a="1"/>
  <c r="CK155" i="10" s="1"/>
  <c r="CK156" i="10" a="1"/>
  <c r="CK156" i="10"/>
  <c r="CK157" i="10" a="1"/>
  <c r="CK157" i="10"/>
  <c r="CK158" i="10" a="1"/>
  <c r="CK158" i="10"/>
  <c r="CK159" i="10" a="1"/>
  <c r="CK159" i="10"/>
  <c r="CK160" i="10" a="1"/>
  <c r="CK160" i="10"/>
  <c r="CK161" i="10" a="1"/>
  <c r="CK161" i="10"/>
  <c r="CK162" i="10" a="1"/>
  <c r="CK162" i="10" s="1"/>
  <c r="CK163" i="10" a="1"/>
  <c r="CK163" i="10" s="1"/>
  <c r="CK164" i="10" a="1"/>
  <c r="CK164" i="10" s="1"/>
  <c r="CK165" i="10" a="1"/>
  <c r="CK165" i="10" s="1"/>
  <c r="CK166" i="10" a="1"/>
  <c r="CK166" i="10"/>
  <c r="CK167" i="10" a="1"/>
  <c r="CK167" i="10"/>
  <c r="CK168" i="10" a="1"/>
  <c r="CK168" i="10"/>
  <c r="CK169" i="10" a="1"/>
  <c r="CK169" i="10"/>
  <c r="CK170" i="10" a="1"/>
  <c r="CK170" i="10"/>
  <c r="CK171" i="10" a="1"/>
  <c r="CK171" i="10"/>
  <c r="CK172" i="10" a="1"/>
  <c r="CK172" i="10" s="1"/>
  <c r="CK173" i="10" a="1"/>
  <c r="CK173" i="10" s="1"/>
  <c r="CK174" i="10" a="1"/>
  <c r="CK174" i="10" s="1"/>
  <c r="CK175" i="10" a="1"/>
  <c r="CK175" i="10" s="1"/>
  <c r="CK176" i="10" a="1"/>
  <c r="CK176" i="10"/>
  <c r="CK177" i="10" a="1"/>
  <c r="CK177" i="10"/>
  <c r="CK178" i="10" a="1"/>
  <c r="CK178" i="10"/>
  <c r="CK179" i="10" a="1"/>
  <c r="CK179" i="10"/>
  <c r="CK180" i="10" a="1"/>
  <c r="CK180" i="10"/>
  <c r="CK181" i="10" a="1"/>
  <c r="CK181" i="10"/>
  <c r="CK182" i="10" a="1"/>
  <c r="CK182" i="10" s="1"/>
  <c r="CK183" i="10" a="1"/>
  <c r="CK183" i="10" s="1"/>
  <c r="CK184" i="10" a="1"/>
  <c r="CK184" i="10" s="1"/>
  <c r="CK185" i="10" a="1"/>
  <c r="CK185" i="10" s="1"/>
  <c r="CK186" i="10" a="1"/>
  <c r="CK186" i="10"/>
  <c r="CK187" i="10" a="1"/>
  <c r="CK187" i="10"/>
  <c r="CK188" i="10" a="1"/>
  <c r="CK188" i="10"/>
  <c r="CK189" i="10" a="1"/>
  <c r="CK189" i="10"/>
  <c r="CK190" i="10" a="1"/>
  <c r="CK190" i="10"/>
  <c r="CK191" i="10" a="1"/>
  <c r="CK191" i="10"/>
  <c r="CK192" i="10" a="1"/>
  <c r="CK192" i="10" s="1"/>
  <c r="CK193" i="10" a="1"/>
  <c r="CK193" i="10" s="1"/>
  <c r="CK194" i="10" a="1"/>
  <c r="CK194" i="10" s="1"/>
  <c r="CK195" i="10" a="1"/>
  <c r="CK195" i="10" s="1"/>
  <c r="CK196" i="10" a="1"/>
  <c r="CK196" i="10"/>
  <c r="CK197" i="10" a="1"/>
  <c r="CK197" i="10"/>
  <c r="CK198" i="10" a="1"/>
  <c r="CK198" i="10"/>
  <c r="CK199" i="10" a="1"/>
  <c r="CK199" i="10"/>
  <c r="CK200" i="10" a="1"/>
  <c r="CK200" i="10"/>
  <c r="CK201" i="10" a="1"/>
  <c r="CK201" i="10"/>
  <c r="CK202" i="10" a="1"/>
  <c r="CK202" i="10" s="1"/>
  <c r="CK203" i="10" a="1"/>
  <c r="CK203" i="10" s="1"/>
  <c r="CK204" i="10" a="1"/>
  <c r="CK204" i="10" s="1"/>
  <c r="CK205" i="10" a="1"/>
  <c r="CK205" i="10" s="1"/>
  <c r="CK206" i="10" a="1"/>
  <c r="CK206" i="10"/>
  <c r="CK207" i="10" a="1"/>
  <c r="CK207" i="10"/>
  <c r="CK208" i="10" a="1"/>
  <c r="CK208" i="10"/>
  <c r="CK209" i="10" a="1"/>
  <c r="CK209" i="10"/>
  <c r="CK210" i="10" a="1"/>
  <c r="CK210" i="10"/>
  <c r="CK211" i="10" a="1"/>
  <c r="CK211" i="10"/>
  <c r="CK212" i="10" a="1"/>
  <c r="CK212" i="10" s="1"/>
  <c r="CK213" i="10" a="1"/>
  <c r="CK213" i="10" s="1"/>
  <c r="CK214" i="10" a="1"/>
  <c r="CK214" i="10" s="1"/>
  <c r="CK215" i="10" a="1"/>
  <c r="CK215" i="10" s="1"/>
  <c r="CK216" i="10" a="1"/>
  <c r="CK216" i="10"/>
  <c r="CK217" i="10" a="1"/>
  <c r="CK217" i="10"/>
  <c r="CK218" i="10" a="1"/>
  <c r="CK218" i="10"/>
  <c r="CK219" i="10" a="1"/>
  <c r="CK219" i="10"/>
  <c r="CK220" i="10" a="1"/>
  <c r="CK220" i="10"/>
  <c r="CK221" i="10" a="1"/>
  <c r="CK221" i="10"/>
  <c r="CK222" i="10" a="1"/>
  <c r="CK222" i="10" s="1"/>
  <c r="CK223" i="10" a="1"/>
  <c r="CK223" i="10" s="1"/>
  <c r="CK224" i="10" a="1"/>
  <c r="CK224" i="10" s="1"/>
  <c r="CK225" i="10" a="1"/>
  <c r="CK225" i="10" s="1"/>
  <c r="CK226" i="10" a="1"/>
  <c r="CK226" i="10"/>
  <c r="CK227" i="10" a="1"/>
  <c r="CK227" i="10"/>
  <c r="CK228" i="10" a="1"/>
  <c r="CK228" i="10"/>
  <c r="CJ2" i="10" a="1"/>
  <c r="CJ2" i="10" s="1"/>
  <c r="CJ3" i="10" a="1"/>
  <c r="CJ3" i="10" s="1"/>
  <c r="CJ4" i="10" a="1"/>
  <c r="CJ4" i="10" s="1"/>
  <c r="CJ5" i="10" a="1"/>
  <c r="CJ5" i="10" s="1"/>
  <c r="CJ6" i="10" a="1"/>
  <c r="CJ6" i="10"/>
  <c r="CJ7" i="10" a="1"/>
  <c r="CJ7" i="10" s="1"/>
  <c r="CJ8" i="10" a="1"/>
  <c r="CJ8" i="10"/>
  <c r="CJ9" i="10" a="1"/>
  <c r="CJ9" i="10"/>
  <c r="CJ10" i="10" a="1"/>
  <c r="CJ10" i="10"/>
  <c r="CJ11" i="10" a="1"/>
  <c r="CJ11" i="10"/>
  <c r="CJ12" i="10" a="1"/>
  <c r="CJ12" i="10" s="1"/>
  <c r="CJ13" i="10" a="1"/>
  <c r="CJ13" i="10" s="1"/>
  <c r="CJ14" i="10" a="1"/>
  <c r="CJ14" i="10" s="1"/>
  <c r="CJ15" i="10" a="1"/>
  <c r="CJ15" i="10" s="1"/>
  <c r="CJ16" i="10" a="1"/>
  <c r="CJ16" i="10"/>
  <c r="CJ17" i="10" a="1"/>
  <c r="CJ17" i="10" s="1"/>
  <c r="CJ18" i="10" a="1"/>
  <c r="CJ18" i="10"/>
  <c r="CJ19" i="10" a="1"/>
  <c r="CJ19" i="10"/>
  <c r="CJ20" i="10" a="1"/>
  <c r="CJ20" i="10"/>
  <c r="CJ21" i="10" a="1"/>
  <c r="CJ21" i="10"/>
  <c r="CJ22" i="10" a="1"/>
  <c r="CJ22" i="10" s="1"/>
  <c r="CJ23" i="10" a="1"/>
  <c r="CJ23" i="10" s="1"/>
  <c r="CJ24" i="10" a="1"/>
  <c r="CJ24" i="10" s="1"/>
  <c r="CJ25" i="10" a="1"/>
  <c r="CJ25" i="10" s="1"/>
  <c r="CJ26" i="10" a="1"/>
  <c r="CJ26" i="10"/>
  <c r="CJ27" i="10" a="1"/>
  <c r="CJ27" i="10" s="1"/>
  <c r="CJ28" i="10" a="1"/>
  <c r="CJ28" i="10"/>
  <c r="CJ29" i="10" a="1"/>
  <c r="CJ29" i="10"/>
  <c r="CJ30" i="10" a="1"/>
  <c r="CJ30" i="10"/>
  <c r="CJ31" i="10" a="1"/>
  <c r="CJ31" i="10"/>
  <c r="CJ32" i="10" a="1"/>
  <c r="CJ32" i="10" s="1"/>
  <c r="CJ33" i="10" a="1"/>
  <c r="CJ33" i="10" s="1"/>
  <c r="CJ34" i="10" a="1"/>
  <c r="CJ34" i="10" s="1"/>
  <c r="CJ35" i="10" a="1"/>
  <c r="CJ35" i="10" s="1"/>
  <c r="CJ36" i="10" a="1"/>
  <c r="CJ36" i="10"/>
  <c r="CJ37" i="10" a="1"/>
  <c r="CJ37" i="10" s="1"/>
  <c r="CJ38" i="10" a="1"/>
  <c r="CJ38" i="10"/>
  <c r="CJ39" i="10" a="1"/>
  <c r="CJ39" i="10"/>
  <c r="CJ40" i="10" a="1"/>
  <c r="CJ40" i="10"/>
  <c r="CJ41" i="10" a="1"/>
  <c r="CJ41" i="10"/>
  <c r="CJ42" i="10" a="1"/>
  <c r="CJ42" i="10" s="1"/>
  <c r="CJ43" i="10" a="1"/>
  <c r="CJ43" i="10" s="1"/>
  <c r="CJ44" i="10" a="1"/>
  <c r="CJ44" i="10" s="1"/>
  <c r="CJ45" i="10" a="1"/>
  <c r="CJ45" i="10" s="1"/>
  <c r="CJ46" i="10" a="1"/>
  <c r="CJ46" i="10"/>
  <c r="CJ47" i="10" a="1"/>
  <c r="CJ47" i="10" s="1"/>
  <c r="CJ48" i="10" a="1"/>
  <c r="CJ48" i="10"/>
  <c r="CJ49" i="10" a="1"/>
  <c r="CJ49" i="10"/>
  <c r="CJ50" i="10" a="1"/>
  <c r="CJ50" i="10"/>
  <c r="CJ51" i="10" a="1"/>
  <c r="CJ51" i="10"/>
  <c r="CJ52" i="10" a="1"/>
  <c r="CJ52" i="10" s="1"/>
  <c r="CJ53" i="10" a="1"/>
  <c r="CJ53" i="10" s="1"/>
  <c r="CJ54" i="10" a="1"/>
  <c r="CJ54" i="10" s="1"/>
  <c r="CJ55" i="10" a="1"/>
  <c r="CJ55" i="10" s="1"/>
  <c r="CJ56" i="10" a="1"/>
  <c r="CJ56" i="10"/>
  <c r="CJ57" i="10" a="1"/>
  <c r="CJ57" i="10" s="1"/>
  <c r="CJ58" i="10" a="1"/>
  <c r="CJ58" i="10"/>
  <c r="CJ59" i="10" a="1"/>
  <c r="CJ59" i="10"/>
  <c r="CJ60" i="10" a="1"/>
  <c r="CJ60" i="10"/>
  <c r="CJ61" i="10" a="1"/>
  <c r="CJ61" i="10"/>
  <c r="CJ62" i="10" a="1"/>
  <c r="CJ62" i="10" s="1"/>
  <c r="CJ63" i="10" a="1"/>
  <c r="CJ63" i="10" s="1"/>
  <c r="CJ64" i="10" a="1"/>
  <c r="CJ64" i="10" s="1"/>
  <c r="CJ65" i="10" a="1"/>
  <c r="CJ65" i="10" s="1"/>
  <c r="CJ66" i="10" a="1"/>
  <c r="CJ66" i="10"/>
  <c r="CJ67" i="10" a="1"/>
  <c r="CJ67" i="10" s="1"/>
  <c r="CJ68" i="10" a="1"/>
  <c r="CJ68" i="10"/>
  <c r="CJ69" i="10" a="1"/>
  <c r="CJ69" i="10"/>
  <c r="CJ70" i="10" a="1"/>
  <c r="CJ70" i="10"/>
  <c r="CJ71" i="10" a="1"/>
  <c r="CJ71" i="10"/>
  <c r="CJ72" i="10" a="1"/>
  <c r="CJ72" i="10" s="1"/>
  <c r="CJ73" i="10" a="1"/>
  <c r="CJ73" i="10" s="1"/>
  <c r="CJ74" i="10" a="1"/>
  <c r="CJ74" i="10" s="1"/>
  <c r="CJ75" i="10" a="1"/>
  <c r="CJ75" i="10" s="1"/>
  <c r="CJ76" i="10" a="1"/>
  <c r="CJ76" i="10"/>
  <c r="CJ77" i="10" a="1"/>
  <c r="CJ77" i="10" s="1"/>
  <c r="CJ78" i="10" a="1"/>
  <c r="CJ78" i="10"/>
  <c r="CJ79" i="10" a="1"/>
  <c r="CJ79" i="10"/>
  <c r="CJ80" i="10" a="1"/>
  <c r="CJ80" i="10"/>
  <c r="CJ81" i="10" a="1"/>
  <c r="CJ81" i="10"/>
  <c r="CJ82" i="10" a="1"/>
  <c r="CJ82" i="10" s="1"/>
  <c r="CJ83" i="10" a="1"/>
  <c r="CJ83" i="10" s="1"/>
  <c r="CJ84" i="10" a="1"/>
  <c r="CJ84" i="10" s="1"/>
  <c r="CJ85" i="10" a="1"/>
  <c r="CJ85" i="10" s="1"/>
  <c r="CJ86" i="10" a="1"/>
  <c r="CJ86" i="10"/>
  <c r="CJ87" i="10" a="1"/>
  <c r="CJ87" i="10" s="1"/>
  <c r="CJ88" i="10" a="1"/>
  <c r="CJ88" i="10"/>
  <c r="CJ89" i="10" a="1"/>
  <c r="CJ89" i="10"/>
  <c r="CJ90" i="10" a="1"/>
  <c r="CJ90" i="10"/>
  <c r="CJ91" i="10" a="1"/>
  <c r="CJ91" i="10"/>
  <c r="CJ92" i="10" a="1"/>
  <c r="CJ92" i="10" s="1"/>
  <c r="CJ93" i="10" a="1"/>
  <c r="CJ93" i="10" s="1"/>
  <c r="CJ94" i="10" a="1"/>
  <c r="CJ94" i="10" s="1"/>
  <c r="CJ95" i="10" a="1"/>
  <c r="CJ95" i="10" s="1"/>
  <c r="CJ96" i="10" a="1"/>
  <c r="CJ96" i="10"/>
  <c r="CJ97" i="10" a="1"/>
  <c r="CJ97" i="10" s="1"/>
  <c r="CJ98" i="10" a="1"/>
  <c r="CJ98" i="10"/>
  <c r="CJ99" i="10" a="1"/>
  <c r="CJ99" i="10"/>
  <c r="CJ100" i="10" a="1"/>
  <c r="CJ100" i="10"/>
  <c r="CJ101" i="10" a="1"/>
  <c r="CJ101" i="10"/>
  <c r="CJ102" i="10" a="1"/>
  <c r="CJ102" i="10" s="1"/>
  <c r="CJ103" i="10" a="1"/>
  <c r="CJ103" i="10" s="1"/>
  <c r="CJ104" i="10" a="1"/>
  <c r="CJ104" i="10" s="1"/>
  <c r="CJ105" i="10" a="1"/>
  <c r="CJ105" i="10" s="1"/>
  <c r="CJ106" i="10" a="1"/>
  <c r="CJ106" i="10"/>
  <c r="CJ107" i="10" a="1"/>
  <c r="CJ107" i="10" s="1"/>
  <c r="CJ108" i="10" a="1"/>
  <c r="CJ108" i="10"/>
  <c r="CJ109" i="10" a="1"/>
  <c r="CJ109" i="10"/>
  <c r="CJ110" i="10" a="1"/>
  <c r="CJ110" i="10"/>
  <c r="CJ111" i="10" a="1"/>
  <c r="CJ111" i="10"/>
  <c r="CJ112" i="10" a="1"/>
  <c r="CJ112" i="10" s="1"/>
  <c r="CJ113" i="10" a="1"/>
  <c r="CJ113" i="10" s="1"/>
  <c r="CJ114" i="10" a="1"/>
  <c r="CJ114" i="10" s="1"/>
  <c r="CJ115" i="10" a="1"/>
  <c r="CJ115" i="10" s="1"/>
  <c r="CJ116" i="10" a="1"/>
  <c r="CJ116" i="10"/>
  <c r="CJ117" i="10" a="1"/>
  <c r="CJ117" i="10" s="1"/>
  <c r="CJ118" i="10" a="1"/>
  <c r="CJ118" i="10"/>
  <c r="CJ119" i="10" a="1"/>
  <c r="CJ119" i="10"/>
  <c r="CJ120" i="10" a="1"/>
  <c r="CJ120" i="10"/>
  <c r="CJ121" i="10" a="1"/>
  <c r="CJ121" i="10"/>
  <c r="CJ122" i="10" a="1"/>
  <c r="CJ122" i="10" s="1"/>
  <c r="CJ123" i="10" a="1"/>
  <c r="CJ123" i="10" s="1"/>
  <c r="CJ124" i="10" a="1"/>
  <c r="CJ124" i="10" s="1"/>
  <c r="CJ125" i="10" a="1"/>
  <c r="CJ125" i="10" s="1"/>
  <c r="CJ126" i="10" a="1"/>
  <c r="CJ126" i="10"/>
  <c r="CJ127" i="10" a="1"/>
  <c r="CJ127" i="10" s="1"/>
  <c r="CJ128" i="10" a="1"/>
  <c r="CJ128" i="10"/>
  <c r="CJ129" i="10" a="1"/>
  <c r="CJ129" i="10"/>
  <c r="CJ130" i="10" a="1"/>
  <c r="CJ130" i="10"/>
  <c r="CJ131" i="10" a="1"/>
  <c r="CJ131" i="10"/>
  <c r="CJ132" i="10" a="1"/>
  <c r="CJ132" i="10" s="1"/>
  <c r="CJ133" i="10" a="1"/>
  <c r="CJ133" i="10" s="1"/>
  <c r="CJ134" i="10" a="1"/>
  <c r="CJ134" i="10" s="1"/>
  <c r="CJ135" i="10" a="1"/>
  <c r="CJ135" i="10" s="1"/>
  <c r="CJ136" i="10" a="1"/>
  <c r="CJ136" i="10"/>
  <c r="CJ137" i="10" a="1"/>
  <c r="CJ137" i="10" s="1"/>
  <c r="CJ138" i="10" a="1"/>
  <c r="CJ138" i="10"/>
  <c r="CJ139" i="10" a="1"/>
  <c r="CJ139" i="10"/>
  <c r="CJ140" i="10" a="1"/>
  <c r="CJ140" i="10"/>
  <c r="CJ141" i="10" a="1"/>
  <c r="CJ141" i="10"/>
  <c r="CJ142" i="10" a="1"/>
  <c r="CJ142" i="10" s="1"/>
  <c r="CJ143" i="10" a="1"/>
  <c r="CJ143" i="10" s="1"/>
  <c r="CJ144" i="10" a="1"/>
  <c r="CJ144" i="10" s="1"/>
  <c r="CJ145" i="10" a="1"/>
  <c r="CJ145" i="10" s="1"/>
  <c r="CJ146" i="10" a="1"/>
  <c r="CJ146" i="10"/>
  <c r="CJ147" i="10" a="1"/>
  <c r="CJ147" i="10" s="1"/>
  <c r="CJ148" i="10" a="1"/>
  <c r="CJ148" i="10"/>
  <c r="CJ149" i="10" a="1"/>
  <c r="CJ149" i="10"/>
  <c r="CJ150" i="10" a="1"/>
  <c r="CJ150" i="10"/>
  <c r="CJ151" i="10" a="1"/>
  <c r="CJ151" i="10"/>
  <c r="CJ152" i="10" a="1"/>
  <c r="CJ152" i="10" s="1"/>
  <c r="CJ153" i="10" a="1"/>
  <c r="CJ153" i="10" s="1"/>
  <c r="CJ154" i="10" a="1"/>
  <c r="CJ154" i="10" s="1"/>
  <c r="CJ155" i="10" a="1"/>
  <c r="CJ155" i="10" s="1"/>
  <c r="CJ156" i="10" a="1"/>
  <c r="CJ156" i="10"/>
  <c r="CJ157" i="10" a="1"/>
  <c r="CJ157" i="10" s="1"/>
  <c r="CJ158" i="10" a="1"/>
  <c r="CJ158" i="10"/>
  <c r="CJ159" i="10" a="1"/>
  <c r="CJ159" i="10"/>
  <c r="CJ160" i="10" a="1"/>
  <c r="CJ160" i="10"/>
  <c r="CJ161" i="10" a="1"/>
  <c r="CJ161" i="10"/>
  <c r="CJ162" i="10" a="1"/>
  <c r="CJ162" i="10" s="1"/>
  <c r="CJ163" i="10" a="1"/>
  <c r="CJ163" i="10" s="1"/>
  <c r="CJ164" i="10" a="1"/>
  <c r="CJ164" i="10" s="1"/>
  <c r="CJ165" i="10" a="1"/>
  <c r="CJ165" i="10" s="1"/>
  <c r="CJ166" i="10" a="1"/>
  <c r="CJ166" i="10"/>
  <c r="CJ167" i="10" a="1"/>
  <c r="CJ167" i="10" s="1"/>
  <c r="CJ168" i="10" a="1"/>
  <c r="CJ168" i="10"/>
  <c r="CJ169" i="10" a="1"/>
  <c r="CJ169" i="10"/>
  <c r="CJ170" i="10" a="1"/>
  <c r="CJ170" i="10"/>
  <c r="CJ171" i="10" a="1"/>
  <c r="CJ171" i="10"/>
  <c r="CJ172" i="10" a="1"/>
  <c r="CJ172" i="10" s="1"/>
  <c r="CJ173" i="10" a="1"/>
  <c r="CJ173" i="10" s="1"/>
  <c r="CJ174" i="10" a="1"/>
  <c r="CJ174" i="10" s="1"/>
  <c r="CJ175" i="10" a="1"/>
  <c r="CJ175" i="10" s="1"/>
  <c r="CJ176" i="10" a="1"/>
  <c r="CJ176" i="10"/>
  <c r="CJ177" i="10" a="1"/>
  <c r="CJ177" i="10" s="1"/>
  <c r="CJ178" i="10" a="1"/>
  <c r="CJ178" i="10"/>
  <c r="CJ179" i="10" a="1"/>
  <c r="CJ179" i="10"/>
  <c r="CJ180" i="10" a="1"/>
  <c r="CJ180" i="10"/>
  <c r="CJ181" i="10" a="1"/>
  <c r="CJ181" i="10"/>
  <c r="CJ182" i="10" a="1"/>
  <c r="CJ182" i="10" s="1"/>
  <c r="CJ183" i="10" a="1"/>
  <c r="CJ183" i="10" s="1"/>
  <c r="CJ184" i="10" a="1"/>
  <c r="CJ184" i="10" s="1"/>
  <c r="CJ185" i="10" a="1"/>
  <c r="CJ185" i="10" s="1"/>
  <c r="CJ186" i="10" a="1"/>
  <c r="CJ186" i="10"/>
  <c r="CJ187" i="10" a="1"/>
  <c r="CJ187" i="10" s="1"/>
  <c r="CJ188" i="10" a="1"/>
  <c r="CJ188" i="10"/>
  <c r="CJ189" i="10" a="1"/>
  <c r="CJ189" i="10"/>
  <c r="CJ190" i="10" a="1"/>
  <c r="CJ190" i="10"/>
  <c r="CJ191" i="10" a="1"/>
  <c r="CJ191" i="10"/>
  <c r="CJ192" i="10" a="1"/>
  <c r="CJ192" i="10" s="1"/>
  <c r="CJ193" i="10" a="1"/>
  <c r="CJ193" i="10" s="1"/>
  <c r="CJ194" i="10" a="1"/>
  <c r="CJ194" i="10" s="1"/>
  <c r="CJ195" i="10" a="1"/>
  <c r="CJ195" i="10" s="1"/>
  <c r="CJ196" i="10" a="1"/>
  <c r="CJ196" i="10"/>
  <c r="CJ197" i="10" a="1"/>
  <c r="CJ197" i="10" s="1"/>
  <c r="CJ198" i="10" a="1"/>
  <c r="CJ198" i="10"/>
  <c r="CJ199" i="10" a="1"/>
  <c r="CJ199" i="10"/>
  <c r="CJ200" i="10" a="1"/>
  <c r="CJ200" i="10"/>
  <c r="CJ201" i="10" a="1"/>
  <c r="CJ201" i="10"/>
  <c r="CJ202" i="10" a="1"/>
  <c r="CJ202" i="10" s="1"/>
  <c r="CJ203" i="10" a="1"/>
  <c r="CJ203" i="10" s="1"/>
  <c r="CJ204" i="10" a="1"/>
  <c r="CJ204" i="10" s="1"/>
  <c r="CJ205" i="10" a="1"/>
  <c r="CJ205" i="10" s="1"/>
  <c r="CJ206" i="10" a="1"/>
  <c r="CJ206" i="10"/>
  <c r="CJ207" i="10" a="1"/>
  <c r="CJ207" i="10" s="1"/>
  <c r="CJ208" i="10" a="1"/>
  <c r="CJ208" i="10"/>
  <c r="CJ209" i="10" a="1"/>
  <c r="CJ209" i="10"/>
  <c r="CJ210" i="10" a="1"/>
  <c r="CJ210" i="10"/>
  <c r="CJ211" i="10" a="1"/>
  <c r="CJ211" i="10"/>
  <c r="CJ212" i="10" a="1"/>
  <c r="CJ212" i="10" s="1"/>
  <c r="CJ213" i="10" a="1"/>
  <c r="CJ213" i="10" s="1"/>
  <c r="CJ214" i="10" a="1"/>
  <c r="CJ214" i="10" s="1"/>
  <c r="CJ215" i="10" a="1"/>
  <c r="CJ215" i="10" s="1"/>
  <c r="CJ216" i="10" a="1"/>
  <c r="CJ216" i="10"/>
  <c r="CJ217" i="10" a="1"/>
  <c r="CJ217" i="10" s="1"/>
  <c r="CJ218" i="10" a="1"/>
  <c r="CJ218" i="10"/>
  <c r="CJ219" i="10" a="1"/>
  <c r="CJ219" i="10"/>
  <c r="CJ220" i="10" a="1"/>
  <c r="CJ220" i="10"/>
  <c r="CJ221" i="10" a="1"/>
  <c r="CJ221" i="10"/>
  <c r="CJ222" i="10" a="1"/>
  <c r="CJ222" i="10" s="1"/>
  <c r="CJ223" i="10" a="1"/>
  <c r="CJ223" i="10" s="1"/>
  <c r="CJ224" i="10" a="1"/>
  <c r="CJ224" i="10" s="1"/>
  <c r="CJ225" i="10" a="1"/>
  <c r="CJ225" i="10" s="1"/>
  <c r="CJ226" i="10" a="1"/>
  <c r="CJ226" i="10"/>
  <c r="CJ227" i="10" a="1"/>
  <c r="CJ227" i="10" s="1"/>
  <c r="CJ228" i="10" a="1"/>
  <c r="CJ228" i="10"/>
  <c r="CI228" i="10"/>
  <c r="CH2" i="10"/>
  <c r="CH3" i="10"/>
  <c r="CH4" i="10"/>
  <c r="CH5" i="10"/>
  <c r="CH6" i="10"/>
  <c r="CH7" i="10"/>
  <c r="CH8" i="10"/>
  <c r="CH9" i="10"/>
  <c r="CH10" i="10"/>
  <c r="CH11" i="10"/>
  <c r="CH12" i="10"/>
  <c r="CH13" i="10"/>
  <c r="CH14" i="10"/>
  <c r="CH15" i="10"/>
  <c r="CH16" i="10"/>
  <c r="CH17" i="10"/>
  <c r="CH18" i="10"/>
  <c r="CH19" i="10"/>
  <c r="CH20" i="10"/>
  <c r="CH21" i="10"/>
  <c r="CH22" i="10"/>
  <c r="CH23" i="10"/>
  <c r="CH24" i="10"/>
  <c r="CH25" i="10"/>
  <c r="CH26" i="10"/>
  <c r="CH27" i="10"/>
  <c r="CH28" i="10"/>
  <c r="CH29" i="10"/>
  <c r="CH30" i="10"/>
  <c r="CH31" i="10"/>
  <c r="CH32" i="10"/>
  <c r="CH33" i="10"/>
  <c r="CH34" i="10"/>
  <c r="CH35" i="10"/>
  <c r="CH36" i="10"/>
  <c r="CH37" i="10"/>
  <c r="CH38" i="10"/>
  <c r="CH39" i="10"/>
  <c r="CH40" i="10"/>
  <c r="CH41" i="10"/>
  <c r="CH42" i="10"/>
  <c r="CH43" i="10"/>
  <c r="CH44" i="10"/>
  <c r="CH45" i="10"/>
  <c r="CH46" i="10"/>
  <c r="CH47" i="10"/>
  <c r="CH48" i="10"/>
  <c r="CH49" i="10"/>
  <c r="CH50" i="10"/>
  <c r="CH51" i="10"/>
  <c r="CH52" i="10"/>
  <c r="CH53" i="10"/>
  <c r="CH54" i="10"/>
  <c r="CH55" i="10"/>
  <c r="CH56" i="10"/>
  <c r="CH57" i="10"/>
  <c r="CH58" i="10"/>
  <c r="CH59" i="10"/>
  <c r="CH60" i="10"/>
  <c r="CH61" i="10"/>
  <c r="CH62" i="10"/>
  <c r="CH63" i="10"/>
  <c r="CH64" i="10"/>
  <c r="CH65" i="10"/>
  <c r="CH66" i="10"/>
  <c r="CH67" i="10"/>
  <c r="CH68" i="10"/>
  <c r="CH69" i="10"/>
  <c r="CH70" i="10"/>
  <c r="CH71" i="10"/>
  <c r="CH72" i="10"/>
  <c r="CH73" i="10"/>
  <c r="CH74" i="10"/>
  <c r="CH75" i="10"/>
  <c r="CH76" i="10"/>
  <c r="CH77" i="10"/>
  <c r="CH78" i="10"/>
  <c r="CH79" i="10"/>
  <c r="CH80" i="10"/>
  <c r="CH81" i="10"/>
  <c r="CH82" i="10"/>
  <c r="CH83" i="10"/>
  <c r="CH84" i="10"/>
  <c r="CH85" i="10"/>
  <c r="CH86" i="10"/>
  <c r="CH87" i="10"/>
  <c r="CH88" i="10"/>
  <c r="CH89" i="10"/>
  <c r="CH90" i="10"/>
  <c r="CH91" i="10"/>
  <c r="CH92" i="10"/>
  <c r="CH93" i="10"/>
  <c r="CH94" i="10"/>
  <c r="CH95" i="10"/>
  <c r="CH96" i="10"/>
  <c r="CH97" i="10"/>
  <c r="CH98" i="10"/>
  <c r="CH99" i="10"/>
  <c r="CH100" i="10"/>
  <c r="CH101" i="10"/>
  <c r="CH102" i="10"/>
  <c r="CH103" i="10"/>
  <c r="CH104" i="10"/>
  <c r="CH105" i="10"/>
  <c r="CH106" i="10"/>
  <c r="CH107" i="10"/>
  <c r="CH108" i="10"/>
  <c r="CH109" i="10"/>
  <c r="CH110" i="10"/>
  <c r="CH111" i="10"/>
  <c r="CH112" i="10"/>
  <c r="CH113" i="10"/>
  <c r="CH114" i="10"/>
  <c r="CH115" i="10"/>
  <c r="CH116" i="10"/>
  <c r="CH117" i="10"/>
  <c r="CH118" i="10"/>
  <c r="CH119" i="10"/>
  <c r="CH120" i="10"/>
  <c r="CH121" i="10"/>
  <c r="CH122" i="10"/>
  <c r="CH123" i="10"/>
  <c r="CH124" i="10"/>
  <c r="CH125" i="10"/>
  <c r="CH126" i="10"/>
  <c r="CH127" i="10"/>
  <c r="CH128" i="10"/>
  <c r="CH129" i="10"/>
  <c r="CH130" i="10"/>
  <c r="CH131" i="10"/>
  <c r="CH132" i="10"/>
  <c r="CH133" i="10"/>
  <c r="CH134" i="10"/>
  <c r="CH135" i="10"/>
  <c r="CH136" i="10"/>
  <c r="CH137" i="10"/>
  <c r="CH138" i="10"/>
  <c r="CH139" i="10"/>
  <c r="CH140" i="10"/>
  <c r="CH141" i="10"/>
  <c r="CH142" i="10"/>
  <c r="CH143" i="10"/>
  <c r="CH144" i="10"/>
  <c r="CH145" i="10"/>
  <c r="CH146" i="10"/>
  <c r="CH147" i="10"/>
  <c r="CH148" i="10"/>
  <c r="CH149" i="10"/>
  <c r="CH150" i="10"/>
  <c r="CH151" i="10"/>
  <c r="CH152" i="10"/>
  <c r="CH153" i="10"/>
  <c r="CH154" i="10"/>
  <c r="CH155" i="10"/>
  <c r="CH156" i="10"/>
  <c r="CH157" i="10"/>
  <c r="CH158" i="10"/>
  <c r="CH159" i="10"/>
  <c r="CH160" i="10"/>
  <c r="CH161" i="10"/>
  <c r="CH162" i="10"/>
  <c r="CH163" i="10"/>
  <c r="CH164" i="10"/>
  <c r="CH165" i="10"/>
  <c r="CH166" i="10"/>
  <c r="CH167" i="10"/>
  <c r="CH168" i="10"/>
  <c r="CH169" i="10"/>
  <c r="CH170" i="10"/>
  <c r="CH171" i="10"/>
  <c r="CH172" i="10"/>
  <c r="CH173" i="10"/>
  <c r="CH174" i="10"/>
  <c r="CH175" i="10"/>
  <c r="CH176" i="10"/>
  <c r="CH177" i="10"/>
  <c r="CH178" i="10"/>
  <c r="CH179" i="10"/>
  <c r="CH180" i="10"/>
  <c r="CH181" i="10"/>
  <c r="CH182" i="10"/>
  <c r="CH183" i="10"/>
  <c r="CH184" i="10"/>
  <c r="CH185" i="10"/>
  <c r="CH186" i="10"/>
  <c r="CH187" i="10"/>
  <c r="CH188" i="10"/>
  <c r="CH189" i="10"/>
  <c r="CH190" i="10"/>
  <c r="CH191" i="10"/>
  <c r="CH192" i="10"/>
  <c r="CH193" i="10"/>
  <c r="CH194" i="10"/>
  <c r="CH195" i="10"/>
  <c r="CH196" i="10"/>
  <c r="CH197" i="10"/>
  <c r="CH198" i="10"/>
  <c r="CH199" i="10"/>
  <c r="CH200" i="10"/>
  <c r="CH201" i="10"/>
  <c r="CH202" i="10"/>
  <c r="CH203" i="10"/>
  <c r="CH204" i="10"/>
  <c r="CH205" i="10"/>
  <c r="CH206" i="10"/>
  <c r="CH207" i="10"/>
  <c r="CH208" i="10"/>
  <c r="CH209" i="10"/>
  <c r="CH210" i="10"/>
  <c r="CH211" i="10"/>
  <c r="CH212" i="10"/>
  <c r="CH213" i="10"/>
  <c r="CH214" i="10"/>
  <c r="CH215" i="10"/>
  <c r="CH216" i="10"/>
  <c r="CH217" i="10"/>
  <c r="CH218" i="10"/>
  <c r="CH219" i="10"/>
  <c r="CH220" i="10"/>
  <c r="CH221" i="10"/>
  <c r="CH222" i="10"/>
  <c r="CH223" i="10"/>
  <c r="CH224" i="10"/>
  <c r="CH225" i="10"/>
  <c r="CH226" i="10"/>
  <c r="CH227" i="10"/>
  <c r="CH228" i="10"/>
  <c r="CG2" i="10"/>
  <c r="CG3" i="10"/>
  <c r="CG4" i="10"/>
  <c r="CG5" i="10"/>
  <c r="CG6" i="10"/>
  <c r="CG7" i="10"/>
  <c r="CG8" i="10"/>
  <c r="CG9" i="10"/>
  <c r="CG10" i="10"/>
  <c r="CG11" i="10"/>
  <c r="CG12" i="10"/>
  <c r="CG13" i="10"/>
  <c r="CG14" i="10"/>
  <c r="CG15" i="10"/>
  <c r="CG16" i="10"/>
  <c r="CG17" i="10"/>
  <c r="CG18" i="10"/>
  <c r="CG19" i="10"/>
  <c r="CG20" i="10"/>
  <c r="CG21" i="10"/>
  <c r="CG22" i="10"/>
  <c r="CG23" i="10"/>
  <c r="CG24" i="10"/>
  <c r="CG25" i="10"/>
  <c r="CG26" i="10"/>
  <c r="CG27" i="10"/>
  <c r="CG28" i="10"/>
  <c r="CG29" i="10"/>
  <c r="CG30" i="10"/>
  <c r="CG31" i="10"/>
  <c r="CG32" i="10"/>
  <c r="CG33" i="10"/>
  <c r="CG34" i="10"/>
  <c r="CG35" i="10"/>
  <c r="CG36" i="10"/>
  <c r="CG37" i="10"/>
  <c r="CG38" i="10"/>
  <c r="CG39" i="10"/>
  <c r="CG40" i="10"/>
  <c r="CG41" i="10"/>
  <c r="CG42" i="10"/>
  <c r="CG43" i="10"/>
  <c r="CG44" i="10"/>
  <c r="CG45" i="10"/>
  <c r="CG46" i="10"/>
  <c r="CG47" i="10"/>
  <c r="CG48" i="10"/>
  <c r="CG49" i="10"/>
  <c r="CG50" i="10"/>
  <c r="CG51" i="10"/>
  <c r="CG52" i="10"/>
  <c r="CG53" i="10"/>
  <c r="CG54" i="10"/>
  <c r="CG55" i="10"/>
  <c r="CG56" i="10"/>
  <c r="CG57" i="10"/>
  <c r="CG58" i="10"/>
  <c r="CG59" i="10"/>
  <c r="CG60" i="10"/>
  <c r="CG61" i="10"/>
  <c r="CG62" i="10"/>
  <c r="CG63" i="10"/>
  <c r="CG64" i="10"/>
  <c r="CG65" i="10"/>
  <c r="CG66" i="10"/>
  <c r="CG67" i="10"/>
  <c r="CG68" i="10"/>
  <c r="CG69" i="10"/>
  <c r="CG70" i="10"/>
  <c r="CG71" i="10"/>
  <c r="CG72" i="10"/>
  <c r="CG73" i="10"/>
  <c r="CG74" i="10"/>
  <c r="CG75" i="10"/>
  <c r="CG76" i="10"/>
  <c r="CG77" i="10"/>
  <c r="CG78" i="10"/>
  <c r="CG79" i="10"/>
  <c r="CG80" i="10"/>
  <c r="CG81" i="10"/>
  <c r="CG82" i="10"/>
  <c r="CG83" i="10"/>
  <c r="CG84" i="10"/>
  <c r="CG85" i="10"/>
  <c r="CG86" i="10"/>
  <c r="CG87" i="10"/>
  <c r="CG88" i="10"/>
  <c r="CG89" i="10"/>
  <c r="CG90" i="10"/>
  <c r="CG91" i="10"/>
  <c r="CG92" i="10"/>
  <c r="CG93" i="10"/>
  <c r="CG94" i="10"/>
  <c r="CG95" i="10"/>
  <c r="CG96" i="10"/>
  <c r="CG97" i="10"/>
  <c r="CG98" i="10"/>
  <c r="CG99" i="10"/>
  <c r="CG100" i="10"/>
  <c r="CG101" i="10"/>
  <c r="CG102" i="10"/>
  <c r="CG103" i="10"/>
  <c r="CG104" i="10"/>
  <c r="CG105" i="10"/>
  <c r="CG106" i="10"/>
  <c r="CG107" i="10"/>
  <c r="CG108" i="10"/>
  <c r="CG109" i="10"/>
  <c r="CG110" i="10"/>
  <c r="CG111" i="10"/>
  <c r="CG112" i="10"/>
  <c r="CG113" i="10"/>
  <c r="CG114" i="10"/>
  <c r="CG115" i="10"/>
  <c r="CG116" i="10"/>
  <c r="CG117" i="10"/>
  <c r="CG118" i="10"/>
  <c r="CG119" i="10"/>
  <c r="CG120" i="10"/>
  <c r="CG121" i="10"/>
  <c r="CG122" i="10"/>
  <c r="CG123" i="10"/>
  <c r="CG124" i="10"/>
  <c r="CG125" i="10"/>
  <c r="CG126" i="10"/>
  <c r="CG127" i="10"/>
  <c r="CG128" i="10"/>
  <c r="CG129" i="10"/>
  <c r="CG130" i="10"/>
  <c r="CG131" i="10"/>
  <c r="CG132" i="10"/>
  <c r="CG133" i="10"/>
  <c r="CG134" i="10"/>
  <c r="CG135" i="10"/>
  <c r="CG136" i="10"/>
  <c r="CG137" i="10"/>
  <c r="CG138" i="10"/>
  <c r="CG139" i="10"/>
  <c r="CG140" i="10"/>
  <c r="CG141" i="10"/>
  <c r="CG142" i="10"/>
  <c r="CG143" i="10"/>
  <c r="CG144" i="10"/>
  <c r="CG145" i="10"/>
  <c r="CG146" i="10"/>
  <c r="CG147" i="10"/>
  <c r="CG148" i="10"/>
  <c r="CG149" i="10"/>
  <c r="CG150" i="10"/>
  <c r="CG151" i="10"/>
  <c r="CG152" i="10"/>
  <c r="CG153" i="10"/>
  <c r="CG154" i="10"/>
  <c r="CG155" i="10"/>
  <c r="CG156" i="10"/>
  <c r="CG157" i="10"/>
  <c r="CG158" i="10"/>
  <c r="CG159" i="10"/>
  <c r="CG160" i="10"/>
  <c r="CG161" i="10"/>
  <c r="CG162" i="10"/>
  <c r="CG163" i="10"/>
  <c r="CG164" i="10"/>
  <c r="CG165" i="10"/>
  <c r="CG166" i="10"/>
  <c r="CG167" i="10"/>
  <c r="CG168" i="10"/>
  <c r="CG169" i="10"/>
  <c r="CG170" i="10"/>
  <c r="CG171" i="10"/>
  <c r="CG172" i="10"/>
  <c r="CG173" i="10"/>
  <c r="CG174" i="10"/>
  <c r="CG175" i="10"/>
  <c r="CG176" i="10"/>
  <c r="CG177" i="10"/>
  <c r="CG178" i="10"/>
  <c r="CG179" i="10"/>
  <c r="CG180" i="10"/>
  <c r="CG181" i="10"/>
  <c r="CG182" i="10"/>
  <c r="CG183" i="10"/>
  <c r="CG184" i="10"/>
  <c r="CG185" i="10"/>
  <c r="CG186" i="10"/>
  <c r="CG187" i="10"/>
  <c r="CG188" i="10"/>
  <c r="CG189" i="10"/>
  <c r="CG190" i="10"/>
  <c r="CG191" i="10"/>
  <c r="CG192" i="10"/>
  <c r="CG193" i="10"/>
  <c r="CG194" i="10"/>
  <c r="CG195" i="10"/>
  <c r="CG196" i="10"/>
  <c r="CG197" i="10"/>
  <c r="CG198" i="10"/>
  <c r="CG199" i="10"/>
  <c r="CG200" i="10"/>
  <c r="CG201" i="10"/>
  <c r="CG202" i="10"/>
  <c r="CG203" i="10"/>
  <c r="CG204" i="10"/>
  <c r="CG205" i="10"/>
  <c r="CG206" i="10"/>
  <c r="CG207" i="10"/>
  <c r="CG208" i="10"/>
  <c r="CG209" i="10"/>
  <c r="CG210" i="10"/>
  <c r="CG211" i="10"/>
  <c r="CG212" i="10"/>
  <c r="CG213" i="10"/>
  <c r="CG214" i="10"/>
  <c r="CG215" i="10"/>
  <c r="CG216" i="10"/>
  <c r="CG217" i="10"/>
  <c r="CG218" i="10"/>
  <c r="CG219" i="10"/>
  <c r="CG220" i="10"/>
  <c r="CG221" i="10"/>
  <c r="CG222" i="10"/>
  <c r="CG223" i="10"/>
  <c r="CG224" i="10"/>
  <c r="CG225" i="10"/>
  <c r="CG226" i="10"/>
  <c r="CG227" i="10"/>
  <c r="CG228" i="10"/>
  <c r="CE197" i="10" a="1"/>
  <c r="CE197" i="10" s="1"/>
  <c r="CE198" i="10" a="1"/>
  <c r="CE198" i="10" s="1"/>
  <c r="CC62" i="10"/>
  <c r="CB15" i="10" a="1"/>
  <c r="CB15" i="10" s="1"/>
  <c r="CC15" i="10" s="1"/>
  <c r="CB16" i="10" a="1"/>
  <c r="CB16" i="10"/>
  <c r="CC16" i="10" s="1"/>
  <c r="CB17" i="10" a="1"/>
  <c r="CB17" i="10"/>
  <c r="CC17" i="10" s="1"/>
  <c r="CB18" i="10" a="1"/>
  <c r="CB18" i="10" s="1"/>
  <c r="CC18" i="10" s="1"/>
  <c r="CB22" i="10" a="1"/>
  <c r="CB22" i="10" s="1"/>
  <c r="CC22" i="10" s="1"/>
  <c r="CB30" i="10" a="1"/>
  <c r="CB30" i="10" s="1"/>
  <c r="CC30" i="10" s="1"/>
  <c r="CB38" i="10" a="1"/>
  <c r="CB38" i="10" s="1"/>
  <c r="CC38" i="10" s="1"/>
  <c r="CB54" i="10" a="1"/>
  <c r="CB54" i="10" s="1"/>
  <c r="CC54" i="10" s="1"/>
  <c r="CB55" i="10" a="1"/>
  <c r="CB55" i="10" s="1"/>
  <c r="CC55" i="10" s="1"/>
  <c r="CB56" i="10" a="1"/>
  <c r="CB56" i="10" s="1"/>
  <c r="CC56" i="10" s="1"/>
  <c r="CB62" i="10" a="1"/>
  <c r="CB62" i="10" s="1"/>
  <c r="CB75" i="10" a="1"/>
  <c r="CB75" i="10" s="1"/>
  <c r="CC75" i="10" s="1"/>
  <c r="CB78" i="10" a="1"/>
  <c r="CB78" i="10"/>
  <c r="CC78" i="10" s="1"/>
  <c r="CB79" i="10" a="1"/>
  <c r="CB79" i="10"/>
  <c r="CC79" i="10" s="1"/>
  <c r="CB80" i="10" a="1"/>
  <c r="CB80" i="10" s="1"/>
  <c r="CC80" i="10" s="1"/>
  <c r="CB90" i="10" a="1"/>
  <c r="CB90" i="10" s="1"/>
  <c r="CC90" i="10" s="1"/>
  <c r="CB115" i="10" a="1"/>
  <c r="CB115" i="10" s="1"/>
  <c r="CC115" i="10" s="1"/>
  <c r="CB116" i="10" a="1"/>
  <c r="CB116" i="10"/>
  <c r="CC116" i="10" s="1"/>
  <c r="CB117" i="10" a="1"/>
  <c r="CB117" i="10"/>
  <c r="CC117" i="10" s="1"/>
  <c r="CB118" i="10" a="1"/>
  <c r="CB118" i="10" s="1"/>
  <c r="CC118" i="10" s="1"/>
  <c r="CB122" i="10" a="1"/>
  <c r="CB122" i="10" s="1"/>
  <c r="CC122" i="10" s="1"/>
  <c r="CB130" i="10" a="1"/>
  <c r="CB130" i="10" s="1"/>
  <c r="CC130" i="10" s="1"/>
  <c r="CB138" i="10" a="1"/>
  <c r="CB138" i="10" s="1"/>
  <c r="CC138" i="10" s="1"/>
  <c r="CB154" i="10" a="1"/>
  <c r="CB154" i="10" s="1"/>
  <c r="CC154" i="10" s="1"/>
  <c r="CB155" i="10" a="1"/>
  <c r="CB155" i="10" s="1"/>
  <c r="CC155" i="10" s="1"/>
  <c r="CB156" i="10" a="1"/>
  <c r="CB156" i="10" s="1"/>
  <c r="CC156" i="10" s="1"/>
  <c r="CB162" i="10" a="1"/>
  <c r="CB162" i="10" s="1"/>
  <c r="CC162" i="10" s="1"/>
  <c r="CB175" i="10" a="1"/>
  <c r="CB175" i="10" s="1"/>
  <c r="CC175" i="10" s="1"/>
  <c r="CB178" i="10" a="1"/>
  <c r="CB178" i="10"/>
  <c r="CC178" i="10" s="1"/>
  <c r="CB179" i="10" a="1"/>
  <c r="CB179" i="10"/>
  <c r="CC179" i="10" s="1"/>
  <c r="CB180" i="10" a="1"/>
  <c r="CB180" i="10" s="1"/>
  <c r="CC180" i="10" s="1"/>
  <c r="CB190" i="10" a="1"/>
  <c r="CB190" i="10" s="1"/>
  <c r="CC190" i="10" s="1"/>
  <c r="CB215" i="10" a="1"/>
  <c r="CB215" i="10" s="1"/>
  <c r="CC215" i="10" s="1"/>
  <c r="CB216" i="10" a="1"/>
  <c r="CB216" i="10"/>
  <c r="CC216" i="10" s="1"/>
  <c r="CB217" i="10" a="1"/>
  <c r="CB217" i="10"/>
  <c r="CC217" i="10" s="1"/>
  <c r="CB218" i="10" a="1"/>
  <c r="CB218" i="10" s="1"/>
  <c r="CC218" i="10" s="1"/>
  <c r="CB222" i="10" a="1"/>
  <c r="CB222" i="10" s="1"/>
  <c r="CC222" i="10" s="1"/>
  <c r="CA2" i="10" a="1"/>
  <c r="CA2" i="10" s="1"/>
  <c r="CP2" i="10" s="1"/>
  <c r="CA3" i="10" a="1"/>
  <c r="CA3" i="10" s="1"/>
  <c r="CP3" i="10" s="1"/>
  <c r="CA17" i="10" a="1"/>
  <c r="CA17" i="10" s="1"/>
  <c r="CA18" i="10" a="1"/>
  <c r="CA18" i="10"/>
  <c r="CP18" i="10" s="1"/>
  <c r="CA21" i="10" a="1"/>
  <c r="CA21" i="10" s="1"/>
  <c r="CP21" i="10" s="1"/>
  <c r="CA22" i="10" a="1"/>
  <c r="CA22" i="10" s="1"/>
  <c r="CP22" i="10" s="1"/>
  <c r="CA23" i="10" a="1"/>
  <c r="CA23" i="10" s="1"/>
  <c r="CP23" i="10" s="1"/>
  <c r="CA24" i="10" a="1"/>
  <c r="CA24" i="10" s="1"/>
  <c r="CP24" i="10" s="1"/>
  <c r="CA25" i="10" a="1"/>
  <c r="CA25" i="10" s="1"/>
  <c r="CP25" i="10" s="1"/>
  <c r="CA26" i="10" a="1"/>
  <c r="CA26" i="10"/>
  <c r="CP26" i="10" s="1"/>
  <c r="CA27" i="10" a="1"/>
  <c r="CA27" i="10"/>
  <c r="CP27" i="10" s="1"/>
  <c r="CA28" i="10" a="1"/>
  <c r="CA28" i="10"/>
  <c r="CP28" i="10" s="1"/>
  <c r="CA29" i="10" a="1"/>
  <c r="CA29" i="10" s="1"/>
  <c r="CP29" i="10" s="1"/>
  <c r="CA30" i="10" a="1"/>
  <c r="CA30" i="10" s="1"/>
  <c r="CP30" i="10" s="1"/>
  <c r="CA31" i="10" a="1"/>
  <c r="CA31" i="10" s="1"/>
  <c r="CP31" i="10" s="1"/>
  <c r="CA33" i="10" a="1"/>
  <c r="CA33" i="10" s="1"/>
  <c r="CP33" i="10" s="1"/>
  <c r="CA34" i="10" a="1"/>
  <c r="CA34" i="10" s="1"/>
  <c r="CP34" i="10" s="1"/>
  <c r="CA35" i="10" a="1"/>
  <c r="CA35" i="10" s="1"/>
  <c r="CP35" i="10" s="1"/>
  <c r="CA36" i="10" a="1"/>
  <c r="CA36" i="10"/>
  <c r="CP36" i="10" s="1"/>
  <c r="CA37" i="10" a="1"/>
  <c r="CA37" i="10" s="1"/>
  <c r="CP37" i="10" s="1"/>
  <c r="CA38" i="10" a="1"/>
  <c r="CA38" i="10"/>
  <c r="CP38" i="10" s="1"/>
  <c r="CA39" i="10" a="1"/>
  <c r="CA39" i="10"/>
  <c r="CP39" i="10" s="1"/>
  <c r="CA40" i="10" a="1"/>
  <c r="CA40" i="10"/>
  <c r="CP40" i="10" s="1"/>
  <c r="CA41" i="10" a="1"/>
  <c r="CA41" i="10" s="1"/>
  <c r="CP41" i="10" s="1"/>
  <c r="CA42" i="10" a="1"/>
  <c r="CA42" i="10" s="1"/>
  <c r="CP42" i="10" s="1"/>
  <c r="CA43" i="10" a="1"/>
  <c r="CA43" i="10" s="1"/>
  <c r="CP43" i="10" s="1"/>
  <c r="CA46" i="10" a="1"/>
  <c r="CA46" i="10" s="1"/>
  <c r="CP46" i="10" s="1"/>
  <c r="CA47" i="10" a="1"/>
  <c r="CA47" i="10" s="1"/>
  <c r="CP47" i="10" s="1"/>
  <c r="CA48" i="10" a="1"/>
  <c r="CA48" i="10" s="1"/>
  <c r="CP48" i="10" s="1"/>
  <c r="CA49" i="10" a="1"/>
  <c r="CA49" i="10" s="1"/>
  <c r="CP49" i="10" s="1"/>
  <c r="CA50" i="10" a="1"/>
  <c r="CA50" i="10" s="1"/>
  <c r="CP50" i="10" s="1"/>
  <c r="CA51" i="10" a="1"/>
  <c r="CA51" i="10"/>
  <c r="CP51" i="10" s="1"/>
  <c r="CA52" i="10" a="1"/>
  <c r="CA52" i="10" s="1"/>
  <c r="CP52" i="10" s="1"/>
  <c r="CA53" i="10" a="1"/>
  <c r="CA53" i="10" s="1"/>
  <c r="CP53" i="10" s="1"/>
  <c r="CA54" i="10" a="1"/>
  <c r="CA54" i="10" s="1"/>
  <c r="CP54" i="10" s="1"/>
  <c r="CA55" i="10" a="1"/>
  <c r="CA55" i="10" s="1"/>
  <c r="CP55" i="10" s="1"/>
  <c r="CA56" i="10" a="1"/>
  <c r="CA56" i="10"/>
  <c r="CP56" i="10" s="1"/>
  <c r="CA59" i="10" a="1"/>
  <c r="CA59" i="10" s="1"/>
  <c r="CP59" i="10" s="1"/>
  <c r="CA60" i="10" a="1"/>
  <c r="CA60" i="10"/>
  <c r="CP60" i="10" s="1"/>
  <c r="CA61" i="10" a="1"/>
  <c r="CA61" i="10" s="1"/>
  <c r="CP61" i="10" s="1"/>
  <c r="CA62" i="10" a="1"/>
  <c r="CA62" i="10" s="1"/>
  <c r="CP62" i="10" s="1"/>
  <c r="CA63" i="10" a="1"/>
  <c r="CA63" i="10" s="1"/>
  <c r="CP63" i="10" s="1"/>
  <c r="CA64" i="10" a="1"/>
  <c r="CA64" i="10" s="1"/>
  <c r="CP64" i="10" s="1"/>
  <c r="CA65" i="10" a="1"/>
  <c r="CA65" i="10" s="1"/>
  <c r="CP65" i="10" s="1"/>
  <c r="CA66" i="10" a="1"/>
  <c r="CA66" i="10"/>
  <c r="CP66" i="10" s="1"/>
  <c r="CA67" i="10" a="1"/>
  <c r="CA67" i="10" s="1"/>
  <c r="CP67" i="10" s="1"/>
  <c r="CA68" i="10" a="1"/>
  <c r="CA68" i="10"/>
  <c r="CP68" i="10" s="1"/>
  <c r="CA69" i="10" a="1"/>
  <c r="CA69" i="10" s="1"/>
  <c r="CP69" i="10" s="1"/>
  <c r="CA71" i="10" a="1"/>
  <c r="CA71" i="10" s="1"/>
  <c r="CP71" i="10" s="1"/>
  <c r="CA72" i="10" a="1"/>
  <c r="CA72" i="10" s="1"/>
  <c r="CP72" i="10" s="1"/>
  <c r="CA73" i="10" a="1"/>
  <c r="CA73" i="10" s="1"/>
  <c r="CP73" i="10" s="1"/>
  <c r="CA74" i="10" a="1"/>
  <c r="CA74" i="10" s="1"/>
  <c r="CP74" i="10" s="1"/>
  <c r="CA75" i="10" a="1"/>
  <c r="CA75" i="10" s="1"/>
  <c r="CP75" i="10" s="1"/>
  <c r="CA76" i="10" a="1"/>
  <c r="CA76" i="10"/>
  <c r="CP76" i="10" s="1"/>
  <c r="CA77" i="10" a="1"/>
  <c r="CA77" i="10"/>
  <c r="CP77" i="10" s="1"/>
  <c r="CA78" i="10" a="1"/>
  <c r="CA78" i="10"/>
  <c r="CP78" i="10" s="1"/>
  <c r="CA79" i="10" a="1"/>
  <c r="CA79" i="10" s="1"/>
  <c r="CP79" i="10" s="1"/>
  <c r="CA80" i="10" a="1"/>
  <c r="CA80" i="10" s="1"/>
  <c r="CP80" i="10" s="1"/>
  <c r="CA84" i="10" a="1"/>
  <c r="CA84" i="10" s="1"/>
  <c r="CP84" i="10" s="1"/>
  <c r="CA85" i="10" a="1"/>
  <c r="CA85" i="10" s="1"/>
  <c r="CP85" i="10" s="1"/>
  <c r="CA86" i="10" a="1"/>
  <c r="CA86" i="10" s="1"/>
  <c r="CP86" i="10" s="1"/>
  <c r="CA87" i="10" a="1"/>
  <c r="CA87" i="10" s="1"/>
  <c r="CP87" i="10" s="1"/>
  <c r="CA88" i="10" a="1"/>
  <c r="CA88" i="10"/>
  <c r="CP88" i="10" s="1"/>
  <c r="CA89" i="10" a="1"/>
  <c r="CA89" i="10"/>
  <c r="CP89" i="10" s="1"/>
  <c r="CA90" i="10" a="1"/>
  <c r="CA90" i="10"/>
  <c r="CP90" i="10" s="1"/>
  <c r="CA91" i="10" a="1"/>
  <c r="CA91" i="10" s="1"/>
  <c r="CP91" i="10" s="1"/>
  <c r="CA92" i="10" a="1"/>
  <c r="CA92" i="10" s="1"/>
  <c r="CP92" i="10" s="1"/>
  <c r="CA93" i="10" a="1"/>
  <c r="CA93" i="10" s="1"/>
  <c r="CP93" i="10" s="1"/>
  <c r="CA94" i="10" a="1"/>
  <c r="CA94" i="10" s="1"/>
  <c r="CP94" i="10" s="1"/>
  <c r="CA98" i="10" a="1"/>
  <c r="CA98" i="10"/>
  <c r="CP98" i="10" s="1"/>
  <c r="CA99" i="10" a="1"/>
  <c r="CA99" i="10" s="1"/>
  <c r="CP99" i="10" s="1"/>
  <c r="CA100" i="10" a="1"/>
  <c r="CA100" i="10" s="1"/>
  <c r="CP100" i="10" s="1"/>
  <c r="CA101" i="10" a="1"/>
  <c r="CA101" i="10" s="1"/>
  <c r="CP101" i="10" s="1"/>
  <c r="CA102" i="10" a="1"/>
  <c r="CA102" i="10" s="1"/>
  <c r="CP102" i="10" s="1"/>
  <c r="CA103" i="10" a="1"/>
  <c r="CA103" i="10" s="1"/>
  <c r="CP103" i="10" s="1"/>
  <c r="CA104" i="10" a="1"/>
  <c r="CA104" i="10" s="1"/>
  <c r="CP104" i="10" s="1"/>
  <c r="CA105" i="10" a="1"/>
  <c r="CA105" i="10" s="1"/>
  <c r="CP105" i="10" s="1"/>
  <c r="CA106" i="10" a="1"/>
  <c r="CA106" i="10"/>
  <c r="CP106" i="10" s="1"/>
  <c r="CA107" i="10" a="1"/>
  <c r="CA107" i="10" s="1"/>
  <c r="CP107" i="10" s="1"/>
  <c r="CA108" i="10" a="1"/>
  <c r="CA108" i="10" s="1"/>
  <c r="CP108" i="10" s="1"/>
  <c r="CA114" i="10" a="1"/>
  <c r="CA114" i="10" s="1"/>
  <c r="CP114" i="10" s="1"/>
  <c r="CA115" i="10" a="1"/>
  <c r="CA115" i="10" s="1"/>
  <c r="CP115" i="10" s="1"/>
  <c r="CA116" i="10" a="1"/>
  <c r="CA116" i="10"/>
  <c r="CP116" i="10" s="1"/>
  <c r="CA117" i="10" a="1"/>
  <c r="CA117" i="10" s="1"/>
  <c r="CA118" i="10" a="1"/>
  <c r="CA118" i="10"/>
  <c r="CP118" i="10" s="1"/>
  <c r="CA119" i="10" a="1"/>
  <c r="CA119" i="10" s="1"/>
  <c r="CP119" i="10" s="1"/>
  <c r="CA120" i="10" a="1"/>
  <c r="CA120" i="10" s="1"/>
  <c r="CP120" i="10" s="1"/>
  <c r="CA121" i="10" a="1"/>
  <c r="CA121" i="10" s="1"/>
  <c r="CP121" i="10" s="1"/>
  <c r="CA122" i="10" a="1"/>
  <c r="CA122" i="10" s="1"/>
  <c r="CP122" i="10" s="1"/>
  <c r="CA123" i="10" a="1"/>
  <c r="CA123" i="10" s="1"/>
  <c r="CP123" i="10" s="1"/>
  <c r="CA124" i="10" a="1"/>
  <c r="CA124" i="10" s="1"/>
  <c r="CP124" i="10" s="1"/>
  <c r="CA125" i="10" a="1"/>
  <c r="CA125" i="10" s="1"/>
  <c r="CP125" i="10" s="1"/>
  <c r="CA126" i="10" a="1"/>
  <c r="CA126" i="10"/>
  <c r="CP126" i="10" s="1"/>
  <c r="CA127" i="10" a="1"/>
  <c r="CA127" i="10"/>
  <c r="CP127" i="10" s="1"/>
  <c r="CA128" i="10" a="1"/>
  <c r="CA128" i="10"/>
  <c r="CP128" i="10" s="1"/>
  <c r="CA130" i="10" a="1"/>
  <c r="CA130" i="10"/>
  <c r="CP130" i="10" s="1"/>
  <c r="CA131" i="10" a="1"/>
  <c r="CA131" i="10" s="1"/>
  <c r="CP131" i="10" s="1"/>
  <c r="CA132" i="10" a="1"/>
  <c r="CA132" i="10" s="1"/>
  <c r="CP132" i="10" s="1"/>
  <c r="CA133" i="10" a="1"/>
  <c r="CA133" i="10" s="1"/>
  <c r="CP133" i="10" s="1"/>
  <c r="CA134" i="10" a="1"/>
  <c r="CA134" i="10" s="1"/>
  <c r="CP134" i="10" s="1"/>
  <c r="CA135" i="10" a="1"/>
  <c r="CA135" i="10" s="1"/>
  <c r="CP135" i="10" s="1"/>
  <c r="CA136" i="10" a="1"/>
  <c r="CA136" i="10"/>
  <c r="CP136" i="10" s="1"/>
  <c r="CA137" i="10" a="1"/>
  <c r="CA137" i="10" s="1"/>
  <c r="CP137" i="10" s="1"/>
  <c r="CA138" i="10" a="1"/>
  <c r="CA138" i="10" s="1"/>
  <c r="CP138" i="10" s="1"/>
  <c r="CA139" i="10" a="1"/>
  <c r="CA139" i="10"/>
  <c r="CP139" i="10" s="1"/>
  <c r="CA140" i="10" a="1"/>
  <c r="CA140" i="10"/>
  <c r="CP140" i="10" s="1"/>
  <c r="CA141" i="10" a="1"/>
  <c r="CA141" i="10" s="1"/>
  <c r="CA142" i="10" a="1"/>
  <c r="CA142" i="10" s="1"/>
  <c r="CP142" i="10" s="1"/>
  <c r="CA143" i="10" a="1"/>
  <c r="CA143" i="10" s="1"/>
  <c r="CP143" i="10" s="1"/>
  <c r="CA144" i="10" a="1"/>
  <c r="CA144" i="10" s="1"/>
  <c r="CP144" i="10" s="1"/>
  <c r="CA145" i="10" a="1"/>
  <c r="CA145" i="10" s="1"/>
  <c r="CP145" i="10" s="1"/>
  <c r="CA146" i="10" a="1"/>
  <c r="CA146" i="10" s="1"/>
  <c r="CP146" i="10" s="1"/>
  <c r="CA147" i="10" a="1"/>
  <c r="CA147" i="10" s="1"/>
  <c r="CP147" i="10" s="1"/>
  <c r="CA148" i="10" a="1"/>
  <c r="CA148" i="10"/>
  <c r="CP148" i="10" s="1"/>
  <c r="CA149" i="10" a="1"/>
  <c r="CA149" i="10" s="1"/>
  <c r="CP149" i="10" s="1"/>
  <c r="CA150" i="10" a="1"/>
  <c r="CA150" i="10"/>
  <c r="CP150" i="10" s="1"/>
  <c r="CA151" i="10" a="1"/>
  <c r="CA151" i="10" s="1"/>
  <c r="CP151" i="10" s="1"/>
  <c r="CA152" i="10" a="1"/>
  <c r="CA152" i="10" s="1"/>
  <c r="CP152" i="10" s="1"/>
  <c r="CA154" i="10" a="1"/>
  <c r="CA154" i="10" s="1"/>
  <c r="CP154" i="10" s="1"/>
  <c r="CA155" i="10" a="1"/>
  <c r="CA155" i="10" s="1"/>
  <c r="CP155" i="10" s="1"/>
  <c r="CA156" i="10" a="1"/>
  <c r="CA156" i="10"/>
  <c r="CP156" i="10" s="1"/>
  <c r="CA157" i="10" a="1"/>
  <c r="CA157" i="10" s="1"/>
  <c r="CP157" i="10" s="1"/>
  <c r="CA158" i="10" a="1"/>
  <c r="CA158" i="10" s="1"/>
  <c r="CP158" i="10" s="1"/>
  <c r="CA159" i="10" a="1"/>
  <c r="CA159" i="10" s="1"/>
  <c r="CP159" i="10" s="1"/>
  <c r="CA160" i="10" a="1"/>
  <c r="CA160" i="10"/>
  <c r="CP160" i="10" s="1"/>
  <c r="CA161" i="10" a="1"/>
  <c r="CA161" i="10" s="1"/>
  <c r="CP161" i="10" s="1"/>
  <c r="CA162" i="10" a="1"/>
  <c r="CA162" i="10" s="1"/>
  <c r="CP162" i="10" s="1"/>
  <c r="CA163" i="10" a="1"/>
  <c r="CA163" i="10" s="1"/>
  <c r="CP163" i="10" s="1"/>
  <c r="CA164" i="10" a="1"/>
  <c r="CA164" i="10" s="1"/>
  <c r="CP164" i="10" s="1"/>
  <c r="CA167" i="10" a="1"/>
  <c r="CA167" i="10" s="1"/>
  <c r="CA179" i="10" a="1"/>
  <c r="CA179" i="10" s="1"/>
  <c r="CP179" i="10" s="1"/>
  <c r="CA183" i="10" a="1"/>
  <c r="CA183" i="10" s="1"/>
  <c r="CP183" i="10" s="1"/>
  <c r="CA184" i="10" a="1"/>
  <c r="CA184" i="10" s="1"/>
  <c r="CP184" i="10" s="1"/>
  <c r="CA185" i="10" a="1"/>
  <c r="CA185" i="10" s="1"/>
  <c r="CP185" i="10" s="1"/>
  <c r="CA186" i="10" a="1"/>
  <c r="CA186" i="10"/>
  <c r="CP186" i="10" s="1"/>
  <c r="CA187" i="10" a="1"/>
  <c r="CA187" i="10" s="1"/>
  <c r="CP187" i="10" s="1"/>
  <c r="CA188" i="10" a="1"/>
  <c r="CA188" i="10"/>
  <c r="CP188" i="10" s="1"/>
  <c r="CA189" i="10" a="1"/>
  <c r="CA189" i="10"/>
  <c r="CP189" i="10" s="1"/>
  <c r="CA190" i="10" a="1"/>
  <c r="CA190" i="10"/>
  <c r="CP190" i="10" s="1"/>
  <c r="CA191" i="10" a="1"/>
  <c r="CA191" i="10" s="1"/>
  <c r="CP191" i="10" s="1"/>
  <c r="CA192" i="10" a="1"/>
  <c r="CA192" i="10" s="1"/>
  <c r="CP192" i="10" s="1"/>
  <c r="CA194" i="10" a="1"/>
  <c r="CA194" i="10" s="1"/>
  <c r="CP194" i="10" s="1"/>
  <c r="CA195" i="10" a="1"/>
  <c r="CA195" i="10" s="1"/>
  <c r="CP195" i="10" s="1"/>
  <c r="CA196" i="10" a="1"/>
  <c r="CA196" i="10" s="1"/>
  <c r="CP196" i="10" s="1"/>
  <c r="CA197" i="10" a="1"/>
  <c r="CA197" i="10" s="1"/>
  <c r="CP197" i="10" s="1"/>
  <c r="CA198" i="10" a="1"/>
  <c r="CA198" i="10"/>
  <c r="CP198" i="10" s="1"/>
  <c r="CA199" i="10" a="1"/>
  <c r="CA199" i="10" s="1"/>
  <c r="CP199" i="10" s="1"/>
  <c r="CA200" i="10" a="1"/>
  <c r="CA200" i="10"/>
  <c r="CP200" i="10" s="1"/>
  <c r="CA201" i="10" a="1"/>
  <c r="CA201" i="10"/>
  <c r="CP201" i="10" s="1"/>
  <c r="CA202" i="10" a="1"/>
  <c r="CA202" i="10" s="1"/>
  <c r="CP202" i="10" s="1"/>
  <c r="CA203" i="10" a="1"/>
  <c r="CA203" i="10" s="1"/>
  <c r="CP203" i="10" s="1"/>
  <c r="CA204" i="10" a="1"/>
  <c r="CA204" i="10" s="1"/>
  <c r="CP204" i="10" s="1"/>
  <c r="CA205" i="10" a="1"/>
  <c r="CA205" i="10" s="1"/>
  <c r="CP205" i="10" s="1"/>
  <c r="CA206" i="10" a="1"/>
  <c r="CA206" i="10"/>
  <c r="CP206" i="10" s="1"/>
  <c r="CA207" i="10" a="1"/>
  <c r="CA207" i="10" s="1"/>
  <c r="CP207" i="10" s="1"/>
  <c r="CA208" i="10" a="1"/>
  <c r="CA208" i="10" s="1"/>
  <c r="CP208" i="10" s="1"/>
  <c r="CA209" i="10" a="1"/>
  <c r="CA209" i="10" s="1"/>
  <c r="CP209" i="10" s="1"/>
  <c r="CA210" i="10" a="1"/>
  <c r="CA210" i="10" s="1"/>
  <c r="CP210" i="10" s="1"/>
  <c r="CA211" i="10" a="1"/>
  <c r="CA211" i="10" s="1"/>
  <c r="CP211" i="10" s="1"/>
  <c r="CA212" i="10" a="1"/>
  <c r="CA212" i="10" s="1"/>
  <c r="CP212" i="10" s="1"/>
  <c r="CA213" i="10" a="1"/>
  <c r="CA213" i="10" s="1"/>
  <c r="CP213" i="10" s="1"/>
  <c r="CA214" i="10" a="1"/>
  <c r="CA214" i="10" s="1"/>
  <c r="CP214" i="10" s="1"/>
  <c r="CA215" i="10" a="1"/>
  <c r="CA215" i="10" s="1"/>
  <c r="CP215" i="10" s="1"/>
  <c r="CA216" i="10" a="1"/>
  <c r="CA216" i="10"/>
  <c r="CP216" i="10" s="1"/>
  <c r="CA217" i="10" a="1"/>
  <c r="CA217" i="10" s="1"/>
  <c r="CP217" i="10" s="1"/>
  <c r="CA218" i="10" a="1"/>
  <c r="CA218" i="10"/>
  <c r="CP218" i="10" s="1"/>
  <c r="CA219" i="10" a="1"/>
  <c r="CA219" i="10" s="1"/>
  <c r="CP219" i="10" s="1"/>
  <c r="CA220" i="10" a="1"/>
  <c r="CA220" i="10" s="1"/>
  <c r="CP220" i="10" s="1"/>
  <c r="CA221" i="10" a="1"/>
  <c r="CA221" i="10" s="1"/>
  <c r="CP221" i="10" s="1"/>
  <c r="CA222" i="10" a="1"/>
  <c r="CA222" i="10" s="1"/>
  <c r="CP222" i="10" s="1"/>
  <c r="CA223" i="10" a="1"/>
  <c r="CA223" i="10" s="1"/>
  <c r="CP223" i="10" s="1"/>
  <c r="CA224" i="10" a="1"/>
  <c r="CA224" i="10" s="1"/>
  <c r="CP224" i="10" s="1"/>
  <c r="CA225" i="10" a="1"/>
  <c r="CA225" i="10" s="1"/>
  <c r="CP225" i="10" s="1"/>
  <c r="BZ2" i="10"/>
  <c r="BZ3" i="10"/>
  <c r="BZ4" i="10"/>
  <c r="BZ5" i="10"/>
  <c r="BZ6" i="10"/>
  <c r="BZ7" i="10"/>
  <c r="BZ8" i="10"/>
  <c r="BZ9" i="10"/>
  <c r="BZ10" i="10"/>
  <c r="BZ11" i="10"/>
  <c r="BZ12" i="10"/>
  <c r="BZ13" i="10"/>
  <c r="BZ14" i="10"/>
  <c r="BZ15" i="10"/>
  <c r="BZ16" i="10"/>
  <c r="BZ17" i="10"/>
  <c r="BZ18" i="10"/>
  <c r="BZ19" i="10"/>
  <c r="BZ20" i="10"/>
  <c r="BZ21" i="10"/>
  <c r="BZ22" i="10"/>
  <c r="BZ23" i="10"/>
  <c r="BZ24" i="10"/>
  <c r="BZ25" i="10"/>
  <c r="BZ26" i="10"/>
  <c r="BZ27" i="10"/>
  <c r="BZ28" i="10"/>
  <c r="BZ29" i="10"/>
  <c r="BZ30" i="10"/>
  <c r="BZ31" i="10"/>
  <c r="BZ32" i="10"/>
  <c r="BZ33" i="10"/>
  <c r="BZ34" i="10"/>
  <c r="BZ35" i="10"/>
  <c r="BZ36" i="10"/>
  <c r="BZ37" i="10"/>
  <c r="BZ38" i="10"/>
  <c r="BZ39" i="10"/>
  <c r="BZ40" i="10"/>
  <c r="BZ41" i="10"/>
  <c r="BZ42" i="10"/>
  <c r="BZ43" i="10"/>
  <c r="BZ44" i="10"/>
  <c r="BZ45" i="10"/>
  <c r="BZ46" i="10"/>
  <c r="BZ47" i="10"/>
  <c r="BZ48" i="10"/>
  <c r="BZ49" i="10"/>
  <c r="BZ50" i="10"/>
  <c r="BZ51" i="10"/>
  <c r="BZ52" i="10"/>
  <c r="BZ53" i="10"/>
  <c r="BZ54" i="10"/>
  <c r="BZ55" i="10"/>
  <c r="BZ56" i="10"/>
  <c r="BZ57" i="10"/>
  <c r="BZ58" i="10"/>
  <c r="BZ59" i="10"/>
  <c r="BZ60" i="10"/>
  <c r="BZ61" i="10"/>
  <c r="BZ62" i="10"/>
  <c r="BZ63" i="10"/>
  <c r="BZ64" i="10"/>
  <c r="BZ65" i="10"/>
  <c r="BZ66" i="10"/>
  <c r="BZ67" i="10"/>
  <c r="BZ68" i="10"/>
  <c r="BZ69" i="10"/>
  <c r="BZ70" i="10"/>
  <c r="BZ71" i="10"/>
  <c r="BZ72" i="10"/>
  <c r="BZ73" i="10"/>
  <c r="BZ74" i="10"/>
  <c r="BZ75" i="10"/>
  <c r="BZ76" i="10"/>
  <c r="BZ77" i="10"/>
  <c r="BZ78" i="10"/>
  <c r="BZ79" i="10"/>
  <c r="BZ80" i="10"/>
  <c r="BZ81" i="10"/>
  <c r="BZ82" i="10"/>
  <c r="BZ83" i="10"/>
  <c r="BZ84" i="10"/>
  <c r="BZ85" i="10"/>
  <c r="BZ86" i="10"/>
  <c r="BZ87" i="10"/>
  <c r="BZ88" i="10"/>
  <c r="BZ89" i="10"/>
  <c r="BZ90" i="10"/>
  <c r="BZ91" i="10"/>
  <c r="BZ92" i="10"/>
  <c r="BZ93" i="10"/>
  <c r="BZ94" i="10"/>
  <c r="BZ95" i="10"/>
  <c r="BZ96" i="10"/>
  <c r="BZ97" i="10"/>
  <c r="BZ98" i="10"/>
  <c r="BZ99" i="10"/>
  <c r="BZ100" i="10"/>
  <c r="BZ101" i="10"/>
  <c r="BZ102" i="10"/>
  <c r="BZ103" i="10"/>
  <c r="BZ104" i="10"/>
  <c r="BZ105" i="10"/>
  <c r="BZ106" i="10"/>
  <c r="BZ107" i="10"/>
  <c r="BZ108" i="10"/>
  <c r="BZ109" i="10"/>
  <c r="BZ110" i="10"/>
  <c r="BZ111" i="10"/>
  <c r="BZ112" i="10"/>
  <c r="BZ113" i="10"/>
  <c r="BZ114" i="10"/>
  <c r="BZ115" i="10"/>
  <c r="BZ116" i="10"/>
  <c r="BZ117" i="10"/>
  <c r="BZ118" i="10"/>
  <c r="BZ119" i="10"/>
  <c r="BZ120" i="10"/>
  <c r="BZ121" i="10"/>
  <c r="BZ122" i="10"/>
  <c r="BZ123" i="10"/>
  <c r="BZ124" i="10"/>
  <c r="BZ125" i="10"/>
  <c r="BZ126" i="10"/>
  <c r="BZ127" i="10"/>
  <c r="BZ128" i="10"/>
  <c r="BZ129" i="10"/>
  <c r="BZ130" i="10"/>
  <c r="BZ131" i="10"/>
  <c r="BZ132" i="10"/>
  <c r="BZ133" i="10"/>
  <c r="BZ134" i="10"/>
  <c r="BZ135" i="10"/>
  <c r="BZ136" i="10"/>
  <c r="BZ137" i="10"/>
  <c r="BZ138" i="10"/>
  <c r="BZ139" i="10"/>
  <c r="BZ140" i="10"/>
  <c r="BZ141" i="10"/>
  <c r="BZ142" i="10"/>
  <c r="BZ143" i="10"/>
  <c r="BZ144" i="10"/>
  <c r="BZ145" i="10"/>
  <c r="BZ146" i="10"/>
  <c r="BZ147" i="10"/>
  <c r="BZ148" i="10"/>
  <c r="BZ149" i="10"/>
  <c r="BZ150" i="10"/>
  <c r="BZ151" i="10"/>
  <c r="BZ152" i="10"/>
  <c r="BZ153" i="10"/>
  <c r="BZ154" i="10"/>
  <c r="BZ155" i="10"/>
  <c r="BZ156" i="10"/>
  <c r="BZ157" i="10"/>
  <c r="BZ158" i="10"/>
  <c r="BZ159" i="10"/>
  <c r="BZ160" i="10"/>
  <c r="BZ161" i="10"/>
  <c r="BZ162" i="10"/>
  <c r="BZ163" i="10"/>
  <c r="BZ164" i="10"/>
  <c r="BZ165" i="10"/>
  <c r="BZ166" i="10"/>
  <c r="BZ167" i="10"/>
  <c r="BZ168" i="10"/>
  <c r="BZ169" i="10"/>
  <c r="BZ170" i="10"/>
  <c r="BZ171" i="10"/>
  <c r="BZ172" i="10"/>
  <c r="BZ173" i="10"/>
  <c r="BZ174" i="10"/>
  <c r="BZ175" i="10"/>
  <c r="BZ176" i="10"/>
  <c r="BZ177" i="10"/>
  <c r="BZ178" i="10"/>
  <c r="BZ179" i="10"/>
  <c r="BZ180" i="10"/>
  <c r="BZ181" i="10"/>
  <c r="BZ182" i="10"/>
  <c r="BZ183" i="10"/>
  <c r="BZ184" i="10"/>
  <c r="BZ185" i="10"/>
  <c r="BZ186" i="10"/>
  <c r="BZ187" i="10"/>
  <c r="BZ188" i="10"/>
  <c r="BZ189" i="10"/>
  <c r="BZ190" i="10"/>
  <c r="BZ191" i="10"/>
  <c r="BZ192" i="10"/>
  <c r="BZ193" i="10"/>
  <c r="BZ194" i="10"/>
  <c r="BZ195" i="10"/>
  <c r="BZ196" i="10"/>
  <c r="BZ197" i="10"/>
  <c r="BZ198" i="10"/>
  <c r="BZ199" i="10"/>
  <c r="BZ200" i="10"/>
  <c r="BZ201" i="10"/>
  <c r="BZ202" i="10"/>
  <c r="BZ203" i="10"/>
  <c r="BZ204" i="10"/>
  <c r="BZ205" i="10"/>
  <c r="BZ206" i="10"/>
  <c r="BZ207" i="10"/>
  <c r="BZ208" i="10"/>
  <c r="BZ209" i="10"/>
  <c r="BZ210" i="10"/>
  <c r="BZ211" i="10"/>
  <c r="BZ212" i="10"/>
  <c r="BZ213" i="10"/>
  <c r="BZ214" i="10"/>
  <c r="BZ215" i="10"/>
  <c r="BZ216" i="10"/>
  <c r="BZ217" i="10"/>
  <c r="BZ218" i="10"/>
  <c r="BZ219" i="10"/>
  <c r="BZ220" i="10"/>
  <c r="BZ221" i="10"/>
  <c r="BZ222" i="10"/>
  <c r="BZ223" i="10"/>
  <c r="BZ224" i="10"/>
  <c r="BZ225" i="10"/>
  <c r="BZ226" i="10"/>
  <c r="BZ227" i="10"/>
  <c r="BZ228" i="10"/>
  <c r="BY18" i="10" a="1"/>
  <c r="BY18" i="10" s="1"/>
  <c r="BY21" i="10" a="1"/>
  <c r="BY21" i="10" s="1"/>
  <c r="BY22" i="10" a="1"/>
  <c r="BY22" i="10" s="1"/>
  <c r="BY23" i="10" a="1"/>
  <c r="BY23" i="10" s="1"/>
  <c r="BY34" i="10" a="1"/>
  <c r="BY34" i="10" s="1"/>
  <c r="BY54" i="10" a="1"/>
  <c r="BY54" i="10" s="1"/>
  <c r="BY56" i="10" a="1"/>
  <c r="BY56" i="10" s="1"/>
  <c r="BY57" i="10" a="1"/>
  <c r="BY57" i="10" s="1"/>
  <c r="BY58" i="10" a="1"/>
  <c r="BY58" i="10"/>
  <c r="BY59" i="10" a="1"/>
  <c r="BY59" i="10" s="1"/>
  <c r="BY60" i="10" a="1"/>
  <c r="BY60" i="10"/>
  <c r="BY61" i="10" a="1"/>
  <c r="BY61" i="10" s="1"/>
  <c r="BY62" i="10" a="1"/>
  <c r="BY62" i="10" s="1"/>
  <c r="BY70" i="10" a="1"/>
  <c r="BY70" i="10" s="1"/>
  <c r="CE70" i="10" s="1" a="1"/>
  <c r="CE70" i="10" s="1"/>
  <c r="BY76" i="10" a="1"/>
  <c r="BY76" i="10" s="1"/>
  <c r="BY80" i="10" a="1"/>
  <c r="BY80" i="10" s="1"/>
  <c r="BY84" i="10" a="1"/>
  <c r="BY84" i="10" s="1"/>
  <c r="BY94" i="10" a="1"/>
  <c r="BY94" i="10" s="1"/>
  <c r="CE94" i="10" s="1" a="1"/>
  <c r="CE94" i="10" s="1"/>
  <c r="BY96" i="10" a="1"/>
  <c r="BY96" i="10"/>
  <c r="CE96" i="10" s="1" a="1"/>
  <c r="CE96" i="10" s="1"/>
  <c r="BY97" i="10" a="1"/>
  <c r="BY97" i="10" s="1"/>
  <c r="BY98" i="10" a="1"/>
  <c r="BY98" i="10" s="1"/>
  <c r="BY118" i="10" a="1"/>
  <c r="BY118" i="10" s="1"/>
  <c r="BY120" i="10" a="1"/>
  <c r="BY120" i="10"/>
  <c r="BY121" i="10" a="1"/>
  <c r="BY121" i="10" s="1"/>
  <c r="BY122" i="10" a="1"/>
  <c r="BY122" i="10" s="1"/>
  <c r="BY123" i="10" a="1"/>
  <c r="BY123" i="10" s="1"/>
  <c r="BY124" i="10" a="1"/>
  <c r="BY124" i="10" s="1"/>
  <c r="BY134" i="10" a="1"/>
  <c r="BY134" i="10" s="1"/>
  <c r="CE134" i="10" s="1" a="1"/>
  <c r="CE134" i="10" s="1"/>
  <c r="BY135" i="10" a="1"/>
  <c r="BY135" i="10" s="1"/>
  <c r="CE135" i="10" s="1" a="1"/>
  <c r="CE135" i="10" s="1"/>
  <c r="BY136" i="10" a="1"/>
  <c r="BY136" i="10" s="1"/>
  <c r="BY137" i="10" a="1"/>
  <c r="BY137" i="10"/>
  <c r="BY155" i="10" a="1"/>
  <c r="BY155" i="10" s="1"/>
  <c r="CE155" i="10" s="1" a="1"/>
  <c r="CE155" i="10" s="1"/>
  <c r="BY158" i="10" a="1"/>
  <c r="BY158" i="10" s="1"/>
  <c r="BY160" i="10" a="1"/>
  <c r="BY160" i="10"/>
  <c r="BY161" i="10" a="1"/>
  <c r="BY161" i="10" s="1"/>
  <c r="BY162" i="10" a="1"/>
  <c r="BY162" i="10" s="1"/>
  <c r="BY163" i="10" a="1"/>
  <c r="BY163" i="10" s="1"/>
  <c r="BY166" i="10" a="1"/>
  <c r="BY166" i="10" s="1"/>
  <c r="BY174" i="10" a="1"/>
  <c r="BY174" i="10" s="1"/>
  <c r="BY175" i="10" a="1"/>
  <c r="BY175" i="10" s="1"/>
  <c r="BY176" i="10" a="1"/>
  <c r="BY176" i="10" s="1"/>
  <c r="BY194" i="10" a="1"/>
  <c r="BY194" i="10" s="1"/>
  <c r="CE194" i="10" s="1" a="1"/>
  <c r="CE194" i="10" s="1"/>
  <c r="BY195" i="10" a="1"/>
  <c r="BY195" i="10" s="1"/>
  <c r="CE195" i="10" s="1" a="1"/>
  <c r="CE195" i="10" s="1"/>
  <c r="BY197" i="10" a="1"/>
  <c r="BY197" i="10"/>
  <c r="BY198" i="10" a="1"/>
  <c r="BY198" i="10"/>
  <c r="BY199" i="10" a="1"/>
  <c r="BY199" i="10"/>
  <c r="BY200" i="10" a="1"/>
  <c r="BY200" i="10" s="1"/>
  <c r="CE200" i="10" s="1" a="1"/>
  <c r="CE200" i="10" s="1"/>
  <c r="BY201" i="10" a="1"/>
  <c r="BY201" i="10"/>
  <c r="CE201" i="10" s="1" a="1"/>
  <c r="CE201" i="10" s="1"/>
  <c r="BY202" i="10" a="1"/>
  <c r="BY202" i="10" s="1"/>
  <c r="BY204" i="10" a="1"/>
  <c r="BY204" i="10" s="1"/>
  <c r="BY210" i="10" a="1"/>
  <c r="BY210" i="10" s="1"/>
  <c r="CE210" i="10" s="1" a="1"/>
  <c r="CE210" i="10" s="1"/>
  <c r="BY217" i="10" a="1"/>
  <c r="BY217" i="10" s="1"/>
  <c r="BY218" i="10" a="1"/>
  <c r="BY218" i="10" s="1"/>
  <c r="BX2" i="10"/>
  <c r="BY2" i="10" s="1" a="1"/>
  <c r="BY2" i="10" s="1"/>
  <c r="BX3" i="10"/>
  <c r="BY3" i="10" s="1" a="1"/>
  <c r="BY3" i="10" s="1"/>
  <c r="BX4" i="10"/>
  <c r="BY4" i="10" s="1" a="1"/>
  <c r="BY4" i="10" s="1"/>
  <c r="BX5" i="10"/>
  <c r="BX6" i="10"/>
  <c r="BY6" i="10" s="1" a="1"/>
  <c r="BY6" i="10" s="1"/>
  <c r="BX7" i="10"/>
  <c r="CA7" i="10" s="1" a="1"/>
  <c r="CA7" i="10" s="1"/>
  <c r="BX8" i="10"/>
  <c r="CB8" i="10" s="1" a="1"/>
  <c r="CB8" i="10" s="1"/>
  <c r="CC8" i="10" s="1"/>
  <c r="BX9" i="10"/>
  <c r="CB9" i="10" s="1" a="1"/>
  <c r="CB9" i="10" s="1"/>
  <c r="CC9" i="10" s="1"/>
  <c r="BX10" i="10"/>
  <c r="CB10" i="10" s="1" a="1"/>
  <c r="CB10" i="10" s="1"/>
  <c r="CC10" i="10" s="1"/>
  <c r="BX11" i="10"/>
  <c r="CB11" i="10" s="1" a="1"/>
  <c r="CB11" i="10" s="1"/>
  <c r="CC11" i="10" s="1"/>
  <c r="BX12" i="10"/>
  <c r="CA12" i="10" s="1" a="1"/>
  <c r="CA12" i="10" s="1"/>
  <c r="BX13" i="10"/>
  <c r="BY13" i="10" s="1" a="1"/>
  <c r="BY13" i="10" s="1"/>
  <c r="BX14" i="10"/>
  <c r="BY14" i="10" s="1" a="1"/>
  <c r="BY14" i="10" s="1"/>
  <c r="BX15" i="10"/>
  <c r="BY15" i="10" s="1" a="1"/>
  <c r="BY15" i="10" s="1"/>
  <c r="BX16" i="10"/>
  <c r="BY16" i="10" s="1" a="1"/>
  <c r="BY16" i="10" s="1"/>
  <c r="BX17" i="10"/>
  <c r="BY17" i="10" s="1" a="1"/>
  <c r="BY17" i="10" s="1"/>
  <c r="BX18" i="10"/>
  <c r="BX19" i="10"/>
  <c r="CA19" i="10" s="1" a="1"/>
  <c r="CA19" i="10" s="1"/>
  <c r="CP19" i="10" s="1"/>
  <c r="BX20" i="10"/>
  <c r="CB20" i="10" s="1" a="1"/>
  <c r="CB20" i="10" s="1"/>
  <c r="CC20" i="10" s="1"/>
  <c r="BX21" i="10"/>
  <c r="CB21" i="10" s="1" a="1"/>
  <c r="CB21" i="10" s="1"/>
  <c r="CC21" i="10" s="1"/>
  <c r="BX22" i="10"/>
  <c r="BX23" i="10"/>
  <c r="CB23" i="10" s="1" a="1"/>
  <c r="CB23" i="10" s="1"/>
  <c r="CC23" i="10" s="1"/>
  <c r="BX24" i="10"/>
  <c r="CB24" i="10" s="1" a="1"/>
  <c r="CB24" i="10" s="1"/>
  <c r="CC24" i="10" s="1"/>
  <c r="BX25" i="10"/>
  <c r="BX26" i="10"/>
  <c r="CB26" i="10" s="1" a="1"/>
  <c r="CB26" i="10" s="1"/>
  <c r="CC26" i="10" s="1"/>
  <c r="BX27" i="10"/>
  <c r="BY27" i="10" s="1" a="1"/>
  <c r="BY27" i="10" s="1"/>
  <c r="BX28" i="10"/>
  <c r="BY28" i="10" s="1" a="1"/>
  <c r="BY28" i="10" s="1"/>
  <c r="BX29" i="10"/>
  <c r="BY29" i="10" s="1" a="1"/>
  <c r="BY29" i="10" s="1"/>
  <c r="BX30" i="10"/>
  <c r="BY30" i="10" s="1" a="1"/>
  <c r="BY30" i="10" s="1"/>
  <c r="BX31" i="10"/>
  <c r="BY31" i="10" s="1" a="1"/>
  <c r="BY31" i="10" s="1"/>
  <c r="BX32" i="10"/>
  <c r="CB32" i="10" s="1" a="1"/>
  <c r="CB32" i="10" s="1"/>
  <c r="CC32" i="10" s="1"/>
  <c r="BX33" i="10"/>
  <c r="CB33" i="10" s="1" a="1"/>
  <c r="CB33" i="10" s="1"/>
  <c r="CC33" i="10" s="1"/>
  <c r="BX34" i="10"/>
  <c r="CB34" i="10" s="1" a="1"/>
  <c r="CB34" i="10" s="1"/>
  <c r="CC34" i="10" s="1"/>
  <c r="BX35" i="10"/>
  <c r="CB35" i="10" s="1" a="1"/>
  <c r="CB35" i="10" s="1"/>
  <c r="CC35" i="10" s="1"/>
  <c r="BX36" i="10"/>
  <c r="CB36" i="10" s="1" a="1"/>
  <c r="CB36" i="10" s="1"/>
  <c r="CC36" i="10" s="1"/>
  <c r="BX37" i="10"/>
  <c r="CB37" i="10" s="1" a="1"/>
  <c r="CB37" i="10" s="1"/>
  <c r="CC37" i="10" s="1"/>
  <c r="BX38" i="10"/>
  <c r="BY38" i="10" s="1" a="1"/>
  <c r="BY38" i="10" s="1"/>
  <c r="BX39" i="10"/>
  <c r="BY39" i="10" s="1" a="1"/>
  <c r="BY39" i="10" s="1"/>
  <c r="BX40" i="10"/>
  <c r="BY40" i="10" s="1" a="1"/>
  <c r="BY40" i="10" s="1"/>
  <c r="BX41" i="10"/>
  <c r="BY41" i="10" s="1" a="1"/>
  <c r="BY41" i="10" s="1"/>
  <c r="BX42" i="10"/>
  <c r="CB42" i="10" s="1" a="1"/>
  <c r="CB42" i="10" s="1"/>
  <c r="CC42" i="10" s="1"/>
  <c r="BX43" i="10"/>
  <c r="BY43" i="10" s="1" a="1"/>
  <c r="BY43" i="10" s="1"/>
  <c r="BX44" i="10"/>
  <c r="CA44" i="10" s="1" a="1"/>
  <c r="CA44" i="10" s="1"/>
  <c r="BX45" i="10"/>
  <c r="BX46" i="10"/>
  <c r="CB46" i="10" s="1" a="1"/>
  <c r="CB46" i="10" s="1"/>
  <c r="CC46" i="10" s="1"/>
  <c r="BX47" i="10"/>
  <c r="CB47" i="10" s="1" a="1"/>
  <c r="CB47" i="10" s="1"/>
  <c r="CC47" i="10" s="1"/>
  <c r="BX48" i="10"/>
  <c r="CB48" i="10" s="1" a="1"/>
  <c r="CB48" i="10" s="1"/>
  <c r="CC48" i="10" s="1"/>
  <c r="BX49" i="10"/>
  <c r="CB49" i="10" s="1" a="1"/>
  <c r="CB49" i="10" s="1"/>
  <c r="CC49" i="10" s="1"/>
  <c r="BX50" i="10"/>
  <c r="CB50" i="10" s="1" a="1"/>
  <c r="CB50" i="10" s="1"/>
  <c r="CC50" i="10" s="1"/>
  <c r="BX51" i="10"/>
  <c r="BY51" i="10" s="1" a="1"/>
  <c r="BY51" i="10" s="1"/>
  <c r="BX52" i="10"/>
  <c r="BY52" i="10" s="1" a="1"/>
  <c r="BY52" i="10" s="1"/>
  <c r="BX53" i="10"/>
  <c r="CB53" i="10" s="1" a="1"/>
  <c r="CB53" i="10" s="1"/>
  <c r="CC53" i="10" s="1"/>
  <c r="BX54" i="10"/>
  <c r="BX55" i="10"/>
  <c r="BY55" i="10" s="1" a="1"/>
  <c r="BY55" i="10" s="1"/>
  <c r="BX56" i="10"/>
  <c r="BX57" i="10"/>
  <c r="CA57" i="10" s="1" a="1"/>
  <c r="CA57" i="10" s="1"/>
  <c r="CP57" i="10" s="1"/>
  <c r="BX58" i="10"/>
  <c r="CB58" i="10" s="1" a="1"/>
  <c r="CB58" i="10" s="1"/>
  <c r="CC58" i="10" s="1"/>
  <c r="BX59" i="10"/>
  <c r="CB59" i="10" s="1" a="1"/>
  <c r="CB59" i="10" s="1"/>
  <c r="CC59" i="10" s="1"/>
  <c r="BX60" i="10"/>
  <c r="CB60" i="10" s="1" a="1"/>
  <c r="CB60" i="10" s="1"/>
  <c r="CC60" i="10" s="1"/>
  <c r="BX61" i="10"/>
  <c r="CB61" i="10" s="1" a="1"/>
  <c r="CB61" i="10" s="1"/>
  <c r="CC61" i="10" s="1"/>
  <c r="BX62" i="10"/>
  <c r="BX63" i="10"/>
  <c r="BY63" i="10" s="1" a="1"/>
  <c r="BY63" i="10" s="1"/>
  <c r="BX64" i="10"/>
  <c r="BY64" i="10" s="1" a="1"/>
  <c r="BY64" i="10" s="1"/>
  <c r="BX65" i="10"/>
  <c r="BX66" i="10"/>
  <c r="BY66" i="10" s="1" a="1"/>
  <c r="BY66" i="10" s="1"/>
  <c r="BX67" i="10"/>
  <c r="BY67" i="10" s="1" a="1"/>
  <c r="BY67" i="10" s="1"/>
  <c r="BX68" i="10"/>
  <c r="BY68" i="10" s="1" a="1"/>
  <c r="BY68" i="10" s="1"/>
  <c r="BX69" i="10"/>
  <c r="BY69" i="10" s="1" a="1"/>
  <c r="BY69" i="10" s="1"/>
  <c r="BX70" i="10"/>
  <c r="CB70" i="10" s="1" a="1"/>
  <c r="CB70" i="10" s="1"/>
  <c r="CC70" i="10" s="1"/>
  <c r="BX71" i="10"/>
  <c r="CB71" i="10" s="1" a="1"/>
  <c r="CB71" i="10" s="1"/>
  <c r="CC71" i="10" s="1"/>
  <c r="BX72" i="10"/>
  <c r="CB72" i="10" s="1" a="1"/>
  <c r="CB72" i="10" s="1"/>
  <c r="CC72" i="10" s="1"/>
  <c r="BX73" i="10"/>
  <c r="CB73" i="10" s="1" a="1"/>
  <c r="CB73" i="10" s="1"/>
  <c r="CC73" i="10" s="1"/>
  <c r="BX74" i="10"/>
  <c r="CB74" i="10" s="1" a="1"/>
  <c r="CB74" i="10" s="1"/>
  <c r="CC74" i="10" s="1"/>
  <c r="BX75" i="10"/>
  <c r="BY75" i="10" s="1" a="1"/>
  <c r="BY75" i="10" s="1"/>
  <c r="BX76" i="10"/>
  <c r="CB76" i="10" s="1" a="1"/>
  <c r="CB76" i="10" s="1"/>
  <c r="CC76" i="10" s="1"/>
  <c r="BX77" i="10"/>
  <c r="BY77" i="10" s="1" a="1"/>
  <c r="BY77" i="10" s="1"/>
  <c r="BX78" i="10"/>
  <c r="BY78" i="10" s="1" a="1"/>
  <c r="BY78" i="10" s="1"/>
  <c r="BX79" i="10"/>
  <c r="BY79" i="10" s="1" a="1"/>
  <c r="BY79" i="10" s="1"/>
  <c r="BX80" i="10"/>
  <c r="BX81" i="10"/>
  <c r="CA81" i="10" s="1" a="1"/>
  <c r="CA81" i="10" s="1"/>
  <c r="CP81" i="10" s="1"/>
  <c r="BX82" i="10"/>
  <c r="CB82" i="10" s="1" a="1"/>
  <c r="CB82" i="10" s="1"/>
  <c r="CC82" i="10" s="1"/>
  <c r="BX83" i="10"/>
  <c r="CB83" i="10" s="1" a="1"/>
  <c r="CB83" i="10" s="1"/>
  <c r="CC83" i="10" s="1"/>
  <c r="BX84" i="10"/>
  <c r="CB84" i="10" s="1" a="1"/>
  <c r="CB84" i="10" s="1"/>
  <c r="CC84" i="10" s="1"/>
  <c r="BX85" i="10"/>
  <c r="BX86" i="10"/>
  <c r="CB86" i="10" s="1" a="1"/>
  <c r="CB86" i="10" s="1"/>
  <c r="CC86" i="10" s="1"/>
  <c r="BX87" i="10"/>
  <c r="CB87" i="10" s="1" a="1"/>
  <c r="CB87" i="10" s="1"/>
  <c r="CC87" i="10" s="1"/>
  <c r="BX88" i="10"/>
  <c r="CB88" i="10" s="1" a="1"/>
  <c r="CB88" i="10" s="1"/>
  <c r="CC88" i="10" s="1"/>
  <c r="BX89" i="10"/>
  <c r="BY89" i="10" s="1" a="1"/>
  <c r="BY89" i="10" s="1"/>
  <c r="BX90" i="10"/>
  <c r="BY90" i="10" s="1" a="1"/>
  <c r="BY90" i="10" s="1"/>
  <c r="BX91" i="10"/>
  <c r="BY91" i="10" s="1" a="1"/>
  <c r="BY91" i="10" s="1"/>
  <c r="BX92" i="10"/>
  <c r="CB92" i="10" s="1" a="1"/>
  <c r="CB92" i="10" s="1"/>
  <c r="CC92" i="10" s="1"/>
  <c r="BX93" i="10"/>
  <c r="CB93" i="10" s="1" a="1"/>
  <c r="CB93" i="10" s="1"/>
  <c r="CC93" i="10" s="1"/>
  <c r="BX94" i="10"/>
  <c r="CB94" i="10" s="1" a="1"/>
  <c r="CB94" i="10" s="1"/>
  <c r="CC94" i="10" s="1"/>
  <c r="BX95" i="10"/>
  <c r="CA95" i="10" s="1" a="1"/>
  <c r="CA95" i="10" s="1"/>
  <c r="BX96" i="10"/>
  <c r="CB96" i="10" s="1" a="1"/>
  <c r="CB96" i="10" s="1"/>
  <c r="CC96" i="10" s="1"/>
  <c r="BX97" i="10"/>
  <c r="CB97" i="10" s="1" a="1"/>
  <c r="CB97" i="10" s="1"/>
  <c r="CC97" i="10" s="1"/>
  <c r="BX98" i="10"/>
  <c r="CB98" i="10" s="1" a="1"/>
  <c r="CB98" i="10" s="1"/>
  <c r="CC98" i="10" s="1"/>
  <c r="BX99" i="10"/>
  <c r="CB99" i="10" s="1" a="1"/>
  <c r="CB99" i="10" s="1"/>
  <c r="CC99" i="10" s="1"/>
  <c r="BX100" i="10"/>
  <c r="CB100" i="10" s="1" a="1"/>
  <c r="CB100" i="10" s="1"/>
  <c r="CC100" i="10" s="1"/>
  <c r="BX101" i="10"/>
  <c r="BY101" i="10" s="1" a="1"/>
  <c r="BY101" i="10" s="1"/>
  <c r="BX102" i="10"/>
  <c r="BY102" i="10" s="1" a="1"/>
  <c r="BY102" i="10" s="1"/>
  <c r="BX103" i="10"/>
  <c r="BY103" i="10" s="1" a="1"/>
  <c r="BY103" i="10" s="1"/>
  <c r="BX104" i="10"/>
  <c r="BY104" i="10" s="1" a="1"/>
  <c r="BY104" i="10" s="1"/>
  <c r="BX105" i="10"/>
  <c r="BX106" i="10"/>
  <c r="BY106" i="10" s="1" a="1"/>
  <c r="BY106" i="10" s="1"/>
  <c r="BX107" i="10"/>
  <c r="BY107" i="10" s="1" a="1"/>
  <c r="BY107" i="10" s="1"/>
  <c r="BX108" i="10"/>
  <c r="CB108" i="10" s="1" a="1"/>
  <c r="CB108" i="10" s="1"/>
  <c r="CC108" i="10" s="1"/>
  <c r="BX109" i="10"/>
  <c r="CB109" i="10" s="1" a="1"/>
  <c r="CB109" i="10" s="1"/>
  <c r="CC109" i="10" s="1"/>
  <c r="BX110" i="10"/>
  <c r="CB110" i="10" s="1" a="1"/>
  <c r="CB110" i="10" s="1"/>
  <c r="CC110" i="10" s="1"/>
  <c r="BX111" i="10"/>
  <c r="CB111" i="10" s="1" a="1"/>
  <c r="CB111" i="10" s="1"/>
  <c r="CC111" i="10" s="1"/>
  <c r="BX112" i="10"/>
  <c r="CA112" i="10" s="1" a="1"/>
  <c r="CA112" i="10" s="1"/>
  <c r="CP112" i="10" s="1"/>
  <c r="BX113" i="10"/>
  <c r="BY113" i="10" s="1" a="1"/>
  <c r="BY113" i="10" s="1"/>
  <c r="BX114" i="10"/>
  <c r="BY114" i="10" s="1" a="1"/>
  <c r="BY114" i="10" s="1"/>
  <c r="BX115" i="10"/>
  <c r="BY115" i="10" s="1" a="1"/>
  <c r="BY115" i="10" s="1"/>
  <c r="BX116" i="10"/>
  <c r="BY116" i="10" s="1" a="1"/>
  <c r="BY116" i="10" s="1"/>
  <c r="BX117" i="10"/>
  <c r="BY117" i="10" s="1" a="1"/>
  <c r="BY117" i="10" s="1"/>
  <c r="BX118" i="10"/>
  <c r="BX119" i="10"/>
  <c r="BY119" i="10" s="1" a="1"/>
  <c r="BY119" i="10" s="1"/>
  <c r="BX120" i="10"/>
  <c r="CB120" i="10" s="1" a="1"/>
  <c r="CB120" i="10" s="1"/>
  <c r="CC120" i="10" s="1"/>
  <c r="BX121" i="10"/>
  <c r="CB121" i="10" s="1" a="1"/>
  <c r="CB121" i="10" s="1"/>
  <c r="CC121" i="10" s="1"/>
  <c r="BX122" i="10"/>
  <c r="BX123" i="10"/>
  <c r="CB123" i="10" s="1" a="1"/>
  <c r="CB123" i="10" s="1"/>
  <c r="CC123" i="10" s="1"/>
  <c r="BX124" i="10"/>
  <c r="CB124" i="10" s="1" a="1"/>
  <c r="CB124" i="10" s="1"/>
  <c r="CC124" i="10" s="1"/>
  <c r="BX125" i="10"/>
  <c r="BX126" i="10"/>
  <c r="CB126" i="10" s="1" a="1"/>
  <c r="CB126" i="10" s="1"/>
  <c r="CC126" i="10" s="1"/>
  <c r="BX127" i="10"/>
  <c r="BY127" i="10" s="1" a="1"/>
  <c r="BY127" i="10" s="1"/>
  <c r="BX128" i="10"/>
  <c r="BY128" i="10" s="1" a="1"/>
  <c r="BY128" i="10" s="1"/>
  <c r="BX129" i="10"/>
  <c r="BY129" i="10" s="1" a="1"/>
  <c r="BY129" i="10" s="1"/>
  <c r="BX130" i="10"/>
  <c r="BY130" i="10" s="1" a="1"/>
  <c r="BY130" i="10" s="1"/>
  <c r="BX131" i="10"/>
  <c r="BY131" i="10" s="1" a="1"/>
  <c r="BY131" i="10" s="1"/>
  <c r="BX132" i="10"/>
  <c r="CB132" i="10" s="1" a="1"/>
  <c r="CB132" i="10" s="1"/>
  <c r="CC132" i="10" s="1"/>
  <c r="BX133" i="10"/>
  <c r="CB133" i="10" s="1" a="1"/>
  <c r="CB133" i="10" s="1"/>
  <c r="CC133" i="10" s="1"/>
  <c r="BX134" i="10"/>
  <c r="CB134" i="10" s="1" a="1"/>
  <c r="CB134" i="10" s="1"/>
  <c r="CC134" i="10" s="1"/>
  <c r="BX135" i="10"/>
  <c r="CB135" i="10" s="1" a="1"/>
  <c r="CB135" i="10" s="1"/>
  <c r="CC135" i="10" s="1"/>
  <c r="BX136" i="10"/>
  <c r="CB136" i="10" s="1" a="1"/>
  <c r="CB136" i="10" s="1"/>
  <c r="CC136" i="10" s="1"/>
  <c r="BX137" i="10"/>
  <c r="CB137" i="10" s="1" a="1"/>
  <c r="CB137" i="10" s="1"/>
  <c r="CC137" i="10" s="1"/>
  <c r="BX138" i="10"/>
  <c r="BY138" i="10" s="1" a="1"/>
  <c r="BY138" i="10" s="1"/>
  <c r="BX139" i="10"/>
  <c r="CB139" i="10" s="1" a="1"/>
  <c r="CB139" i="10" s="1"/>
  <c r="CC139" i="10" s="1"/>
  <c r="BX140" i="10"/>
  <c r="BY140" i="10" s="1" a="1"/>
  <c r="BY140" i="10" s="1"/>
  <c r="BX141" i="10"/>
  <c r="BY141" i="10" s="1" a="1"/>
  <c r="BY141" i="10" s="1"/>
  <c r="BX142" i="10"/>
  <c r="BY142" i="10" s="1" a="1"/>
  <c r="BY142" i="10" s="1"/>
  <c r="BX143" i="10"/>
  <c r="BY143" i="10" s="1" a="1"/>
  <c r="BY143" i="10" s="1"/>
  <c r="BX144" i="10"/>
  <c r="BY144" i="10" s="1" a="1"/>
  <c r="BY144" i="10" s="1"/>
  <c r="BX145" i="10"/>
  <c r="BX146" i="10"/>
  <c r="CB146" i="10" s="1" a="1"/>
  <c r="CB146" i="10" s="1"/>
  <c r="CC146" i="10" s="1"/>
  <c r="BX147" i="10"/>
  <c r="CB147" i="10" s="1" a="1"/>
  <c r="CB147" i="10" s="1"/>
  <c r="CC147" i="10" s="1"/>
  <c r="BX148" i="10"/>
  <c r="CB148" i="10" s="1" a="1"/>
  <c r="CB148" i="10" s="1"/>
  <c r="CC148" i="10" s="1"/>
  <c r="BX149" i="10"/>
  <c r="CB149" i="10" s="1" a="1"/>
  <c r="CB149" i="10" s="1"/>
  <c r="CC149" i="10" s="1"/>
  <c r="BX150" i="10"/>
  <c r="CB150" i="10" s="1" a="1"/>
  <c r="CB150" i="10" s="1"/>
  <c r="CC150" i="10" s="1"/>
  <c r="BX151" i="10"/>
  <c r="CB151" i="10" s="1" a="1"/>
  <c r="CB151" i="10" s="1"/>
  <c r="CC151" i="10" s="1"/>
  <c r="BX152" i="10"/>
  <c r="CB152" i="10" s="1" a="1"/>
  <c r="CB152" i="10" s="1"/>
  <c r="CC152" i="10" s="1"/>
  <c r="BX153" i="10"/>
  <c r="BY153" i="10" s="1" a="1"/>
  <c r="BY153" i="10" s="1"/>
  <c r="BX154" i="10"/>
  <c r="BY154" i="10" s="1" a="1"/>
  <c r="BY154" i="10" s="1"/>
  <c r="BX155" i="10"/>
  <c r="BX156" i="10"/>
  <c r="BY156" i="10" s="1" a="1"/>
  <c r="BY156" i="10" s="1"/>
  <c r="BX157" i="10"/>
  <c r="BY157" i="10" s="1" a="1"/>
  <c r="BY157" i="10" s="1"/>
  <c r="BX158" i="10"/>
  <c r="CB158" i="10" s="1" a="1"/>
  <c r="CB158" i="10" s="1"/>
  <c r="CC158" i="10" s="1"/>
  <c r="BX159" i="10"/>
  <c r="CB159" i="10" s="1" a="1"/>
  <c r="CB159" i="10" s="1"/>
  <c r="CC159" i="10" s="1"/>
  <c r="BX160" i="10"/>
  <c r="CB160" i="10" s="1" a="1"/>
  <c r="CB160" i="10" s="1"/>
  <c r="CC160" i="10" s="1"/>
  <c r="BX161" i="10"/>
  <c r="CB161" i="10" s="1" a="1"/>
  <c r="CB161" i="10" s="1"/>
  <c r="CC161" i="10" s="1"/>
  <c r="BX162" i="10"/>
  <c r="BX163" i="10"/>
  <c r="CB163" i="10" s="1" a="1"/>
  <c r="CB163" i="10" s="1"/>
  <c r="CC163" i="10" s="1"/>
  <c r="BX164" i="10"/>
  <c r="CB164" i="10" s="1" a="1"/>
  <c r="CB164" i="10" s="1"/>
  <c r="CC164" i="10" s="1"/>
  <c r="BX165" i="10"/>
  <c r="BX166" i="10"/>
  <c r="CB166" i="10" s="1" a="1"/>
  <c r="CB166" i="10" s="1"/>
  <c r="CC166" i="10" s="1"/>
  <c r="BX167" i="10"/>
  <c r="BY167" i="10" s="1" a="1"/>
  <c r="BY167" i="10" s="1"/>
  <c r="BX168" i="10"/>
  <c r="BY168" i="10" s="1" a="1"/>
  <c r="BY168" i="10" s="1"/>
  <c r="BX169" i="10"/>
  <c r="CA169" i="10" s="1" a="1"/>
  <c r="CA169" i="10" s="1"/>
  <c r="CP169" i="10" s="1"/>
  <c r="BX170" i="10"/>
  <c r="CB170" i="10" s="1" a="1"/>
  <c r="CB170" i="10" s="1"/>
  <c r="CC170" i="10" s="1"/>
  <c r="BX171" i="10"/>
  <c r="CB171" i="10" s="1" a="1"/>
  <c r="CB171" i="10" s="1"/>
  <c r="CC171" i="10" s="1"/>
  <c r="BX172" i="10"/>
  <c r="CA172" i="10" s="1" a="1"/>
  <c r="CA172" i="10" s="1"/>
  <c r="CP172" i="10" s="1"/>
  <c r="BX173" i="10"/>
  <c r="CA173" i="10" s="1" a="1"/>
  <c r="CA173" i="10" s="1"/>
  <c r="CP173" i="10" s="1"/>
  <c r="BX174" i="10"/>
  <c r="CB174" i="10" s="1" a="1"/>
  <c r="CB174" i="10" s="1"/>
  <c r="CC174" i="10" s="1"/>
  <c r="BX175" i="10"/>
  <c r="CA175" i="10" s="1" a="1"/>
  <c r="CA175" i="10" s="1"/>
  <c r="CP175" i="10" s="1"/>
  <c r="BX176" i="10"/>
  <c r="CB176" i="10" s="1" a="1"/>
  <c r="CB176" i="10" s="1"/>
  <c r="CC176" i="10" s="1"/>
  <c r="BX177" i="10"/>
  <c r="CB177" i="10" s="1" a="1"/>
  <c r="CB177" i="10" s="1"/>
  <c r="CC177" i="10" s="1"/>
  <c r="BX178" i="10"/>
  <c r="BY178" i="10" s="1" a="1"/>
  <c r="BY178" i="10" s="1"/>
  <c r="BX179" i="10"/>
  <c r="BY179" i="10" s="1" a="1"/>
  <c r="BY179" i="10" s="1"/>
  <c r="BX180" i="10"/>
  <c r="BY180" i="10" s="1" a="1"/>
  <c r="BY180" i="10" s="1"/>
  <c r="BX181" i="10"/>
  <c r="CA181" i="10" s="1" a="1"/>
  <c r="CA181" i="10" s="1"/>
  <c r="CP181" i="10" s="1"/>
  <c r="BX182" i="10"/>
  <c r="CB182" i="10" s="1" a="1"/>
  <c r="CB182" i="10" s="1"/>
  <c r="CC182" i="10" s="1"/>
  <c r="BX183" i="10"/>
  <c r="CB183" i="10" s="1" a="1"/>
  <c r="CB183" i="10" s="1"/>
  <c r="CC183" i="10" s="1"/>
  <c r="BX184" i="10"/>
  <c r="CB184" i="10" s="1" a="1"/>
  <c r="CB184" i="10" s="1"/>
  <c r="CC184" i="10" s="1"/>
  <c r="BX185" i="10"/>
  <c r="BX186" i="10"/>
  <c r="CB186" i="10" s="1" a="1"/>
  <c r="CB186" i="10" s="1"/>
  <c r="CC186" i="10" s="1"/>
  <c r="BX187" i="10"/>
  <c r="CB187" i="10" s="1" a="1"/>
  <c r="CB187" i="10" s="1"/>
  <c r="CC187" i="10" s="1"/>
  <c r="BX188" i="10"/>
  <c r="CB188" i="10" s="1" a="1"/>
  <c r="CB188" i="10" s="1"/>
  <c r="CC188" i="10" s="1"/>
  <c r="BX189" i="10"/>
  <c r="CB189" i="10" s="1" a="1"/>
  <c r="CB189" i="10" s="1"/>
  <c r="CC189" i="10" s="1"/>
  <c r="BX190" i="10"/>
  <c r="BY190" i="10" s="1" a="1"/>
  <c r="BY190" i="10" s="1"/>
  <c r="BX191" i="10"/>
  <c r="BY191" i="10" s="1" a="1"/>
  <c r="BY191" i="10" s="1"/>
  <c r="BX192" i="10"/>
  <c r="CB192" i="10" s="1" a="1"/>
  <c r="CB192" i="10" s="1"/>
  <c r="CC192" i="10" s="1"/>
  <c r="BX193" i="10"/>
  <c r="BY193" i="10" s="1" a="1"/>
  <c r="BY193" i="10" s="1"/>
  <c r="BX194" i="10"/>
  <c r="CB194" i="10" s="1" a="1"/>
  <c r="CB194" i="10" s="1"/>
  <c r="CC194" i="10" s="1"/>
  <c r="BX195" i="10"/>
  <c r="CB195" i="10" s="1" a="1"/>
  <c r="CB195" i="10" s="1"/>
  <c r="CC195" i="10" s="1"/>
  <c r="BX196" i="10"/>
  <c r="CB196" i="10" s="1" a="1"/>
  <c r="CB196" i="10" s="1"/>
  <c r="CC196" i="10" s="1"/>
  <c r="BX197" i="10"/>
  <c r="CB197" i="10" s="1" a="1"/>
  <c r="CB197" i="10" s="1"/>
  <c r="CC197" i="10" s="1"/>
  <c r="BX198" i="10"/>
  <c r="CB198" i="10" s="1" a="1"/>
  <c r="CB198" i="10" s="1"/>
  <c r="CC198" i="10" s="1"/>
  <c r="BX199" i="10"/>
  <c r="CB199" i="10" s="1" a="1"/>
  <c r="CB199" i="10" s="1"/>
  <c r="CC199" i="10" s="1"/>
  <c r="BX200" i="10"/>
  <c r="CB200" i="10" s="1" a="1"/>
  <c r="CB200" i="10" s="1"/>
  <c r="CC200" i="10" s="1"/>
  <c r="BX201" i="10"/>
  <c r="CB201" i="10" s="1" a="1"/>
  <c r="CB201" i="10" s="1"/>
  <c r="CC201" i="10" s="1"/>
  <c r="BX202" i="10"/>
  <c r="CB202" i="10" s="1" a="1"/>
  <c r="CB202" i="10" s="1"/>
  <c r="CC202" i="10" s="1"/>
  <c r="BX203" i="10"/>
  <c r="BY203" i="10" s="1" a="1"/>
  <c r="BY203" i="10" s="1"/>
  <c r="BX204" i="10"/>
  <c r="CB204" i="10" s="1" a="1"/>
  <c r="CB204" i="10" s="1"/>
  <c r="CC204" i="10" s="1"/>
  <c r="BX205" i="10"/>
  <c r="BX206" i="10"/>
  <c r="BY206" i="10" s="1" a="1"/>
  <c r="BY206" i="10" s="1"/>
  <c r="BX207" i="10"/>
  <c r="BY207" i="10" s="1" a="1"/>
  <c r="BY207" i="10" s="1"/>
  <c r="BX208" i="10"/>
  <c r="CB208" i="10" s="1" a="1"/>
  <c r="CB208" i="10" s="1"/>
  <c r="CC208" i="10" s="1"/>
  <c r="BX209" i="10"/>
  <c r="CB209" i="10" s="1" a="1"/>
  <c r="CB209" i="10" s="1"/>
  <c r="CC209" i="10" s="1"/>
  <c r="BX210" i="10"/>
  <c r="CB210" i="10" s="1" a="1"/>
  <c r="CB210" i="10" s="1"/>
  <c r="CC210" i="10" s="1"/>
  <c r="BX211" i="10"/>
  <c r="CB211" i="10" s="1" a="1"/>
  <c r="CB211" i="10" s="1"/>
  <c r="CC211" i="10" s="1"/>
  <c r="BX212" i="10"/>
  <c r="BY212" i="10" s="1" a="1"/>
  <c r="BY212" i="10" s="1"/>
  <c r="CE212" i="10" s="1" a="1"/>
  <c r="CE212" i="10" s="1"/>
  <c r="BX213" i="10"/>
  <c r="BY213" i="10" s="1" a="1"/>
  <c r="BY213" i="10" s="1"/>
  <c r="CE213" i="10" s="1" a="1"/>
  <c r="CE213" i="10" s="1"/>
  <c r="BX214" i="10"/>
  <c r="CB214" i="10" s="1" a="1"/>
  <c r="CB214" i="10" s="1"/>
  <c r="CC214" i="10" s="1"/>
  <c r="BX215" i="10"/>
  <c r="BY215" i="10" s="1" a="1"/>
  <c r="BY215" i="10" s="1"/>
  <c r="BX216" i="10"/>
  <c r="BY216" i="10" s="1" a="1"/>
  <c r="BY216" i="10" s="1"/>
  <c r="CE216" i="10" s="1" a="1"/>
  <c r="CE216" i="10" s="1"/>
  <c r="BX217" i="10"/>
  <c r="BX218" i="10"/>
  <c r="BX219" i="10"/>
  <c r="CB219" i="10" s="1" a="1"/>
  <c r="CB219" i="10" s="1"/>
  <c r="CC219" i="10" s="1"/>
  <c r="BX220" i="10"/>
  <c r="CB220" i="10" s="1" a="1"/>
  <c r="CB220" i="10" s="1"/>
  <c r="CC220" i="10" s="1"/>
  <c r="BX221" i="10"/>
  <c r="BY221" i="10" s="1" a="1"/>
  <c r="BY221" i="10" s="1"/>
  <c r="BX222" i="10"/>
  <c r="BY222" i="10" s="1" a="1"/>
  <c r="BY222" i="10" s="1"/>
  <c r="BX223" i="10"/>
  <c r="BY223" i="10" s="1" a="1"/>
  <c r="BY223" i="10" s="1"/>
  <c r="BX224" i="10"/>
  <c r="BY224" i="10" s="1" a="1"/>
  <c r="BY224" i="10" s="1"/>
  <c r="BX225" i="10"/>
  <c r="BX226" i="10"/>
  <c r="BY226" i="10" s="1" a="1"/>
  <c r="BY226" i="10" s="1"/>
  <c r="BX227" i="10"/>
  <c r="BY227" i="10" s="1" a="1"/>
  <c r="BY227" i="10" s="1"/>
  <c r="BX228" i="10"/>
  <c r="BY228" i="10" s="1" a="1"/>
  <c r="BY228" i="10" s="1"/>
  <c r="BW2" i="10"/>
  <c r="BW3" i="10"/>
  <c r="BW4" i="10"/>
  <c r="BW5" i="10"/>
  <c r="BW6" i="10"/>
  <c r="BW7" i="10"/>
  <c r="BW8" i="10"/>
  <c r="BW9" i="10"/>
  <c r="BW10" i="10"/>
  <c r="BW11" i="10"/>
  <c r="BW12" i="10"/>
  <c r="BW13" i="10"/>
  <c r="BW14" i="10"/>
  <c r="BW15" i="10"/>
  <c r="BW16" i="10"/>
  <c r="BW17" i="10"/>
  <c r="BW18" i="10"/>
  <c r="BW19" i="10"/>
  <c r="BW20" i="10"/>
  <c r="BW21" i="10"/>
  <c r="BW22" i="10"/>
  <c r="BW23" i="10"/>
  <c r="BW24" i="10"/>
  <c r="BW25" i="10"/>
  <c r="BW26" i="10"/>
  <c r="BW27" i="10"/>
  <c r="BW28" i="10"/>
  <c r="BW29" i="10"/>
  <c r="BW30" i="10"/>
  <c r="BW31" i="10"/>
  <c r="BW32" i="10"/>
  <c r="BW33" i="10"/>
  <c r="BW34" i="10"/>
  <c r="BW35" i="10"/>
  <c r="BW36" i="10"/>
  <c r="BW37" i="10"/>
  <c r="BW38" i="10"/>
  <c r="BW39" i="10"/>
  <c r="BW40" i="10"/>
  <c r="BW41" i="10"/>
  <c r="BW42" i="10"/>
  <c r="BW43" i="10"/>
  <c r="BW44" i="10"/>
  <c r="BW45" i="10"/>
  <c r="BW46" i="10"/>
  <c r="BW47" i="10"/>
  <c r="BW48" i="10"/>
  <c r="BW49" i="10"/>
  <c r="BW50" i="10"/>
  <c r="BW51" i="10"/>
  <c r="BW52" i="10"/>
  <c r="BW53" i="10"/>
  <c r="BW54" i="10"/>
  <c r="BW55" i="10"/>
  <c r="BW56" i="10"/>
  <c r="BW57" i="10"/>
  <c r="BW58" i="10"/>
  <c r="BW59" i="10"/>
  <c r="BW60" i="10"/>
  <c r="BW61" i="10"/>
  <c r="BW62" i="10"/>
  <c r="BW63" i="10"/>
  <c r="BW64" i="10"/>
  <c r="BW65" i="10"/>
  <c r="BW66" i="10"/>
  <c r="BW67" i="10"/>
  <c r="BW68" i="10"/>
  <c r="BW69" i="10"/>
  <c r="BW70" i="10"/>
  <c r="BW71" i="10"/>
  <c r="BW72" i="10"/>
  <c r="BW73" i="10"/>
  <c r="BW74" i="10"/>
  <c r="BW75" i="10"/>
  <c r="BW76" i="10"/>
  <c r="BW77" i="10"/>
  <c r="BW78" i="10"/>
  <c r="BW79" i="10"/>
  <c r="BW80" i="10"/>
  <c r="BW81" i="10"/>
  <c r="BW82" i="10"/>
  <c r="BW83" i="10"/>
  <c r="BW84" i="10"/>
  <c r="BW85" i="10"/>
  <c r="BW86" i="10"/>
  <c r="BW87" i="10"/>
  <c r="BW88" i="10"/>
  <c r="BW89" i="10"/>
  <c r="BW90" i="10"/>
  <c r="BW91" i="10"/>
  <c r="BW92" i="10"/>
  <c r="BW93" i="10"/>
  <c r="BW94" i="10"/>
  <c r="BW95" i="10"/>
  <c r="BW96" i="10"/>
  <c r="BW97" i="10"/>
  <c r="BW98" i="10"/>
  <c r="BW99" i="10"/>
  <c r="BW100" i="10"/>
  <c r="BW101" i="10"/>
  <c r="BW102" i="10"/>
  <c r="BW103" i="10"/>
  <c r="BW104" i="10"/>
  <c r="BW105" i="10"/>
  <c r="BW106" i="10"/>
  <c r="BW107" i="10"/>
  <c r="BW108" i="10"/>
  <c r="BW109" i="10"/>
  <c r="BW110" i="10"/>
  <c r="BW111" i="10"/>
  <c r="BW112" i="10"/>
  <c r="BW113" i="10"/>
  <c r="BW114" i="10"/>
  <c r="BW115" i="10"/>
  <c r="BW116" i="10"/>
  <c r="BW117" i="10"/>
  <c r="BW118" i="10"/>
  <c r="BW119" i="10"/>
  <c r="BW120" i="10"/>
  <c r="BW121" i="10"/>
  <c r="BW122" i="10"/>
  <c r="BW123" i="10"/>
  <c r="BW124" i="10"/>
  <c r="BW125" i="10"/>
  <c r="BW126" i="10"/>
  <c r="BW127" i="10"/>
  <c r="BW128" i="10"/>
  <c r="BW129" i="10"/>
  <c r="BW130" i="10"/>
  <c r="BW131" i="10"/>
  <c r="BW132" i="10"/>
  <c r="BW133" i="10"/>
  <c r="BW134" i="10"/>
  <c r="BW135" i="10"/>
  <c r="BW136" i="10"/>
  <c r="BW137" i="10"/>
  <c r="BW138" i="10"/>
  <c r="BW139" i="10"/>
  <c r="BW140" i="10"/>
  <c r="BW141" i="10"/>
  <c r="BW142" i="10"/>
  <c r="BW143" i="10"/>
  <c r="BW144" i="10"/>
  <c r="BW145" i="10"/>
  <c r="BW146" i="10"/>
  <c r="BW147" i="10"/>
  <c r="BW148" i="10"/>
  <c r="BW149" i="10"/>
  <c r="BW150" i="10"/>
  <c r="BW151" i="10"/>
  <c r="BW152" i="10"/>
  <c r="BW153" i="10"/>
  <c r="BW154" i="10"/>
  <c r="BW155" i="10"/>
  <c r="BW156" i="10"/>
  <c r="BW157" i="10"/>
  <c r="BW158" i="10"/>
  <c r="BW159" i="10"/>
  <c r="BW160" i="10"/>
  <c r="BW161" i="10"/>
  <c r="BW162" i="10"/>
  <c r="BW163" i="10"/>
  <c r="BW164" i="10"/>
  <c r="BW165" i="10"/>
  <c r="BW166" i="10"/>
  <c r="BW167" i="10"/>
  <c r="BW168" i="10"/>
  <c r="BW169" i="10"/>
  <c r="BW170" i="10"/>
  <c r="BW171" i="10"/>
  <c r="BW172" i="10"/>
  <c r="BW173" i="10"/>
  <c r="BW174" i="10"/>
  <c r="BW175" i="10"/>
  <c r="BW176" i="10"/>
  <c r="BW177" i="10"/>
  <c r="BW178" i="10"/>
  <c r="BW179" i="10"/>
  <c r="BW180" i="10"/>
  <c r="BW181" i="10"/>
  <c r="BW182" i="10"/>
  <c r="BW183" i="10"/>
  <c r="BW184" i="10"/>
  <c r="BW185" i="10"/>
  <c r="BW186" i="10"/>
  <c r="BW187" i="10"/>
  <c r="BW188" i="10"/>
  <c r="BW189" i="10"/>
  <c r="BW190" i="10"/>
  <c r="BW191" i="10"/>
  <c r="BW192" i="10"/>
  <c r="BW193" i="10"/>
  <c r="BW194" i="10"/>
  <c r="BW195" i="10"/>
  <c r="BW196" i="10"/>
  <c r="BW197" i="10"/>
  <c r="BW198" i="10"/>
  <c r="BW199" i="10"/>
  <c r="BW200" i="10"/>
  <c r="BW201" i="10"/>
  <c r="BW202" i="10"/>
  <c r="BW203" i="10"/>
  <c r="BW204" i="10"/>
  <c r="BW205" i="10"/>
  <c r="BW206" i="10"/>
  <c r="BW207" i="10"/>
  <c r="BW208" i="10"/>
  <c r="BW209" i="10"/>
  <c r="BW210" i="10"/>
  <c r="BW211" i="10"/>
  <c r="BW212" i="10"/>
  <c r="BW213" i="10"/>
  <c r="BW214" i="10"/>
  <c r="BW215" i="10"/>
  <c r="BW216" i="10"/>
  <c r="BW217" i="10"/>
  <c r="BW218" i="10"/>
  <c r="BW219" i="10"/>
  <c r="BW220" i="10"/>
  <c r="BW221" i="10"/>
  <c r="BW222" i="10"/>
  <c r="BW223" i="10"/>
  <c r="BW224" i="10"/>
  <c r="BW225" i="10"/>
  <c r="BW226" i="10"/>
  <c r="BW227" i="10"/>
  <c r="BW228" i="10"/>
  <c r="BT2" i="10"/>
  <c r="BT3" i="10"/>
  <c r="BT4" i="10"/>
  <c r="BT5" i="10"/>
  <c r="BT6" i="10"/>
  <c r="BT7" i="10"/>
  <c r="BT8" i="10"/>
  <c r="BT9" i="10"/>
  <c r="BT10" i="10"/>
  <c r="BT11" i="10"/>
  <c r="BT12" i="10"/>
  <c r="BT13" i="10"/>
  <c r="BT14" i="10"/>
  <c r="BT15" i="10"/>
  <c r="BT16" i="10"/>
  <c r="BT17" i="10"/>
  <c r="BT18" i="10"/>
  <c r="BT19" i="10"/>
  <c r="BT20" i="10"/>
  <c r="BT21" i="10"/>
  <c r="BT22" i="10"/>
  <c r="BT23" i="10"/>
  <c r="BT24" i="10"/>
  <c r="BT25" i="10"/>
  <c r="BT26" i="10"/>
  <c r="BT27" i="10"/>
  <c r="BT28" i="10"/>
  <c r="BT29" i="10"/>
  <c r="BT30" i="10"/>
  <c r="BT31" i="10"/>
  <c r="BT32" i="10"/>
  <c r="BT33" i="10"/>
  <c r="BT34" i="10"/>
  <c r="BT35" i="10"/>
  <c r="BT36" i="10"/>
  <c r="BT37" i="10"/>
  <c r="BT38" i="10"/>
  <c r="BT39" i="10"/>
  <c r="BT40" i="10"/>
  <c r="BT41" i="10"/>
  <c r="BT42" i="10"/>
  <c r="BT43" i="10"/>
  <c r="BT44" i="10"/>
  <c r="BT45" i="10"/>
  <c r="BT46" i="10"/>
  <c r="BT47" i="10"/>
  <c r="BT48" i="10"/>
  <c r="BT49" i="10"/>
  <c r="BT50" i="10"/>
  <c r="BT51" i="10"/>
  <c r="BT52" i="10"/>
  <c r="BT53" i="10"/>
  <c r="BT54" i="10"/>
  <c r="BT55" i="10"/>
  <c r="BT56" i="10"/>
  <c r="BT57" i="10"/>
  <c r="BT58" i="10"/>
  <c r="BT59" i="10"/>
  <c r="BT60" i="10"/>
  <c r="BT61" i="10"/>
  <c r="BT62" i="10"/>
  <c r="BT63" i="10"/>
  <c r="BT64" i="10"/>
  <c r="BT65" i="10"/>
  <c r="BT66" i="10"/>
  <c r="BT67" i="10"/>
  <c r="BT68" i="10"/>
  <c r="BT69" i="10"/>
  <c r="BT70" i="10"/>
  <c r="BT71" i="10"/>
  <c r="BT72" i="10"/>
  <c r="BT73" i="10"/>
  <c r="BT74" i="10"/>
  <c r="BT75" i="10"/>
  <c r="BT76" i="10"/>
  <c r="BT77" i="10"/>
  <c r="BT78" i="10"/>
  <c r="BT79" i="10"/>
  <c r="BT80" i="10"/>
  <c r="BT81" i="10"/>
  <c r="BT82" i="10"/>
  <c r="BT83" i="10"/>
  <c r="BT84" i="10"/>
  <c r="BT85" i="10"/>
  <c r="BT86" i="10"/>
  <c r="BT87" i="10"/>
  <c r="BT88" i="10"/>
  <c r="BT89" i="10"/>
  <c r="BT90" i="10"/>
  <c r="BT91" i="10"/>
  <c r="BT92" i="10"/>
  <c r="BT93" i="10"/>
  <c r="BT94" i="10"/>
  <c r="BT95" i="10"/>
  <c r="BT96" i="10"/>
  <c r="BT97" i="10"/>
  <c r="BT98" i="10"/>
  <c r="BT99" i="10"/>
  <c r="BT100" i="10"/>
  <c r="BT101" i="10"/>
  <c r="BT102" i="10"/>
  <c r="BT103" i="10"/>
  <c r="BT104" i="10"/>
  <c r="BT105" i="10"/>
  <c r="BT106" i="10"/>
  <c r="BT107" i="10"/>
  <c r="BT108" i="10"/>
  <c r="BT109" i="10"/>
  <c r="BT110" i="10"/>
  <c r="BT111" i="10"/>
  <c r="BT112" i="10"/>
  <c r="BT113" i="10"/>
  <c r="BT114" i="10"/>
  <c r="BT115" i="10"/>
  <c r="BT116" i="10"/>
  <c r="BT117" i="10"/>
  <c r="BT118" i="10"/>
  <c r="BT119" i="10"/>
  <c r="BT120" i="10"/>
  <c r="BT121" i="10"/>
  <c r="BT122" i="10"/>
  <c r="BT123" i="10"/>
  <c r="BT124" i="10"/>
  <c r="BT125" i="10"/>
  <c r="BT126" i="10"/>
  <c r="BT127" i="10"/>
  <c r="BT128" i="10"/>
  <c r="BT129" i="10"/>
  <c r="BT130" i="10"/>
  <c r="BT131" i="10"/>
  <c r="BT132" i="10"/>
  <c r="BT133" i="10"/>
  <c r="BT134" i="10"/>
  <c r="BT135" i="10"/>
  <c r="BT136" i="10"/>
  <c r="BT137" i="10"/>
  <c r="BT138" i="10"/>
  <c r="BT139" i="10"/>
  <c r="BT140" i="10"/>
  <c r="BT141" i="10"/>
  <c r="BT142" i="10"/>
  <c r="BT143" i="10"/>
  <c r="BT144" i="10"/>
  <c r="BT145" i="10"/>
  <c r="BT146" i="10"/>
  <c r="BT147" i="10"/>
  <c r="BT148" i="10"/>
  <c r="BT149" i="10"/>
  <c r="BT150" i="10"/>
  <c r="BT151" i="10"/>
  <c r="BT152" i="10"/>
  <c r="BT153" i="10"/>
  <c r="BT154" i="10"/>
  <c r="BT155" i="10"/>
  <c r="BT156" i="10"/>
  <c r="BT157" i="10"/>
  <c r="BT158" i="10"/>
  <c r="BT159" i="10"/>
  <c r="BT160" i="10"/>
  <c r="BT161" i="10"/>
  <c r="BT162" i="10"/>
  <c r="BT163" i="10"/>
  <c r="BT164" i="10"/>
  <c r="BT165" i="10"/>
  <c r="BT166" i="10"/>
  <c r="BT167" i="10"/>
  <c r="BT168" i="10"/>
  <c r="BT169" i="10"/>
  <c r="BT170" i="10"/>
  <c r="BT171" i="10"/>
  <c r="BT172" i="10"/>
  <c r="BT173" i="10"/>
  <c r="BT174" i="10"/>
  <c r="BT175" i="10"/>
  <c r="BT176" i="10"/>
  <c r="BT177" i="10"/>
  <c r="BT178" i="10"/>
  <c r="BT179" i="10"/>
  <c r="BT180" i="10"/>
  <c r="BT181" i="10"/>
  <c r="BT182" i="10"/>
  <c r="BT183" i="10"/>
  <c r="BT184" i="10"/>
  <c r="BT185" i="10"/>
  <c r="BT186" i="10"/>
  <c r="BT187" i="10"/>
  <c r="BT188" i="10"/>
  <c r="BT189" i="10"/>
  <c r="BT190" i="10"/>
  <c r="BT191" i="10"/>
  <c r="BT192" i="10"/>
  <c r="BT193" i="10"/>
  <c r="BT194" i="10"/>
  <c r="BT195" i="10"/>
  <c r="BT196" i="10"/>
  <c r="BT197" i="10"/>
  <c r="BT198" i="10"/>
  <c r="BT199" i="10"/>
  <c r="BT200" i="10"/>
  <c r="BT201" i="10"/>
  <c r="BT202" i="10"/>
  <c r="BT203" i="10"/>
  <c r="BT204" i="10"/>
  <c r="BT205" i="10"/>
  <c r="BT206" i="10"/>
  <c r="BT207" i="10"/>
  <c r="BT208" i="10"/>
  <c r="BT209" i="10"/>
  <c r="BT210" i="10"/>
  <c r="BT211" i="10"/>
  <c r="BT212" i="10"/>
  <c r="BT213" i="10"/>
  <c r="BT214" i="10"/>
  <c r="BT215" i="10"/>
  <c r="BT216" i="10"/>
  <c r="BT217" i="10"/>
  <c r="BT218" i="10"/>
  <c r="BT219" i="10"/>
  <c r="BT220" i="10"/>
  <c r="BT221" i="10"/>
  <c r="BT222" i="10"/>
  <c r="BT223" i="10"/>
  <c r="BT224" i="10"/>
  <c r="BT225" i="10"/>
  <c r="BT226" i="10"/>
  <c r="BT227" i="10"/>
  <c r="BT228" i="10"/>
  <c r="BS2" i="10"/>
  <c r="BS3" i="10"/>
  <c r="BS4" i="10"/>
  <c r="BS5" i="10"/>
  <c r="BS6" i="10"/>
  <c r="BS7" i="10"/>
  <c r="BS8" i="10"/>
  <c r="BS9" i="10"/>
  <c r="BS10" i="10"/>
  <c r="BS11" i="10"/>
  <c r="BS12" i="10"/>
  <c r="BS13" i="10"/>
  <c r="BS14" i="10"/>
  <c r="BS15" i="10"/>
  <c r="BS16" i="10"/>
  <c r="BS17" i="10"/>
  <c r="BS18" i="10"/>
  <c r="BS19" i="10"/>
  <c r="BS20" i="10"/>
  <c r="BS21" i="10"/>
  <c r="BS22" i="10"/>
  <c r="BS23" i="10"/>
  <c r="BS24" i="10"/>
  <c r="BS25" i="10"/>
  <c r="BS26" i="10"/>
  <c r="BS27" i="10"/>
  <c r="BS28" i="10"/>
  <c r="BS29" i="10"/>
  <c r="BS30" i="10"/>
  <c r="BS31" i="10"/>
  <c r="BS32" i="10"/>
  <c r="BS33" i="10"/>
  <c r="BS34" i="10"/>
  <c r="BS35" i="10"/>
  <c r="BS36" i="10"/>
  <c r="BS37" i="10"/>
  <c r="BS38" i="10"/>
  <c r="BS39" i="10"/>
  <c r="BS40" i="10"/>
  <c r="BS41" i="10"/>
  <c r="BS42" i="10"/>
  <c r="BS43" i="10"/>
  <c r="BS44" i="10"/>
  <c r="BS45" i="10"/>
  <c r="BS46" i="10"/>
  <c r="BS47" i="10"/>
  <c r="BS48" i="10"/>
  <c r="BS49" i="10"/>
  <c r="BS50" i="10"/>
  <c r="BS51" i="10"/>
  <c r="BS52" i="10"/>
  <c r="BS53" i="10"/>
  <c r="BS54" i="10"/>
  <c r="BS55" i="10"/>
  <c r="BS56" i="10"/>
  <c r="BS57" i="10"/>
  <c r="BS58" i="10"/>
  <c r="BS59" i="10"/>
  <c r="BS60" i="10"/>
  <c r="BS61" i="10"/>
  <c r="BS62" i="10"/>
  <c r="BS63" i="10"/>
  <c r="BS64" i="10"/>
  <c r="BS65" i="10"/>
  <c r="BS66" i="10"/>
  <c r="BS67" i="10"/>
  <c r="BS68" i="10"/>
  <c r="BS69" i="10"/>
  <c r="BS70" i="10"/>
  <c r="BS71" i="10"/>
  <c r="BS72" i="10"/>
  <c r="BS73" i="10"/>
  <c r="BS74" i="10"/>
  <c r="BS75" i="10"/>
  <c r="BS76" i="10"/>
  <c r="BS77" i="10"/>
  <c r="BS78" i="10"/>
  <c r="BS79" i="10"/>
  <c r="BS80" i="10"/>
  <c r="BS81" i="10"/>
  <c r="BS82" i="10"/>
  <c r="BS83" i="10"/>
  <c r="BS84" i="10"/>
  <c r="BS85" i="10"/>
  <c r="BS86" i="10"/>
  <c r="BS87" i="10"/>
  <c r="BS88" i="10"/>
  <c r="BS89" i="10"/>
  <c r="BS90" i="10"/>
  <c r="BS91" i="10"/>
  <c r="BS92" i="10"/>
  <c r="BS93" i="10"/>
  <c r="BS94" i="10"/>
  <c r="BS95" i="10"/>
  <c r="BS96" i="10"/>
  <c r="BS97" i="10"/>
  <c r="BS98" i="10"/>
  <c r="BS99" i="10"/>
  <c r="BS100" i="10"/>
  <c r="BS101" i="10"/>
  <c r="BS102" i="10"/>
  <c r="BS103" i="10"/>
  <c r="BS104" i="10"/>
  <c r="BS105" i="10"/>
  <c r="BS106" i="10"/>
  <c r="BS107" i="10"/>
  <c r="BS108" i="10"/>
  <c r="BS109" i="10"/>
  <c r="BS110" i="10"/>
  <c r="BS111" i="10"/>
  <c r="BS112" i="10"/>
  <c r="BS113" i="10"/>
  <c r="BS114" i="10"/>
  <c r="BS115" i="10"/>
  <c r="BS116" i="10"/>
  <c r="BS117" i="10"/>
  <c r="BS118" i="10"/>
  <c r="BS119" i="10"/>
  <c r="BS120" i="10"/>
  <c r="BS121" i="10"/>
  <c r="BS122" i="10"/>
  <c r="BS123" i="10"/>
  <c r="BS124" i="10"/>
  <c r="BS125" i="10"/>
  <c r="BS126" i="10"/>
  <c r="BS127" i="10"/>
  <c r="BS128" i="10"/>
  <c r="BS129" i="10"/>
  <c r="BS130" i="10"/>
  <c r="BS131" i="10"/>
  <c r="BS132" i="10"/>
  <c r="BS133" i="10"/>
  <c r="BS134" i="10"/>
  <c r="BS135" i="10"/>
  <c r="BS136" i="10"/>
  <c r="BS137" i="10"/>
  <c r="BS138" i="10"/>
  <c r="BS139" i="10"/>
  <c r="BS140" i="10"/>
  <c r="BS141" i="10"/>
  <c r="BS142" i="10"/>
  <c r="BS143" i="10"/>
  <c r="BS144" i="10"/>
  <c r="BS145" i="10"/>
  <c r="BS146" i="10"/>
  <c r="BS147" i="10"/>
  <c r="BS148" i="10"/>
  <c r="BS149" i="10"/>
  <c r="BS150" i="10"/>
  <c r="BS151" i="10"/>
  <c r="BS152" i="10"/>
  <c r="BS153" i="10"/>
  <c r="BS154" i="10"/>
  <c r="BS155" i="10"/>
  <c r="BS156" i="10"/>
  <c r="BS157" i="10"/>
  <c r="BS158" i="10"/>
  <c r="BS159" i="10"/>
  <c r="BS160" i="10"/>
  <c r="BS161" i="10"/>
  <c r="BS162" i="10"/>
  <c r="BS163" i="10"/>
  <c r="BS164" i="10"/>
  <c r="BS165" i="10"/>
  <c r="BS166" i="10"/>
  <c r="BS167" i="10"/>
  <c r="BS168" i="10"/>
  <c r="BS169" i="10"/>
  <c r="BS170" i="10"/>
  <c r="BS171" i="10"/>
  <c r="BS172" i="10"/>
  <c r="BS173" i="10"/>
  <c r="BS174" i="10"/>
  <c r="BS175" i="10"/>
  <c r="BS176" i="10"/>
  <c r="BS177" i="10"/>
  <c r="BS178" i="10"/>
  <c r="BS179" i="10"/>
  <c r="BS180" i="10"/>
  <c r="BS181" i="10"/>
  <c r="BS182" i="10"/>
  <c r="BS183" i="10"/>
  <c r="BS184" i="10"/>
  <c r="BS185" i="10"/>
  <c r="BS186" i="10"/>
  <c r="BS187" i="10"/>
  <c r="BS188" i="10"/>
  <c r="BS189" i="10"/>
  <c r="BS190" i="10"/>
  <c r="BS191" i="10"/>
  <c r="BS192" i="10"/>
  <c r="BS193" i="10"/>
  <c r="BS194" i="10"/>
  <c r="BS195" i="10"/>
  <c r="BS196" i="10"/>
  <c r="BS197" i="10"/>
  <c r="BS198" i="10"/>
  <c r="BS199" i="10"/>
  <c r="BS200" i="10"/>
  <c r="BS201" i="10"/>
  <c r="BS202" i="10"/>
  <c r="BS203" i="10"/>
  <c r="BS204" i="10"/>
  <c r="BS205" i="10"/>
  <c r="BS206" i="10"/>
  <c r="BS207" i="10"/>
  <c r="BS208" i="10"/>
  <c r="BS209" i="10"/>
  <c r="BS210" i="10"/>
  <c r="BS211" i="10"/>
  <c r="BS212" i="10"/>
  <c r="BS213" i="10"/>
  <c r="BS214" i="10"/>
  <c r="BS215" i="10"/>
  <c r="BS216" i="10"/>
  <c r="BS217" i="10"/>
  <c r="BS218" i="10"/>
  <c r="BS219" i="10"/>
  <c r="BS220" i="10"/>
  <c r="BS221" i="10"/>
  <c r="BS222" i="10"/>
  <c r="BS223" i="10"/>
  <c r="BS224" i="10"/>
  <c r="BS225" i="10"/>
  <c r="BS226" i="10"/>
  <c r="BS227" i="10"/>
  <c r="BS228" i="10"/>
  <c r="BR2" i="10"/>
  <c r="BU2" i="10" s="1"/>
  <c r="BR3" i="10"/>
  <c r="BU3" i="10" s="1"/>
  <c r="BR4" i="10"/>
  <c r="BU4" i="10" s="1"/>
  <c r="BR5" i="10"/>
  <c r="BU5" i="10" s="1"/>
  <c r="BR6" i="10"/>
  <c r="BU6" i="10" s="1"/>
  <c r="BR7" i="10"/>
  <c r="BU7" i="10" s="1"/>
  <c r="BR8" i="10"/>
  <c r="BU8" i="10" s="1"/>
  <c r="BR9" i="10"/>
  <c r="BU9" i="10" s="1"/>
  <c r="BR10" i="10"/>
  <c r="BU10" i="10" s="1"/>
  <c r="BR11" i="10"/>
  <c r="BU11" i="10" s="1"/>
  <c r="BR12" i="10"/>
  <c r="BU12" i="10" s="1"/>
  <c r="BR13" i="10"/>
  <c r="BU13" i="10" s="1"/>
  <c r="BR14" i="10"/>
  <c r="BU14" i="10" s="1"/>
  <c r="BR15" i="10"/>
  <c r="BU15" i="10" s="1"/>
  <c r="BR16" i="10"/>
  <c r="BU16" i="10" s="1"/>
  <c r="BR17" i="10"/>
  <c r="BU17" i="10" s="1"/>
  <c r="BR18" i="10"/>
  <c r="BU18" i="10" s="1"/>
  <c r="BR19" i="10"/>
  <c r="BU19" i="10" s="1"/>
  <c r="BR20" i="10"/>
  <c r="BU20" i="10" s="1"/>
  <c r="BR21" i="10"/>
  <c r="BU21" i="10" s="1"/>
  <c r="BR22" i="10"/>
  <c r="BU22" i="10" s="1"/>
  <c r="BR23" i="10"/>
  <c r="BU23" i="10" s="1"/>
  <c r="BR24" i="10"/>
  <c r="BU24" i="10" s="1"/>
  <c r="BR25" i="10"/>
  <c r="BU25" i="10" s="1"/>
  <c r="BR26" i="10"/>
  <c r="BU26" i="10" s="1"/>
  <c r="BR27" i="10"/>
  <c r="BU27" i="10" s="1"/>
  <c r="BR28" i="10"/>
  <c r="BU28" i="10" s="1"/>
  <c r="BR29" i="10"/>
  <c r="BU29" i="10" s="1"/>
  <c r="BR30" i="10"/>
  <c r="BU30" i="10" s="1"/>
  <c r="BR31" i="10"/>
  <c r="BU31" i="10" s="1"/>
  <c r="BR32" i="10"/>
  <c r="BU32" i="10" s="1"/>
  <c r="BR33" i="10"/>
  <c r="BU33" i="10" s="1"/>
  <c r="BR34" i="10"/>
  <c r="BU34" i="10" s="1"/>
  <c r="BR35" i="10"/>
  <c r="BU35" i="10" s="1"/>
  <c r="BR36" i="10"/>
  <c r="BU36" i="10" s="1"/>
  <c r="BR37" i="10"/>
  <c r="BU37" i="10" s="1"/>
  <c r="BR38" i="10"/>
  <c r="BU38" i="10" s="1"/>
  <c r="BR39" i="10"/>
  <c r="BU39" i="10" s="1"/>
  <c r="BR40" i="10"/>
  <c r="BU40" i="10" s="1"/>
  <c r="BR41" i="10"/>
  <c r="BU41" i="10" s="1"/>
  <c r="BR42" i="10"/>
  <c r="BU42" i="10" s="1"/>
  <c r="BR43" i="10"/>
  <c r="BU43" i="10" s="1"/>
  <c r="BR44" i="10"/>
  <c r="BU44" i="10" s="1"/>
  <c r="BR45" i="10"/>
  <c r="BU45" i="10" s="1"/>
  <c r="BR46" i="10"/>
  <c r="BU46" i="10" s="1"/>
  <c r="BR47" i="10"/>
  <c r="BU47" i="10" s="1"/>
  <c r="BR48" i="10"/>
  <c r="BU48" i="10" s="1"/>
  <c r="BR49" i="10"/>
  <c r="BU49" i="10" s="1"/>
  <c r="BR50" i="10"/>
  <c r="BU50" i="10" s="1"/>
  <c r="BR51" i="10"/>
  <c r="BU51" i="10" s="1"/>
  <c r="BR52" i="10"/>
  <c r="BU52" i="10" s="1"/>
  <c r="BR53" i="10"/>
  <c r="BU53" i="10" s="1"/>
  <c r="BR54" i="10"/>
  <c r="BU54" i="10" s="1"/>
  <c r="BR55" i="10"/>
  <c r="BU55" i="10" s="1"/>
  <c r="BR56" i="10"/>
  <c r="BU56" i="10" s="1"/>
  <c r="BR57" i="10"/>
  <c r="BU57" i="10" s="1"/>
  <c r="BR58" i="10"/>
  <c r="BU58" i="10" s="1"/>
  <c r="BR59" i="10"/>
  <c r="BU59" i="10" s="1"/>
  <c r="BR60" i="10"/>
  <c r="BU60" i="10" s="1"/>
  <c r="BR61" i="10"/>
  <c r="BU61" i="10" s="1"/>
  <c r="BR62" i="10"/>
  <c r="BU62" i="10" s="1"/>
  <c r="BR63" i="10"/>
  <c r="BU63" i="10" s="1"/>
  <c r="BR64" i="10"/>
  <c r="BU64" i="10" s="1"/>
  <c r="BR65" i="10"/>
  <c r="BU65" i="10" s="1"/>
  <c r="BR66" i="10"/>
  <c r="BU66" i="10" s="1"/>
  <c r="BR67" i="10"/>
  <c r="BU67" i="10" s="1"/>
  <c r="BR68" i="10"/>
  <c r="BU68" i="10" s="1"/>
  <c r="BR69" i="10"/>
  <c r="BU69" i="10" s="1"/>
  <c r="BR70" i="10"/>
  <c r="BU70" i="10" s="1"/>
  <c r="BR71" i="10"/>
  <c r="BU71" i="10" s="1"/>
  <c r="BR72" i="10"/>
  <c r="BU72" i="10" s="1"/>
  <c r="BR73" i="10"/>
  <c r="BU73" i="10" s="1"/>
  <c r="BR74" i="10"/>
  <c r="BU74" i="10" s="1"/>
  <c r="BR75" i="10"/>
  <c r="BU75" i="10" s="1"/>
  <c r="BR76" i="10"/>
  <c r="BU76" i="10" s="1"/>
  <c r="BR77" i="10"/>
  <c r="BU77" i="10" s="1"/>
  <c r="BR78" i="10"/>
  <c r="BU78" i="10" s="1"/>
  <c r="BR79" i="10"/>
  <c r="BU79" i="10" s="1"/>
  <c r="BR80" i="10"/>
  <c r="BU80" i="10" s="1"/>
  <c r="BR81" i="10"/>
  <c r="BU81" i="10" s="1"/>
  <c r="BR82" i="10"/>
  <c r="BU82" i="10" s="1"/>
  <c r="BR83" i="10"/>
  <c r="BU83" i="10" s="1"/>
  <c r="BR84" i="10"/>
  <c r="BU84" i="10" s="1"/>
  <c r="BR85" i="10"/>
  <c r="BU85" i="10" s="1"/>
  <c r="BR86" i="10"/>
  <c r="BU86" i="10" s="1"/>
  <c r="BR87" i="10"/>
  <c r="BU87" i="10" s="1"/>
  <c r="BR88" i="10"/>
  <c r="BU88" i="10" s="1"/>
  <c r="BR89" i="10"/>
  <c r="BU89" i="10" s="1"/>
  <c r="BR90" i="10"/>
  <c r="BU90" i="10" s="1"/>
  <c r="BR91" i="10"/>
  <c r="BU91" i="10" s="1"/>
  <c r="BR92" i="10"/>
  <c r="BU92" i="10" s="1"/>
  <c r="BR93" i="10"/>
  <c r="BU93" i="10" s="1"/>
  <c r="BR94" i="10"/>
  <c r="BU94" i="10" s="1"/>
  <c r="BR95" i="10"/>
  <c r="BU95" i="10" s="1"/>
  <c r="BR96" i="10"/>
  <c r="BU96" i="10" s="1"/>
  <c r="BR97" i="10"/>
  <c r="BU97" i="10" s="1"/>
  <c r="BR98" i="10"/>
  <c r="BU98" i="10" s="1"/>
  <c r="BR99" i="10"/>
  <c r="BU99" i="10" s="1"/>
  <c r="BR100" i="10"/>
  <c r="BU100" i="10" s="1"/>
  <c r="BR101" i="10"/>
  <c r="BU101" i="10" s="1"/>
  <c r="BR102" i="10"/>
  <c r="BU102" i="10" s="1"/>
  <c r="BR103" i="10"/>
  <c r="BU103" i="10" s="1"/>
  <c r="BR104" i="10"/>
  <c r="BU104" i="10" s="1"/>
  <c r="BR105" i="10"/>
  <c r="BU105" i="10" s="1"/>
  <c r="BR106" i="10"/>
  <c r="BU106" i="10" s="1"/>
  <c r="BR107" i="10"/>
  <c r="BU107" i="10" s="1"/>
  <c r="BR108" i="10"/>
  <c r="BU108" i="10" s="1"/>
  <c r="BR109" i="10"/>
  <c r="BU109" i="10" s="1"/>
  <c r="BR110" i="10"/>
  <c r="BU110" i="10" s="1"/>
  <c r="BR111" i="10"/>
  <c r="BU111" i="10" s="1"/>
  <c r="BR112" i="10"/>
  <c r="BU112" i="10" s="1"/>
  <c r="BR113" i="10"/>
  <c r="BU113" i="10" s="1"/>
  <c r="BR114" i="10"/>
  <c r="BU114" i="10" s="1"/>
  <c r="BR115" i="10"/>
  <c r="BU115" i="10" s="1"/>
  <c r="BR116" i="10"/>
  <c r="BU116" i="10" s="1"/>
  <c r="BR117" i="10"/>
  <c r="BU117" i="10" s="1"/>
  <c r="BR118" i="10"/>
  <c r="BU118" i="10" s="1"/>
  <c r="BR119" i="10"/>
  <c r="BU119" i="10" s="1"/>
  <c r="BR120" i="10"/>
  <c r="BU120" i="10" s="1"/>
  <c r="BR121" i="10"/>
  <c r="BU121" i="10" s="1"/>
  <c r="BR122" i="10"/>
  <c r="BU122" i="10" s="1"/>
  <c r="BR123" i="10"/>
  <c r="BU123" i="10" s="1"/>
  <c r="BR124" i="10"/>
  <c r="BU124" i="10" s="1"/>
  <c r="BR125" i="10"/>
  <c r="BU125" i="10" s="1"/>
  <c r="BR126" i="10"/>
  <c r="BU126" i="10" s="1"/>
  <c r="BR127" i="10"/>
  <c r="BU127" i="10" s="1"/>
  <c r="BR128" i="10"/>
  <c r="BU128" i="10" s="1"/>
  <c r="BR129" i="10"/>
  <c r="BU129" i="10" s="1"/>
  <c r="BR130" i="10"/>
  <c r="BU130" i="10" s="1"/>
  <c r="BR131" i="10"/>
  <c r="BU131" i="10" s="1"/>
  <c r="BR132" i="10"/>
  <c r="BU132" i="10" s="1"/>
  <c r="BR133" i="10"/>
  <c r="BU133" i="10" s="1"/>
  <c r="BR134" i="10"/>
  <c r="BU134" i="10" s="1"/>
  <c r="BR135" i="10"/>
  <c r="BU135" i="10" s="1"/>
  <c r="BR136" i="10"/>
  <c r="BU136" i="10" s="1"/>
  <c r="BR137" i="10"/>
  <c r="BU137" i="10" s="1"/>
  <c r="BR138" i="10"/>
  <c r="BU138" i="10" s="1"/>
  <c r="BR139" i="10"/>
  <c r="BU139" i="10" s="1"/>
  <c r="BR140" i="10"/>
  <c r="BU140" i="10" s="1"/>
  <c r="BR141" i="10"/>
  <c r="BU141" i="10" s="1"/>
  <c r="BR142" i="10"/>
  <c r="BU142" i="10" s="1"/>
  <c r="BR143" i="10"/>
  <c r="BU143" i="10" s="1"/>
  <c r="BR144" i="10"/>
  <c r="BU144" i="10" s="1"/>
  <c r="BR145" i="10"/>
  <c r="BU145" i="10" s="1"/>
  <c r="BR146" i="10"/>
  <c r="BU146" i="10" s="1"/>
  <c r="BR147" i="10"/>
  <c r="BU147" i="10" s="1"/>
  <c r="BR148" i="10"/>
  <c r="BU148" i="10" s="1"/>
  <c r="BR149" i="10"/>
  <c r="BU149" i="10" s="1"/>
  <c r="BR150" i="10"/>
  <c r="BU150" i="10" s="1"/>
  <c r="BR151" i="10"/>
  <c r="BU151" i="10" s="1"/>
  <c r="BR152" i="10"/>
  <c r="BU152" i="10" s="1"/>
  <c r="BR153" i="10"/>
  <c r="BU153" i="10" s="1"/>
  <c r="BR154" i="10"/>
  <c r="BU154" i="10" s="1"/>
  <c r="BR155" i="10"/>
  <c r="BU155" i="10" s="1"/>
  <c r="BR156" i="10"/>
  <c r="BU156" i="10" s="1"/>
  <c r="BR157" i="10"/>
  <c r="BU157" i="10" s="1"/>
  <c r="BR158" i="10"/>
  <c r="BU158" i="10" s="1"/>
  <c r="BR159" i="10"/>
  <c r="BU159" i="10" s="1"/>
  <c r="BR160" i="10"/>
  <c r="BU160" i="10" s="1"/>
  <c r="BR161" i="10"/>
  <c r="BU161" i="10" s="1"/>
  <c r="BR162" i="10"/>
  <c r="BU162" i="10" s="1"/>
  <c r="BR163" i="10"/>
  <c r="BU163" i="10" s="1"/>
  <c r="BR164" i="10"/>
  <c r="BU164" i="10" s="1"/>
  <c r="BR165" i="10"/>
  <c r="BU165" i="10" s="1"/>
  <c r="BR166" i="10"/>
  <c r="BU166" i="10" s="1"/>
  <c r="BR167" i="10"/>
  <c r="BU167" i="10" s="1"/>
  <c r="BR168" i="10"/>
  <c r="BU168" i="10" s="1"/>
  <c r="BR169" i="10"/>
  <c r="BU169" i="10" s="1"/>
  <c r="BR170" i="10"/>
  <c r="BU170" i="10" s="1"/>
  <c r="BR171" i="10"/>
  <c r="BU171" i="10" s="1"/>
  <c r="BR172" i="10"/>
  <c r="BU172" i="10" s="1"/>
  <c r="BR173" i="10"/>
  <c r="BU173" i="10" s="1"/>
  <c r="BR174" i="10"/>
  <c r="BU174" i="10" s="1"/>
  <c r="BR175" i="10"/>
  <c r="BU175" i="10" s="1"/>
  <c r="BR176" i="10"/>
  <c r="BU176" i="10" s="1"/>
  <c r="BR177" i="10"/>
  <c r="BU177" i="10" s="1"/>
  <c r="BR178" i="10"/>
  <c r="BU178" i="10" s="1"/>
  <c r="BR179" i="10"/>
  <c r="BU179" i="10" s="1"/>
  <c r="BR180" i="10"/>
  <c r="BU180" i="10" s="1"/>
  <c r="BR181" i="10"/>
  <c r="BU181" i="10" s="1"/>
  <c r="BR182" i="10"/>
  <c r="BU182" i="10" s="1"/>
  <c r="BR183" i="10"/>
  <c r="BU183" i="10" s="1"/>
  <c r="BR184" i="10"/>
  <c r="BU184" i="10" s="1"/>
  <c r="BR185" i="10"/>
  <c r="BU185" i="10" s="1"/>
  <c r="BR186" i="10"/>
  <c r="BU186" i="10" s="1"/>
  <c r="BR187" i="10"/>
  <c r="BU187" i="10" s="1"/>
  <c r="BR188" i="10"/>
  <c r="BU188" i="10" s="1"/>
  <c r="BR189" i="10"/>
  <c r="BU189" i="10" s="1"/>
  <c r="BR190" i="10"/>
  <c r="BU190" i="10" s="1"/>
  <c r="BR191" i="10"/>
  <c r="BU191" i="10" s="1"/>
  <c r="BR192" i="10"/>
  <c r="BU192" i="10" s="1"/>
  <c r="BR193" i="10"/>
  <c r="BU193" i="10" s="1"/>
  <c r="BR194" i="10"/>
  <c r="BU194" i="10" s="1"/>
  <c r="BR195" i="10"/>
  <c r="BU195" i="10" s="1"/>
  <c r="BR196" i="10"/>
  <c r="BU196" i="10" s="1"/>
  <c r="BR197" i="10"/>
  <c r="BU197" i="10" s="1"/>
  <c r="BR198" i="10"/>
  <c r="BU198" i="10" s="1"/>
  <c r="BR199" i="10"/>
  <c r="BU199" i="10" s="1"/>
  <c r="BR200" i="10"/>
  <c r="BU200" i="10" s="1"/>
  <c r="BR201" i="10"/>
  <c r="BU201" i="10" s="1"/>
  <c r="BR202" i="10"/>
  <c r="BU202" i="10" s="1"/>
  <c r="BR203" i="10"/>
  <c r="BU203" i="10" s="1"/>
  <c r="BR204" i="10"/>
  <c r="BU204" i="10" s="1"/>
  <c r="BR205" i="10"/>
  <c r="BU205" i="10" s="1"/>
  <c r="BR206" i="10"/>
  <c r="BU206" i="10" s="1"/>
  <c r="BR207" i="10"/>
  <c r="BU207" i="10" s="1"/>
  <c r="BR208" i="10"/>
  <c r="BU208" i="10" s="1"/>
  <c r="BR209" i="10"/>
  <c r="BU209" i="10" s="1"/>
  <c r="BR210" i="10"/>
  <c r="BU210" i="10" s="1"/>
  <c r="BR211" i="10"/>
  <c r="BU211" i="10" s="1"/>
  <c r="BR212" i="10"/>
  <c r="BU212" i="10" s="1"/>
  <c r="BR213" i="10"/>
  <c r="BU213" i="10" s="1"/>
  <c r="BR214" i="10"/>
  <c r="BU214" i="10" s="1"/>
  <c r="BR215" i="10"/>
  <c r="BU215" i="10" s="1"/>
  <c r="BR216" i="10"/>
  <c r="BU216" i="10" s="1"/>
  <c r="BR217" i="10"/>
  <c r="BU217" i="10" s="1"/>
  <c r="BR218" i="10"/>
  <c r="BU218" i="10" s="1"/>
  <c r="BR219" i="10"/>
  <c r="BU219" i="10" s="1"/>
  <c r="BR220" i="10"/>
  <c r="BU220" i="10" s="1"/>
  <c r="BR221" i="10"/>
  <c r="BU221" i="10" s="1"/>
  <c r="BR222" i="10"/>
  <c r="BU222" i="10" s="1"/>
  <c r="BR223" i="10"/>
  <c r="BU223" i="10" s="1"/>
  <c r="BR224" i="10"/>
  <c r="BU224" i="10" s="1"/>
  <c r="BR225" i="10"/>
  <c r="BU225" i="10" s="1"/>
  <c r="BR226" i="10"/>
  <c r="BU226" i="10" s="1"/>
  <c r="BR227" i="10"/>
  <c r="BU227" i="10" s="1"/>
  <c r="BR228" i="10"/>
  <c r="BU228" i="10" s="1"/>
  <c r="BQ139" i="10"/>
  <c r="BQ197" i="10"/>
  <c r="BQ198" i="10"/>
  <c r="BP2" i="10"/>
  <c r="BP3" i="10"/>
  <c r="BP4" i="10"/>
  <c r="BP5" i="10"/>
  <c r="BP6" i="10"/>
  <c r="BP7" i="10"/>
  <c r="BP8" i="10"/>
  <c r="BP9" i="10"/>
  <c r="BP10" i="10"/>
  <c r="BP11" i="10"/>
  <c r="BP12" i="10"/>
  <c r="BP13" i="10"/>
  <c r="BP14" i="10"/>
  <c r="BP15" i="10"/>
  <c r="BP16" i="10"/>
  <c r="BP17" i="10"/>
  <c r="BP18" i="10"/>
  <c r="BP19" i="10"/>
  <c r="BP20" i="10"/>
  <c r="BP21" i="10"/>
  <c r="BP22" i="10"/>
  <c r="BP23" i="10"/>
  <c r="BP24" i="10"/>
  <c r="BP25" i="10"/>
  <c r="BP26" i="10"/>
  <c r="BP27" i="10"/>
  <c r="BP28" i="10"/>
  <c r="BP29" i="10"/>
  <c r="BP30" i="10"/>
  <c r="BP31" i="10"/>
  <c r="BP32" i="10"/>
  <c r="BP33" i="10"/>
  <c r="BP34" i="10"/>
  <c r="BP35" i="10"/>
  <c r="BP36" i="10"/>
  <c r="BP37" i="10"/>
  <c r="BP38" i="10"/>
  <c r="BP39" i="10"/>
  <c r="BP40" i="10"/>
  <c r="BP41" i="10"/>
  <c r="BP42" i="10"/>
  <c r="BP43" i="10"/>
  <c r="BP44" i="10"/>
  <c r="BP45" i="10"/>
  <c r="BP46" i="10"/>
  <c r="BP47" i="10"/>
  <c r="BP48" i="10"/>
  <c r="BP49" i="10"/>
  <c r="BP50" i="10"/>
  <c r="BP51" i="10"/>
  <c r="BP52" i="10"/>
  <c r="BP53" i="10"/>
  <c r="BP54" i="10"/>
  <c r="BP55" i="10"/>
  <c r="BP56" i="10"/>
  <c r="BP57" i="10"/>
  <c r="BP58" i="10"/>
  <c r="BP59" i="10"/>
  <c r="BP60" i="10"/>
  <c r="BP61" i="10"/>
  <c r="BP62" i="10"/>
  <c r="BP63" i="10"/>
  <c r="BP64" i="10"/>
  <c r="BP65" i="10"/>
  <c r="BP66" i="10"/>
  <c r="BP67" i="10"/>
  <c r="BP68" i="10"/>
  <c r="BP69" i="10"/>
  <c r="BP70" i="10"/>
  <c r="BP71" i="10"/>
  <c r="BP72" i="10"/>
  <c r="BP73" i="10"/>
  <c r="BP74" i="10"/>
  <c r="BP75" i="10"/>
  <c r="BP76" i="10"/>
  <c r="BP77" i="10"/>
  <c r="BP78" i="10"/>
  <c r="BP79" i="10"/>
  <c r="BP80" i="10"/>
  <c r="BP81" i="10"/>
  <c r="BP82" i="10"/>
  <c r="BP83" i="10"/>
  <c r="BP84" i="10"/>
  <c r="BP85" i="10"/>
  <c r="BP86" i="10"/>
  <c r="BP87" i="10"/>
  <c r="BP88" i="10"/>
  <c r="BP89" i="10"/>
  <c r="BP90" i="10"/>
  <c r="BP91" i="10"/>
  <c r="BP92" i="10"/>
  <c r="BP93" i="10"/>
  <c r="BP94" i="10"/>
  <c r="BP95" i="10"/>
  <c r="BP96" i="10"/>
  <c r="BP97" i="10"/>
  <c r="BP98" i="10"/>
  <c r="BP99" i="10"/>
  <c r="BP100" i="10"/>
  <c r="BP101" i="10"/>
  <c r="BP102" i="10"/>
  <c r="BP103" i="10"/>
  <c r="BP104" i="10"/>
  <c r="BP105" i="10"/>
  <c r="BP106" i="10"/>
  <c r="BP107" i="10"/>
  <c r="BP108" i="10"/>
  <c r="BP109" i="10"/>
  <c r="BP110" i="10"/>
  <c r="BP111" i="10"/>
  <c r="BP112" i="10"/>
  <c r="BP113" i="10"/>
  <c r="BP114" i="10"/>
  <c r="BP115" i="10"/>
  <c r="BP116" i="10"/>
  <c r="BP117" i="10"/>
  <c r="BP118" i="10"/>
  <c r="BP119" i="10"/>
  <c r="BP120" i="10"/>
  <c r="BP121" i="10"/>
  <c r="BP122" i="10"/>
  <c r="BP123" i="10"/>
  <c r="BP124" i="10"/>
  <c r="BP125" i="10"/>
  <c r="BP126" i="10"/>
  <c r="BP127" i="10"/>
  <c r="BP128" i="10"/>
  <c r="BP129" i="10"/>
  <c r="BP130" i="10"/>
  <c r="BP131" i="10"/>
  <c r="BP132" i="10"/>
  <c r="BP133" i="10"/>
  <c r="BP134" i="10"/>
  <c r="BP135" i="10"/>
  <c r="BP136" i="10"/>
  <c r="BP137" i="10"/>
  <c r="BP138" i="10"/>
  <c r="BP139" i="10"/>
  <c r="BP140" i="10"/>
  <c r="BP141" i="10"/>
  <c r="BP142" i="10"/>
  <c r="BP143" i="10"/>
  <c r="BP144" i="10"/>
  <c r="BP145" i="10"/>
  <c r="BP146" i="10"/>
  <c r="BP147" i="10"/>
  <c r="BP148" i="10"/>
  <c r="BP149" i="10"/>
  <c r="BP150" i="10"/>
  <c r="BP151" i="10"/>
  <c r="BP152" i="10"/>
  <c r="BP153" i="10"/>
  <c r="BP154" i="10"/>
  <c r="BP155" i="10"/>
  <c r="BP156" i="10"/>
  <c r="BP157" i="10"/>
  <c r="BP158" i="10"/>
  <c r="BP159" i="10"/>
  <c r="BP160" i="10"/>
  <c r="BP161" i="10"/>
  <c r="BP162" i="10"/>
  <c r="BP163" i="10"/>
  <c r="BP164" i="10"/>
  <c r="BP165" i="10"/>
  <c r="BP166" i="10"/>
  <c r="BP167" i="10"/>
  <c r="BP168" i="10"/>
  <c r="BP169" i="10"/>
  <c r="BP170" i="10"/>
  <c r="BP171" i="10"/>
  <c r="BP172" i="10"/>
  <c r="BP173" i="10"/>
  <c r="BP174" i="10"/>
  <c r="BP175" i="10"/>
  <c r="BP176" i="10"/>
  <c r="BP177" i="10"/>
  <c r="BP178" i="10"/>
  <c r="BP179" i="10"/>
  <c r="BP180" i="10"/>
  <c r="BP181" i="10"/>
  <c r="BP182" i="10"/>
  <c r="BP183" i="10"/>
  <c r="BP184" i="10"/>
  <c r="BP185" i="10"/>
  <c r="BP186" i="10"/>
  <c r="BP187" i="10"/>
  <c r="BP188" i="10"/>
  <c r="BP189" i="10"/>
  <c r="BP190" i="10"/>
  <c r="BP191" i="10"/>
  <c r="BP192" i="10"/>
  <c r="BP193" i="10"/>
  <c r="BP194" i="10"/>
  <c r="BP195" i="10"/>
  <c r="BP196" i="10"/>
  <c r="BP197" i="10"/>
  <c r="BP198" i="10"/>
  <c r="BP199" i="10"/>
  <c r="BP200" i="10"/>
  <c r="BP201" i="10"/>
  <c r="BP202" i="10"/>
  <c r="BP203" i="10"/>
  <c r="BP204" i="10"/>
  <c r="BP205" i="10"/>
  <c r="BP206" i="10"/>
  <c r="BP207" i="10"/>
  <c r="BP208" i="10"/>
  <c r="BP209" i="10"/>
  <c r="BP210" i="10"/>
  <c r="BP211" i="10"/>
  <c r="BP212" i="10"/>
  <c r="BP213" i="10"/>
  <c r="BP214" i="10"/>
  <c r="BP215" i="10"/>
  <c r="BP216" i="10"/>
  <c r="BP217" i="10"/>
  <c r="BP218" i="10"/>
  <c r="BP219" i="10"/>
  <c r="BP220" i="10"/>
  <c r="BP221" i="10"/>
  <c r="BP222" i="10"/>
  <c r="BP223" i="10"/>
  <c r="BP224" i="10"/>
  <c r="BP225" i="10"/>
  <c r="BP226" i="10"/>
  <c r="BP227" i="10"/>
  <c r="BP228" i="10"/>
  <c r="BO2" i="10"/>
  <c r="BO3" i="10"/>
  <c r="BO4" i="10"/>
  <c r="BO5" i="10"/>
  <c r="BO6" i="10"/>
  <c r="BO7" i="10"/>
  <c r="BO8" i="10"/>
  <c r="BO9" i="10"/>
  <c r="BO10" i="10"/>
  <c r="BO11" i="10"/>
  <c r="BO12" i="10"/>
  <c r="BO13" i="10"/>
  <c r="BO14" i="10"/>
  <c r="BO15" i="10"/>
  <c r="BO16" i="10"/>
  <c r="BO17" i="10"/>
  <c r="BO18" i="10"/>
  <c r="BO19" i="10"/>
  <c r="BO20" i="10"/>
  <c r="BO21" i="10"/>
  <c r="BO22" i="10"/>
  <c r="BO23" i="10"/>
  <c r="BO24" i="10"/>
  <c r="BO25" i="10"/>
  <c r="BO26" i="10"/>
  <c r="BO27" i="10"/>
  <c r="BO28" i="10"/>
  <c r="BO29" i="10"/>
  <c r="BO30" i="10"/>
  <c r="BO31" i="10"/>
  <c r="BO32" i="10"/>
  <c r="BO33" i="10"/>
  <c r="BO34" i="10"/>
  <c r="BO35" i="10"/>
  <c r="BO36" i="10"/>
  <c r="BO37" i="10"/>
  <c r="BO38" i="10"/>
  <c r="BO39" i="10"/>
  <c r="BO40" i="10"/>
  <c r="BO41" i="10"/>
  <c r="BO42" i="10"/>
  <c r="BO43" i="10"/>
  <c r="BO44" i="10"/>
  <c r="BO45" i="10"/>
  <c r="BO46" i="10"/>
  <c r="BO47" i="10"/>
  <c r="BO48" i="10"/>
  <c r="BO49" i="10"/>
  <c r="BO50" i="10"/>
  <c r="BO51" i="10"/>
  <c r="BO52" i="10"/>
  <c r="BO53" i="10"/>
  <c r="BO54" i="10"/>
  <c r="BO55" i="10"/>
  <c r="BO56" i="10"/>
  <c r="BO57" i="10"/>
  <c r="BO58" i="10"/>
  <c r="BO59" i="10"/>
  <c r="BO60" i="10"/>
  <c r="BO61" i="10"/>
  <c r="BO62" i="10"/>
  <c r="BO63" i="10"/>
  <c r="BO64" i="10"/>
  <c r="BO65" i="10"/>
  <c r="BO66" i="10"/>
  <c r="BO67" i="10"/>
  <c r="BO68" i="10"/>
  <c r="BO69" i="10"/>
  <c r="BO70" i="10"/>
  <c r="BO71" i="10"/>
  <c r="BO72" i="10"/>
  <c r="BO73" i="10"/>
  <c r="BO74" i="10"/>
  <c r="BO75" i="10"/>
  <c r="BO76" i="10"/>
  <c r="BO77" i="10"/>
  <c r="BO78" i="10"/>
  <c r="BO79" i="10"/>
  <c r="BO80" i="10"/>
  <c r="BO81" i="10"/>
  <c r="BO82" i="10"/>
  <c r="BO83" i="10"/>
  <c r="BO84" i="10"/>
  <c r="BO85" i="10"/>
  <c r="BO86" i="10"/>
  <c r="BO87" i="10"/>
  <c r="BO88" i="10"/>
  <c r="BO89" i="10"/>
  <c r="BO90" i="10"/>
  <c r="BO91" i="10"/>
  <c r="BO92" i="10"/>
  <c r="BO93" i="10"/>
  <c r="BO94" i="10"/>
  <c r="BO95" i="10"/>
  <c r="BO96" i="10"/>
  <c r="BO97" i="10"/>
  <c r="BO98" i="10"/>
  <c r="BO99" i="10"/>
  <c r="BO100" i="10"/>
  <c r="BO101" i="10"/>
  <c r="BO102" i="10"/>
  <c r="BO103" i="10"/>
  <c r="BO104" i="10"/>
  <c r="BO105" i="10"/>
  <c r="BO106" i="10"/>
  <c r="BO107" i="10"/>
  <c r="BO108" i="10"/>
  <c r="BO109" i="10"/>
  <c r="BO110" i="10"/>
  <c r="BO111" i="10"/>
  <c r="BO112" i="10"/>
  <c r="BO113" i="10"/>
  <c r="BO114" i="10"/>
  <c r="BO115" i="10"/>
  <c r="BO116" i="10"/>
  <c r="BO117" i="10"/>
  <c r="BO118" i="10"/>
  <c r="BO119" i="10"/>
  <c r="BO120" i="10"/>
  <c r="BO121" i="10"/>
  <c r="BO122" i="10"/>
  <c r="BO123" i="10"/>
  <c r="BO124" i="10"/>
  <c r="BO125" i="10"/>
  <c r="BO126" i="10"/>
  <c r="BO127" i="10"/>
  <c r="BO128" i="10"/>
  <c r="BO129" i="10"/>
  <c r="BO130" i="10"/>
  <c r="BO131" i="10"/>
  <c r="BO132" i="10"/>
  <c r="BO133" i="10"/>
  <c r="BO134" i="10"/>
  <c r="BO135" i="10"/>
  <c r="BO136" i="10"/>
  <c r="BO137" i="10"/>
  <c r="BO138" i="10"/>
  <c r="BO139" i="10"/>
  <c r="BO140" i="10"/>
  <c r="BO141" i="10"/>
  <c r="BO142" i="10"/>
  <c r="BO143" i="10"/>
  <c r="BO144" i="10"/>
  <c r="BO145" i="10"/>
  <c r="BO146" i="10"/>
  <c r="BO147" i="10"/>
  <c r="BO148" i="10"/>
  <c r="BO149" i="10"/>
  <c r="BO150" i="10"/>
  <c r="BO151" i="10"/>
  <c r="BO152" i="10"/>
  <c r="BO153" i="10"/>
  <c r="BO154" i="10"/>
  <c r="BO155" i="10"/>
  <c r="BO156" i="10"/>
  <c r="BO157" i="10"/>
  <c r="BO158" i="10"/>
  <c r="BO159" i="10"/>
  <c r="BO160" i="10"/>
  <c r="BO161" i="10"/>
  <c r="BO162" i="10"/>
  <c r="BO163" i="10"/>
  <c r="BO164" i="10"/>
  <c r="BO165" i="10"/>
  <c r="BO166" i="10"/>
  <c r="BO167" i="10"/>
  <c r="BO168" i="10"/>
  <c r="BO169" i="10"/>
  <c r="BO170" i="10"/>
  <c r="BO171" i="10"/>
  <c r="BO172" i="10"/>
  <c r="BO173" i="10"/>
  <c r="BO174" i="10"/>
  <c r="BO175" i="10"/>
  <c r="BO176" i="10"/>
  <c r="BO177" i="10"/>
  <c r="BO178" i="10"/>
  <c r="BO179" i="10"/>
  <c r="BO180" i="10"/>
  <c r="BO181" i="10"/>
  <c r="BO182" i="10"/>
  <c r="BO183" i="10"/>
  <c r="BO184" i="10"/>
  <c r="BO185" i="10"/>
  <c r="BO186" i="10"/>
  <c r="BO187" i="10"/>
  <c r="BO188" i="10"/>
  <c r="BO189" i="10"/>
  <c r="BO190" i="10"/>
  <c r="BO191" i="10"/>
  <c r="BO192" i="10"/>
  <c r="BO193" i="10"/>
  <c r="BO194" i="10"/>
  <c r="BO195" i="10"/>
  <c r="BO196" i="10"/>
  <c r="BO197" i="10"/>
  <c r="BO198" i="10"/>
  <c r="BO199" i="10"/>
  <c r="BO200" i="10"/>
  <c r="BO201" i="10"/>
  <c r="BO202" i="10"/>
  <c r="BO203" i="10"/>
  <c r="BO204" i="10"/>
  <c r="BO205" i="10"/>
  <c r="BO206" i="10"/>
  <c r="BO207" i="10"/>
  <c r="BO208" i="10"/>
  <c r="BO209" i="10"/>
  <c r="BO210" i="10"/>
  <c r="BO211" i="10"/>
  <c r="BO212" i="10"/>
  <c r="BO213" i="10"/>
  <c r="BO214" i="10"/>
  <c r="BO215" i="10"/>
  <c r="BO216" i="10"/>
  <c r="BO217" i="10"/>
  <c r="BO218" i="10"/>
  <c r="BO219" i="10"/>
  <c r="BO220" i="10"/>
  <c r="BO221" i="10"/>
  <c r="BO222" i="10"/>
  <c r="BO223" i="10"/>
  <c r="BO224" i="10"/>
  <c r="BO225" i="10"/>
  <c r="BO226" i="10"/>
  <c r="BO227" i="10"/>
  <c r="BO228" i="10"/>
  <c r="BN2" i="10"/>
  <c r="BQ2" i="10" s="1"/>
  <c r="BN3" i="10"/>
  <c r="BQ3" i="10" s="1"/>
  <c r="BN4" i="10"/>
  <c r="BQ4" i="10" s="1"/>
  <c r="BN5" i="10"/>
  <c r="BQ5" i="10" s="1"/>
  <c r="BN6" i="10"/>
  <c r="BQ6" i="10" s="1"/>
  <c r="BN7" i="10"/>
  <c r="BQ7" i="10" s="1"/>
  <c r="BN8" i="10"/>
  <c r="BQ8" i="10" s="1"/>
  <c r="BN9" i="10"/>
  <c r="BQ9" i="10" s="1"/>
  <c r="BN10" i="10"/>
  <c r="BQ10" i="10" s="1"/>
  <c r="BN11" i="10"/>
  <c r="BQ11" i="10" s="1"/>
  <c r="BN12" i="10"/>
  <c r="BQ12" i="10" s="1"/>
  <c r="BN13" i="10"/>
  <c r="BQ13" i="10" s="1"/>
  <c r="BN14" i="10"/>
  <c r="BQ14" i="10" s="1"/>
  <c r="BN15" i="10"/>
  <c r="BQ15" i="10" s="1"/>
  <c r="BN16" i="10"/>
  <c r="BQ16" i="10" s="1"/>
  <c r="BN17" i="10"/>
  <c r="BQ17" i="10" s="1"/>
  <c r="BN18" i="10"/>
  <c r="BQ18" i="10" s="1"/>
  <c r="BN19" i="10"/>
  <c r="BQ19" i="10" s="1"/>
  <c r="BN20" i="10"/>
  <c r="BQ20" i="10" s="1"/>
  <c r="BN21" i="10"/>
  <c r="BQ21" i="10" s="1"/>
  <c r="BN22" i="10"/>
  <c r="BQ22" i="10" s="1"/>
  <c r="BN23" i="10"/>
  <c r="BQ23" i="10" s="1"/>
  <c r="BN24" i="10"/>
  <c r="BQ24" i="10" s="1"/>
  <c r="BN25" i="10"/>
  <c r="BQ25" i="10" s="1"/>
  <c r="BN26" i="10"/>
  <c r="BQ26" i="10" s="1"/>
  <c r="BN27" i="10"/>
  <c r="BQ27" i="10" s="1"/>
  <c r="BN28" i="10"/>
  <c r="BQ28" i="10" s="1"/>
  <c r="BN29" i="10"/>
  <c r="BQ29" i="10" s="1"/>
  <c r="BN30" i="10"/>
  <c r="BQ30" i="10" s="1"/>
  <c r="BN31" i="10"/>
  <c r="BQ31" i="10" s="1"/>
  <c r="BN32" i="10"/>
  <c r="BQ32" i="10" s="1"/>
  <c r="BN33" i="10"/>
  <c r="BQ33" i="10" s="1"/>
  <c r="BN34" i="10"/>
  <c r="BQ34" i="10" s="1"/>
  <c r="BN35" i="10"/>
  <c r="BQ35" i="10" s="1"/>
  <c r="BN36" i="10"/>
  <c r="BQ36" i="10" s="1"/>
  <c r="BN37" i="10"/>
  <c r="BQ37" i="10" s="1"/>
  <c r="BN38" i="10"/>
  <c r="BQ38" i="10" s="1"/>
  <c r="BN39" i="10"/>
  <c r="BQ39" i="10" s="1"/>
  <c r="BN40" i="10"/>
  <c r="BQ40" i="10" s="1"/>
  <c r="BN41" i="10"/>
  <c r="BQ41" i="10" s="1"/>
  <c r="BN42" i="10"/>
  <c r="BQ42" i="10" s="1"/>
  <c r="BN43" i="10"/>
  <c r="BQ43" i="10" s="1"/>
  <c r="BN44" i="10"/>
  <c r="BQ44" i="10" s="1"/>
  <c r="BN45" i="10"/>
  <c r="BQ45" i="10" s="1"/>
  <c r="BN46" i="10"/>
  <c r="BQ46" i="10" s="1"/>
  <c r="BN47" i="10"/>
  <c r="BQ47" i="10" s="1"/>
  <c r="BN48" i="10"/>
  <c r="BQ48" i="10" s="1"/>
  <c r="BN49" i="10"/>
  <c r="BQ49" i="10" s="1"/>
  <c r="BN50" i="10"/>
  <c r="BQ50" i="10" s="1"/>
  <c r="BN51" i="10"/>
  <c r="BQ51" i="10" s="1"/>
  <c r="BN52" i="10"/>
  <c r="BQ52" i="10" s="1"/>
  <c r="BN53" i="10"/>
  <c r="BQ53" i="10" s="1"/>
  <c r="BN54" i="10"/>
  <c r="BQ54" i="10" s="1"/>
  <c r="BN55" i="10"/>
  <c r="BQ55" i="10" s="1"/>
  <c r="BN56" i="10"/>
  <c r="BQ56" i="10" s="1"/>
  <c r="BN57" i="10"/>
  <c r="BQ57" i="10" s="1"/>
  <c r="BN58" i="10"/>
  <c r="BQ58" i="10" s="1"/>
  <c r="BN59" i="10"/>
  <c r="BQ59" i="10" s="1"/>
  <c r="BN60" i="10"/>
  <c r="BQ60" i="10" s="1"/>
  <c r="BN61" i="10"/>
  <c r="BQ61" i="10" s="1"/>
  <c r="BN62" i="10"/>
  <c r="BQ62" i="10" s="1"/>
  <c r="BN63" i="10"/>
  <c r="BQ63" i="10" s="1"/>
  <c r="BN64" i="10"/>
  <c r="BQ64" i="10" s="1"/>
  <c r="BN65" i="10"/>
  <c r="BQ65" i="10" s="1"/>
  <c r="BN66" i="10"/>
  <c r="BQ66" i="10" s="1"/>
  <c r="BN67" i="10"/>
  <c r="BQ67" i="10" s="1"/>
  <c r="BN68" i="10"/>
  <c r="BQ68" i="10" s="1"/>
  <c r="BN69" i="10"/>
  <c r="BQ69" i="10" s="1"/>
  <c r="BN70" i="10"/>
  <c r="BQ70" i="10" s="1"/>
  <c r="BN71" i="10"/>
  <c r="BQ71" i="10" s="1"/>
  <c r="BN72" i="10"/>
  <c r="BQ72" i="10" s="1"/>
  <c r="BN73" i="10"/>
  <c r="BQ73" i="10" s="1"/>
  <c r="BN74" i="10"/>
  <c r="BQ74" i="10" s="1"/>
  <c r="BN75" i="10"/>
  <c r="BQ75" i="10" s="1"/>
  <c r="BN76" i="10"/>
  <c r="BQ76" i="10" s="1"/>
  <c r="BN77" i="10"/>
  <c r="BQ77" i="10" s="1"/>
  <c r="BN78" i="10"/>
  <c r="BQ78" i="10" s="1"/>
  <c r="BN79" i="10"/>
  <c r="BQ79" i="10" s="1"/>
  <c r="BN80" i="10"/>
  <c r="BQ80" i="10" s="1"/>
  <c r="BN81" i="10"/>
  <c r="BQ81" i="10" s="1"/>
  <c r="BN82" i="10"/>
  <c r="BQ82" i="10" s="1"/>
  <c r="BN83" i="10"/>
  <c r="BQ83" i="10" s="1"/>
  <c r="BN84" i="10"/>
  <c r="BQ84" i="10" s="1"/>
  <c r="BN85" i="10"/>
  <c r="BQ85" i="10" s="1"/>
  <c r="BN86" i="10"/>
  <c r="BQ86" i="10" s="1"/>
  <c r="BN87" i="10"/>
  <c r="BQ87" i="10" s="1"/>
  <c r="BN88" i="10"/>
  <c r="BQ88" i="10" s="1"/>
  <c r="BN89" i="10"/>
  <c r="BQ89" i="10" s="1"/>
  <c r="BN90" i="10"/>
  <c r="BQ90" i="10" s="1"/>
  <c r="BN91" i="10"/>
  <c r="BQ91" i="10" s="1"/>
  <c r="BN92" i="10"/>
  <c r="BQ92" i="10" s="1"/>
  <c r="BN93" i="10"/>
  <c r="BQ93" i="10" s="1"/>
  <c r="BN94" i="10"/>
  <c r="BQ94" i="10" s="1"/>
  <c r="BN95" i="10"/>
  <c r="BQ95" i="10" s="1"/>
  <c r="BN96" i="10"/>
  <c r="BQ96" i="10" s="1"/>
  <c r="BN97" i="10"/>
  <c r="BQ97" i="10" s="1"/>
  <c r="BN98" i="10"/>
  <c r="BQ98" i="10" s="1"/>
  <c r="BN99" i="10"/>
  <c r="BQ99" i="10" s="1"/>
  <c r="BN100" i="10"/>
  <c r="BQ100" i="10" s="1"/>
  <c r="BN101" i="10"/>
  <c r="BQ101" i="10" s="1"/>
  <c r="BN102" i="10"/>
  <c r="BQ102" i="10" s="1"/>
  <c r="BN103" i="10"/>
  <c r="BQ103" i="10" s="1"/>
  <c r="BN104" i="10"/>
  <c r="BQ104" i="10" s="1"/>
  <c r="BN105" i="10"/>
  <c r="BQ105" i="10" s="1"/>
  <c r="BN106" i="10"/>
  <c r="BQ106" i="10" s="1"/>
  <c r="BN107" i="10"/>
  <c r="BQ107" i="10" s="1"/>
  <c r="BN108" i="10"/>
  <c r="BQ108" i="10" s="1"/>
  <c r="BN109" i="10"/>
  <c r="BQ109" i="10" s="1"/>
  <c r="BN110" i="10"/>
  <c r="BQ110" i="10" s="1"/>
  <c r="BN111" i="10"/>
  <c r="BQ111" i="10" s="1"/>
  <c r="BN112" i="10"/>
  <c r="BQ112" i="10" s="1"/>
  <c r="BN113" i="10"/>
  <c r="BQ113" i="10" s="1"/>
  <c r="BN114" i="10"/>
  <c r="BQ114" i="10" s="1"/>
  <c r="BN115" i="10"/>
  <c r="BQ115" i="10" s="1"/>
  <c r="BN116" i="10"/>
  <c r="BQ116" i="10" s="1"/>
  <c r="BN117" i="10"/>
  <c r="BQ117" i="10" s="1"/>
  <c r="BN118" i="10"/>
  <c r="BQ118" i="10" s="1"/>
  <c r="BN119" i="10"/>
  <c r="BQ119" i="10" s="1"/>
  <c r="BN120" i="10"/>
  <c r="BQ120" i="10" s="1"/>
  <c r="BN121" i="10"/>
  <c r="BQ121" i="10" s="1"/>
  <c r="BN122" i="10"/>
  <c r="BQ122" i="10" s="1"/>
  <c r="BN123" i="10"/>
  <c r="BQ123" i="10" s="1"/>
  <c r="BN124" i="10"/>
  <c r="BQ124" i="10" s="1"/>
  <c r="BN125" i="10"/>
  <c r="BQ125" i="10" s="1"/>
  <c r="BN126" i="10"/>
  <c r="BQ126" i="10" s="1"/>
  <c r="BN127" i="10"/>
  <c r="BQ127" i="10" s="1"/>
  <c r="BN128" i="10"/>
  <c r="BQ128" i="10" s="1"/>
  <c r="BN129" i="10"/>
  <c r="BQ129" i="10" s="1"/>
  <c r="BN130" i="10"/>
  <c r="BQ130" i="10" s="1"/>
  <c r="BN131" i="10"/>
  <c r="BQ131" i="10" s="1"/>
  <c r="BN132" i="10"/>
  <c r="BQ132" i="10" s="1"/>
  <c r="BN133" i="10"/>
  <c r="BQ133" i="10" s="1"/>
  <c r="BN134" i="10"/>
  <c r="BQ134" i="10" s="1"/>
  <c r="BN135" i="10"/>
  <c r="BQ135" i="10" s="1"/>
  <c r="BN136" i="10"/>
  <c r="BQ136" i="10" s="1"/>
  <c r="BN137" i="10"/>
  <c r="BQ137" i="10" s="1"/>
  <c r="BN138" i="10"/>
  <c r="BQ138" i="10" s="1"/>
  <c r="BN139" i="10"/>
  <c r="BN140" i="10"/>
  <c r="BQ140" i="10" s="1"/>
  <c r="BN141" i="10"/>
  <c r="BQ141" i="10" s="1"/>
  <c r="BN142" i="10"/>
  <c r="BQ142" i="10" s="1"/>
  <c r="BN143" i="10"/>
  <c r="BQ143" i="10" s="1"/>
  <c r="BN144" i="10"/>
  <c r="BQ144" i="10" s="1"/>
  <c r="BN145" i="10"/>
  <c r="BQ145" i="10" s="1"/>
  <c r="BN146" i="10"/>
  <c r="BQ146" i="10" s="1"/>
  <c r="BN147" i="10"/>
  <c r="BQ147" i="10" s="1"/>
  <c r="BN148" i="10"/>
  <c r="BQ148" i="10" s="1"/>
  <c r="BN149" i="10"/>
  <c r="BQ149" i="10" s="1"/>
  <c r="BN150" i="10"/>
  <c r="BQ150" i="10" s="1"/>
  <c r="BN151" i="10"/>
  <c r="BQ151" i="10" s="1"/>
  <c r="BN152" i="10"/>
  <c r="BQ152" i="10" s="1"/>
  <c r="BN153" i="10"/>
  <c r="BQ153" i="10" s="1"/>
  <c r="BN154" i="10"/>
  <c r="BQ154" i="10" s="1"/>
  <c r="BN155" i="10"/>
  <c r="BQ155" i="10" s="1"/>
  <c r="BN156" i="10"/>
  <c r="BQ156" i="10" s="1"/>
  <c r="BN157" i="10"/>
  <c r="BQ157" i="10" s="1"/>
  <c r="BN158" i="10"/>
  <c r="BQ158" i="10" s="1"/>
  <c r="BN159" i="10"/>
  <c r="BQ159" i="10" s="1"/>
  <c r="BN160" i="10"/>
  <c r="BQ160" i="10" s="1"/>
  <c r="BN161" i="10"/>
  <c r="BQ161" i="10" s="1"/>
  <c r="BN162" i="10"/>
  <c r="BQ162" i="10" s="1"/>
  <c r="BN163" i="10"/>
  <c r="BQ163" i="10" s="1"/>
  <c r="BN164" i="10"/>
  <c r="BQ164" i="10" s="1"/>
  <c r="BN165" i="10"/>
  <c r="BQ165" i="10" s="1"/>
  <c r="BN166" i="10"/>
  <c r="BQ166" i="10" s="1"/>
  <c r="BN167" i="10"/>
  <c r="BQ167" i="10" s="1"/>
  <c r="BN168" i="10"/>
  <c r="BQ168" i="10" s="1"/>
  <c r="BN169" i="10"/>
  <c r="BQ169" i="10" s="1"/>
  <c r="BN170" i="10"/>
  <c r="BQ170" i="10" s="1"/>
  <c r="BN171" i="10"/>
  <c r="BQ171" i="10" s="1"/>
  <c r="BN172" i="10"/>
  <c r="BQ172" i="10" s="1"/>
  <c r="BN173" i="10"/>
  <c r="BQ173" i="10" s="1"/>
  <c r="BN174" i="10"/>
  <c r="BQ174" i="10" s="1"/>
  <c r="BN175" i="10"/>
  <c r="BQ175" i="10" s="1"/>
  <c r="BN176" i="10"/>
  <c r="BQ176" i="10" s="1"/>
  <c r="BN177" i="10"/>
  <c r="BQ177" i="10" s="1"/>
  <c r="BN178" i="10"/>
  <c r="BQ178" i="10" s="1"/>
  <c r="BN179" i="10"/>
  <c r="BQ179" i="10" s="1"/>
  <c r="BN180" i="10"/>
  <c r="BQ180" i="10" s="1"/>
  <c r="BN181" i="10"/>
  <c r="BQ181" i="10" s="1"/>
  <c r="BN182" i="10"/>
  <c r="BQ182" i="10" s="1"/>
  <c r="BN183" i="10"/>
  <c r="BQ183" i="10" s="1"/>
  <c r="BN184" i="10"/>
  <c r="BQ184" i="10" s="1"/>
  <c r="BN185" i="10"/>
  <c r="BQ185" i="10" s="1"/>
  <c r="BN186" i="10"/>
  <c r="BQ186" i="10" s="1"/>
  <c r="BN187" i="10"/>
  <c r="BQ187" i="10" s="1"/>
  <c r="BN188" i="10"/>
  <c r="BQ188" i="10" s="1"/>
  <c r="BN189" i="10"/>
  <c r="BQ189" i="10" s="1"/>
  <c r="BN190" i="10"/>
  <c r="BQ190" i="10" s="1"/>
  <c r="BN191" i="10"/>
  <c r="BQ191" i="10" s="1"/>
  <c r="BN192" i="10"/>
  <c r="BQ192" i="10" s="1"/>
  <c r="BN193" i="10"/>
  <c r="BQ193" i="10" s="1"/>
  <c r="BN194" i="10"/>
  <c r="BQ194" i="10" s="1"/>
  <c r="BN195" i="10"/>
  <c r="BQ195" i="10" s="1"/>
  <c r="BN196" i="10"/>
  <c r="BQ196" i="10" s="1"/>
  <c r="BN197" i="10"/>
  <c r="BN198" i="10"/>
  <c r="BN199" i="10"/>
  <c r="BQ199" i="10" s="1"/>
  <c r="BN200" i="10"/>
  <c r="BQ200" i="10" s="1"/>
  <c r="BN201" i="10"/>
  <c r="BQ201" i="10" s="1"/>
  <c r="BN202" i="10"/>
  <c r="BQ202" i="10" s="1"/>
  <c r="BN203" i="10"/>
  <c r="BQ203" i="10" s="1"/>
  <c r="BN204" i="10"/>
  <c r="BQ204" i="10" s="1"/>
  <c r="BN205" i="10"/>
  <c r="BQ205" i="10" s="1"/>
  <c r="BN206" i="10"/>
  <c r="BQ206" i="10" s="1"/>
  <c r="BN207" i="10"/>
  <c r="BQ207" i="10" s="1"/>
  <c r="BN208" i="10"/>
  <c r="BQ208" i="10" s="1"/>
  <c r="BN209" i="10"/>
  <c r="BQ209" i="10" s="1"/>
  <c r="BN210" i="10"/>
  <c r="BQ210" i="10" s="1"/>
  <c r="BN211" i="10"/>
  <c r="BQ211" i="10" s="1"/>
  <c r="BN212" i="10"/>
  <c r="BQ212" i="10" s="1"/>
  <c r="BN213" i="10"/>
  <c r="BQ213" i="10" s="1"/>
  <c r="BN214" i="10"/>
  <c r="BQ214" i="10" s="1"/>
  <c r="BN215" i="10"/>
  <c r="BQ215" i="10" s="1"/>
  <c r="BN216" i="10"/>
  <c r="BQ216" i="10" s="1"/>
  <c r="BN217" i="10"/>
  <c r="BQ217" i="10" s="1"/>
  <c r="BN218" i="10"/>
  <c r="BQ218" i="10" s="1"/>
  <c r="BN219" i="10"/>
  <c r="BQ219" i="10" s="1"/>
  <c r="BN220" i="10"/>
  <c r="BQ220" i="10" s="1"/>
  <c r="BN221" i="10"/>
  <c r="BQ221" i="10" s="1"/>
  <c r="BN222" i="10"/>
  <c r="BQ222" i="10" s="1"/>
  <c r="BN223" i="10"/>
  <c r="BQ223" i="10" s="1"/>
  <c r="BN224" i="10"/>
  <c r="BQ224" i="10" s="1"/>
  <c r="BN225" i="10"/>
  <c r="BQ225" i="10" s="1"/>
  <c r="BN226" i="10"/>
  <c r="BQ226" i="10" s="1"/>
  <c r="BN227" i="10"/>
  <c r="BQ227" i="10" s="1"/>
  <c r="BN228" i="10"/>
  <c r="BQ228" i="10" s="1"/>
  <c r="BL15" i="10"/>
  <c r="BL19" i="10"/>
  <c r="BL20" i="10"/>
  <c r="BL21" i="10"/>
  <c r="BL32" i="10"/>
  <c r="BL33" i="10"/>
  <c r="BL34" i="10"/>
  <c r="BL35" i="10"/>
  <c r="BL39" i="10"/>
  <c r="BL40" i="10"/>
  <c r="BL41" i="10"/>
  <c r="BL52" i="10"/>
  <c r="BL53" i="10"/>
  <c r="BL54" i="10"/>
  <c r="BL55" i="10"/>
  <c r="BL61" i="10"/>
  <c r="BL75" i="10"/>
  <c r="BL79" i="10"/>
  <c r="BL80" i="10"/>
  <c r="BL81" i="10"/>
  <c r="BL92" i="10"/>
  <c r="BL95" i="10"/>
  <c r="BL99" i="10"/>
  <c r="BL100" i="10"/>
  <c r="BL101" i="10"/>
  <c r="BL115" i="10"/>
  <c r="BL119" i="10"/>
  <c r="BL120" i="10"/>
  <c r="BL121" i="10"/>
  <c r="BL132" i="10"/>
  <c r="BL133" i="10"/>
  <c r="BL134" i="10"/>
  <c r="BL135" i="10"/>
  <c r="BL139" i="10"/>
  <c r="BL140" i="10"/>
  <c r="BL141" i="10"/>
  <c r="BL152" i="10"/>
  <c r="BL153" i="10"/>
  <c r="BL154" i="10"/>
  <c r="BL155" i="10"/>
  <c r="BL161" i="10"/>
  <c r="BL175" i="10"/>
  <c r="BL179" i="10"/>
  <c r="BL180" i="10"/>
  <c r="BL181" i="10"/>
  <c r="BL192" i="10"/>
  <c r="BL195" i="10"/>
  <c r="BL199" i="10"/>
  <c r="BL200" i="10"/>
  <c r="BL201" i="10"/>
  <c r="BL215" i="10"/>
  <c r="BL219" i="10"/>
  <c r="BL220" i="10"/>
  <c r="BL221" i="10"/>
  <c r="BK4" i="10"/>
  <c r="BK5" i="10"/>
  <c r="BK6" i="10"/>
  <c r="BK7" i="10"/>
  <c r="BK24" i="10"/>
  <c r="BK25" i="10"/>
  <c r="BK26" i="10"/>
  <c r="BK27" i="10"/>
  <c r="BK44" i="10"/>
  <c r="BK45" i="10"/>
  <c r="BK64" i="10"/>
  <c r="BK65" i="10"/>
  <c r="BK84" i="10"/>
  <c r="BK85" i="10"/>
  <c r="BK104" i="10"/>
  <c r="BK105" i="10"/>
  <c r="BK106" i="10"/>
  <c r="BK107" i="10"/>
  <c r="BK124" i="10"/>
  <c r="BK125" i="10"/>
  <c r="BK144" i="10"/>
  <c r="BK145" i="10"/>
  <c r="BK146" i="10"/>
  <c r="BK147" i="10"/>
  <c r="BK164" i="10"/>
  <c r="BK165" i="10"/>
  <c r="BK166" i="10"/>
  <c r="BK167" i="10"/>
  <c r="BK184" i="10"/>
  <c r="BK185" i="10"/>
  <c r="BK204" i="10"/>
  <c r="BK205" i="10"/>
  <c r="BK206" i="10"/>
  <c r="BK207" i="10"/>
  <c r="BK224" i="10"/>
  <c r="BK225" i="10"/>
  <c r="BJ4" i="10"/>
  <c r="BJ5" i="10"/>
  <c r="BJ6" i="10"/>
  <c r="BJ7" i="10"/>
  <c r="BJ12" i="10"/>
  <c r="BJ13" i="10"/>
  <c r="BJ16" i="10"/>
  <c r="BJ17" i="10"/>
  <c r="BJ18" i="10"/>
  <c r="BJ19" i="10"/>
  <c r="BJ20" i="10"/>
  <c r="BJ21" i="10"/>
  <c r="BJ24" i="10"/>
  <c r="BJ25" i="10"/>
  <c r="BJ32" i="10"/>
  <c r="BJ33" i="10"/>
  <c r="BJ36" i="10"/>
  <c r="BJ37" i="10"/>
  <c r="BJ38" i="10"/>
  <c r="BJ39" i="10"/>
  <c r="BJ40" i="10"/>
  <c r="BJ41" i="10"/>
  <c r="BJ44" i="10"/>
  <c r="BJ45" i="10"/>
  <c r="BJ52" i="10"/>
  <c r="BJ53" i="10"/>
  <c r="BJ56" i="10"/>
  <c r="BJ57" i="10"/>
  <c r="BJ58" i="10"/>
  <c r="BJ64" i="10"/>
  <c r="BJ65" i="10"/>
  <c r="BJ72" i="10"/>
  <c r="BJ73" i="10"/>
  <c r="BJ76" i="10"/>
  <c r="BJ77" i="10"/>
  <c r="BJ78" i="10"/>
  <c r="BJ79" i="10"/>
  <c r="BJ81" i="10"/>
  <c r="BJ84" i="10"/>
  <c r="BJ85" i="10"/>
  <c r="BJ86" i="10"/>
  <c r="BJ87" i="10"/>
  <c r="BJ92" i="10"/>
  <c r="BJ93" i="10"/>
  <c r="BJ96" i="10"/>
  <c r="BJ97" i="10"/>
  <c r="BJ98" i="10"/>
  <c r="BJ100" i="10"/>
  <c r="BJ101" i="10"/>
  <c r="BJ104" i="10"/>
  <c r="BJ105" i="10"/>
  <c r="BJ106" i="10"/>
  <c r="BJ107" i="10"/>
  <c r="BJ112" i="10"/>
  <c r="BJ113" i="10"/>
  <c r="BJ116" i="10"/>
  <c r="BJ117" i="10"/>
  <c r="BJ118" i="10"/>
  <c r="BJ119" i="10"/>
  <c r="BJ120" i="10"/>
  <c r="BJ121" i="10"/>
  <c r="BJ124" i="10"/>
  <c r="BJ125" i="10"/>
  <c r="BJ132" i="10"/>
  <c r="BJ133" i="10"/>
  <c r="BJ136" i="10"/>
  <c r="BJ137" i="10"/>
  <c r="BJ138" i="10"/>
  <c r="BJ139" i="10"/>
  <c r="BJ140" i="10"/>
  <c r="BJ141" i="10"/>
  <c r="BJ144" i="10"/>
  <c r="BJ145" i="10"/>
  <c r="BJ152" i="10"/>
  <c r="BJ153" i="10"/>
  <c r="BJ156" i="10"/>
  <c r="BJ157" i="10"/>
  <c r="BJ158" i="10"/>
  <c r="BJ164" i="10"/>
  <c r="BJ165" i="10"/>
  <c r="BJ172" i="10"/>
  <c r="BJ173" i="10"/>
  <c r="BJ176" i="10"/>
  <c r="BJ177" i="10"/>
  <c r="BJ178" i="10"/>
  <c r="BJ179" i="10"/>
  <c r="BJ181" i="10"/>
  <c r="BJ184" i="10"/>
  <c r="BJ185" i="10"/>
  <c r="BJ186" i="10"/>
  <c r="BJ187" i="10"/>
  <c r="BJ192" i="10"/>
  <c r="BJ193" i="10"/>
  <c r="BJ196" i="10"/>
  <c r="BJ197" i="10"/>
  <c r="BJ198" i="10"/>
  <c r="BJ200" i="10"/>
  <c r="BJ201" i="10"/>
  <c r="BJ204" i="10"/>
  <c r="BJ205" i="10"/>
  <c r="BJ206" i="10"/>
  <c r="BJ207" i="10"/>
  <c r="BJ212" i="10"/>
  <c r="BJ213" i="10"/>
  <c r="BJ216" i="10"/>
  <c r="BJ217" i="10"/>
  <c r="BJ218" i="10"/>
  <c r="BJ219" i="10"/>
  <c r="BJ220" i="10"/>
  <c r="BJ221" i="10"/>
  <c r="BJ224" i="10"/>
  <c r="BJ225" i="10"/>
  <c r="BH2" i="10"/>
  <c r="BL2" i="10" s="1"/>
  <c r="BH3" i="10"/>
  <c r="BL3" i="10" s="1"/>
  <c r="BH4" i="10"/>
  <c r="BL4" i="10" s="1"/>
  <c r="BH5" i="10"/>
  <c r="BL5" i="10" s="1"/>
  <c r="BH6" i="10"/>
  <c r="BL6" i="10" s="1"/>
  <c r="BH7" i="10"/>
  <c r="BL7" i="10" s="1"/>
  <c r="BH8" i="10"/>
  <c r="BL8" i="10" s="1"/>
  <c r="BH9" i="10"/>
  <c r="BL9" i="10" s="1"/>
  <c r="BH10" i="10"/>
  <c r="BL10" i="10" s="1"/>
  <c r="BH11" i="10"/>
  <c r="BL11" i="10" s="1"/>
  <c r="BH12" i="10"/>
  <c r="BL12" i="10" s="1"/>
  <c r="BH13" i="10"/>
  <c r="BL13" i="10" s="1"/>
  <c r="BH14" i="10"/>
  <c r="BL14" i="10" s="1"/>
  <c r="BH15" i="10"/>
  <c r="BH16" i="10"/>
  <c r="BL16" i="10" s="1"/>
  <c r="BH17" i="10"/>
  <c r="BL17" i="10" s="1"/>
  <c r="BH18" i="10"/>
  <c r="BH19" i="10"/>
  <c r="BH20" i="10"/>
  <c r="BH21" i="10"/>
  <c r="BH22" i="10"/>
  <c r="BL22" i="10" s="1"/>
  <c r="BH23" i="10"/>
  <c r="BL23" i="10" s="1"/>
  <c r="BH24" i="10"/>
  <c r="BL24" i="10" s="1"/>
  <c r="BH25" i="10"/>
  <c r="BL25" i="10" s="1"/>
  <c r="BH26" i="10"/>
  <c r="BL26" i="10" s="1"/>
  <c r="BH27" i="10"/>
  <c r="BL27" i="10" s="1"/>
  <c r="BH28" i="10"/>
  <c r="BL28" i="10" s="1"/>
  <c r="BH29" i="10"/>
  <c r="BL29" i="10" s="1"/>
  <c r="BH30" i="10"/>
  <c r="BL30" i="10" s="1"/>
  <c r="BH31" i="10"/>
  <c r="BL31" i="10" s="1"/>
  <c r="BH32" i="10"/>
  <c r="BH33" i="10"/>
  <c r="BH34" i="10"/>
  <c r="BH35" i="10"/>
  <c r="BH36" i="10"/>
  <c r="BL36" i="10" s="1"/>
  <c r="BH37" i="10"/>
  <c r="BL37" i="10" s="1"/>
  <c r="BH38" i="10"/>
  <c r="BL38" i="10" s="1"/>
  <c r="BH39" i="10"/>
  <c r="BH40" i="10"/>
  <c r="BH41" i="10"/>
  <c r="BH42" i="10"/>
  <c r="BL42" i="10" s="1"/>
  <c r="BH43" i="10"/>
  <c r="BL43" i="10" s="1"/>
  <c r="BH44" i="10"/>
  <c r="BL44" i="10" s="1"/>
  <c r="BH45" i="10"/>
  <c r="BL45" i="10" s="1"/>
  <c r="BH46" i="10"/>
  <c r="BL46" i="10" s="1"/>
  <c r="BH47" i="10"/>
  <c r="BL47" i="10" s="1"/>
  <c r="BH48" i="10"/>
  <c r="BL48" i="10" s="1"/>
  <c r="BH49" i="10"/>
  <c r="BL49" i="10" s="1"/>
  <c r="BH50" i="10"/>
  <c r="BL50" i="10" s="1"/>
  <c r="BH51" i="10"/>
  <c r="BL51" i="10" s="1"/>
  <c r="BH52" i="10"/>
  <c r="BH53" i="10"/>
  <c r="BH54" i="10"/>
  <c r="BH55" i="10"/>
  <c r="BH56" i="10"/>
  <c r="BL56" i="10" s="1"/>
  <c r="BH57" i="10"/>
  <c r="BL57" i="10" s="1"/>
  <c r="BH58" i="10"/>
  <c r="BL58" i="10" s="1"/>
  <c r="BH59" i="10"/>
  <c r="BL59" i="10" s="1"/>
  <c r="BH60" i="10"/>
  <c r="BL60" i="10" s="1"/>
  <c r="BH61" i="10"/>
  <c r="BH62" i="10"/>
  <c r="BL62" i="10" s="1"/>
  <c r="BH63" i="10"/>
  <c r="BL63" i="10" s="1"/>
  <c r="BH64" i="10"/>
  <c r="BL64" i="10" s="1"/>
  <c r="BH65" i="10"/>
  <c r="BL65" i="10" s="1"/>
  <c r="BH66" i="10"/>
  <c r="BL66" i="10" s="1"/>
  <c r="BH67" i="10"/>
  <c r="BL67" i="10" s="1"/>
  <c r="BH68" i="10"/>
  <c r="BL68" i="10" s="1"/>
  <c r="BH69" i="10"/>
  <c r="BL69" i="10" s="1"/>
  <c r="BH70" i="10"/>
  <c r="BL70" i="10" s="1"/>
  <c r="BH71" i="10"/>
  <c r="BL71" i="10" s="1"/>
  <c r="BH72" i="10"/>
  <c r="BL72" i="10" s="1"/>
  <c r="BH73" i="10"/>
  <c r="BL73" i="10" s="1"/>
  <c r="BH74" i="10"/>
  <c r="BL74" i="10" s="1"/>
  <c r="BH75" i="10"/>
  <c r="BH76" i="10"/>
  <c r="BL76" i="10" s="1"/>
  <c r="BH77" i="10"/>
  <c r="BL77" i="10" s="1"/>
  <c r="BH78" i="10"/>
  <c r="BL78" i="10" s="1"/>
  <c r="BH79" i="10"/>
  <c r="BH80" i="10"/>
  <c r="BH81" i="10"/>
  <c r="BH82" i="10"/>
  <c r="BL82" i="10" s="1"/>
  <c r="BH83" i="10"/>
  <c r="BL83" i="10" s="1"/>
  <c r="BH84" i="10"/>
  <c r="BL84" i="10" s="1"/>
  <c r="BH85" i="10"/>
  <c r="BL85" i="10" s="1"/>
  <c r="BH86" i="10"/>
  <c r="BL86" i="10" s="1"/>
  <c r="BH87" i="10"/>
  <c r="BL87" i="10" s="1"/>
  <c r="BH88" i="10"/>
  <c r="BL88" i="10" s="1"/>
  <c r="BH89" i="10"/>
  <c r="BL89" i="10" s="1"/>
  <c r="BH90" i="10"/>
  <c r="BL90" i="10" s="1"/>
  <c r="BH91" i="10"/>
  <c r="BL91" i="10" s="1"/>
  <c r="BH92" i="10"/>
  <c r="BH93" i="10"/>
  <c r="BL93" i="10" s="1"/>
  <c r="BH94" i="10"/>
  <c r="BL94" i="10" s="1"/>
  <c r="BH95" i="10"/>
  <c r="BH96" i="10"/>
  <c r="BL96" i="10" s="1"/>
  <c r="BH97" i="10"/>
  <c r="BL97" i="10" s="1"/>
  <c r="BH98" i="10"/>
  <c r="BL98" i="10" s="1"/>
  <c r="BH99" i="10"/>
  <c r="BH100" i="10"/>
  <c r="BH101" i="10"/>
  <c r="BH102" i="10"/>
  <c r="BL102" i="10" s="1"/>
  <c r="BH103" i="10"/>
  <c r="BL103" i="10" s="1"/>
  <c r="BH104" i="10"/>
  <c r="BL104" i="10" s="1"/>
  <c r="BH105" i="10"/>
  <c r="BL105" i="10" s="1"/>
  <c r="BH106" i="10"/>
  <c r="BL106" i="10" s="1"/>
  <c r="BH107" i="10"/>
  <c r="BL107" i="10" s="1"/>
  <c r="BH108" i="10"/>
  <c r="BL108" i="10" s="1"/>
  <c r="BH109" i="10"/>
  <c r="BL109" i="10" s="1"/>
  <c r="BH110" i="10"/>
  <c r="BL110" i="10" s="1"/>
  <c r="BH111" i="10"/>
  <c r="BL111" i="10" s="1"/>
  <c r="BH112" i="10"/>
  <c r="BL112" i="10" s="1"/>
  <c r="BH113" i="10"/>
  <c r="BL113" i="10" s="1"/>
  <c r="BH114" i="10"/>
  <c r="BL114" i="10" s="1"/>
  <c r="BH115" i="10"/>
  <c r="BH116" i="10"/>
  <c r="BL116" i="10" s="1"/>
  <c r="BH117" i="10"/>
  <c r="BL117" i="10" s="1"/>
  <c r="BH118" i="10"/>
  <c r="BL118" i="10" s="1"/>
  <c r="BH119" i="10"/>
  <c r="BH120" i="10"/>
  <c r="BH121" i="10"/>
  <c r="BH122" i="10"/>
  <c r="BL122" i="10" s="1"/>
  <c r="BH123" i="10"/>
  <c r="BL123" i="10" s="1"/>
  <c r="BH124" i="10"/>
  <c r="BL124" i="10" s="1"/>
  <c r="BH125" i="10"/>
  <c r="BL125" i="10" s="1"/>
  <c r="BH126" i="10"/>
  <c r="BL126" i="10" s="1"/>
  <c r="BH127" i="10"/>
  <c r="BL127" i="10" s="1"/>
  <c r="BH128" i="10"/>
  <c r="BL128" i="10" s="1"/>
  <c r="BH129" i="10"/>
  <c r="BL129" i="10" s="1"/>
  <c r="BH130" i="10"/>
  <c r="BL130" i="10" s="1"/>
  <c r="BH131" i="10"/>
  <c r="BL131" i="10" s="1"/>
  <c r="BH132" i="10"/>
  <c r="BH133" i="10"/>
  <c r="BH134" i="10"/>
  <c r="BH135" i="10"/>
  <c r="BH136" i="10"/>
  <c r="BL136" i="10" s="1"/>
  <c r="BH137" i="10"/>
  <c r="BL137" i="10" s="1"/>
  <c r="BH138" i="10"/>
  <c r="BL138" i="10" s="1"/>
  <c r="BH139" i="10"/>
  <c r="BH140" i="10"/>
  <c r="BH141" i="10"/>
  <c r="BH142" i="10"/>
  <c r="BL142" i="10" s="1"/>
  <c r="BH143" i="10"/>
  <c r="BL143" i="10" s="1"/>
  <c r="BH144" i="10"/>
  <c r="BL144" i="10" s="1"/>
  <c r="BH145" i="10"/>
  <c r="BL145" i="10" s="1"/>
  <c r="BH146" i="10"/>
  <c r="BL146" i="10" s="1"/>
  <c r="BH147" i="10"/>
  <c r="BL147" i="10" s="1"/>
  <c r="BH148" i="10"/>
  <c r="BL148" i="10" s="1"/>
  <c r="BH149" i="10"/>
  <c r="BL149" i="10" s="1"/>
  <c r="BH150" i="10"/>
  <c r="BL150" i="10" s="1"/>
  <c r="BH151" i="10"/>
  <c r="BL151" i="10" s="1"/>
  <c r="BH152" i="10"/>
  <c r="BH153" i="10"/>
  <c r="BH154" i="10"/>
  <c r="BH155" i="10"/>
  <c r="BH156" i="10"/>
  <c r="BL156" i="10" s="1"/>
  <c r="BH157" i="10"/>
  <c r="BL157" i="10" s="1"/>
  <c r="BH158" i="10"/>
  <c r="BL158" i="10" s="1"/>
  <c r="BH159" i="10"/>
  <c r="BL159" i="10" s="1"/>
  <c r="BH160" i="10"/>
  <c r="BL160" i="10" s="1"/>
  <c r="BH161" i="10"/>
  <c r="BH162" i="10"/>
  <c r="BL162" i="10" s="1"/>
  <c r="BH163" i="10"/>
  <c r="BL163" i="10" s="1"/>
  <c r="BH164" i="10"/>
  <c r="BL164" i="10" s="1"/>
  <c r="BH165" i="10"/>
  <c r="BL165" i="10" s="1"/>
  <c r="BH166" i="10"/>
  <c r="BL166" i="10" s="1"/>
  <c r="BH167" i="10"/>
  <c r="BL167" i="10" s="1"/>
  <c r="BH168" i="10"/>
  <c r="BL168" i="10" s="1"/>
  <c r="BH169" i="10"/>
  <c r="BL169" i="10" s="1"/>
  <c r="BH170" i="10"/>
  <c r="BL170" i="10" s="1"/>
  <c r="BH171" i="10"/>
  <c r="BL171" i="10" s="1"/>
  <c r="BH172" i="10"/>
  <c r="BL172" i="10" s="1"/>
  <c r="BH173" i="10"/>
  <c r="BL173" i="10" s="1"/>
  <c r="BH174" i="10"/>
  <c r="BL174" i="10" s="1"/>
  <c r="BH175" i="10"/>
  <c r="BH176" i="10"/>
  <c r="BL176" i="10" s="1"/>
  <c r="BH177" i="10"/>
  <c r="BL177" i="10" s="1"/>
  <c r="BH178" i="10"/>
  <c r="BL178" i="10" s="1"/>
  <c r="BH179" i="10"/>
  <c r="BH180" i="10"/>
  <c r="BH181" i="10"/>
  <c r="BH182" i="10"/>
  <c r="BL182" i="10" s="1"/>
  <c r="BH183" i="10"/>
  <c r="BL183" i="10" s="1"/>
  <c r="BH184" i="10"/>
  <c r="BL184" i="10" s="1"/>
  <c r="BH185" i="10"/>
  <c r="BL185" i="10" s="1"/>
  <c r="BH186" i="10"/>
  <c r="BL186" i="10" s="1"/>
  <c r="BH187" i="10"/>
  <c r="BL187" i="10" s="1"/>
  <c r="BH188" i="10"/>
  <c r="BL188" i="10" s="1"/>
  <c r="BH189" i="10"/>
  <c r="BL189" i="10" s="1"/>
  <c r="BH190" i="10"/>
  <c r="BL190" i="10" s="1"/>
  <c r="BH191" i="10"/>
  <c r="BL191" i="10" s="1"/>
  <c r="BH192" i="10"/>
  <c r="BH193" i="10"/>
  <c r="BL193" i="10" s="1"/>
  <c r="BH194" i="10"/>
  <c r="BL194" i="10" s="1"/>
  <c r="BH195" i="10"/>
  <c r="BH196" i="10"/>
  <c r="BL196" i="10" s="1"/>
  <c r="BH197" i="10"/>
  <c r="BL197" i="10" s="1"/>
  <c r="BH198" i="10"/>
  <c r="BL198" i="10" s="1"/>
  <c r="BH199" i="10"/>
  <c r="BH200" i="10"/>
  <c r="BH201" i="10"/>
  <c r="BH202" i="10"/>
  <c r="BL202" i="10" s="1"/>
  <c r="BH203" i="10"/>
  <c r="BL203" i="10" s="1"/>
  <c r="BH204" i="10"/>
  <c r="BL204" i="10" s="1"/>
  <c r="BH205" i="10"/>
  <c r="BL205" i="10" s="1"/>
  <c r="BH206" i="10"/>
  <c r="BL206" i="10" s="1"/>
  <c r="BH207" i="10"/>
  <c r="BL207" i="10" s="1"/>
  <c r="BH208" i="10"/>
  <c r="BL208" i="10" s="1"/>
  <c r="BH209" i="10"/>
  <c r="BL209" i="10" s="1"/>
  <c r="BH210" i="10"/>
  <c r="BL210" i="10" s="1"/>
  <c r="BH211" i="10"/>
  <c r="BL211" i="10" s="1"/>
  <c r="BH212" i="10"/>
  <c r="BL212" i="10" s="1"/>
  <c r="BH213" i="10"/>
  <c r="BL213" i="10" s="1"/>
  <c r="BH214" i="10"/>
  <c r="BL214" i="10" s="1"/>
  <c r="BH215" i="10"/>
  <c r="BH216" i="10"/>
  <c r="BL216" i="10" s="1"/>
  <c r="BH217" i="10"/>
  <c r="BL217" i="10" s="1"/>
  <c r="BH218" i="10"/>
  <c r="BL218" i="10" s="1"/>
  <c r="BH219" i="10"/>
  <c r="BH220" i="10"/>
  <c r="BH221" i="10"/>
  <c r="BH222" i="10"/>
  <c r="BL222" i="10" s="1"/>
  <c r="BH223" i="10"/>
  <c r="BL223" i="10" s="1"/>
  <c r="BH224" i="10"/>
  <c r="BL224" i="10" s="1"/>
  <c r="BH225" i="10"/>
  <c r="BL225" i="10" s="1"/>
  <c r="BH226" i="10"/>
  <c r="BL226" i="10" s="1"/>
  <c r="BH227" i="10"/>
  <c r="BL227" i="10" s="1"/>
  <c r="BH228" i="10"/>
  <c r="BL228" i="10" s="1"/>
  <c r="BG19" i="10"/>
  <c r="BK19" i="10" s="1"/>
  <c r="BG20" i="10"/>
  <c r="BK20" i="10" s="1"/>
  <c r="BG38" i="10"/>
  <c r="BK38" i="10" s="1"/>
  <c r="BG39" i="10"/>
  <c r="BK39" i="10" s="1"/>
  <c r="BG40" i="10"/>
  <c r="BK40" i="10" s="1"/>
  <c r="BG79" i="10"/>
  <c r="BK79" i="10" s="1"/>
  <c r="BG80" i="10"/>
  <c r="BK80" i="10" s="1"/>
  <c r="BG98" i="10"/>
  <c r="BK98" i="10" s="1"/>
  <c r="BG99" i="10"/>
  <c r="BK99" i="10" s="1"/>
  <c r="BG198" i="10"/>
  <c r="BK198" i="10" s="1"/>
  <c r="BF2" i="10"/>
  <c r="BF3" i="10"/>
  <c r="BF4" i="10"/>
  <c r="BG4" i="10" s="1"/>
  <c r="BF5" i="10"/>
  <c r="BG5" i="10" s="1"/>
  <c r="BF6" i="10"/>
  <c r="BG6" i="10" s="1"/>
  <c r="BF7" i="10"/>
  <c r="BG7" i="10" s="1"/>
  <c r="BF8" i="10"/>
  <c r="BF9" i="10"/>
  <c r="BF10" i="10"/>
  <c r="BJ10" i="10" s="1"/>
  <c r="BF11" i="10"/>
  <c r="BJ11" i="10" s="1"/>
  <c r="BF12" i="10"/>
  <c r="BF13" i="10"/>
  <c r="BF14" i="10"/>
  <c r="BJ14" i="10" s="1"/>
  <c r="BF15" i="10"/>
  <c r="BG15" i="10" s="1"/>
  <c r="BK15" i="10" s="1"/>
  <c r="BF16" i="10"/>
  <c r="BF17" i="10"/>
  <c r="BF18" i="10"/>
  <c r="BF19" i="10"/>
  <c r="BF20" i="10"/>
  <c r="BF21" i="10"/>
  <c r="BF22" i="10"/>
  <c r="BF23" i="10"/>
  <c r="BF24" i="10"/>
  <c r="BG24" i="10" s="1"/>
  <c r="BF25" i="10"/>
  <c r="BG25" i="10" s="1"/>
  <c r="BF26" i="10"/>
  <c r="BG26" i="10" s="1"/>
  <c r="BF27" i="10"/>
  <c r="BG27" i="10" s="1"/>
  <c r="BF28" i="10"/>
  <c r="BF29" i="10"/>
  <c r="BF30" i="10"/>
  <c r="BJ30" i="10" s="1"/>
  <c r="BF31" i="10"/>
  <c r="BJ31" i="10" s="1"/>
  <c r="BF32" i="10"/>
  <c r="BF33" i="10"/>
  <c r="BF34" i="10"/>
  <c r="BJ34" i="10" s="1"/>
  <c r="BF35" i="10"/>
  <c r="BG35" i="10" s="1"/>
  <c r="BK35" i="10" s="1"/>
  <c r="BF36" i="10"/>
  <c r="BF37" i="10"/>
  <c r="BF38" i="10"/>
  <c r="BF39" i="10"/>
  <c r="BF40" i="10"/>
  <c r="BF41" i="10"/>
  <c r="BG41" i="10" s="1"/>
  <c r="BK41" i="10" s="1"/>
  <c r="BF42" i="10"/>
  <c r="BF43" i="10"/>
  <c r="BF44" i="10"/>
  <c r="BG44" i="10" s="1"/>
  <c r="BF45" i="10"/>
  <c r="BG45" i="10" s="1"/>
  <c r="BF46" i="10"/>
  <c r="BG46" i="10" s="1"/>
  <c r="BK46" i="10" s="1"/>
  <c r="BF47" i="10"/>
  <c r="BG47" i="10" s="1"/>
  <c r="BK47" i="10" s="1"/>
  <c r="BF48" i="10"/>
  <c r="BF49" i="10"/>
  <c r="BF50" i="10"/>
  <c r="BJ50" i="10" s="1"/>
  <c r="BF51" i="10"/>
  <c r="BJ51" i="10" s="1"/>
  <c r="BF52" i="10"/>
  <c r="BF53" i="10"/>
  <c r="BF54" i="10"/>
  <c r="BJ54" i="10" s="1"/>
  <c r="BF55" i="10"/>
  <c r="BG55" i="10" s="1"/>
  <c r="BK55" i="10" s="1"/>
  <c r="BF56" i="10"/>
  <c r="BF57" i="10"/>
  <c r="BF58" i="10"/>
  <c r="BF59" i="10"/>
  <c r="BG59" i="10" s="1"/>
  <c r="BK59" i="10" s="1"/>
  <c r="BF60" i="10"/>
  <c r="BG60" i="10" s="1"/>
  <c r="BK60" i="10" s="1"/>
  <c r="BF61" i="10"/>
  <c r="BJ61" i="10" s="1"/>
  <c r="BF62" i="10"/>
  <c r="BF63" i="10"/>
  <c r="BF64" i="10"/>
  <c r="BG64" i="10" s="1"/>
  <c r="BF65" i="10"/>
  <c r="BG65" i="10" s="1"/>
  <c r="BF66" i="10"/>
  <c r="BG66" i="10" s="1"/>
  <c r="BK66" i="10" s="1"/>
  <c r="BF67" i="10"/>
  <c r="BG67" i="10" s="1"/>
  <c r="BK67" i="10" s="1"/>
  <c r="BF68" i="10"/>
  <c r="BF69" i="10"/>
  <c r="BF70" i="10"/>
  <c r="BJ70" i="10" s="1"/>
  <c r="BF71" i="10"/>
  <c r="BJ71" i="10" s="1"/>
  <c r="BF72" i="10"/>
  <c r="BF73" i="10"/>
  <c r="BF74" i="10"/>
  <c r="BJ74" i="10" s="1"/>
  <c r="BF75" i="10"/>
  <c r="BG75" i="10" s="1"/>
  <c r="BK75" i="10" s="1"/>
  <c r="BF76" i="10"/>
  <c r="BF77" i="10"/>
  <c r="BF78" i="10"/>
  <c r="BG78" i="10" s="1"/>
  <c r="BK78" i="10" s="1"/>
  <c r="BF79" i="10"/>
  <c r="BF80" i="10"/>
  <c r="BJ80" i="10" s="1"/>
  <c r="BF81" i="10"/>
  <c r="BF82" i="10"/>
  <c r="BF83" i="10"/>
  <c r="BF84" i="10"/>
  <c r="BG84" i="10" s="1"/>
  <c r="BF85" i="10"/>
  <c r="BG85" i="10" s="1"/>
  <c r="BF86" i="10"/>
  <c r="BG86" i="10" s="1"/>
  <c r="BK86" i="10" s="1"/>
  <c r="BF87" i="10"/>
  <c r="BG87" i="10" s="1"/>
  <c r="BK87" i="10" s="1"/>
  <c r="BF88" i="10"/>
  <c r="BF89" i="10"/>
  <c r="BF90" i="10"/>
  <c r="BJ90" i="10" s="1"/>
  <c r="BF91" i="10"/>
  <c r="BJ91" i="10" s="1"/>
  <c r="BF92" i="10"/>
  <c r="BF93" i="10"/>
  <c r="BF94" i="10"/>
  <c r="BJ94" i="10" s="1"/>
  <c r="BF95" i="10"/>
  <c r="BG95" i="10" s="1"/>
  <c r="BK95" i="10" s="1"/>
  <c r="BF96" i="10"/>
  <c r="BF97" i="10"/>
  <c r="BF98" i="10"/>
  <c r="BF99" i="10"/>
  <c r="BJ99" i="10" s="1"/>
  <c r="BF100" i="10"/>
  <c r="BG100" i="10" s="1"/>
  <c r="BK100" i="10" s="1"/>
  <c r="BF101" i="10"/>
  <c r="BG101" i="10" s="1"/>
  <c r="BK101" i="10" s="1"/>
  <c r="BF102" i="10"/>
  <c r="BF103" i="10"/>
  <c r="BF104" i="10"/>
  <c r="BG104" i="10" s="1"/>
  <c r="BF105" i="10"/>
  <c r="BG105" i="10" s="1"/>
  <c r="BF106" i="10"/>
  <c r="BG106" i="10" s="1"/>
  <c r="BF107" i="10"/>
  <c r="BG107" i="10" s="1"/>
  <c r="BF108" i="10"/>
  <c r="BF109" i="10"/>
  <c r="BF110" i="10"/>
  <c r="BJ110" i="10" s="1"/>
  <c r="BF111" i="10"/>
  <c r="BJ111" i="10" s="1"/>
  <c r="BF112" i="10"/>
  <c r="BF113" i="10"/>
  <c r="BF114" i="10"/>
  <c r="BJ114" i="10" s="1"/>
  <c r="BF115" i="10"/>
  <c r="BG115" i="10" s="1"/>
  <c r="BK115" i="10" s="1"/>
  <c r="BF116" i="10"/>
  <c r="BF117" i="10"/>
  <c r="BF118" i="10"/>
  <c r="BF119" i="10"/>
  <c r="BG119" i="10" s="1"/>
  <c r="BK119" i="10" s="1"/>
  <c r="BF120" i="10"/>
  <c r="BG120" i="10" s="1"/>
  <c r="BK120" i="10" s="1"/>
  <c r="BF121" i="10"/>
  <c r="BF122" i="10"/>
  <c r="BF123" i="10"/>
  <c r="BF124" i="10"/>
  <c r="BG124" i="10" s="1"/>
  <c r="BF125" i="10"/>
  <c r="BG125" i="10" s="1"/>
  <c r="BF126" i="10"/>
  <c r="BG126" i="10" s="1"/>
  <c r="BK126" i="10" s="1"/>
  <c r="BF127" i="10"/>
  <c r="BG127" i="10" s="1"/>
  <c r="BK127" i="10" s="1"/>
  <c r="BF128" i="10"/>
  <c r="BF129" i="10"/>
  <c r="BF130" i="10"/>
  <c r="BJ130" i="10" s="1"/>
  <c r="BF131" i="10"/>
  <c r="BJ131" i="10" s="1"/>
  <c r="BF132" i="10"/>
  <c r="BF133" i="10"/>
  <c r="BF134" i="10"/>
  <c r="BJ134" i="10" s="1"/>
  <c r="BF135" i="10"/>
  <c r="BG135" i="10" s="1"/>
  <c r="BK135" i="10" s="1"/>
  <c r="BF136" i="10"/>
  <c r="BF137" i="10"/>
  <c r="BF138" i="10"/>
  <c r="BG138" i="10" s="1"/>
  <c r="BK138" i="10" s="1"/>
  <c r="BF139" i="10"/>
  <c r="BG139" i="10" s="1"/>
  <c r="BK139" i="10" s="1"/>
  <c r="BF140" i="10"/>
  <c r="BG140" i="10" s="1"/>
  <c r="BK140" i="10" s="1"/>
  <c r="BF141" i="10"/>
  <c r="BF142" i="10"/>
  <c r="BF143" i="10"/>
  <c r="BF144" i="10"/>
  <c r="BG144" i="10" s="1"/>
  <c r="BF145" i="10"/>
  <c r="BG145" i="10" s="1"/>
  <c r="BF146" i="10"/>
  <c r="BG146" i="10" s="1"/>
  <c r="BF147" i="10"/>
  <c r="BG147" i="10" s="1"/>
  <c r="BF148" i="10"/>
  <c r="BF149" i="10"/>
  <c r="BF150" i="10"/>
  <c r="BJ150" i="10" s="1"/>
  <c r="BF151" i="10"/>
  <c r="BJ151" i="10" s="1"/>
  <c r="BF152" i="10"/>
  <c r="BF153" i="10"/>
  <c r="BF154" i="10"/>
  <c r="BJ154" i="10" s="1"/>
  <c r="BF155" i="10"/>
  <c r="BG155" i="10" s="1"/>
  <c r="BK155" i="10" s="1"/>
  <c r="BF156" i="10"/>
  <c r="BF157" i="10"/>
  <c r="BF158" i="10"/>
  <c r="BG158" i="10" s="1"/>
  <c r="BK158" i="10" s="1"/>
  <c r="BF159" i="10"/>
  <c r="BG159" i="10" s="1"/>
  <c r="BK159" i="10" s="1"/>
  <c r="BF160" i="10"/>
  <c r="BG160" i="10" s="1"/>
  <c r="BK160" i="10" s="1"/>
  <c r="BF161" i="10"/>
  <c r="BG161" i="10" s="1"/>
  <c r="BK161" i="10" s="1"/>
  <c r="BF162" i="10"/>
  <c r="BF163" i="10"/>
  <c r="BF164" i="10"/>
  <c r="BG164" i="10" s="1"/>
  <c r="BF165" i="10"/>
  <c r="BG165" i="10" s="1"/>
  <c r="BF166" i="10"/>
  <c r="BG166" i="10" s="1"/>
  <c r="BF167" i="10"/>
  <c r="BG167" i="10" s="1"/>
  <c r="BF168" i="10"/>
  <c r="BF169" i="10"/>
  <c r="BF170" i="10"/>
  <c r="BJ170" i="10" s="1"/>
  <c r="BF171" i="10"/>
  <c r="BJ171" i="10" s="1"/>
  <c r="BF172" i="10"/>
  <c r="BF173" i="10"/>
  <c r="BF174" i="10"/>
  <c r="BJ174" i="10" s="1"/>
  <c r="BF175" i="10"/>
  <c r="BG175" i="10" s="1"/>
  <c r="BK175" i="10" s="1"/>
  <c r="BF176" i="10"/>
  <c r="BF177" i="10"/>
  <c r="BF178" i="10"/>
  <c r="BG178" i="10" s="1"/>
  <c r="BK178" i="10" s="1"/>
  <c r="BF179" i="10"/>
  <c r="BG179" i="10" s="1"/>
  <c r="BK179" i="10" s="1"/>
  <c r="BF180" i="10"/>
  <c r="BG180" i="10" s="1"/>
  <c r="BK180" i="10" s="1"/>
  <c r="BF181" i="10"/>
  <c r="BF182" i="10"/>
  <c r="BF183" i="10"/>
  <c r="BF184" i="10"/>
  <c r="BG184" i="10" s="1"/>
  <c r="BF185" i="10"/>
  <c r="BG185" i="10" s="1"/>
  <c r="BF186" i="10"/>
  <c r="BG186" i="10" s="1"/>
  <c r="BK186" i="10" s="1"/>
  <c r="BF187" i="10"/>
  <c r="BG187" i="10" s="1"/>
  <c r="BK187" i="10" s="1"/>
  <c r="BF188" i="10"/>
  <c r="BF189" i="10"/>
  <c r="BF190" i="10"/>
  <c r="BJ190" i="10" s="1"/>
  <c r="BF191" i="10"/>
  <c r="BJ191" i="10" s="1"/>
  <c r="BF192" i="10"/>
  <c r="BF193" i="10"/>
  <c r="BF194" i="10"/>
  <c r="BJ194" i="10" s="1"/>
  <c r="BF195" i="10"/>
  <c r="BG195" i="10" s="1"/>
  <c r="BK195" i="10" s="1"/>
  <c r="BF196" i="10"/>
  <c r="BF197" i="10"/>
  <c r="BF198" i="10"/>
  <c r="BF199" i="10"/>
  <c r="BG199" i="10" s="1"/>
  <c r="BK199" i="10" s="1"/>
  <c r="BF200" i="10"/>
  <c r="BG200" i="10" s="1"/>
  <c r="BK200" i="10" s="1"/>
  <c r="BF201" i="10"/>
  <c r="BF202" i="10"/>
  <c r="BF203" i="10"/>
  <c r="BF204" i="10"/>
  <c r="BG204" i="10" s="1"/>
  <c r="BF205" i="10"/>
  <c r="BG205" i="10" s="1"/>
  <c r="BF206" i="10"/>
  <c r="BG206" i="10" s="1"/>
  <c r="BF207" i="10"/>
  <c r="BG207" i="10" s="1"/>
  <c r="BF208" i="10"/>
  <c r="BF209" i="10"/>
  <c r="BF210" i="10"/>
  <c r="BJ210" i="10" s="1"/>
  <c r="BF211" i="10"/>
  <c r="BJ211" i="10" s="1"/>
  <c r="BF212" i="10"/>
  <c r="BF213" i="10"/>
  <c r="BF214" i="10"/>
  <c r="BJ214" i="10" s="1"/>
  <c r="BF215" i="10"/>
  <c r="BG215" i="10" s="1"/>
  <c r="BK215" i="10" s="1"/>
  <c r="BF216" i="10"/>
  <c r="BF217" i="10"/>
  <c r="BF218" i="10"/>
  <c r="BF219" i="10"/>
  <c r="BG219" i="10" s="1"/>
  <c r="BK219" i="10" s="1"/>
  <c r="BF220" i="10"/>
  <c r="BG220" i="10" s="1"/>
  <c r="BK220" i="10" s="1"/>
  <c r="BF221" i="10"/>
  <c r="BG221" i="10" s="1"/>
  <c r="BK221" i="10" s="1"/>
  <c r="BF222" i="10"/>
  <c r="BF223" i="10"/>
  <c r="BF224" i="10"/>
  <c r="BG224" i="10" s="1"/>
  <c r="BF225" i="10"/>
  <c r="BG225" i="10" s="1"/>
  <c r="BF226" i="10"/>
  <c r="BG226" i="10" s="1"/>
  <c r="BK226" i="10" s="1"/>
  <c r="BF227" i="10"/>
  <c r="BG227" i="10" s="1"/>
  <c r="BK227" i="10" s="1"/>
  <c r="BF228" i="10"/>
  <c r="BE2" i="10"/>
  <c r="BE3" i="10"/>
  <c r="BE4" i="10"/>
  <c r="BE5" i="10"/>
  <c r="BE6" i="10"/>
  <c r="BE7" i="10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20" i="10"/>
  <c r="BE21" i="10"/>
  <c r="BE22" i="10"/>
  <c r="BE23" i="10"/>
  <c r="BE24" i="10"/>
  <c r="BE25" i="10"/>
  <c r="BE26" i="10"/>
  <c r="BE27" i="10"/>
  <c r="BE28" i="10"/>
  <c r="BE29" i="10"/>
  <c r="BE30" i="10"/>
  <c r="BE31" i="10"/>
  <c r="BE32" i="10"/>
  <c r="BE33" i="10"/>
  <c r="BE34" i="10"/>
  <c r="BE35" i="10"/>
  <c r="BE36" i="10"/>
  <c r="BE37" i="10"/>
  <c r="BE38" i="10"/>
  <c r="BE39" i="10"/>
  <c r="BE40" i="10"/>
  <c r="BE41" i="10"/>
  <c r="BE42" i="10"/>
  <c r="BE43" i="10"/>
  <c r="BE44" i="10"/>
  <c r="BE45" i="10"/>
  <c r="BE46" i="10"/>
  <c r="BE47" i="10"/>
  <c r="BE48" i="10"/>
  <c r="BE49" i="10"/>
  <c r="BE50" i="10"/>
  <c r="BE51" i="10"/>
  <c r="BE52" i="10"/>
  <c r="BE53" i="10"/>
  <c r="BE54" i="10"/>
  <c r="BE55" i="10"/>
  <c r="BE56" i="10"/>
  <c r="BE57" i="10"/>
  <c r="BE58" i="10"/>
  <c r="BE59" i="10"/>
  <c r="BE60" i="10"/>
  <c r="BE61" i="10"/>
  <c r="BE62" i="10"/>
  <c r="BE63" i="10"/>
  <c r="BE64" i="10"/>
  <c r="BE65" i="10"/>
  <c r="BE66" i="10"/>
  <c r="BE67" i="10"/>
  <c r="BE68" i="10"/>
  <c r="BE69" i="10"/>
  <c r="BE70" i="10"/>
  <c r="BE71" i="10"/>
  <c r="BE72" i="10"/>
  <c r="BE73" i="10"/>
  <c r="BE74" i="10"/>
  <c r="BE75" i="10"/>
  <c r="BE76" i="10"/>
  <c r="BE77" i="10"/>
  <c r="BE78" i="10"/>
  <c r="BE79" i="10"/>
  <c r="BE80" i="10"/>
  <c r="BE81" i="10"/>
  <c r="BE82" i="10"/>
  <c r="BE83" i="10"/>
  <c r="BE84" i="10"/>
  <c r="BE85" i="10"/>
  <c r="BE86" i="10"/>
  <c r="BE87" i="10"/>
  <c r="BE88" i="10"/>
  <c r="BE89" i="10"/>
  <c r="BE90" i="10"/>
  <c r="BE91" i="10"/>
  <c r="BE92" i="10"/>
  <c r="BE93" i="10"/>
  <c r="BE94" i="10"/>
  <c r="BE95" i="10"/>
  <c r="BE96" i="10"/>
  <c r="BE97" i="10"/>
  <c r="BE98" i="10"/>
  <c r="BE99" i="10"/>
  <c r="BE100" i="10"/>
  <c r="BE101" i="10"/>
  <c r="BE102" i="10"/>
  <c r="BE103" i="10"/>
  <c r="BE104" i="10"/>
  <c r="BE105" i="10"/>
  <c r="BE106" i="10"/>
  <c r="BE107" i="10"/>
  <c r="BE108" i="10"/>
  <c r="BE109" i="10"/>
  <c r="BE110" i="10"/>
  <c r="BE111" i="10"/>
  <c r="BE112" i="10"/>
  <c r="BE113" i="10"/>
  <c r="BE114" i="10"/>
  <c r="BE115" i="10"/>
  <c r="BE116" i="10"/>
  <c r="BE117" i="10"/>
  <c r="BE118" i="10"/>
  <c r="BE119" i="10"/>
  <c r="BE120" i="10"/>
  <c r="BE121" i="10"/>
  <c r="BE122" i="10"/>
  <c r="BE123" i="10"/>
  <c r="BE124" i="10"/>
  <c r="BE125" i="10"/>
  <c r="BE126" i="10"/>
  <c r="BE127" i="10"/>
  <c r="BE128" i="10"/>
  <c r="BE129" i="10"/>
  <c r="BE130" i="10"/>
  <c r="BE131" i="10"/>
  <c r="BE132" i="10"/>
  <c r="BE133" i="10"/>
  <c r="BE134" i="10"/>
  <c r="BE135" i="10"/>
  <c r="BE136" i="10"/>
  <c r="BE137" i="10"/>
  <c r="BE138" i="10"/>
  <c r="BE139" i="10"/>
  <c r="BE140" i="10"/>
  <c r="BE141" i="10"/>
  <c r="BE142" i="10"/>
  <c r="BE143" i="10"/>
  <c r="BE144" i="10"/>
  <c r="BE145" i="10"/>
  <c r="BE146" i="10"/>
  <c r="BE147" i="10"/>
  <c r="BE148" i="10"/>
  <c r="BE149" i="10"/>
  <c r="BE150" i="10"/>
  <c r="BE151" i="10"/>
  <c r="BE152" i="10"/>
  <c r="BE153" i="10"/>
  <c r="BE154" i="10"/>
  <c r="BE155" i="10"/>
  <c r="BE156" i="10"/>
  <c r="BE157" i="10"/>
  <c r="BE158" i="10"/>
  <c r="BE159" i="10"/>
  <c r="BE160" i="10"/>
  <c r="BE161" i="10"/>
  <c r="BE162" i="10"/>
  <c r="BE163" i="10"/>
  <c r="BE164" i="10"/>
  <c r="BE165" i="10"/>
  <c r="BE166" i="10"/>
  <c r="BE167" i="10"/>
  <c r="BE168" i="10"/>
  <c r="BE169" i="10"/>
  <c r="BE170" i="10"/>
  <c r="BE171" i="10"/>
  <c r="BE172" i="10"/>
  <c r="BE173" i="10"/>
  <c r="BE174" i="10"/>
  <c r="BE175" i="10"/>
  <c r="BE176" i="10"/>
  <c r="BE177" i="10"/>
  <c r="BE178" i="10"/>
  <c r="BE179" i="10"/>
  <c r="BE180" i="10"/>
  <c r="BE181" i="10"/>
  <c r="BE182" i="10"/>
  <c r="BE183" i="10"/>
  <c r="BE184" i="10"/>
  <c r="BE185" i="10"/>
  <c r="BE186" i="10"/>
  <c r="BE187" i="10"/>
  <c r="BE188" i="10"/>
  <c r="BE189" i="10"/>
  <c r="BE190" i="10"/>
  <c r="BE191" i="10"/>
  <c r="BE192" i="10"/>
  <c r="BE193" i="10"/>
  <c r="BE194" i="10"/>
  <c r="BE195" i="10"/>
  <c r="BE196" i="10"/>
  <c r="BE197" i="10"/>
  <c r="BE198" i="10"/>
  <c r="BE199" i="10"/>
  <c r="BE200" i="10"/>
  <c r="BE201" i="10"/>
  <c r="BE202" i="10"/>
  <c r="BE203" i="10"/>
  <c r="BE204" i="10"/>
  <c r="BE205" i="10"/>
  <c r="BE206" i="10"/>
  <c r="BE207" i="10"/>
  <c r="BE208" i="10"/>
  <c r="BE209" i="10"/>
  <c r="BE210" i="10"/>
  <c r="BE211" i="10"/>
  <c r="BE212" i="10"/>
  <c r="BE213" i="10"/>
  <c r="BE214" i="10"/>
  <c r="BE215" i="10"/>
  <c r="BE216" i="10"/>
  <c r="BE217" i="10"/>
  <c r="BE218" i="10"/>
  <c r="BE219" i="10"/>
  <c r="BE220" i="10"/>
  <c r="BE221" i="10"/>
  <c r="BE222" i="10"/>
  <c r="BE223" i="10"/>
  <c r="BE224" i="10"/>
  <c r="BE225" i="10"/>
  <c r="BE226" i="10"/>
  <c r="BE227" i="10"/>
  <c r="BE228" i="10"/>
  <c r="BD2" i="10" a="1"/>
  <c r="BD2" i="10" s="1"/>
  <c r="BD3" i="10" a="1"/>
  <c r="BD3" i="10" s="1"/>
  <c r="BD4" i="10" a="1"/>
  <c r="BD4" i="10" s="1"/>
  <c r="BD5" i="10" a="1"/>
  <c r="BD5" i="10" s="1"/>
  <c r="BD6" i="10" a="1"/>
  <c r="BD6" i="10" s="1"/>
  <c r="BD7" i="10" a="1"/>
  <c r="BD7" i="10" s="1"/>
  <c r="BD8" i="10" a="1"/>
  <c r="BD8" i="10" s="1"/>
  <c r="BD9" i="10" a="1"/>
  <c r="BD9" i="10" s="1"/>
  <c r="BD10" i="10" a="1"/>
  <c r="BD10" i="10" s="1"/>
  <c r="BD11" i="10" a="1"/>
  <c r="BD11" i="10" s="1"/>
  <c r="BD12" i="10" a="1"/>
  <c r="BD12" i="10" s="1"/>
  <c r="BD13" i="10" a="1"/>
  <c r="BD13" i="10" s="1"/>
  <c r="BD14" i="10" a="1"/>
  <c r="BD14" i="10" s="1"/>
  <c r="BD15" i="10" a="1"/>
  <c r="BD15" i="10" s="1"/>
  <c r="BD16" i="10" a="1"/>
  <c r="BD16" i="10" s="1"/>
  <c r="BD17" i="10" a="1"/>
  <c r="BD17" i="10" s="1"/>
  <c r="BD18" i="10" a="1"/>
  <c r="BD18" i="10" s="1"/>
  <c r="BD19" i="10" a="1"/>
  <c r="BD19" i="10" s="1"/>
  <c r="BD20" i="10" a="1"/>
  <c r="BD20" i="10" s="1"/>
  <c r="BD21" i="10" a="1"/>
  <c r="BD21" i="10" s="1"/>
  <c r="BD22" i="10" a="1"/>
  <c r="BD22" i="10" s="1"/>
  <c r="BD23" i="10" a="1"/>
  <c r="BD23" i="10" s="1"/>
  <c r="BD24" i="10" a="1"/>
  <c r="BD24" i="10" s="1"/>
  <c r="BD25" i="10" a="1"/>
  <c r="BD25" i="10" s="1"/>
  <c r="BD26" i="10" a="1"/>
  <c r="BD26" i="10" s="1"/>
  <c r="BD27" i="10" a="1"/>
  <c r="BD27" i="10" s="1"/>
  <c r="BD28" i="10" a="1"/>
  <c r="BD28" i="10" s="1"/>
  <c r="BD29" i="10" a="1"/>
  <c r="BD29" i="10" s="1"/>
  <c r="BD30" i="10" a="1"/>
  <c r="BD30" i="10" s="1"/>
  <c r="BD31" i="10" a="1"/>
  <c r="BD31" i="10" s="1"/>
  <c r="BD32" i="10" a="1"/>
  <c r="BD32" i="10" s="1"/>
  <c r="BD33" i="10" a="1"/>
  <c r="BD33" i="10" s="1"/>
  <c r="BD34" i="10" a="1"/>
  <c r="BD34" i="10" s="1"/>
  <c r="BD35" i="10" a="1"/>
  <c r="BD35" i="10" s="1"/>
  <c r="BD36" i="10" a="1"/>
  <c r="BD36" i="10" s="1"/>
  <c r="BD37" i="10" a="1"/>
  <c r="BD37" i="10" s="1"/>
  <c r="BD38" i="10" a="1"/>
  <c r="BD38" i="10" s="1"/>
  <c r="BD39" i="10" a="1"/>
  <c r="BD39" i="10" s="1"/>
  <c r="BD40" i="10" a="1"/>
  <c r="BD40" i="10" s="1"/>
  <c r="BD41" i="10" a="1"/>
  <c r="BD41" i="10" s="1"/>
  <c r="BD42" i="10" a="1"/>
  <c r="BD42" i="10" s="1"/>
  <c r="BD43" i="10" a="1"/>
  <c r="BD43" i="10" s="1"/>
  <c r="BD44" i="10" a="1"/>
  <c r="BD44" i="10" s="1"/>
  <c r="BD45" i="10" a="1"/>
  <c r="BD45" i="10" s="1"/>
  <c r="BD46" i="10" a="1"/>
  <c r="BD46" i="10" s="1"/>
  <c r="BD47" i="10" a="1"/>
  <c r="BD47" i="10" s="1"/>
  <c r="BD48" i="10" a="1"/>
  <c r="BD48" i="10" s="1"/>
  <c r="BD49" i="10" a="1"/>
  <c r="BD49" i="10" s="1"/>
  <c r="BD50" i="10" a="1"/>
  <c r="BD50" i="10" s="1"/>
  <c r="BD51" i="10" a="1"/>
  <c r="BD51" i="10" s="1"/>
  <c r="BD52" i="10" a="1"/>
  <c r="BD52" i="10" s="1"/>
  <c r="BD53" i="10" a="1"/>
  <c r="BD53" i="10" s="1"/>
  <c r="BD54" i="10" a="1"/>
  <c r="BD54" i="10" s="1"/>
  <c r="BD55" i="10" a="1"/>
  <c r="BD55" i="10" s="1"/>
  <c r="BD56" i="10" a="1"/>
  <c r="BD56" i="10" s="1"/>
  <c r="BD57" i="10" a="1"/>
  <c r="BD57" i="10" s="1"/>
  <c r="BD58" i="10" a="1"/>
  <c r="BD58" i="10" s="1"/>
  <c r="BD59" i="10" a="1"/>
  <c r="BD59" i="10" s="1"/>
  <c r="BD60" i="10" a="1"/>
  <c r="BD60" i="10" s="1"/>
  <c r="BD61" i="10" a="1"/>
  <c r="BD61" i="10" s="1"/>
  <c r="BD62" i="10" a="1"/>
  <c r="BD62" i="10" s="1"/>
  <c r="BD63" i="10" a="1"/>
  <c r="BD63" i="10" s="1"/>
  <c r="BD64" i="10" a="1"/>
  <c r="BD64" i="10" s="1"/>
  <c r="BD65" i="10" a="1"/>
  <c r="BD65" i="10" s="1"/>
  <c r="BD66" i="10" a="1"/>
  <c r="BD66" i="10" s="1"/>
  <c r="BD67" i="10" a="1"/>
  <c r="BD67" i="10" s="1"/>
  <c r="BD68" i="10" a="1"/>
  <c r="BD68" i="10" s="1"/>
  <c r="BD69" i="10" a="1"/>
  <c r="BD69" i="10" s="1"/>
  <c r="BD70" i="10" a="1"/>
  <c r="BD70" i="10" s="1"/>
  <c r="BD71" i="10" a="1"/>
  <c r="BD71" i="10" s="1"/>
  <c r="BD72" i="10" a="1"/>
  <c r="BD72" i="10" s="1"/>
  <c r="BD73" i="10" a="1"/>
  <c r="BD73" i="10" s="1"/>
  <c r="BD74" i="10" a="1"/>
  <c r="BD74" i="10" s="1"/>
  <c r="BD75" i="10" a="1"/>
  <c r="BD75" i="10" s="1"/>
  <c r="BD76" i="10" a="1"/>
  <c r="BD76" i="10" s="1"/>
  <c r="BD77" i="10" a="1"/>
  <c r="BD77" i="10" s="1"/>
  <c r="BD78" i="10" a="1"/>
  <c r="BD78" i="10" s="1"/>
  <c r="BD79" i="10" a="1"/>
  <c r="BD79" i="10" s="1"/>
  <c r="BD80" i="10" a="1"/>
  <c r="BD80" i="10" s="1"/>
  <c r="BD81" i="10" a="1"/>
  <c r="BD81" i="10" s="1"/>
  <c r="BD82" i="10" a="1"/>
  <c r="BD82" i="10" s="1"/>
  <c r="BD83" i="10" a="1"/>
  <c r="BD83" i="10" s="1"/>
  <c r="BD84" i="10" a="1"/>
  <c r="BD84" i="10" s="1"/>
  <c r="BD85" i="10" a="1"/>
  <c r="BD85" i="10" s="1"/>
  <c r="BD86" i="10" a="1"/>
  <c r="BD86" i="10" s="1"/>
  <c r="BD87" i="10" a="1"/>
  <c r="BD87" i="10" s="1"/>
  <c r="BD88" i="10" a="1"/>
  <c r="BD88" i="10" s="1"/>
  <c r="BD89" i="10" a="1"/>
  <c r="BD89" i="10" s="1"/>
  <c r="BD90" i="10" a="1"/>
  <c r="BD90" i="10" s="1"/>
  <c r="BD91" i="10" a="1"/>
  <c r="BD91" i="10" s="1"/>
  <c r="BD92" i="10" a="1"/>
  <c r="BD92" i="10" s="1"/>
  <c r="BD93" i="10" a="1"/>
  <c r="BD93" i="10" s="1"/>
  <c r="BD94" i="10" a="1"/>
  <c r="BD94" i="10" s="1"/>
  <c r="BD95" i="10" a="1"/>
  <c r="BD95" i="10" s="1"/>
  <c r="BD96" i="10" a="1"/>
  <c r="BD96" i="10" s="1"/>
  <c r="BD97" i="10" a="1"/>
  <c r="BD97" i="10" s="1"/>
  <c r="BD98" i="10" a="1"/>
  <c r="BD98" i="10" s="1"/>
  <c r="BD99" i="10" a="1"/>
  <c r="BD99" i="10" s="1"/>
  <c r="BD100" i="10" a="1"/>
  <c r="BD100" i="10" s="1"/>
  <c r="BD101" i="10" a="1"/>
  <c r="BD101" i="10" s="1"/>
  <c r="BD102" i="10" a="1"/>
  <c r="BD102" i="10" s="1"/>
  <c r="BD103" i="10" a="1"/>
  <c r="BD103" i="10" s="1"/>
  <c r="BD104" i="10" a="1"/>
  <c r="BD104" i="10" s="1"/>
  <c r="BD105" i="10" a="1"/>
  <c r="BD105" i="10" s="1"/>
  <c r="BD106" i="10" a="1"/>
  <c r="BD106" i="10" s="1"/>
  <c r="BD107" i="10" a="1"/>
  <c r="BD107" i="10" s="1"/>
  <c r="BD108" i="10" a="1"/>
  <c r="BD108" i="10" s="1"/>
  <c r="BD109" i="10" a="1"/>
  <c r="BD109" i="10" s="1"/>
  <c r="BD110" i="10" a="1"/>
  <c r="BD110" i="10" s="1"/>
  <c r="BD111" i="10" a="1"/>
  <c r="BD111" i="10" s="1"/>
  <c r="BD112" i="10" a="1"/>
  <c r="BD112" i="10" s="1"/>
  <c r="BD113" i="10" a="1"/>
  <c r="BD113" i="10" s="1"/>
  <c r="BD114" i="10" a="1"/>
  <c r="BD114" i="10" s="1"/>
  <c r="BD115" i="10" a="1"/>
  <c r="BD115" i="10" s="1"/>
  <c r="BD116" i="10" a="1"/>
  <c r="BD116" i="10" s="1"/>
  <c r="BD117" i="10" a="1"/>
  <c r="BD117" i="10" s="1"/>
  <c r="BD118" i="10" a="1"/>
  <c r="BD118" i="10" s="1"/>
  <c r="BD119" i="10" a="1"/>
  <c r="BD119" i="10" s="1"/>
  <c r="BD120" i="10" a="1"/>
  <c r="BD120" i="10" s="1"/>
  <c r="BD121" i="10" a="1"/>
  <c r="BD121" i="10" s="1"/>
  <c r="BD122" i="10" a="1"/>
  <c r="BD122" i="10" s="1"/>
  <c r="BD123" i="10" a="1"/>
  <c r="BD123" i="10" s="1"/>
  <c r="BD124" i="10" a="1"/>
  <c r="BD124" i="10" s="1"/>
  <c r="BD125" i="10" a="1"/>
  <c r="BD125" i="10" s="1"/>
  <c r="BD126" i="10" a="1"/>
  <c r="BD126" i="10" s="1"/>
  <c r="BD127" i="10" a="1"/>
  <c r="BD127" i="10" s="1"/>
  <c r="BD128" i="10" a="1"/>
  <c r="BD128" i="10" s="1"/>
  <c r="BD129" i="10" a="1"/>
  <c r="BD129" i="10" s="1"/>
  <c r="BD130" i="10" a="1"/>
  <c r="BD130" i="10" s="1"/>
  <c r="BD131" i="10" a="1"/>
  <c r="BD131" i="10" s="1"/>
  <c r="BD132" i="10" a="1"/>
  <c r="BD132" i="10" s="1"/>
  <c r="BD133" i="10" a="1"/>
  <c r="BD133" i="10" s="1"/>
  <c r="BD134" i="10" a="1"/>
  <c r="BD134" i="10" s="1"/>
  <c r="BD135" i="10" a="1"/>
  <c r="BD135" i="10" s="1"/>
  <c r="BD136" i="10" a="1"/>
  <c r="BD136" i="10" s="1"/>
  <c r="BD137" i="10" a="1"/>
  <c r="BD137" i="10" s="1"/>
  <c r="BD138" i="10" a="1"/>
  <c r="BD138" i="10" s="1"/>
  <c r="BD139" i="10" a="1"/>
  <c r="BD139" i="10" s="1"/>
  <c r="BD140" i="10" a="1"/>
  <c r="BD140" i="10" s="1"/>
  <c r="BD141" i="10" a="1"/>
  <c r="BD141" i="10" s="1"/>
  <c r="BD142" i="10" a="1"/>
  <c r="BD142" i="10" s="1"/>
  <c r="BD143" i="10" a="1"/>
  <c r="BD143" i="10" s="1"/>
  <c r="BD144" i="10" a="1"/>
  <c r="BD144" i="10" s="1"/>
  <c r="BD145" i="10" a="1"/>
  <c r="BD145" i="10" s="1"/>
  <c r="BD146" i="10" a="1"/>
  <c r="BD146" i="10" s="1"/>
  <c r="BD147" i="10" a="1"/>
  <c r="BD147" i="10" s="1"/>
  <c r="BD148" i="10" a="1"/>
  <c r="BD148" i="10" s="1"/>
  <c r="BD149" i="10" a="1"/>
  <c r="BD149" i="10" s="1"/>
  <c r="BD150" i="10" a="1"/>
  <c r="BD150" i="10" s="1"/>
  <c r="BD151" i="10" a="1"/>
  <c r="BD151" i="10" s="1"/>
  <c r="BD152" i="10" a="1"/>
  <c r="BD152" i="10" s="1"/>
  <c r="BD153" i="10" a="1"/>
  <c r="BD153" i="10" s="1"/>
  <c r="BD154" i="10" a="1"/>
  <c r="BD154" i="10" s="1"/>
  <c r="BD155" i="10" a="1"/>
  <c r="BD155" i="10" s="1"/>
  <c r="BD156" i="10" a="1"/>
  <c r="BD156" i="10" s="1"/>
  <c r="BD157" i="10" a="1"/>
  <c r="BD157" i="10" s="1"/>
  <c r="BD158" i="10" a="1"/>
  <c r="BD158" i="10" s="1"/>
  <c r="BD159" i="10" a="1"/>
  <c r="BD159" i="10" s="1"/>
  <c r="BD160" i="10" a="1"/>
  <c r="BD160" i="10" s="1"/>
  <c r="BD161" i="10" a="1"/>
  <c r="BD161" i="10" s="1"/>
  <c r="BD162" i="10" a="1"/>
  <c r="BD162" i="10" s="1"/>
  <c r="BD163" i="10" a="1"/>
  <c r="BD163" i="10" s="1"/>
  <c r="BD164" i="10" a="1"/>
  <c r="BD164" i="10" s="1"/>
  <c r="BD165" i="10" a="1"/>
  <c r="BD165" i="10" s="1"/>
  <c r="BD166" i="10" a="1"/>
  <c r="BD166" i="10" s="1"/>
  <c r="BD167" i="10" a="1"/>
  <c r="BD167" i="10" s="1"/>
  <c r="BD168" i="10" a="1"/>
  <c r="BD168" i="10" s="1"/>
  <c r="BD169" i="10" a="1"/>
  <c r="BD169" i="10" s="1"/>
  <c r="BD170" i="10" a="1"/>
  <c r="BD170" i="10" s="1"/>
  <c r="BD171" i="10" a="1"/>
  <c r="BD171" i="10" s="1"/>
  <c r="BD172" i="10" a="1"/>
  <c r="BD172" i="10" s="1"/>
  <c r="BD173" i="10" a="1"/>
  <c r="BD173" i="10" s="1"/>
  <c r="BD174" i="10" a="1"/>
  <c r="BD174" i="10" s="1"/>
  <c r="BD175" i="10" a="1"/>
  <c r="BD175" i="10" s="1"/>
  <c r="BD176" i="10" a="1"/>
  <c r="BD176" i="10" s="1"/>
  <c r="BD177" i="10" a="1"/>
  <c r="BD177" i="10" s="1"/>
  <c r="BD178" i="10" a="1"/>
  <c r="BD178" i="10" s="1"/>
  <c r="BD179" i="10" a="1"/>
  <c r="BD179" i="10" s="1"/>
  <c r="BD180" i="10" a="1"/>
  <c r="BD180" i="10" s="1"/>
  <c r="BD181" i="10" a="1"/>
  <c r="BD181" i="10" s="1"/>
  <c r="BD182" i="10" a="1"/>
  <c r="BD182" i="10" s="1"/>
  <c r="BD183" i="10" a="1"/>
  <c r="BD183" i="10" s="1"/>
  <c r="BD184" i="10" a="1"/>
  <c r="BD184" i="10" s="1"/>
  <c r="BD185" i="10" a="1"/>
  <c r="BD185" i="10" s="1"/>
  <c r="BD186" i="10" a="1"/>
  <c r="BD186" i="10" s="1"/>
  <c r="BD187" i="10" a="1"/>
  <c r="BD187" i="10" s="1"/>
  <c r="BD188" i="10" a="1"/>
  <c r="BD188" i="10" s="1"/>
  <c r="BD189" i="10" a="1"/>
  <c r="BD189" i="10" s="1"/>
  <c r="BD190" i="10" a="1"/>
  <c r="BD190" i="10" s="1"/>
  <c r="BD191" i="10" a="1"/>
  <c r="BD191" i="10" s="1"/>
  <c r="BD192" i="10" a="1"/>
  <c r="BD192" i="10" s="1"/>
  <c r="BD193" i="10" a="1"/>
  <c r="BD193" i="10" s="1"/>
  <c r="BD194" i="10" a="1"/>
  <c r="BD194" i="10" s="1"/>
  <c r="BD195" i="10" a="1"/>
  <c r="BD195" i="10" s="1"/>
  <c r="BD196" i="10" a="1"/>
  <c r="BD196" i="10" s="1"/>
  <c r="BD197" i="10" a="1"/>
  <c r="BD197" i="10" s="1"/>
  <c r="BD198" i="10" a="1"/>
  <c r="BD198" i="10" s="1"/>
  <c r="BD199" i="10" a="1"/>
  <c r="BD199" i="10" s="1"/>
  <c r="BD200" i="10" a="1"/>
  <c r="BD200" i="10" s="1"/>
  <c r="BD201" i="10" a="1"/>
  <c r="BD201" i="10" s="1"/>
  <c r="BD202" i="10" a="1"/>
  <c r="BD202" i="10" s="1"/>
  <c r="BD203" i="10" a="1"/>
  <c r="BD203" i="10" s="1"/>
  <c r="BD204" i="10" a="1"/>
  <c r="BD204" i="10" s="1"/>
  <c r="BD205" i="10" a="1"/>
  <c r="BD205" i="10" s="1"/>
  <c r="BD206" i="10" a="1"/>
  <c r="BD206" i="10" s="1"/>
  <c r="BD207" i="10" a="1"/>
  <c r="BD207" i="10" s="1"/>
  <c r="BD208" i="10" a="1"/>
  <c r="BD208" i="10" s="1"/>
  <c r="BD209" i="10" a="1"/>
  <c r="BD209" i="10" s="1"/>
  <c r="BD210" i="10" a="1"/>
  <c r="BD210" i="10" s="1"/>
  <c r="BD211" i="10" a="1"/>
  <c r="BD211" i="10" s="1"/>
  <c r="BD212" i="10" a="1"/>
  <c r="BD212" i="10" s="1"/>
  <c r="BD213" i="10" a="1"/>
  <c r="BD213" i="10" s="1"/>
  <c r="BD214" i="10" a="1"/>
  <c r="BD214" i="10" s="1"/>
  <c r="BD215" i="10" a="1"/>
  <c r="BD215" i="10" s="1"/>
  <c r="BD216" i="10" a="1"/>
  <c r="BD216" i="10" s="1"/>
  <c r="BD217" i="10" a="1"/>
  <c r="BD217" i="10" s="1"/>
  <c r="BD218" i="10" a="1"/>
  <c r="BD218" i="10" s="1"/>
  <c r="BD219" i="10" a="1"/>
  <c r="BD219" i="10" s="1"/>
  <c r="BD220" i="10" a="1"/>
  <c r="BD220" i="10" s="1"/>
  <c r="BD221" i="10" a="1"/>
  <c r="BD221" i="10" s="1"/>
  <c r="BD222" i="10" a="1"/>
  <c r="BD222" i="10" s="1"/>
  <c r="BD223" i="10" a="1"/>
  <c r="BD223" i="10" s="1"/>
  <c r="BD224" i="10" a="1"/>
  <c r="BD224" i="10" s="1"/>
  <c r="BD225" i="10" a="1"/>
  <c r="BD225" i="10" s="1"/>
  <c r="BD226" i="10" a="1"/>
  <c r="BD226" i="10" s="1"/>
  <c r="BD227" i="10" a="1"/>
  <c r="BD227" i="10" s="1"/>
  <c r="BD228" i="10" a="1"/>
  <c r="BD228" i="10" s="1"/>
  <c r="BC2" i="10" a="1"/>
  <c r="BC2" i="10" s="1"/>
  <c r="BC3" i="10" a="1"/>
  <c r="BC3" i="10" s="1"/>
  <c r="BC4" i="10" a="1"/>
  <c r="BC4" i="10" s="1"/>
  <c r="BC5" i="10" a="1"/>
  <c r="BC5" i="10" s="1"/>
  <c r="BC6" i="10" a="1"/>
  <c r="BC6" i="10" s="1"/>
  <c r="BC7" i="10" a="1"/>
  <c r="BC7" i="10" s="1"/>
  <c r="BC8" i="10" a="1"/>
  <c r="BC8" i="10" s="1"/>
  <c r="BC9" i="10" a="1"/>
  <c r="BC9" i="10" s="1"/>
  <c r="BC10" i="10" a="1"/>
  <c r="BC10" i="10" s="1"/>
  <c r="BC11" i="10" a="1"/>
  <c r="BC11" i="10" s="1"/>
  <c r="BC12" i="10" a="1"/>
  <c r="BC12" i="10" s="1"/>
  <c r="BC13" i="10" a="1"/>
  <c r="BC13" i="10" s="1"/>
  <c r="BC14" i="10" a="1"/>
  <c r="BC14" i="10" s="1"/>
  <c r="BC15" i="10" a="1"/>
  <c r="BC15" i="10" s="1"/>
  <c r="BC16" i="10" a="1"/>
  <c r="BC16" i="10" s="1"/>
  <c r="BC17" i="10" a="1"/>
  <c r="BC17" i="10" s="1"/>
  <c r="BC18" i="10" a="1"/>
  <c r="BC18" i="10" s="1"/>
  <c r="BC19" i="10" a="1"/>
  <c r="BC19" i="10" s="1"/>
  <c r="BC20" i="10" a="1"/>
  <c r="BC20" i="10" s="1"/>
  <c r="BC21" i="10" a="1"/>
  <c r="BC21" i="10" s="1"/>
  <c r="BC22" i="10" a="1"/>
  <c r="BC22" i="10" s="1"/>
  <c r="BC23" i="10" a="1"/>
  <c r="BC23" i="10" s="1"/>
  <c r="BC24" i="10" a="1"/>
  <c r="BC24" i="10" s="1"/>
  <c r="BC25" i="10" a="1"/>
  <c r="BC25" i="10" s="1"/>
  <c r="BC26" i="10" a="1"/>
  <c r="BC26" i="10" s="1"/>
  <c r="BC27" i="10" a="1"/>
  <c r="BC27" i="10" s="1"/>
  <c r="BC28" i="10" a="1"/>
  <c r="BC28" i="10" s="1"/>
  <c r="BC29" i="10" a="1"/>
  <c r="BC29" i="10" s="1"/>
  <c r="BC30" i="10" a="1"/>
  <c r="BC30" i="10" s="1"/>
  <c r="BC31" i="10" a="1"/>
  <c r="BC31" i="10" s="1"/>
  <c r="BC32" i="10" a="1"/>
  <c r="BC32" i="10" s="1"/>
  <c r="BC33" i="10" a="1"/>
  <c r="BC33" i="10" s="1"/>
  <c r="BC34" i="10" a="1"/>
  <c r="BC34" i="10" s="1"/>
  <c r="BC35" i="10" a="1"/>
  <c r="BC35" i="10" s="1"/>
  <c r="BC36" i="10" a="1"/>
  <c r="BC36" i="10" s="1"/>
  <c r="BC37" i="10" a="1"/>
  <c r="BC37" i="10" s="1"/>
  <c r="BC38" i="10" a="1"/>
  <c r="BC38" i="10" s="1"/>
  <c r="BC39" i="10" a="1"/>
  <c r="BC39" i="10" s="1"/>
  <c r="BC40" i="10" a="1"/>
  <c r="BC40" i="10" s="1"/>
  <c r="BC41" i="10" a="1"/>
  <c r="BC41" i="10" s="1"/>
  <c r="BC42" i="10" a="1"/>
  <c r="BC42" i="10" s="1"/>
  <c r="BC43" i="10" a="1"/>
  <c r="BC43" i="10" s="1"/>
  <c r="BC44" i="10" a="1"/>
  <c r="BC44" i="10" s="1"/>
  <c r="BC45" i="10" a="1"/>
  <c r="BC45" i="10" s="1"/>
  <c r="BC46" i="10" a="1"/>
  <c r="BC46" i="10" s="1"/>
  <c r="BC47" i="10" a="1"/>
  <c r="BC47" i="10" s="1"/>
  <c r="BC48" i="10" a="1"/>
  <c r="BC48" i="10" s="1"/>
  <c r="BC49" i="10" a="1"/>
  <c r="BC49" i="10" s="1"/>
  <c r="BC50" i="10" a="1"/>
  <c r="BC50" i="10" s="1"/>
  <c r="BC51" i="10" a="1"/>
  <c r="BC51" i="10" s="1"/>
  <c r="BC52" i="10" a="1"/>
  <c r="BC52" i="10" s="1"/>
  <c r="BC53" i="10" a="1"/>
  <c r="BC53" i="10" s="1"/>
  <c r="BC54" i="10" a="1"/>
  <c r="BC54" i="10" s="1"/>
  <c r="BC55" i="10" a="1"/>
  <c r="BC55" i="10" s="1"/>
  <c r="BC56" i="10" a="1"/>
  <c r="BC56" i="10" s="1"/>
  <c r="BC57" i="10" a="1"/>
  <c r="BC57" i="10" s="1"/>
  <c r="BC58" i="10" a="1"/>
  <c r="BC58" i="10" s="1"/>
  <c r="BC59" i="10" a="1"/>
  <c r="BC59" i="10" s="1"/>
  <c r="BC60" i="10" a="1"/>
  <c r="BC60" i="10" s="1"/>
  <c r="BC61" i="10" a="1"/>
  <c r="BC61" i="10" s="1"/>
  <c r="BC62" i="10" a="1"/>
  <c r="BC62" i="10" s="1"/>
  <c r="BC63" i="10" a="1"/>
  <c r="BC63" i="10" s="1"/>
  <c r="BC64" i="10" a="1"/>
  <c r="BC64" i="10" s="1"/>
  <c r="BC65" i="10" a="1"/>
  <c r="BC65" i="10" s="1"/>
  <c r="BC66" i="10" a="1"/>
  <c r="BC66" i="10" s="1"/>
  <c r="BC67" i="10" a="1"/>
  <c r="BC67" i="10" s="1"/>
  <c r="BC68" i="10" a="1"/>
  <c r="BC68" i="10" s="1"/>
  <c r="BC69" i="10" a="1"/>
  <c r="BC69" i="10" s="1"/>
  <c r="BC70" i="10" a="1"/>
  <c r="BC70" i="10" s="1"/>
  <c r="BC71" i="10" a="1"/>
  <c r="BC71" i="10" s="1"/>
  <c r="BC72" i="10" a="1"/>
  <c r="BC72" i="10" s="1"/>
  <c r="BC73" i="10" a="1"/>
  <c r="BC73" i="10" s="1"/>
  <c r="BC74" i="10" a="1"/>
  <c r="BC74" i="10" s="1"/>
  <c r="BC75" i="10" a="1"/>
  <c r="BC75" i="10" s="1"/>
  <c r="BC76" i="10" a="1"/>
  <c r="BC76" i="10" s="1"/>
  <c r="BC77" i="10" a="1"/>
  <c r="BC77" i="10" s="1"/>
  <c r="BC78" i="10" a="1"/>
  <c r="BC78" i="10" s="1"/>
  <c r="BC79" i="10" a="1"/>
  <c r="BC79" i="10" s="1"/>
  <c r="BC80" i="10" a="1"/>
  <c r="BC80" i="10" s="1"/>
  <c r="BC81" i="10" a="1"/>
  <c r="BC81" i="10" s="1"/>
  <c r="BC82" i="10" a="1"/>
  <c r="BC82" i="10" s="1"/>
  <c r="BC83" i="10" a="1"/>
  <c r="BC83" i="10" s="1"/>
  <c r="BC84" i="10" a="1"/>
  <c r="BC84" i="10" s="1"/>
  <c r="BC85" i="10" a="1"/>
  <c r="BC85" i="10" s="1"/>
  <c r="BC86" i="10" a="1"/>
  <c r="BC86" i="10" s="1"/>
  <c r="BC87" i="10" a="1"/>
  <c r="BC87" i="10" s="1"/>
  <c r="BC88" i="10" a="1"/>
  <c r="BC88" i="10" s="1"/>
  <c r="BC89" i="10" a="1"/>
  <c r="BC89" i="10" s="1"/>
  <c r="BC90" i="10" a="1"/>
  <c r="BC90" i="10" s="1"/>
  <c r="BC91" i="10" a="1"/>
  <c r="BC91" i="10" s="1"/>
  <c r="BC92" i="10" a="1"/>
  <c r="BC92" i="10" s="1"/>
  <c r="BC93" i="10" a="1"/>
  <c r="BC93" i="10" s="1"/>
  <c r="BC94" i="10" a="1"/>
  <c r="BC94" i="10" s="1"/>
  <c r="BC95" i="10" a="1"/>
  <c r="BC95" i="10" s="1"/>
  <c r="BC96" i="10" a="1"/>
  <c r="BC96" i="10" s="1"/>
  <c r="BC97" i="10" a="1"/>
  <c r="BC97" i="10" s="1"/>
  <c r="BC98" i="10" a="1"/>
  <c r="BC98" i="10" s="1"/>
  <c r="BC99" i="10" a="1"/>
  <c r="BC99" i="10" s="1"/>
  <c r="BC100" i="10" a="1"/>
  <c r="BC100" i="10" s="1"/>
  <c r="BC101" i="10" a="1"/>
  <c r="BC101" i="10" s="1"/>
  <c r="BC102" i="10" a="1"/>
  <c r="BC102" i="10" s="1"/>
  <c r="BC103" i="10" a="1"/>
  <c r="BC103" i="10" s="1"/>
  <c r="BC104" i="10" a="1"/>
  <c r="BC104" i="10" s="1"/>
  <c r="BC105" i="10" a="1"/>
  <c r="BC105" i="10" s="1"/>
  <c r="BC106" i="10" a="1"/>
  <c r="BC106" i="10" s="1"/>
  <c r="BC107" i="10" a="1"/>
  <c r="BC107" i="10" s="1"/>
  <c r="BC108" i="10" a="1"/>
  <c r="BC108" i="10" s="1"/>
  <c r="BC109" i="10" a="1"/>
  <c r="BC109" i="10" s="1"/>
  <c r="BC110" i="10" a="1"/>
  <c r="BC110" i="10" s="1"/>
  <c r="BC111" i="10" a="1"/>
  <c r="BC111" i="10" s="1"/>
  <c r="BC112" i="10" a="1"/>
  <c r="BC112" i="10" s="1"/>
  <c r="BC113" i="10" a="1"/>
  <c r="BC113" i="10" s="1"/>
  <c r="BC114" i="10" a="1"/>
  <c r="BC114" i="10" s="1"/>
  <c r="BC115" i="10" a="1"/>
  <c r="BC115" i="10" s="1"/>
  <c r="BC116" i="10" a="1"/>
  <c r="BC116" i="10" s="1"/>
  <c r="BC117" i="10" a="1"/>
  <c r="BC117" i="10" s="1"/>
  <c r="BC118" i="10" a="1"/>
  <c r="BC118" i="10" s="1"/>
  <c r="BC119" i="10" a="1"/>
  <c r="BC119" i="10" s="1"/>
  <c r="BC120" i="10" a="1"/>
  <c r="BC120" i="10" s="1"/>
  <c r="BC121" i="10" a="1"/>
  <c r="BC121" i="10" s="1"/>
  <c r="BC122" i="10" a="1"/>
  <c r="BC122" i="10" s="1"/>
  <c r="BC123" i="10" a="1"/>
  <c r="BC123" i="10" s="1"/>
  <c r="BC124" i="10" a="1"/>
  <c r="BC124" i="10" s="1"/>
  <c r="BC125" i="10" a="1"/>
  <c r="BC125" i="10" s="1"/>
  <c r="BC126" i="10" a="1"/>
  <c r="BC126" i="10" s="1"/>
  <c r="BC127" i="10" a="1"/>
  <c r="BC127" i="10" s="1"/>
  <c r="BC128" i="10" a="1"/>
  <c r="BC128" i="10" s="1"/>
  <c r="BC129" i="10" a="1"/>
  <c r="BC129" i="10" s="1"/>
  <c r="BC130" i="10" a="1"/>
  <c r="BC130" i="10" s="1"/>
  <c r="BC131" i="10" a="1"/>
  <c r="BC131" i="10" s="1"/>
  <c r="BC132" i="10" a="1"/>
  <c r="BC132" i="10" s="1"/>
  <c r="BC133" i="10" a="1"/>
  <c r="BC133" i="10" s="1"/>
  <c r="BC134" i="10" a="1"/>
  <c r="BC134" i="10" s="1"/>
  <c r="BC135" i="10" a="1"/>
  <c r="BC135" i="10" s="1"/>
  <c r="BC136" i="10" a="1"/>
  <c r="BC136" i="10" s="1"/>
  <c r="BC137" i="10" a="1"/>
  <c r="BC137" i="10" s="1"/>
  <c r="BC138" i="10" a="1"/>
  <c r="BC138" i="10" s="1"/>
  <c r="BC139" i="10" a="1"/>
  <c r="BC139" i="10" s="1"/>
  <c r="BC140" i="10" a="1"/>
  <c r="BC140" i="10" s="1"/>
  <c r="BC141" i="10" a="1"/>
  <c r="BC141" i="10" s="1"/>
  <c r="BC142" i="10" a="1"/>
  <c r="BC142" i="10" s="1"/>
  <c r="BC143" i="10" a="1"/>
  <c r="BC143" i="10" s="1"/>
  <c r="BC144" i="10" a="1"/>
  <c r="BC144" i="10" s="1"/>
  <c r="BC145" i="10" a="1"/>
  <c r="BC145" i="10" s="1"/>
  <c r="BC146" i="10" a="1"/>
  <c r="BC146" i="10" s="1"/>
  <c r="BC147" i="10" a="1"/>
  <c r="BC147" i="10" s="1"/>
  <c r="BC148" i="10" a="1"/>
  <c r="BC148" i="10" s="1"/>
  <c r="BC149" i="10" a="1"/>
  <c r="BC149" i="10" s="1"/>
  <c r="BC150" i="10" a="1"/>
  <c r="BC150" i="10" s="1"/>
  <c r="BC151" i="10" a="1"/>
  <c r="BC151" i="10" s="1"/>
  <c r="BC152" i="10" a="1"/>
  <c r="BC152" i="10" s="1"/>
  <c r="BC153" i="10" a="1"/>
  <c r="BC153" i="10" s="1"/>
  <c r="BC154" i="10" a="1"/>
  <c r="BC154" i="10" s="1"/>
  <c r="BC155" i="10" a="1"/>
  <c r="BC155" i="10" s="1"/>
  <c r="BC156" i="10" a="1"/>
  <c r="BC156" i="10" s="1"/>
  <c r="BC157" i="10" a="1"/>
  <c r="BC157" i="10" s="1"/>
  <c r="BC158" i="10" a="1"/>
  <c r="BC158" i="10" s="1"/>
  <c r="BC159" i="10" a="1"/>
  <c r="BC159" i="10" s="1"/>
  <c r="BC160" i="10" a="1"/>
  <c r="BC160" i="10" s="1"/>
  <c r="BC161" i="10" a="1"/>
  <c r="BC161" i="10" s="1"/>
  <c r="BC162" i="10" a="1"/>
  <c r="BC162" i="10" s="1"/>
  <c r="BC163" i="10" a="1"/>
  <c r="BC163" i="10" s="1"/>
  <c r="BC164" i="10" a="1"/>
  <c r="BC164" i="10" s="1"/>
  <c r="BC165" i="10" a="1"/>
  <c r="BC165" i="10" s="1"/>
  <c r="BC166" i="10" a="1"/>
  <c r="BC166" i="10" s="1"/>
  <c r="BC167" i="10" a="1"/>
  <c r="BC167" i="10" s="1"/>
  <c r="BC168" i="10" a="1"/>
  <c r="BC168" i="10" s="1"/>
  <c r="BC169" i="10" a="1"/>
  <c r="BC169" i="10" s="1"/>
  <c r="BC170" i="10" a="1"/>
  <c r="BC170" i="10" s="1"/>
  <c r="BC171" i="10" a="1"/>
  <c r="BC171" i="10" s="1"/>
  <c r="BC172" i="10" a="1"/>
  <c r="BC172" i="10" s="1"/>
  <c r="BC173" i="10" a="1"/>
  <c r="BC173" i="10" s="1"/>
  <c r="BC174" i="10" a="1"/>
  <c r="BC174" i="10" s="1"/>
  <c r="BC175" i="10" a="1"/>
  <c r="BC175" i="10" s="1"/>
  <c r="BC176" i="10" a="1"/>
  <c r="BC176" i="10" s="1"/>
  <c r="BC177" i="10" a="1"/>
  <c r="BC177" i="10" s="1"/>
  <c r="BC178" i="10" a="1"/>
  <c r="BC178" i="10" s="1"/>
  <c r="BC179" i="10" a="1"/>
  <c r="BC179" i="10" s="1"/>
  <c r="BC180" i="10" a="1"/>
  <c r="BC180" i="10" s="1"/>
  <c r="BC181" i="10" a="1"/>
  <c r="BC181" i="10" s="1"/>
  <c r="BC182" i="10" a="1"/>
  <c r="BC182" i="10" s="1"/>
  <c r="BC183" i="10" a="1"/>
  <c r="BC183" i="10" s="1"/>
  <c r="BC184" i="10" a="1"/>
  <c r="BC184" i="10" s="1"/>
  <c r="BC185" i="10" a="1"/>
  <c r="BC185" i="10" s="1"/>
  <c r="BC186" i="10" a="1"/>
  <c r="BC186" i="10" s="1"/>
  <c r="BC187" i="10" a="1"/>
  <c r="BC187" i="10" s="1"/>
  <c r="BC188" i="10" a="1"/>
  <c r="BC188" i="10" s="1"/>
  <c r="BC189" i="10" a="1"/>
  <c r="BC189" i="10" s="1"/>
  <c r="BC190" i="10" a="1"/>
  <c r="BC190" i="10" s="1"/>
  <c r="BC191" i="10" a="1"/>
  <c r="BC191" i="10" s="1"/>
  <c r="BC192" i="10" a="1"/>
  <c r="BC192" i="10" s="1"/>
  <c r="BC193" i="10" a="1"/>
  <c r="BC193" i="10" s="1"/>
  <c r="BC194" i="10" a="1"/>
  <c r="BC194" i="10" s="1"/>
  <c r="BC195" i="10" a="1"/>
  <c r="BC195" i="10" s="1"/>
  <c r="BC196" i="10" a="1"/>
  <c r="BC196" i="10" s="1"/>
  <c r="BC197" i="10" a="1"/>
  <c r="BC197" i="10" s="1"/>
  <c r="BC198" i="10" a="1"/>
  <c r="BC198" i="10" s="1"/>
  <c r="BC199" i="10" a="1"/>
  <c r="BC199" i="10" s="1"/>
  <c r="BC200" i="10" a="1"/>
  <c r="BC200" i="10" s="1"/>
  <c r="BC201" i="10" a="1"/>
  <c r="BC201" i="10" s="1"/>
  <c r="BC202" i="10" a="1"/>
  <c r="BC202" i="10" s="1"/>
  <c r="BC203" i="10" a="1"/>
  <c r="BC203" i="10" s="1"/>
  <c r="BC204" i="10" a="1"/>
  <c r="BC204" i="10" s="1"/>
  <c r="BC205" i="10" a="1"/>
  <c r="BC205" i="10" s="1"/>
  <c r="BC206" i="10" a="1"/>
  <c r="BC206" i="10" s="1"/>
  <c r="BC207" i="10" a="1"/>
  <c r="BC207" i="10" s="1"/>
  <c r="BC208" i="10" a="1"/>
  <c r="BC208" i="10" s="1"/>
  <c r="BC209" i="10" a="1"/>
  <c r="BC209" i="10" s="1"/>
  <c r="BC210" i="10" a="1"/>
  <c r="BC210" i="10" s="1"/>
  <c r="BC211" i="10" a="1"/>
  <c r="BC211" i="10" s="1"/>
  <c r="BC212" i="10" a="1"/>
  <c r="BC212" i="10" s="1"/>
  <c r="BC213" i="10" a="1"/>
  <c r="BC213" i="10" s="1"/>
  <c r="BC214" i="10" a="1"/>
  <c r="BC214" i="10" s="1"/>
  <c r="BC215" i="10" a="1"/>
  <c r="BC215" i="10" s="1"/>
  <c r="BC216" i="10" a="1"/>
  <c r="BC216" i="10" s="1"/>
  <c r="BC217" i="10" a="1"/>
  <c r="BC217" i="10" s="1"/>
  <c r="BC218" i="10" a="1"/>
  <c r="BC218" i="10" s="1"/>
  <c r="BC219" i="10" a="1"/>
  <c r="BC219" i="10" s="1"/>
  <c r="BC220" i="10" a="1"/>
  <c r="BC220" i="10" s="1"/>
  <c r="BC221" i="10" a="1"/>
  <c r="BC221" i="10" s="1"/>
  <c r="BC222" i="10" a="1"/>
  <c r="BC222" i="10" s="1"/>
  <c r="BC223" i="10" a="1"/>
  <c r="BC223" i="10" s="1"/>
  <c r="BC224" i="10" a="1"/>
  <c r="BC224" i="10" s="1"/>
  <c r="BC225" i="10" a="1"/>
  <c r="BC225" i="10" s="1"/>
  <c r="BC226" i="10" a="1"/>
  <c r="BC226" i="10" s="1"/>
  <c r="BC227" i="10" a="1"/>
  <c r="BC227" i="10" s="1"/>
  <c r="BC228" i="10" a="1"/>
  <c r="BC228" i="10" s="1"/>
  <c r="BB2" i="10" a="1"/>
  <c r="BB2" i="10" s="1"/>
  <c r="BB3" i="10" a="1"/>
  <c r="BB3" i="10" s="1"/>
  <c r="BB4" i="10" a="1"/>
  <c r="BB4" i="10" s="1"/>
  <c r="BB5" i="10" a="1"/>
  <c r="BB5" i="10" s="1"/>
  <c r="BB6" i="10" a="1"/>
  <c r="BB6" i="10" s="1"/>
  <c r="BB7" i="10" a="1"/>
  <c r="BB7" i="10" s="1"/>
  <c r="BB8" i="10" a="1"/>
  <c r="BB8" i="10" s="1"/>
  <c r="BB9" i="10" a="1"/>
  <c r="BB9" i="10" s="1"/>
  <c r="BB10" i="10" a="1"/>
  <c r="BB10" i="10" s="1"/>
  <c r="BB11" i="10" a="1"/>
  <c r="BB11" i="10" s="1"/>
  <c r="BB12" i="10" a="1"/>
  <c r="BB12" i="10" s="1"/>
  <c r="BB13" i="10" a="1"/>
  <c r="BB13" i="10" s="1"/>
  <c r="BB14" i="10" a="1"/>
  <c r="BB14" i="10" s="1"/>
  <c r="BB15" i="10" a="1"/>
  <c r="BB15" i="10" s="1"/>
  <c r="BB16" i="10" a="1"/>
  <c r="BB16" i="10" s="1"/>
  <c r="BB17" i="10" a="1"/>
  <c r="BB17" i="10" s="1"/>
  <c r="BB18" i="10" a="1"/>
  <c r="BB18" i="10" s="1"/>
  <c r="BB19" i="10" a="1"/>
  <c r="BB19" i="10" s="1"/>
  <c r="BB20" i="10" a="1"/>
  <c r="BB20" i="10" s="1"/>
  <c r="BB21" i="10" a="1"/>
  <c r="BB21" i="10" s="1"/>
  <c r="BB22" i="10" a="1"/>
  <c r="BB22" i="10" s="1"/>
  <c r="BB23" i="10" a="1"/>
  <c r="BB23" i="10" s="1"/>
  <c r="BB24" i="10" a="1"/>
  <c r="BB24" i="10" s="1"/>
  <c r="BB25" i="10" a="1"/>
  <c r="BB25" i="10" s="1"/>
  <c r="BB26" i="10" a="1"/>
  <c r="BB26" i="10" s="1"/>
  <c r="BB27" i="10" a="1"/>
  <c r="BB27" i="10" s="1"/>
  <c r="BB28" i="10" a="1"/>
  <c r="BB28" i="10" s="1"/>
  <c r="BB29" i="10" a="1"/>
  <c r="BB29" i="10" s="1"/>
  <c r="BB30" i="10" a="1"/>
  <c r="BB30" i="10" s="1"/>
  <c r="BB31" i="10" a="1"/>
  <c r="BB31" i="10" s="1"/>
  <c r="BB32" i="10" a="1"/>
  <c r="BB32" i="10" s="1"/>
  <c r="BB33" i="10" a="1"/>
  <c r="BB33" i="10" s="1"/>
  <c r="BB34" i="10" a="1"/>
  <c r="BB34" i="10" s="1"/>
  <c r="BB35" i="10" a="1"/>
  <c r="BB35" i="10" s="1"/>
  <c r="BB36" i="10" a="1"/>
  <c r="BB36" i="10" s="1"/>
  <c r="BB37" i="10" a="1"/>
  <c r="BB37" i="10" s="1"/>
  <c r="BB38" i="10" a="1"/>
  <c r="BB38" i="10" s="1"/>
  <c r="BB39" i="10" a="1"/>
  <c r="BB39" i="10" s="1"/>
  <c r="BB40" i="10" a="1"/>
  <c r="BB40" i="10" s="1"/>
  <c r="BB41" i="10" a="1"/>
  <c r="BB41" i="10" s="1"/>
  <c r="BB42" i="10" a="1"/>
  <c r="BB42" i="10" s="1"/>
  <c r="BB43" i="10" a="1"/>
  <c r="BB43" i="10" s="1"/>
  <c r="BB44" i="10" a="1"/>
  <c r="BB44" i="10" s="1"/>
  <c r="BB45" i="10" a="1"/>
  <c r="BB45" i="10" s="1"/>
  <c r="BB46" i="10" a="1"/>
  <c r="BB46" i="10" s="1"/>
  <c r="BB47" i="10" a="1"/>
  <c r="BB47" i="10" s="1"/>
  <c r="BB48" i="10" a="1"/>
  <c r="BB48" i="10" s="1"/>
  <c r="BB49" i="10" a="1"/>
  <c r="BB49" i="10" s="1"/>
  <c r="BB50" i="10" a="1"/>
  <c r="BB50" i="10" s="1"/>
  <c r="BB51" i="10" a="1"/>
  <c r="BB51" i="10" s="1"/>
  <c r="BB52" i="10" a="1"/>
  <c r="BB52" i="10" s="1"/>
  <c r="BB53" i="10" a="1"/>
  <c r="BB53" i="10" s="1"/>
  <c r="BB54" i="10" a="1"/>
  <c r="BB54" i="10" s="1"/>
  <c r="BB55" i="10" a="1"/>
  <c r="BB55" i="10" s="1"/>
  <c r="BB56" i="10" a="1"/>
  <c r="BB56" i="10" s="1"/>
  <c r="BB57" i="10" a="1"/>
  <c r="BB57" i="10" s="1"/>
  <c r="BB58" i="10" a="1"/>
  <c r="BB58" i="10" s="1"/>
  <c r="BB59" i="10" a="1"/>
  <c r="BB59" i="10" s="1"/>
  <c r="BB60" i="10" a="1"/>
  <c r="BB60" i="10" s="1"/>
  <c r="BB61" i="10" a="1"/>
  <c r="BB61" i="10" s="1"/>
  <c r="BB62" i="10" a="1"/>
  <c r="BB62" i="10" s="1"/>
  <c r="BB63" i="10" a="1"/>
  <c r="BB63" i="10" s="1"/>
  <c r="BB64" i="10" a="1"/>
  <c r="BB64" i="10" s="1"/>
  <c r="BB65" i="10" a="1"/>
  <c r="BB65" i="10" s="1"/>
  <c r="BB66" i="10" a="1"/>
  <c r="BB66" i="10" s="1"/>
  <c r="BB67" i="10" a="1"/>
  <c r="BB67" i="10" s="1"/>
  <c r="BB68" i="10" a="1"/>
  <c r="BB68" i="10" s="1"/>
  <c r="BB69" i="10" a="1"/>
  <c r="BB69" i="10" s="1"/>
  <c r="BB70" i="10" a="1"/>
  <c r="BB70" i="10" s="1"/>
  <c r="BB71" i="10" a="1"/>
  <c r="BB71" i="10" s="1"/>
  <c r="BB72" i="10" a="1"/>
  <c r="BB72" i="10" s="1"/>
  <c r="BB73" i="10" a="1"/>
  <c r="BB73" i="10" s="1"/>
  <c r="BB74" i="10" a="1"/>
  <c r="BB74" i="10" s="1"/>
  <c r="BB75" i="10" a="1"/>
  <c r="BB75" i="10" s="1"/>
  <c r="BB76" i="10" a="1"/>
  <c r="BB76" i="10" s="1"/>
  <c r="BB77" i="10" a="1"/>
  <c r="BB77" i="10" s="1"/>
  <c r="BB78" i="10" a="1"/>
  <c r="BB78" i="10" s="1"/>
  <c r="BB79" i="10" a="1"/>
  <c r="BB79" i="10" s="1"/>
  <c r="BB80" i="10" a="1"/>
  <c r="BB80" i="10" s="1"/>
  <c r="BB81" i="10" a="1"/>
  <c r="BB81" i="10" s="1"/>
  <c r="BB82" i="10" a="1"/>
  <c r="BB82" i="10" s="1"/>
  <c r="BB83" i="10" a="1"/>
  <c r="BB83" i="10" s="1"/>
  <c r="BB84" i="10" a="1"/>
  <c r="BB84" i="10" s="1"/>
  <c r="BB85" i="10" a="1"/>
  <c r="BB85" i="10" s="1"/>
  <c r="BB86" i="10" a="1"/>
  <c r="BB86" i="10" s="1"/>
  <c r="BB87" i="10" a="1"/>
  <c r="BB87" i="10" s="1"/>
  <c r="BB88" i="10" a="1"/>
  <c r="BB88" i="10" s="1"/>
  <c r="BB89" i="10" a="1"/>
  <c r="BB89" i="10" s="1"/>
  <c r="BB90" i="10" a="1"/>
  <c r="BB90" i="10" s="1"/>
  <c r="BB91" i="10" a="1"/>
  <c r="BB91" i="10" s="1"/>
  <c r="BB92" i="10" a="1"/>
  <c r="BB92" i="10" s="1"/>
  <c r="BB93" i="10" a="1"/>
  <c r="BB93" i="10" s="1"/>
  <c r="BB94" i="10" a="1"/>
  <c r="BB94" i="10" s="1"/>
  <c r="BB95" i="10" a="1"/>
  <c r="BB95" i="10" s="1"/>
  <c r="BB96" i="10" a="1"/>
  <c r="BB96" i="10" s="1"/>
  <c r="BB97" i="10" a="1"/>
  <c r="BB97" i="10" s="1"/>
  <c r="BB98" i="10" a="1"/>
  <c r="BB98" i="10" s="1"/>
  <c r="BB99" i="10" a="1"/>
  <c r="BB99" i="10" s="1"/>
  <c r="BB100" i="10" a="1"/>
  <c r="BB100" i="10" s="1"/>
  <c r="BB101" i="10" a="1"/>
  <c r="BB101" i="10" s="1"/>
  <c r="BB102" i="10" a="1"/>
  <c r="BB102" i="10" s="1"/>
  <c r="BB103" i="10" a="1"/>
  <c r="BB103" i="10" s="1"/>
  <c r="BB104" i="10" a="1"/>
  <c r="BB104" i="10" s="1"/>
  <c r="BB105" i="10" a="1"/>
  <c r="BB105" i="10" s="1"/>
  <c r="BB106" i="10" a="1"/>
  <c r="BB106" i="10" s="1"/>
  <c r="BB107" i="10" a="1"/>
  <c r="BB107" i="10" s="1"/>
  <c r="BB108" i="10" a="1"/>
  <c r="BB108" i="10" s="1"/>
  <c r="BB109" i="10" a="1"/>
  <c r="BB109" i="10" s="1"/>
  <c r="BB110" i="10" a="1"/>
  <c r="BB110" i="10" s="1"/>
  <c r="BB111" i="10" a="1"/>
  <c r="BB111" i="10" s="1"/>
  <c r="BB112" i="10" a="1"/>
  <c r="BB112" i="10" s="1"/>
  <c r="BB113" i="10" a="1"/>
  <c r="BB113" i="10" s="1"/>
  <c r="BB114" i="10" a="1"/>
  <c r="BB114" i="10" s="1"/>
  <c r="BB115" i="10" a="1"/>
  <c r="BB115" i="10" s="1"/>
  <c r="BB116" i="10" a="1"/>
  <c r="BB116" i="10" s="1"/>
  <c r="BB117" i="10" a="1"/>
  <c r="BB117" i="10" s="1"/>
  <c r="BB118" i="10" a="1"/>
  <c r="BB118" i="10" s="1"/>
  <c r="BB119" i="10" a="1"/>
  <c r="BB119" i="10" s="1"/>
  <c r="BB120" i="10" a="1"/>
  <c r="BB120" i="10" s="1"/>
  <c r="BB121" i="10" a="1"/>
  <c r="BB121" i="10" s="1"/>
  <c r="BB122" i="10" a="1"/>
  <c r="BB122" i="10" s="1"/>
  <c r="BB123" i="10" a="1"/>
  <c r="BB123" i="10" s="1"/>
  <c r="BB124" i="10" a="1"/>
  <c r="BB124" i="10" s="1"/>
  <c r="BB125" i="10" a="1"/>
  <c r="BB125" i="10" s="1"/>
  <c r="BB126" i="10" a="1"/>
  <c r="BB126" i="10" s="1"/>
  <c r="BB127" i="10" a="1"/>
  <c r="BB127" i="10" s="1"/>
  <c r="BB128" i="10" a="1"/>
  <c r="BB128" i="10" s="1"/>
  <c r="BB129" i="10" a="1"/>
  <c r="BB129" i="10" s="1"/>
  <c r="BB130" i="10" a="1"/>
  <c r="BB130" i="10" s="1"/>
  <c r="BB131" i="10" a="1"/>
  <c r="BB131" i="10" s="1"/>
  <c r="BB132" i="10" a="1"/>
  <c r="BB132" i="10" s="1"/>
  <c r="BB133" i="10" a="1"/>
  <c r="BB133" i="10" s="1"/>
  <c r="BB134" i="10" a="1"/>
  <c r="BB134" i="10" s="1"/>
  <c r="BB135" i="10" a="1"/>
  <c r="BB135" i="10" s="1"/>
  <c r="BB136" i="10" a="1"/>
  <c r="BB136" i="10" s="1"/>
  <c r="BB137" i="10" a="1"/>
  <c r="BB137" i="10" s="1"/>
  <c r="BB138" i="10" a="1"/>
  <c r="BB138" i="10" s="1"/>
  <c r="BB139" i="10" a="1"/>
  <c r="BB139" i="10" s="1"/>
  <c r="BB140" i="10" a="1"/>
  <c r="BB140" i="10" s="1"/>
  <c r="BB141" i="10" a="1"/>
  <c r="BB141" i="10" s="1"/>
  <c r="BB142" i="10" a="1"/>
  <c r="BB142" i="10" s="1"/>
  <c r="BB143" i="10" a="1"/>
  <c r="BB143" i="10" s="1"/>
  <c r="BB144" i="10" a="1"/>
  <c r="BB144" i="10" s="1"/>
  <c r="BB145" i="10" a="1"/>
  <c r="BB145" i="10" s="1"/>
  <c r="BB146" i="10" a="1"/>
  <c r="BB146" i="10" s="1"/>
  <c r="BB147" i="10" a="1"/>
  <c r="BB147" i="10" s="1"/>
  <c r="BB148" i="10" a="1"/>
  <c r="BB148" i="10" s="1"/>
  <c r="BB149" i="10" a="1"/>
  <c r="BB149" i="10" s="1"/>
  <c r="BB150" i="10" a="1"/>
  <c r="BB150" i="10" s="1"/>
  <c r="BB151" i="10" a="1"/>
  <c r="BB151" i="10" s="1"/>
  <c r="BB152" i="10" a="1"/>
  <c r="BB152" i="10" s="1"/>
  <c r="BB153" i="10" a="1"/>
  <c r="BB153" i="10" s="1"/>
  <c r="BB154" i="10" a="1"/>
  <c r="BB154" i="10" s="1"/>
  <c r="BB155" i="10" a="1"/>
  <c r="BB155" i="10" s="1"/>
  <c r="BB156" i="10" a="1"/>
  <c r="BB156" i="10" s="1"/>
  <c r="BB157" i="10" a="1"/>
  <c r="BB157" i="10" s="1"/>
  <c r="BB158" i="10" a="1"/>
  <c r="BB158" i="10" s="1"/>
  <c r="BB159" i="10" a="1"/>
  <c r="BB159" i="10" s="1"/>
  <c r="BB160" i="10" a="1"/>
  <c r="BB160" i="10" s="1"/>
  <c r="BB161" i="10" a="1"/>
  <c r="BB161" i="10" s="1"/>
  <c r="BB162" i="10" a="1"/>
  <c r="BB162" i="10" s="1"/>
  <c r="BB163" i="10" a="1"/>
  <c r="BB163" i="10" s="1"/>
  <c r="BB164" i="10" a="1"/>
  <c r="BB164" i="10" s="1"/>
  <c r="BB165" i="10" a="1"/>
  <c r="BB165" i="10" s="1"/>
  <c r="BB166" i="10" a="1"/>
  <c r="BB166" i="10" s="1"/>
  <c r="BB167" i="10" a="1"/>
  <c r="BB167" i="10" s="1"/>
  <c r="BB168" i="10" a="1"/>
  <c r="BB168" i="10" s="1"/>
  <c r="BB169" i="10" a="1"/>
  <c r="BB169" i="10" s="1"/>
  <c r="BB170" i="10" a="1"/>
  <c r="BB170" i="10" s="1"/>
  <c r="BB171" i="10" a="1"/>
  <c r="BB171" i="10" s="1"/>
  <c r="BB172" i="10" a="1"/>
  <c r="BB172" i="10" s="1"/>
  <c r="BB173" i="10" a="1"/>
  <c r="BB173" i="10" s="1"/>
  <c r="BB174" i="10" a="1"/>
  <c r="BB174" i="10" s="1"/>
  <c r="BB175" i="10" a="1"/>
  <c r="BB175" i="10" s="1"/>
  <c r="BB176" i="10" a="1"/>
  <c r="BB176" i="10" s="1"/>
  <c r="BB177" i="10" a="1"/>
  <c r="BB177" i="10" s="1"/>
  <c r="BB178" i="10" a="1"/>
  <c r="BB178" i="10" s="1"/>
  <c r="BB179" i="10" a="1"/>
  <c r="BB179" i="10" s="1"/>
  <c r="BB180" i="10" a="1"/>
  <c r="BB180" i="10" s="1"/>
  <c r="BB181" i="10" a="1"/>
  <c r="BB181" i="10" s="1"/>
  <c r="BB182" i="10" a="1"/>
  <c r="BB182" i="10" s="1"/>
  <c r="BB183" i="10" a="1"/>
  <c r="BB183" i="10" s="1"/>
  <c r="BB184" i="10" a="1"/>
  <c r="BB184" i="10" s="1"/>
  <c r="BB185" i="10" a="1"/>
  <c r="BB185" i="10" s="1"/>
  <c r="BB186" i="10" a="1"/>
  <c r="BB186" i="10" s="1"/>
  <c r="BB187" i="10" a="1"/>
  <c r="BB187" i="10" s="1"/>
  <c r="BB188" i="10" a="1"/>
  <c r="BB188" i="10" s="1"/>
  <c r="BB189" i="10" a="1"/>
  <c r="BB189" i="10" s="1"/>
  <c r="BB190" i="10" a="1"/>
  <c r="BB190" i="10" s="1"/>
  <c r="BB191" i="10" a="1"/>
  <c r="BB191" i="10" s="1"/>
  <c r="BB192" i="10" a="1"/>
  <c r="BB192" i="10" s="1"/>
  <c r="BB193" i="10" a="1"/>
  <c r="BB193" i="10" s="1"/>
  <c r="BB194" i="10" a="1"/>
  <c r="BB194" i="10" s="1"/>
  <c r="BB195" i="10" a="1"/>
  <c r="BB195" i="10" s="1"/>
  <c r="BB196" i="10" a="1"/>
  <c r="BB196" i="10" s="1"/>
  <c r="BB197" i="10" a="1"/>
  <c r="BB197" i="10" s="1"/>
  <c r="BB198" i="10" a="1"/>
  <c r="BB198" i="10" s="1"/>
  <c r="BB199" i="10" a="1"/>
  <c r="BB199" i="10" s="1"/>
  <c r="BB200" i="10" a="1"/>
  <c r="BB200" i="10" s="1"/>
  <c r="BB201" i="10" a="1"/>
  <c r="BB201" i="10" s="1"/>
  <c r="BB202" i="10" a="1"/>
  <c r="BB202" i="10" s="1"/>
  <c r="BB203" i="10" a="1"/>
  <c r="BB203" i="10" s="1"/>
  <c r="BB204" i="10" a="1"/>
  <c r="BB204" i="10" s="1"/>
  <c r="BB205" i="10" a="1"/>
  <c r="BB205" i="10" s="1"/>
  <c r="BB206" i="10" a="1"/>
  <c r="BB206" i="10" s="1"/>
  <c r="BB207" i="10" a="1"/>
  <c r="BB207" i="10" s="1"/>
  <c r="BB208" i="10" a="1"/>
  <c r="BB208" i="10" s="1"/>
  <c r="BB209" i="10" a="1"/>
  <c r="BB209" i="10" s="1"/>
  <c r="BB210" i="10" a="1"/>
  <c r="BB210" i="10" s="1"/>
  <c r="BB211" i="10" a="1"/>
  <c r="BB211" i="10" s="1"/>
  <c r="BB212" i="10" a="1"/>
  <c r="BB212" i="10" s="1"/>
  <c r="BB213" i="10" a="1"/>
  <c r="BB213" i="10" s="1"/>
  <c r="BB214" i="10" a="1"/>
  <c r="BB214" i="10" s="1"/>
  <c r="BB215" i="10" a="1"/>
  <c r="BB215" i="10" s="1"/>
  <c r="BB216" i="10" a="1"/>
  <c r="BB216" i="10" s="1"/>
  <c r="BB217" i="10" a="1"/>
  <c r="BB217" i="10" s="1"/>
  <c r="BB218" i="10" a="1"/>
  <c r="BB218" i="10" s="1"/>
  <c r="BB219" i="10" a="1"/>
  <c r="BB219" i="10" s="1"/>
  <c r="BB220" i="10" a="1"/>
  <c r="BB220" i="10" s="1"/>
  <c r="BB221" i="10" a="1"/>
  <c r="BB221" i="10" s="1"/>
  <c r="BB222" i="10" a="1"/>
  <c r="BB222" i="10" s="1"/>
  <c r="BB223" i="10" a="1"/>
  <c r="BB223" i="10" s="1"/>
  <c r="BB224" i="10" a="1"/>
  <c r="BB224" i="10" s="1"/>
  <c r="BB225" i="10" a="1"/>
  <c r="BB225" i="10" s="1"/>
  <c r="BB226" i="10" a="1"/>
  <c r="BB226" i="10" s="1"/>
  <c r="BB227" i="10" a="1"/>
  <c r="BB227" i="10" s="1"/>
  <c r="BB228" i="10" a="1"/>
  <c r="BB228" i="10" s="1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44" i="10"/>
  <c r="AA57" i="10"/>
  <c r="AA81" i="10"/>
  <c r="AA82" i="10"/>
  <c r="AA95" i="10"/>
  <c r="AA96" i="10"/>
  <c r="AA109" i="10"/>
  <c r="AA110" i="10"/>
  <c r="AA111" i="10"/>
  <c r="AA112" i="10"/>
  <c r="AA113" i="10"/>
  <c r="AA114" i="10"/>
  <c r="AA115" i="10"/>
  <c r="AA116" i="10"/>
  <c r="AA165" i="10"/>
  <c r="AA166" i="10"/>
  <c r="AA167" i="10"/>
  <c r="AA168" i="10"/>
  <c r="AA169" i="10"/>
  <c r="AA170" i="10"/>
  <c r="AA171" i="10"/>
  <c r="AA172" i="10"/>
  <c r="AA173" i="10"/>
  <c r="AA174" i="10"/>
  <c r="AA175" i="10"/>
  <c r="AA176" i="10"/>
  <c r="AA177" i="10"/>
  <c r="AA178" i="10"/>
  <c r="AA179" i="10"/>
  <c r="AA180" i="10"/>
  <c r="AA181" i="10"/>
  <c r="AA226" i="10"/>
  <c r="AA227" i="10"/>
  <c r="AA228" i="10"/>
  <c r="M227" i="10"/>
  <c r="M228" i="10"/>
  <c r="L227" i="10"/>
  <c r="L228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31" i="10"/>
  <c r="M43" i="10"/>
  <c r="M44" i="10"/>
  <c r="M56" i="10"/>
  <c r="M57" i="10"/>
  <c r="M69" i="10"/>
  <c r="M80" i="10"/>
  <c r="M81" i="10"/>
  <c r="M82" i="10"/>
  <c r="M94" i="10"/>
  <c r="M95" i="10"/>
  <c r="M96" i="10"/>
  <c r="M108" i="10"/>
  <c r="M109" i="10"/>
  <c r="M110" i="10"/>
  <c r="M111" i="10"/>
  <c r="M112" i="10"/>
  <c r="M113" i="10"/>
  <c r="M114" i="10"/>
  <c r="M115" i="10"/>
  <c r="M116" i="10"/>
  <c r="M128" i="10"/>
  <c r="M140" i="10"/>
  <c r="M152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92" i="10"/>
  <c r="M203" i="10"/>
  <c r="M214" i="10"/>
  <c r="M225" i="10"/>
  <c r="M226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31" i="10"/>
  <c r="L43" i="10"/>
  <c r="L44" i="10"/>
  <c r="L56" i="10"/>
  <c r="L57" i="10"/>
  <c r="L69" i="10"/>
  <c r="L80" i="10"/>
  <c r="L81" i="10"/>
  <c r="L82" i="10"/>
  <c r="L94" i="10"/>
  <c r="L95" i="10"/>
  <c r="L96" i="10"/>
  <c r="L108" i="10"/>
  <c r="L109" i="10"/>
  <c r="L110" i="10"/>
  <c r="L111" i="10"/>
  <c r="L112" i="10"/>
  <c r="L113" i="10"/>
  <c r="L114" i="10"/>
  <c r="L115" i="10"/>
  <c r="L116" i="10"/>
  <c r="L128" i="10"/>
  <c r="L140" i="10"/>
  <c r="L152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92" i="10"/>
  <c r="L203" i="10"/>
  <c r="L214" i="10"/>
  <c r="L225" i="10"/>
  <c r="L226" i="10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H225" i="10"/>
  <c r="DD225" i="10" s="1"/>
  <c r="H224" i="10"/>
  <c r="H223" i="10"/>
  <c r="H222" i="10"/>
  <c r="H221" i="10"/>
  <c r="H220" i="10"/>
  <c r="H219" i="10"/>
  <c r="H218" i="10"/>
  <c r="H217" i="10"/>
  <c r="H216" i="10"/>
  <c r="H215" i="10"/>
  <c r="H214" i="10"/>
  <c r="AA214" i="10" s="1"/>
  <c r="H213" i="10"/>
  <c r="H212" i="10"/>
  <c r="DD212" i="10" s="1"/>
  <c r="H211" i="10"/>
  <c r="DD211" i="10" s="1"/>
  <c r="H210" i="10"/>
  <c r="DD210" i="10" s="1"/>
  <c r="H209" i="10"/>
  <c r="DD209" i="10" s="1"/>
  <c r="H208" i="10"/>
  <c r="DD208" i="10" s="1"/>
  <c r="H207" i="10"/>
  <c r="DD207" i="10" s="1"/>
  <c r="H206" i="10"/>
  <c r="DD206" i="10" s="1"/>
  <c r="H205" i="10"/>
  <c r="DD205" i="10" s="1"/>
  <c r="H204" i="10"/>
  <c r="H203" i="10"/>
  <c r="AA203" i="10" s="1"/>
  <c r="H202" i="10"/>
  <c r="H201" i="10"/>
  <c r="H200" i="10"/>
  <c r="H199" i="10"/>
  <c r="H198" i="10"/>
  <c r="H197" i="10"/>
  <c r="H196" i="10"/>
  <c r="H195" i="10"/>
  <c r="H194" i="10"/>
  <c r="H193" i="10"/>
  <c r="H192" i="10"/>
  <c r="DD192" i="10" s="1"/>
  <c r="H191" i="10"/>
  <c r="DD191" i="10" s="1"/>
  <c r="H190" i="10"/>
  <c r="DD190" i="10" s="1"/>
  <c r="H189" i="10"/>
  <c r="DD189" i="10" s="1"/>
  <c r="H188" i="10"/>
  <c r="DD188" i="10" s="1"/>
  <c r="H187" i="10"/>
  <c r="DD187" i="10" s="1"/>
  <c r="H186" i="10"/>
  <c r="DD186" i="10" s="1"/>
  <c r="H185" i="10"/>
  <c r="DD185" i="10" s="1"/>
  <c r="H184" i="10"/>
  <c r="H183" i="10"/>
  <c r="H182" i="10"/>
  <c r="H164" i="10"/>
  <c r="AA164" i="10" s="1"/>
  <c r="H163" i="10"/>
  <c r="H162" i="10"/>
  <c r="H161" i="10"/>
  <c r="H160" i="10"/>
  <c r="H159" i="10"/>
  <c r="H158" i="10"/>
  <c r="H157" i="10"/>
  <c r="H156" i="10"/>
  <c r="H155" i="10"/>
  <c r="H154" i="10"/>
  <c r="H152" i="10"/>
  <c r="DD152" i="10" s="1"/>
  <c r="H151" i="10"/>
  <c r="DD151" i="10" s="1"/>
  <c r="H150" i="10"/>
  <c r="DD150" i="10" s="1"/>
  <c r="H149" i="10"/>
  <c r="DD149" i="10" s="1"/>
  <c r="H148" i="10"/>
  <c r="DD148" i="10" s="1"/>
  <c r="H147" i="10"/>
  <c r="DD147" i="10" s="1"/>
  <c r="H146" i="10"/>
  <c r="DD146" i="10" s="1"/>
  <c r="H145" i="10"/>
  <c r="DD145" i="10" s="1"/>
  <c r="H144" i="10"/>
  <c r="H143" i="10"/>
  <c r="H142" i="10"/>
  <c r="H140" i="10"/>
  <c r="AA140" i="10" s="1"/>
  <c r="H139" i="10"/>
  <c r="H138" i="10"/>
  <c r="H137" i="10"/>
  <c r="H136" i="10"/>
  <c r="H135" i="10"/>
  <c r="H134" i="10"/>
  <c r="H133" i="10"/>
  <c r="H132" i="10"/>
  <c r="DD132" i="10" s="1"/>
  <c r="H131" i="10"/>
  <c r="DD131" i="10" s="1"/>
  <c r="H130" i="10"/>
  <c r="DD130" i="10" s="1"/>
  <c r="H128" i="10"/>
  <c r="DD128" i="10" s="1"/>
  <c r="H127" i="10"/>
  <c r="DD127" i="10" s="1"/>
  <c r="H126" i="10"/>
  <c r="DD126" i="10" s="1"/>
  <c r="H125" i="10"/>
  <c r="DD125" i="10" s="1"/>
  <c r="H124" i="10"/>
  <c r="H123" i="10"/>
  <c r="H122" i="10"/>
  <c r="H121" i="10"/>
  <c r="H120" i="10"/>
  <c r="H119" i="10"/>
  <c r="H118" i="10"/>
  <c r="H108" i="10"/>
  <c r="DD108" i="10" s="1"/>
  <c r="H107" i="10"/>
  <c r="DD107" i="10" s="1"/>
  <c r="H106" i="10"/>
  <c r="DD106" i="10" s="1"/>
  <c r="H105" i="10"/>
  <c r="DD105" i="10" s="1"/>
  <c r="H104" i="10"/>
  <c r="H103" i="10"/>
  <c r="H102" i="10"/>
  <c r="H101" i="10"/>
  <c r="H100" i="10"/>
  <c r="H99" i="10"/>
  <c r="H98" i="10"/>
  <c r="H94" i="10"/>
  <c r="AA94" i="10" s="1"/>
  <c r="H93" i="10"/>
  <c r="H92" i="10"/>
  <c r="DD92" i="10" s="1"/>
  <c r="H91" i="10"/>
  <c r="DD91" i="10" s="1"/>
  <c r="H90" i="10"/>
  <c r="DD90" i="10" s="1"/>
  <c r="H89" i="10"/>
  <c r="DD89" i="10" s="1"/>
  <c r="H88" i="10"/>
  <c r="DD88" i="10" s="1"/>
  <c r="H87" i="10"/>
  <c r="DD87" i="10" s="1"/>
  <c r="H86" i="10"/>
  <c r="DD86" i="10" s="1"/>
  <c r="H85" i="10"/>
  <c r="DD85" i="10" s="1"/>
  <c r="H84" i="10"/>
  <c r="H80" i="10"/>
  <c r="AA80" i="10" s="1"/>
  <c r="H79" i="10"/>
  <c r="H78" i="10"/>
  <c r="H77" i="10"/>
  <c r="H76" i="10"/>
  <c r="H75" i="10"/>
  <c r="H74" i="10"/>
  <c r="H73" i="10"/>
  <c r="H72" i="10"/>
  <c r="DD72" i="10" s="1"/>
  <c r="H71" i="10"/>
  <c r="DD71" i="10" s="1"/>
  <c r="H69" i="10"/>
  <c r="DD69" i="10" s="1"/>
  <c r="H68" i="10"/>
  <c r="DD68" i="10" s="1"/>
  <c r="H67" i="10"/>
  <c r="DD67" i="10" s="1"/>
  <c r="H66" i="10"/>
  <c r="DD66" i="10" s="1"/>
  <c r="H65" i="10"/>
  <c r="DD65" i="10" s="1"/>
  <c r="H64" i="10"/>
  <c r="H63" i="10"/>
  <c r="H62" i="10"/>
  <c r="H61" i="10"/>
  <c r="H60" i="10"/>
  <c r="H59" i="10"/>
  <c r="H56" i="10"/>
  <c r="AA56" i="10" s="1"/>
  <c r="H55" i="10"/>
  <c r="H54" i="10"/>
  <c r="H53" i="10"/>
  <c r="H52" i="10"/>
  <c r="DD52" i="10" s="1"/>
  <c r="H51" i="10"/>
  <c r="DD51" i="10" s="1"/>
  <c r="H50" i="10"/>
  <c r="DD50" i="10" s="1"/>
  <c r="H49" i="10"/>
  <c r="DD49" i="10" s="1"/>
  <c r="H48" i="10"/>
  <c r="DD48" i="10" s="1"/>
  <c r="H47" i="10"/>
  <c r="DD47" i="10" s="1"/>
  <c r="H46" i="10"/>
  <c r="DD46" i="10" s="1"/>
  <c r="H43" i="10"/>
  <c r="AA43" i="10" s="1"/>
  <c r="H42" i="10"/>
  <c r="H41" i="10"/>
  <c r="H40" i="10"/>
  <c r="H39" i="10"/>
  <c r="H38" i="10"/>
  <c r="H37" i="10"/>
  <c r="H36" i="10"/>
  <c r="H35" i="10"/>
  <c r="H34" i="10"/>
  <c r="H33" i="10"/>
  <c r="H31" i="10"/>
  <c r="DD31" i="10" s="1"/>
  <c r="H30" i="10"/>
  <c r="DD30" i="10" s="1"/>
  <c r="H29" i="10"/>
  <c r="DD29" i="10" s="1"/>
  <c r="H28" i="10"/>
  <c r="DD28" i="10" s="1"/>
  <c r="H27" i="10"/>
  <c r="DD27" i="10" s="1"/>
  <c r="H26" i="10"/>
  <c r="DD26" i="10" s="1"/>
  <c r="H25" i="10"/>
  <c r="DD25" i="10" s="1"/>
  <c r="H24" i="10"/>
  <c r="H23" i="10"/>
  <c r="H22" i="10"/>
  <c r="H21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4" i="10"/>
  <c r="E213" i="10"/>
  <c r="E212" i="10"/>
  <c r="E211" i="10"/>
  <c r="E210" i="10"/>
  <c r="E209" i="10"/>
  <c r="E208" i="10"/>
  <c r="E207" i="10"/>
  <c r="E206" i="10"/>
  <c r="E205" i="10"/>
  <c r="E203" i="10"/>
  <c r="E202" i="10"/>
  <c r="E201" i="10"/>
  <c r="CD201" i="10" s="1"/>
  <c r="E200" i="10"/>
  <c r="E199" i="10"/>
  <c r="E198" i="10"/>
  <c r="E197" i="10"/>
  <c r="E196" i="10"/>
  <c r="E195" i="10"/>
  <c r="E194" i="10"/>
  <c r="E192" i="10"/>
  <c r="E191" i="10"/>
  <c r="E190" i="10"/>
  <c r="E189" i="10"/>
  <c r="E188" i="10"/>
  <c r="E187" i="10"/>
  <c r="E186" i="10"/>
  <c r="E185" i="10"/>
  <c r="E184" i="10"/>
  <c r="CD184" i="10" s="1"/>
  <c r="E183" i="10"/>
  <c r="CD183" i="10" s="1"/>
  <c r="E181" i="10"/>
  <c r="E180" i="10"/>
  <c r="E179" i="10"/>
  <c r="E178" i="10"/>
  <c r="E177" i="10"/>
  <c r="E176" i="10"/>
  <c r="E173" i="10"/>
  <c r="E172" i="10"/>
  <c r="E171" i="10"/>
  <c r="E170" i="10"/>
  <c r="E169" i="10"/>
  <c r="E168" i="10"/>
  <c r="E166" i="10"/>
  <c r="E164" i="10"/>
  <c r="E163" i="10"/>
  <c r="E162" i="10"/>
  <c r="E161" i="10"/>
  <c r="E160" i="10"/>
  <c r="E159" i="10"/>
  <c r="E158" i="10"/>
  <c r="CD158" i="10" s="1"/>
  <c r="E157" i="10"/>
  <c r="E156" i="10"/>
  <c r="CD156" i="10" s="1"/>
  <c r="E155" i="10"/>
  <c r="CD155" i="10" s="1"/>
  <c r="E154" i="10"/>
  <c r="E152" i="10"/>
  <c r="E151" i="10"/>
  <c r="E150" i="10"/>
  <c r="E149" i="10"/>
  <c r="E148" i="10"/>
  <c r="E147" i="10"/>
  <c r="E146" i="10"/>
  <c r="E145" i="10"/>
  <c r="E144" i="10"/>
  <c r="E143" i="10"/>
  <c r="E142" i="10"/>
  <c r="E140" i="10"/>
  <c r="E139" i="10"/>
  <c r="E138" i="10"/>
  <c r="E137" i="10"/>
  <c r="CD137" i="10" s="1"/>
  <c r="E136" i="10"/>
  <c r="CD136" i="10" s="1"/>
  <c r="E135" i="10"/>
  <c r="CD135" i="10" s="1"/>
  <c r="E134" i="10"/>
  <c r="E133" i="10"/>
  <c r="E132" i="10"/>
  <c r="E131" i="10"/>
  <c r="E130" i="10"/>
  <c r="E128" i="10"/>
  <c r="E127" i="10"/>
  <c r="E126" i="10"/>
  <c r="E125" i="10"/>
  <c r="E124" i="10"/>
  <c r="E123" i="10"/>
  <c r="E122" i="10"/>
  <c r="E121" i="10"/>
  <c r="E120" i="10"/>
  <c r="E119" i="10"/>
  <c r="E118" i="10"/>
  <c r="E116" i="10"/>
  <c r="E114" i="10"/>
  <c r="E112" i="10"/>
  <c r="E111" i="10"/>
  <c r="E108" i="10"/>
  <c r="CD108" i="10" s="1"/>
  <c r="E107" i="10"/>
  <c r="E106" i="10"/>
  <c r="E105" i="10"/>
  <c r="E104" i="10"/>
  <c r="E103" i="10"/>
  <c r="E102" i="10"/>
  <c r="E101" i="10"/>
  <c r="E100" i="10"/>
  <c r="E99" i="10"/>
  <c r="E98" i="10"/>
  <c r="E96" i="10"/>
  <c r="E94" i="10"/>
  <c r="E93" i="10"/>
  <c r="E92" i="10"/>
  <c r="E91" i="10"/>
  <c r="E90" i="10"/>
  <c r="E89" i="10"/>
  <c r="E88" i="10"/>
  <c r="E87" i="10"/>
  <c r="CD87" i="10" s="1"/>
  <c r="E86" i="10"/>
  <c r="E85" i="10"/>
  <c r="E84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69" i="10"/>
  <c r="E68" i="10"/>
  <c r="E67" i="10"/>
  <c r="E66" i="10"/>
  <c r="E65" i="10"/>
  <c r="E64" i="10"/>
  <c r="E63" i="10"/>
  <c r="E62" i="10"/>
  <c r="E61" i="10"/>
  <c r="E60" i="10"/>
  <c r="E59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3" i="10"/>
  <c r="E42" i="10"/>
  <c r="E41" i="10"/>
  <c r="E40" i="10"/>
  <c r="E39" i="10"/>
  <c r="E38" i="10"/>
  <c r="E37" i="10"/>
  <c r="E36" i="10"/>
  <c r="E35" i="10"/>
  <c r="E34" i="10"/>
  <c r="E33" i="10"/>
  <c r="E31" i="10"/>
  <c r="E30" i="10"/>
  <c r="E29" i="10"/>
  <c r="E28" i="10"/>
  <c r="E27" i="10"/>
  <c r="E26" i="10"/>
  <c r="E25" i="10"/>
  <c r="E24" i="10"/>
  <c r="E23" i="10"/>
  <c r="CD23" i="10" s="1"/>
  <c r="E22" i="10"/>
  <c r="E21" i="10"/>
  <c r="CD21" i="10" s="1"/>
  <c r="E19" i="10"/>
  <c r="E13" i="10"/>
  <c r="E11" i="10"/>
  <c r="E4" i="10"/>
  <c r="E3" i="10"/>
  <c r="CD133" i="10" l="1"/>
  <c r="BY92" i="10" a="1"/>
  <c r="BY92" i="10" s="1"/>
  <c r="CE92" i="10" s="1" a="1"/>
  <c r="CE92" i="10" s="1"/>
  <c r="CA129" i="10" a="1"/>
  <c r="CA129" i="10" s="1"/>
  <c r="CP129" i="10" s="1"/>
  <c r="BY12" i="10" a="1"/>
  <c r="BY12" i="10" s="1"/>
  <c r="BY86" i="10" a="1"/>
  <c r="BY86" i="10" s="1"/>
  <c r="DI86" i="10" s="1" a="1"/>
  <c r="DI86" i="10" s="1"/>
  <c r="CB213" i="10" a="1"/>
  <c r="CB213" i="10" s="1"/>
  <c r="CC213" i="10" s="1"/>
  <c r="BY83" i="10" a="1"/>
  <c r="BY83" i="10" s="1"/>
  <c r="CE83" i="10" s="1" a="1"/>
  <c r="CE83" i="10" s="1"/>
  <c r="BY9" i="10" a="1"/>
  <c r="BY9" i="10" s="1"/>
  <c r="CB12" i="10" a="1"/>
  <c r="CB12" i="10" s="1"/>
  <c r="CC12" i="10" s="1"/>
  <c r="BY53" i="10" a="1"/>
  <c r="BY53" i="10" s="1"/>
  <c r="CB206" i="10" a="1"/>
  <c r="CB206" i="10" s="1"/>
  <c r="CC206" i="10" s="1"/>
  <c r="CD206" i="10" s="1"/>
  <c r="CB6" i="10" a="1"/>
  <c r="CB6" i="10" s="1"/>
  <c r="CC6" i="10" s="1"/>
  <c r="CB203" i="10" a="1"/>
  <c r="CB203" i="10" s="1"/>
  <c r="CC203" i="10" s="1"/>
  <c r="CD203" i="10" s="1"/>
  <c r="CB153" i="10" a="1"/>
  <c r="CB153" i="10" s="1"/>
  <c r="CC153" i="10" s="1"/>
  <c r="CD153" i="10" s="1"/>
  <c r="CB102" i="10" a="1"/>
  <c r="CB102" i="10" s="1"/>
  <c r="CC102" i="10" s="1"/>
  <c r="CD102" i="10" s="1"/>
  <c r="CD52" i="10"/>
  <c r="CD74" i="10"/>
  <c r="CD122" i="10"/>
  <c r="CD190" i="10"/>
  <c r="BY192" i="10" a="1"/>
  <c r="BY192" i="10" s="1"/>
  <c r="CE192" i="10" s="1" a="1"/>
  <c r="CE192" i="10" s="1"/>
  <c r="BY152" i="10" a="1"/>
  <c r="BY152" i="10" s="1"/>
  <c r="BY42" i="10" a="1"/>
  <c r="BY42" i="10" s="1"/>
  <c r="CE42" i="10" s="1" a="1"/>
  <c r="CE42" i="10" s="1"/>
  <c r="CA178" i="10" a="1"/>
  <c r="CA178" i="10" s="1"/>
  <c r="CP178" i="10" s="1"/>
  <c r="CA153" i="10" a="1"/>
  <c r="CA153" i="10" s="1"/>
  <c r="CP153" i="10" s="1"/>
  <c r="CB52" i="10" a="1"/>
  <c r="CB52" i="10" s="1"/>
  <c r="CC52" i="10" s="1"/>
  <c r="BY172" i="10" a="1"/>
  <c r="BY172" i="10" s="1"/>
  <c r="CD134" i="10"/>
  <c r="BY132" i="10" a="1"/>
  <c r="BY132" i="10" s="1"/>
  <c r="CE132" i="10" s="1" a="1"/>
  <c r="CE132" i="10" s="1"/>
  <c r="CD159" i="10"/>
  <c r="CB106" i="10" a="1"/>
  <c r="CB106" i="10" s="1"/>
  <c r="CC106" i="10" s="1"/>
  <c r="CD106" i="10" s="1"/>
  <c r="BY47" i="10" a="1"/>
  <c r="BY47" i="10" s="1"/>
  <c r="CF47" i="10" s="1" a="1"/>
  <c r="CF47" i="10" s="1"/>
  <c r="CD53" i="10"/>
  <c r="CD98" i="10"/>
  <c r="CD213" i="10"/>
  <c r="BY189" i="10" a="1"/>
  <c r="BY189" i="10" s="1"/>
  <c r="CF189" i="10" s="1" a="1"/>
  <c r="CF189" i="10" s="1"/>
  <c r="BY110" i="10" a="1"/>
  <c r="BY110" i="10" s="1"/>
  <c r="DI110" i="10" s="1" a="1"/>
  <c r="DI110" i="10" s="1"/>
  <c r="BY74" i="10" a="1"/>
  <c r="BY74" i="10" s="1"/>
  <c r="CE74" i="10" s="1" a="1"/>
  <c r="CE74" i="10" s="1"/>
  <c r="CA16" i="10" a="1"/>
  <c r="CA16" i="10" s="1"/>
  <c r="CP16" i="10" s="1"/>
  <c r="CB142" i="10" a="1"/>
  <c r="CB142" i="10" s="1"/>
  <c r="CC142" i="10" s="1"/>
  <c r="CB95" i="10" a="1"/>
  <c r="CB95" i="10" s="1"/>
  <c r="CC95" i="10" s="1"/>
  <c r="BY173" i="10" a="1"/>
  <c r="BY173" i="10" s="1"/>
  <c r="CD42" i="10"/>
  <c r="BY182" i="10" a="1"/>
  <c r="BY182" i="10" s="1"/>
  <c r="BY150" i="10" a="1"/>
  <c r="BY150" i="10" s="1"/>
  <c r="CE150" i="10" s="1" a="1"/>
  <c r="CE150" i="10" s="1"/>
  <c r="BY109" i="10" a="1"/>
  <c r="BY109" i="10" s="1"/>
  <c r="BY73" i="10" a="1"/>
  <c r="BY73" i="10" s="1"/>
  <c r="DI73" i="10" s="1" a="1"/>
  <c r="DI73" i="10" s="1"/>
  <c r="BY37" i="10" a="1"/>
  <c r="BY37" i="10" s="1"/>
  <c r="DI37" i="10" s="1" a="1"/>
  <c r="DI37" i="10" s="1"/>
  <c r="CA177" i="10" a="1"/>
  <c r="CA177" i="10" s="1"/>
  <c r="CP177" i="10" s="1"/>
  <c r="CA15" i="10" a="1"/>
  <c r="CA15" i="10" s="1"/>
  <c r="CP15" i="10" s="1"/>
  <c r="CD179" i="10"/>
  <c r="CD86" i="10"/>
  <c r="CD202" i="10"/>
  <c r="BY93" i="10" a="1"/>
  <c r="BY93" i="10" s="1"/>
  <c r="CE93" i="10" s="1" a="1"/>
  <c r="CE93" i="10" s="1"/>
  <c r="CD22" i="10"/>
  <c r="CB173" i="10" a="1"/>
  <c r="CB173" i="10" s="1"/>
  <c r="CC173" i="10" s="1"/>
  <c r="CD173" i="10" s="1"/>
  <c r="CB2" i="10" a="1"/>
  <c r="CB2" i="10" s="1"/>
  <c r="CC2" i="10" s="1"/>
  <c r="BY214" i="10" a="1"/>
  <c r="BY214" i="10" s="1"/>
  <c r="CE214" i="10" s="1" a="1"/>
  <c r="CE214" i="10" s="1"/>
  <c r="BY149" i="10" a="1"/>
  <c r="BY149" i="10" s="1"/>
  <c r="BY100" i="10" a="1"/>
  <c r="BY100" i="10" s="1"/>
  <c r="BY72" i="10" a="1"/>
  <c r="BY72" i="10" s="1"/>
  <c r="CF72" i="10" s="1" a="1"/>
  <c r="CF72" i="10" s="1"/>
  <c r="CA193" i="10" a="1"/>
  <c r="CA193" i="10" s="1"/>
  <c r="CP193" i="10" s="1"/>
  <c r="CA14" i="10" a="1"/>
  <c r="CA14" i="10" s="1"/>
  <c r="CP14" i="10" s="1"/>
  <c r="CB193" i="10" a="1"/>
  <c r="CB193" i="10" s="1"/>
  <c r="CC193" i="10" s="1"/>
  <c r="CB141" i="10" a="1"/>
  <c r="CB141" i="10" s="1"/>
  <c r="CC141" i="10" s="1"/>
  <c r="CB41" i="10" a="1"/>
  <c r="CB41" i="10" s="1"/>
  <c r="CC41" i="10" s="1"/>
  <c r="CD41" i="10" s="1"/>
  <c r="BY170" i="10" a="1"/>
  <c r="BY170" i="10" s="1"/>
  <c r="CF170" i="10" s="1" a="1"/>
  <c r="CF170" i="10" s="1"/>
  <c r="CD112" i="10"/>
  <c r="BY177" i="10" a="1"/>
  <c r="BY177" i="10" s="1"/>
  <c r="CF177" i="10" s="1" a="1"/>
  <c r="CF177" i="10" s="1"/>
  <c r="BY139" i="10" a="1"/>
  <c r="BY139" i="10" s="1"/>
  <c r="CF139" i="10" s="1" a="1"/>
  <c r="CF139" i="10" s="1"/>
  <c r="BY99" i="10" a="1"/>
  <c r="BY99" i="10" s="1"/>
  <c r="DI99" i="10" s="1" a="1"/>
  <c r="DI99" i="10" s="1"/>
  <c r="BY71" i="10" a="1"/>
  <c r="BY71" i="10" s="1"/>
  <c r="CE71" i="10" s="1" a="1"/>
  <c r="CE71" i="10" s="1"/>
  <c r="BY36" i="10" a="1"/>
  <c r="BY36" i="10" s="1"/>
  <c r="CF36" i="10" s="1" a="1"/>
  <c r="CF36" i="10" s="1"/>
  <c r="CA174" i="10" a="1"/>
  <c r="CA174" i="10" s="1"/>
  <c r="CP174" i="10" s="1"/>
  <c r="CA13" i="10" a="1"/>
  <c r="CA13" i="10" s="1"/>
  <c r="CP13" i="10" s="1"/>
  <c r="BY33" i="10" a="1"/>
  <c r="BY33" i="10" s="1"/>
  <c r="BY32" i="10" a="1"/>
  <c r="BY32" i="10" s="1"/>
  <c r="CD62" i="10"/>
  <c r="CA113" i="10" a="1"/>
  <c r="CA113" i="10" s="1"/>
  <c r="CP113" i="10" s="1"/>
  <c r="CD46" i="10"/>
  <c r="CB172" i="10" a="1"/>
  <c r="CB172" i="10" s="1"/>
  <c r="CC172" i="10" s="1"/>
  <c r="CD172" i="10" s="1"/>
  <c r="BY10" i="10" a="1"/>
  <c r="BY10" i="10" s="1"/>
  <c r="CB113" i="10" a="1"/>
  <c r="CB113" i="10" s="1"/>
  <c r="CC113" i="10" s="1"/>
  <c r="CD113" i="10" s="1"/>
  <c r="CB13" i="10" a="1"/>
  <c r="CB13" i="10" s="1"/>
  <c r="CC13" i="10" s="1"/>
  <c r="CD13" i="10" s="1"/>
  <c r="CB212" i="10" a="1"/>
  <c r="CB212" i="10" s="1"/>
  <c r="CC212" i="10" s="1"/>
  <c r="CD212" i="10" s="1"/>
  <c r="CB112" i="10" a="1"/>
  <c r="CB112" i="10" s="1"/>
  <c r="CC112" i="10" s="1"/>
  <c r="BY82" i="10" a="1"/>
  <c r="BY82" i="10" s="1"/>
  <c r="BY50" i="10" a="1"/>
  <c r="BY50" i="10" s="1"/>
  <c r="DI50" i="10" s="1" a="1"/>
  <c r="DI50" i="10" s="1"/>
  <c r="CB103" i="10" a="1"/>
  <c r="CB103" i="10" s="1"/>
  <c r="CC103" i="10" s="1"/>
  <c r="CD103" i="10" s="1"/>
  <c r="CB3" i="10" a="1"/>
  <c r="CB3" i="10" s="1"/>
  <c r="CC3" i="10" s="1"/>
  <c r="CD3" i="10" s="1"/>
  <c r="CD94" i="10"/>
  <c r="BY112" i="10" a="1"/>
  <c r="BY112" i="10" s="1"/>
  <c r="DI112" i="10" s="1" a="1"/>
  <c r="DI112" i="10" s="1"/>
  <c r="CD54" i="10"/>
  <c r="CD35" i="10"/>
  <c r="BY35" i="10" a="1"/>
  <c r="BY35" i="10" s="1"/>
  <c r="CA4" i="10" a="1"/>
  <c r="CA4" i="10" s="1"/>
  <c r="CP4" i="10" s="1"/>
  <c r="CB140" i="10" a="1"/>
  <c r="CB140" i="10" s="1"/>
  <c r="CC140" i="10" s="1"/>
  <c r="CD140" i="10" s="1"/>
  <c r="CB40" i="10" a="1"/>
  <c r="CB40" i="10" s="1"/>
  <c r="CC40" i="10" s="1"/>
  <c r="CD40" i="10" s="1"/>
  <c r="CF30" i="10" a="1"/>
  <c r="CF30" i="10" s="1"/>
  <c r="CE30" i="10" a="1"/>
  <c r="CE30" i="10" s="1"/>
  <c r="DI30" i="10" a="1"/>
  <c r="DI30" i="10" s="1"/>
  <c r="DI107" i="10" a="1"/>
  <c r="DI107" i="10" s="1"/>
  <c r="CF107" i="10" a="1"/>
  <c r="CF107" i="10" s="1"/>
  <c r="CE107" i="10" a="1"/>
  <c r="CE107" i="10" s="1"/>
  <c r="DI104" i="10" a="1"/>
  <c r="DI104" i="10" s="1"/>
  <c r="CE104" i="10" a="1"/>
  <c r="CE104" i="10" s="1"/>
  <c r="CF104" i="10" a="1"/>
  <c r="CF104" i="10" s="1"/>
  <c r="DI223" i="10" a="1"/>
  <c r="DI223" i="10" s="1"/>
  <c r="CF223" i="10" a="1"/>
  <c r="CF223" i="10" s="1"/>
  <c r="CE223" i="10" a="1"/>
  <c r="CE223" i="10" s="1"/>
  <c r="DI63" i="10" a="1"/>
  <c r="DI63" i="10" s="1"/>
  <c r="CE63" i="10" a="1"/>
  <c r="CE63" i="10" s="1"/>
  <c r="CF63" i="10" a="1"/>
  <c r="CF63" i="10" s="1"/>
  <c r="DI102" i="10" a="1"/>
  <c r="DI102" i="10" s="1"/>
  <c r="CE102" i="10" a="1"/>
  <c r="CE102" i="10" s="1"/>
  <c r="CF102" i="10" a="1"/>
  <c r="CF102" i="10" s="1"/>
  <c r="DI221" i="10" a="1"/>
  <c r="DI221" i="10" s="1"/>
  <c r="CF221" i="10" a="1"/>
  <c r="CF221" i="10" s="1"/>
  <c r="CE221" i="10" a="1"/>
  <c r="CE221" i="10" s="1"/>
  <c r="CF141" i="10" a="1"/>
  <c r="CF141" i="10" s="1"/>
  <c r="DI141" i="10" a="1"/>
  <c r="DI141" i="10" s="1"/>
  <c r="CE141" i="10" a="1"/>
  <c r="CE141" i="10" s="1"/>
  <c r="DI101" i="10" a="1"/>
  <c r="DI101" i="10" s="1"/>
  <c r="CE101" i="10" a="1"/>
  <c r="CE101" i="10" s="1"/>
  <c r="CF101" i="10" a="1"/>
  <c r="CF101" i="10" s="1"/>
  <c r="CF41" i="10" a="1"/>
  <c r="CF41" i="10" s="1"/>
  <c r="CE41" i="10" a="1"/>
  <c r="CE41" i="10" s="1"/>
  <c r="DI41" i="10" a="1"/>
  <c r="DI41" i="10" s="1"/>
  <c r="CF191" i="10" a="1"/>
  <c r="CF191" i="10" s="1"/>
  <c r="DI191" i="10" a="1"/>
  <c r="DI191" i="10" s="1"/>
  <c r="CE191" i="10" a="1"/>
  <c r="CE191" i="10" s="1"/>
  <c r="CF130" i="10" a="1"/>
  <c r="CF130" i="10" s="1"/>
  <c r="DI130" i="10" a="1"/>
  <c r="DI130" i="10" s="1"/>
  <c r="CE130" i="10" a="1"/>
  <c r="CE130" i="10" s="1"/>
  <c r="DI89" i="10" a="1"/>
  <c r="DI89" i="10" s="1"/>
  <c r="CE89" i="10" a="1"/>
  <c r="CE89" i="10" s="1"/>
  <c r="CF89" i="10" a="1"/>
  <c r="CF89" i="10" s="1"/>
  <c r="CF128" i="10" a="1"/>
  <c r="CF128" i="10" s="1"/>
  <c r="DI128" i="10" a="1"/>
  <c r="DI128" i="10" s="1"/>
  <c r="CE128" i="10" a="1"/>
  <c r="CE128" i="10" s="1"/>
  <c r="CE167" i="10" a="1"/>
  <c r="CE167" i="10" s="1"/>
  <c r="CF167" i="10" a="1"/>
  <c r="CF167" i="10" s="1"/>
  <c r="DI167" i="10" a="1"/>
  <c r="DI167" i="10" s="1"/>
  <c r="CF199" i="10" a="1"/>
  <c r="CF199" i="10" s="1"/>
  <c r="DI199" i="10" a="1"/>
  <c r="DI199" i="10" s="1"/>
  <c r="CE199" i="10" a="1"/>
  <c r="CE199" i="10" s="1"/>
  <c r="CB185" i="10" a="1"/>
  <c r="CB185" i="10" s="1"/>
  <c r="CC185" i="10" s="1"/>
  <c r="CD185" i="10" s="1"/>
  <c r="BY185" i="10" a="1"/>
  <c r="BY185" i="10" s="1"/>
  <c r="DI103" i="10" a="1"/>
  <c r="DI103" i="10" s="1"/>
  <c r="CF103" i="10" a="1"/>
  <c r="CF103" i="10" s="1"/>
  <c r="CE103" i="10" a="1"/>
  <c r="CE103" i="10" s="1"/>
  <c r="CE3" i="10" a="1"/>
  <c r="CE3" i="10" s="1"/>
  <c r="DI3" i="10" a="1"/>
  <c r="DI3" i="10" s="1"/>
  <c r="CF3" i="10" a="1"/>
  <c r="CF3" i="10" s="1"/>
  <c r="CE2" i="10" a="1"/>
  <c r="CE2" i="10" s="1"/>
  <c r="DI2" i="10" a="1"/>
  <c r="DI2" i="10" s="1"/>
  <c r="CF2" i="10" a="1"/>
  <c r="CF2" i="10" s="1"/>
  <c r="DI9" i="10" a="1"/>
  <c r="DI9" i="10" s="1"/>
  <c r="CF9" i="10" a="1"/>
  <c r="CF9" i="10" s="1"/>
  <c r="CE9" i="10" a="1"/>
  <c r="CE9" i="10" s="1"/>
  <c r="CD144" i="10"/>
  <c r="CF180" i="10" a="1"/>
  <c r="CF180" i="10" s="1"/>
  <c r="DI180" i="10" a="1"/>
  <c r="DI180" i="10" s="1"/>
  <c r="CE180" i="10" a="1"/>
  <c r="CE180" i="10" s="1"/>
  <c r="CE140" i="10" a="1"/>
  <c r="CE140" i="10" s="1"/>
  <c r="CF140" i="10" a="1"/>
  <c r="CF140" i="10" s="1"/>
  <c r="DI140" i="10" a="1"/>
  <c r="DI140" i="10" s="1"/>
  <c r="CE40" i="10" a="1"/>
  <c r="CE40" i="10" s="1"/>
  <c r="DI40" i="10" a="1"/>
  <c r="DI40" i="10" s="1"/>
  <c r="CF40" i="10" a="1"/>
  <c r="CF40" i="10" s="1"/>
  <c r="DI158" i="10" a="1"/>
  <c r="DI158" i="10" s="1"/>
  <c r="CE158" i="10" a="1"/>
  <c r="CE158" i="10" s="1"/>
  <c r="CF158" i="10" a="1"/>
  <c r="CF158" i="10" s="1"/>
  <c r="CE118" i="10" a="1"/>
  <c r="CE118" i="10" s="1"/>
  <c r="CF118" i="10" a="1"/>
  <c r="CF118" i="10" s="1"/>
  <c r="DI118" i="10" a="1"/>
  <c r="DI118" i="10" s="1"/>
  <c r="CF80" i="10" a="1"/>
  <c r="CF80" i="10" s="1"/>
  <c r="DI80" i="10" a="1"/>
  <c r="DI80" i="10" s="1"/>
  <c r="CE80" i="10" a="1"/>
  <c r="CE80" i="10" s="1"/>
  <c r="DI131" i="10" a="1"/>
  <c r="DI131" i="10" s="1"/>
  <c r="CE131" i="10" a="1"/>
  <c r="CE131" i="10" s="1"/>
  <c r="CF131" i="10" a="1"/>
  <c r="CF131" i="10" s="1"/>
  <c r="DI51" i="10" a="1"/>
  <c r="DI51" i="10" s="1"/>
  <c r="CF51" i="10" a="1"/>
  <c r="CF51" i="10" s="1"/>
  <c r="CE51" i="10" a="1"/>
  <c r="CE51" i="10" s="1"/>
  <c r="DI97" i="10" a="1"/>
  <c r="DI97" i="10" s="1"/>
  <c r="CF97" i="10" a="1"/>
  <c r="CF97" i="10" s="1"/>
  <c r="CE97" i="10" a="1"/>
  <c r="CE97" i="10" s="1"/>
  <c r="CF190" i="10" a="1"/>
  <c r="CF190" i="10" s="1"/>
  <c r="DI190" i="10" a="1"/>
  <c r="DI190" i="10" s="1"/>
  <c r="CE190" i="10" a="1"/>
  <c r="CE190" i="10" s="1"/>
  <c r="CF136" i="10" a="1"/>
  <c r="CF136" i="10" s="1"/>
  <c r="DI136" i="10" a="1"/>
  <c r="DI136" i="10" s="1"/>
  <c r="CE136" i="10" a="1"/>
  <c r="CE136" i="10" s="1"/>
  <c r="CF129" i="10" a="1"/>
  <c r="CF129" i="10" s="1"/>
  <c r="DI129" i="10" a="1"/>
  <c r="DI129" i="10" s="1"/>
  <c r="CE129" i="10" a="1"/>
  <c r="CE129" i="10" s="1"/>
  <c r="CF29" i="10" a="1"/>
  <c r="CF29" i="10" s="1"/>
  <c r="CE29" i="10" a="1"/>
  <c r="CE29" i="10" s="1"/>
  <c r="DI29" i="10" a="1"/>
  <c r="DI29" i="10" s="1"/>
  <c r="CF168" i="10" a="1"/>
  <c r="CF168" i="10" s="1"/>
  <c r="DI168" i="10" a="1"/>
  <c r="DI168" i="10" s="1"/>
  <c r="CE168" i="10" a="1"/>
  <c r="CE168" i="10" s="1"/>
  <c r="CE28" i="10" a="1"/>
  <c r="CE28" i="10" s="1"/>
  <c r="DI28" i="10" a="1"/>
  <c r="DI28" i="10" s="1"/>
  <c r="CF28" i="10" a="1"/>
  <c r="CF28" i="10" s="1"/>
  <c r="DI207" i="10" a="1"/>
  <c r="DI207" i="10" s="1"/>
  <c r="CF207" i="10" a="1"/>
  <c r="CF207" i="10" s="1"/>
  <c r="CE207" i="10" a="1"/>
  <c r="CE207" i="10" s="1"/>
  <c r="CF67" i="10" a="1"/>
  <c r="CF67" i="10" s="1"/>
  <c r="DI67" i="10" a="1"/>
  <c r="DI67" i="10" s="1"/>
  <c r="CE67" i="10" a="1"/>
  <c r="CE67" i="10" s="1"/>
  <c r="CP7" i="10"/>
  <c r="DI59" i="10" a="1"/>
  <c r="DI59" i="10" s="1"/>
  <c r="CF59" i="10" a="1"/>
  <c r="CF59" i="10" s="1"/>
  <c r="CE59" i="10" a="1"/>
  <c r="CE59" i="10" s="1"/>
  <c r="CF106" i="10" a="1"/>
  <c r="CF106" i="10" s="1"/>
  <c r="DI106" i="10" a="1"/>
  <c r="DI106" i="10" s="1"/>
  <c r="CE106" i="10" a="1"/>
  <c r="CE106" i="10" s="1"/>
  <c r="CF6" i="10" a="1"/>
  <c r="CF6" i="10" s="1"/>
  <c r="CE6" i="10" a="1"/>
  <c r="CE6" i="10" s="1"/>
  <c r="DI6" i="10" a="1"/>
  <c r="DI6" i="10" s="1"/>
  <c r="CF166" i="10" a="1"/>
  <c r="CF166" i="10" s="1"/>
  <c r="DI166" i="10" a="1"/>
  <c r="DI166" i="10" s="1"/>
  <c r="CE166" i="10" a="1"/>
  <c r="CE166" i="10" s="1"/>
  <c r="CF18" i="10" a="1"/>
  <c r="CF18" i="10" s="1"/>
  <c r="CE18" i="10" a="1"/>
  <c r="CE18" i="10" s="1"/>
  <c r="DI18" i="10" a="1"/>
  <c r="DI18" i="10" s="1"/>
  <c r="BY225" i="10" a="1"/>
  <c r="BY225" i="10" s="1"/>
  <c r="CB225" i="10" a="1"/>
  <c r="CB225" i="10" s="1"/>
  <c r="CC225" i="10" s="1"/>
  <c r="CD225" i="10" s="1"/>
  <c r="DI224" i="10" a="1"/>
  <c r="DI224" i="10" s="1"/>
  <c r="CF224" i="10" a="1"/>
  <c r="CF224" i="10" s="1"/>
  <c r="CE224" i="10" a="1"/>
  <c r="CE224" i="10" s="1"/>
  <c r="DI64" i="10" a="1"/>
  <c r="DI64" i="10" s="1"/>
  <c r="CE64" i="10" a="1"/>
  <c r="CE64" i="10" s="1"/>
  <c r="CF64" i="10" a="1"/>
  <c r="CF64" i="10" s="1"/>
  <c r="CF203" i="10" a="1"/>
  <c r="CF203" i="10" s="1"/>
  <c r="DI203" i="10" a="1"/>
  <c r="DI203" i="10" s="1"/>
  <c r="CE203" i="10" a="1"/>
  <c r="CE203" i="10" s="1"/>
  <c r="DI143" i="10" a="1"/>
  <c r="DI143" i="10" s="1"/>
  <c r="CF143" i="10" a="1"/>
  <c r="CF143" i="10" s="1"/>
  <c r="CE143" i="10" a="1"/>
  <c r="CE143" i="10" s="1"/>
  <c r="DI43" i="10" a="1"/>
  <c r="DI43" i="10" s="1"/>
  <c r="CF43" i="10" a="1"/>
  <c r="CF43" i="10" s="1"/>
  <c r="CE43" i="10" a="1"/>
  <c r="CE43" i="10" s="1"/>
  <c r="CF161" i="10" a="1"/>
  <c r="CF161" i="10" s="1"/>
  <c r="DI161" i="10" a="1"/>
  <c r="DI161" i="10" s="1"/>
  <c r="CE161" i="10" a="1"/>
  <c r="CE161" i="10" s="1"/>
  <c r="CF121" i="10" a="1"/>
  <c r="CF121" i="10" s="1"/>
  <c r="DI121" i="10" a="1"/>
  <c r="DI121" i="10" s="1"/>
  <c r="CE121" i="10" a="1"/>
  <c r="CE121" i="10" s="1"/>
  <c r="CF56" i="10" a="1"/>
  <c r="CF56" i="10" s="1"/>
  <c r="CE56" i="10" a="1"/>
  <c r="CE56" i="10" s="1"/>
  <c r="DI56" i="10" a="1"/>
  <c r="DI56" i="10" s="1"/>
  <c r="CP141" i="10"/>
  <c r="CD141" i="10"/>
  <c r="DI222" i="10" a="1"/>
  <c r="DI222" i="10" s="1"/>
  <c r="CF222" i="10" a="1"/>
  <c r="CF222" i="10" s="1"/>
  <c r="CE222" i="10" a="1"/>
  <c r="CE222" i="10" s="1"/>
  <c r="CE142" i="10" a="1"/>
  <c r="CE142" i="10" s="1"/>
  <c r="DI142" i="10" a="1"/>
  <c r="DI142" i="10" s="1"/>
  <c r="CF142" i="10" a="1"/>
  <c r="CF142" i="10" s="1"/>
  <c r="CD30" i="10"/>
  <c r="CD75" i="10"/>
  <c r="CD123" i="10"/>
  <c r="CF179" i="10" a="1"/>
  <c r="CF179" i="10" s="1"/>
  <c r="DI179" i="10" a="1"/>
  <c r="DI179" i="10" s="1"/>
  <c r="CE179" i="10" a="1"/>
  <c r="CE179" i="10" s="1"/>
  <c r="CF119" i="10" a="1"/>
  <c r="CF119" i="10" s="1"/>
  <c r="DI119" i="10" a="1"/>
  <c r="DI119" i="10" s="1"/>
  <c r="CE119" i="10" a="1"/>
  <c r="CE119" i="10" s="1"/>
  <c r="CF79" i="10" a="1"/>
  <c r="CF79" i="10" s="1"/>
  <c r="DI79" i="10" a="1"/>
  <c r="DI79" i="10" s="1"/>
  <c r="CE79" i="10" a="1"/>
  <c r="CE79" i="10" s="1"/>
  <c r="DI39" i="10" a="1"/>
  <c r="DI39" i="10" s="1"/>
  <c r="CF39" i="10" a="1"/>
  <c r="CF39" i="10" s="1"/>
  <c r="CE39" i="10" a="1"/>
  <c r="CE39" i="10" s="1"/>
  <c r="DI76" i="10" a="1"/>
  <c r="DI76" i="10" s="1"/>
  <c r="CE76" i="10" a="1"/>
  <c r="CE76" i="10" s="1"/>
  <c r="CF76" i="10" a="1"/>
  <c r="CF76" i="10" s="1"/>
  <c r="DI47" i="10" a="1"/>
  <c r="DI47" i="10" s="1"/>
  <c r="CP17" i="10"/>
  <c r="CD17" i="10"/>
  <c r="CD76" i="10"/>
  <c r="DI78" i="10" a="1"/>
  <c r="DI78" i="10" s="1"/>
  <c r="CE78" i="10" a="1"/>
  <c r="CE78" i="10" s="1"/>
  <c r="CF78" i="10" a="1"/>
  <c r="CF78" i="10" s="1"/>
  <c r="CF149" i="10" a="1"/>
  <c r="CF149" i="10" s="1"/>
  <c r="DI149" i="10" a="1"/>
  <c r="DI149" i="10" s="1"/>
  <c r="CE149" i="10" a="1"/>
  <c r="CE149" i="10" s="1"/>
  <c r="DI100" i="10" a="1"/>
  <c r="DI100" i="10" s="1"/>
  <c r="CE100" i="10" a="1"/>
  <c r="CE100" i="10" s="1"/>
  <c r="CF100" i="10" a="1"/>
  <c r="CF100" i="10" s="1"/>
  <c r="CD65" i="10"/>
  <c r="CE27" i="10" a="1"/>
  <c r="CE27" i="10" s="1"/>
  <c r="DI27" i="10" a="1"/>
  <c r="DI27" i="10" s="1"/>
  <c r="CF27" i="10" a="1"/>
  <c r="CF27" i="10" s="1"/>
  <c r="CP44" i="10"/>
  <c r="DI157" i="10" a="1"/>
  <c r="DI157" i="10" s="1"/>
  <c r="CF157" i="10" a="1"/>
  <c r="CF157" i="10" s="1"/>
  <c r="CE157" i="10" a="1"/>
  <c r="CE157" i="10" s="1"/>
  <c r="CF156" i="10" a="1"/>
  <c r="CF156" i="10" s="1"/>
  <c r="DI156" i="10" a="1"/>
  <c r="DI156" i="10" s="1"/>
  <c r="CE156" i="10" a="1"/>
  <c r="CE156" i="10" s="1"/>
  <c r="CD79" i="10"/>
  <c r="CD196" i="10"/>
  <c r="CF154" i="10" a="1"/>
  <c r="CF154" i="10" s="1"/>
  <c r="DI154" i="10" a="1"/>
  <c r="DI154" i="10" s="1"/>
  <c r="CE154" i="10" a="1"/>
  <c r="CE154" i="10" s="1"/>
  <c r="DI114" i="10" a="1"/>
  <c r="DI114" i="10" s="1"/>
  <c r="CF114" i="10" a="1"/>
  <c r="CF114" i="10" s="1"/>
  <c r="CE114" i="10" a="1"/>
  <c r="CE114" i="10" s="1"/>
  <c r="CE14" i="10" a="1"/>
  <c r="CE14" i="10" s="1"/>
  <c r="DI14" i="10" a="1"/>
  <c r="DI14" i="10" s="1"/>
  <c r="CF14" i="10" a="1"/>
  <c r="CF14" i="10" s="1"/>
  <c r="DI91" i="10" a="1"/>
  <c r="DI91" i="10" s="1"/>
  <c r="CE91" i="10" a="1"/>
  <c r="CE91" i="10" s="1"/>
  <c r="CF91" i="10" a="1"/>
  <c r="CF91" i="10" s="1"/>
  <c r="CF174" i="10" a="1"/>
  <c r="CF174" i="10" s="1"/>
  <c r="DI174" i="10" a="1"/>
  <c r="DI174" i="10" s="1"/>
  <c r="CE174" i="10" a="1"/>
  <c r="CE174" i="10" s="1"/>
  <c r="CF228" i="10" a="1"/>
  <c r="CF228" i="10" s="1"/>
  <c r="DI228" i="10" a="1"/>
  <c r="DI228" i="10" s="1"/>
  <c r="CE228" i="10" a="1"/>
  <c r="CE228" i="10" s="1"/>
  <c r="CF226" i="10" a="1"/>
  <c r="CF226" i="10" s="1"/>
  <c r="DI226" i="10" a="1"/>
  <c r="DI226" i="10" s="1"/>
  <c r="CE226" i="10" a="1"/>
  <c r="CE226" i="10" s="1"/>
  <c r="BY5" i="10" a="1"/>
  <c r="BY5" i="10" s="1"/>
  <c r="CB5" i="10" a="1"/>
  <c r="CB5" i="10" s="1"/>
  <c r="CC5" i="10" s="1"/>
  <c r="CA5" i="10" a="1"/>
  <c r="CA5" i="10" s="1"/>
  <c r="CF17" i="10" a="1"/>
  <c r="CF17" i="10" s="1"/>
  <c r="CE17" i="10" a="1"/>
  <c r="CE17" i="10" s="1"/>
  <c r="DI17" i="10" a="1"/>
  <c r="DI17" i="10" s="1"/>
  <c r="CF55" i="10" a="1"/>
  <c r="CF55" i="10" s="1"/>
  <c r="CE55" i="10" a="1"/>
  <c r="CE55" i="10" s="1"/>
  <c r="DI55" i="10" a="1"/>
  <c r="DI55" i="10" s="1"/>
  <c r="DI193" i="10" a="1"/>
  <c r="DI193" i="10" s="1"/>
  <c r="CF193" i="10" a="1"/>
  <c r="CF193" i="10" s="1"/>
  <c r="CE193" i="10" a="1"/>
  <c r="CE193" i="10" s="1"/>
  <c r="CE113" i="10" a="1"/>
  <c r="CE113" i="10" s="1"/>
  <c r="DI113" i="10" a="1"/>
  <c r="DI113" i="10" s="1"/>
  <c r="CF113" i="10" a="1"/>
  <c r="CF113" i="10" s="1"/>
  <c r="CF138" i="10" a="1"/>
  <c r="CF138" i="10" s="1"/>
  <c r="DI138" i="10" a="1"/>
  <c r="DI138" i="10" s="1"/>
  <c r="CE138" i="10" a="1"/>
  <c r="CE138" i="10" s="1"/>
  <c r="DI31" i="10" a="1"/>
  <c r="DI31" i="10" s="1"/>
  <c r="CF31" i="10" a="1"/>
  <c r="CF31" i="10" s="1"/>
  <c r="CE31" i="10" a="1"/>
  <c r="CE31" i="10" s="1"/>
  <c r="CD63" i="10"/>
  <c r="DI90" i="10" a="1"/>
  <c r="DI90" i="10" s="1"/>
  <c r="CF90" i="10" a="1"/>
  <c r="CF90" i="10" s="1"/>
  <c r="CE90" i="10" a="1"/>
  <c r="CE90" i="10" s="1"/>
  <c r="DI61" i="10" a="1"/>
  <c r="DI61" i="10" s="1"/>
  <c r="CF61" i="10" a="1"/>
  <c r="CF61" i="10" s="1"/>
  <c r="CE61" i="10" a="1"/>
  <c r="CE61" i="10" s="1"/>
  <c r="CP117" i="10"/>
  <c r="CD117" i="10"/>
  <c r="DI69" i="10" a="1"/>
  <c r="DI69" i="10" s="1"/>
  <c r="CF69" i="10" a="1"/>
  <c r="CF69" i="10" s="1"/>
  <c r="CE69" i="10" a="1"/>
  <c r="CE69" i="10" s="1"/>
  <c r="CF68" i="10" a="1"/>
  <c r="CF68" i="10" s="1"/>
  <c r="DI68" i="10" a="1"/>
  <c r="DI68" i="10" s="1"/>
  <c r="CE68" i="10" a="1"/>
  <c r="CE68" i="10" s="1"/>
  <c r="CD88" i="10"/>
  <c r="CF227" i="10" a="1"/>
  <c r="CF227" i="10" s="1"/>
  <c r="DI227" i="10" a="1"/>
  <c r="DI227" i="10" s="1"/>
  <c r="CE227" i="10" a="1"/>
  <c r="CE227" i="10" s="1"/>
  <c r="CE127" i="10" a="1"/>
  <c r="CE127" i="10" s="1"/>
  <c r="CF127" i="10" a="1"/>
  <c r="CF127" i="10" s="1"/>
  <c r="DI127" i="10" a="1"/>
  <c r="DI127" i="10" s="1"/>
  <c r="DI21" i="10" a="1"/>
  <c r="DI21" i="10" s="1"/>
  <c r="CF21" i="10" a="1"/>
  <c r="CF21" i="10" s="1"/>
  <c r="CE21" i="10" a="1"/>
  <c r="CE21" i="10" s="1"/>
  <c r="CF206" i="10" a="1"/>
  <c r="CF206" i="10" s="1"/>
  <c r="DI206" i="10" a="1"/>
  <c r="DI206" i="10" s="1"/>
  <c r="CE206" i="10" a="1"/>
  <c r="CE206" i="10" s="1"/>
  <c r="CF66" i="10" a="1"/>
  <c r="CF66" i="10" s="1"/>
  <c r="DI66" i="10" a="1"/>
  <c r="DI66" i="10" s="1"/>
  <c r="CE66" i="10" a="1"/>
  <c r="CE66" i="10" s="1"/>
  <c r="BY205" i="10" a="1"/>
  <c r="BY205" i="10" s="1"/>
  <c r="CB205" i="10" a="1"/>
  <c r="CB205" i="10" s="1"/>
  <c r="CC205" i="10" s="1"/>
  <c r="CD205" i="10" s="1"/>
  <c r="CB165" i="10" a="1"/>
  <c r="CB165" i="10" s="1"/>
  <c r="CC165" i="10" s="1"/>
  <c r="CA165" i="10" a="1"/>
  <c r="CA165" i="10" s="1"/>
  <c r="BY165" i="10" a="1"/>
  <c r="BY165" i="10" s="1"/>
  <c r="BY145" i="10" a="1"/>
  <c r="BY145" i="10" s="1"/>
  <c r="CB145" i="10" a="1"/>
  <c r="CB145" i="10" s="1"/>
  <c r="CC145" i="10" s="1"/>
  <c r="CD145" i="10" s="1"/>
  <c r="CB125" i="10" a="1"/>
  <c r="CB125" i="10" s="1"/>
  <c r="CC125" i="10" s="1"/>
  <c r="CD125" i="10" s="1"/>
  <c r="BY125" i="10" a="1"/>
  <c r="BY125" i="10" s="1"/>
  <c r="BY105" i="10" a="1"/>
  <c r="BY105" i="10" s="1"/>
  <c r="CB105" i="10" a="1"/>
  <c r="CB105" i="10" s="1"/>
  <c r="CC105" i="10" s="1"/>
  <c r="CD105" i="10" s="1"/>
  <c r="CB85" i="10" a="1"/>
  <c r="CB85" i="10" s="1"/>
  <c r="CC85" i="10" s="1"/>
  <c r="CD85" i="10" s="1"/>
  <c r="BY85" i="10" a="1"/>
  <c r="BY85" i="10" s="1"/>
  <c r="BY65" i="10" a="1"/>
  <c r="BY65" i="10" s="1"/>
  <c r="CB65" i="10" a="1"/>
  <c r="CB65" i="10" s="1"/>
  <c r="CC65" i="10" s="1"/>
  <c r="CA45" i="10" a="1"/>
  <c r="CA45" i="10" s="1"/>
  <c r="BY45" i="10" a="1"/>
  <c r="BY45" i="10" s="1"/>
  <c r="CB45" i="10" a="1"/>
  <c r="CB45" i="10" s="1"/>
  <c r="CC45" i="10" s="1"/>
  <c r="CB25" i="10" a="1"/>
  <c r="CB25" i="10" s="1"/>
  <c r="CC25" i="10" s="1"/>
  <c r="CD25" i="10" s="1"/>
  <c r="BY25" i="10" a="1"/>
  <c r="BY25" i="10" s="1"/>
  <c r="DI144" i="10" a="1"/>
  <c r="DI144" i="10" s="1"/>
  <c r="CE144" i="10" a="1"/>
  <c r="CE144" i="10" s="1"/>
  <c r="CF144" i="10" a="1"/>
  <c r="CF144" i="10" s="1"/>
  <c r="CE4" i="10" a="1"/>
  <c r="CE4" i="10" s="1"/>
  <c r="DI4" i="10" a="1"/>
  <c r="DI4" i="10" s="1"/>
  <c r="CF4" i="10" a="1"/>
  <c r="CF4" i="10" s="1"/>
  <c r="DI57" i="10" a="1"/>
  <c r="DI57" i="10" s="1"/>
  <c r="CF57" i="10" a="1"/>
  <c r="CF57" i="10" s="1"/>
  <c r="CE57" i="10" a="1"/>
  <c r="CE57" i="10" s="1"/>
  <c r="DI117" i="10" a="1"/>
  <c r="DI117" i="10" s="1"/>
  <c r="CF117" i="10" a="1"/>
  <c r="CF117" i="10" s="1"/>
  <c r="CE117" i="10" a="1"/>
  <c r="CE117" i="10" s="1"/>
  <c r="DI77" i="10" a="1"/>
  <c r="DI77" i="10" s="1"/>
  <c r="CF77" i="10" a="1"/>
  <c r="CF77" i="10" s="1"/>
  <c r="CE77" i="10" a="1"/>
  <c r="CE77" i="10" s="1"/>
  <c r="CF215" i="10" a="1"/>
  <c r="CF215" i="10" s="1"/>
  <c r="DI215" i="10" a="1"/>
  <c r="DI215" i="10" s="1"/>
  <c r="CE215" i="10" a="1"/>
  <c r="CE215" i="10" s="1"/>
  <c r="DI38" i="10" a="1"/>
  <c r="DI38" i="10" s="1"/>
  <c r="CF38" i="10" a="1"/>
  <c r="CF38" i="10" s="1"/>
  <c r="CE38" i="10" a="1"/>
  <c r="CE38" i="10" s="1"/>
  <c r="CE116" i="10" a="1"/>
  <c r="CE116" i="10" s="1"/>
  <c r="DI116" i="10" a="1"/>
  <c r="DI116" i="10" s="1"/>
  <c r="CF116" i="10" a="1"/>
  <c r="CF116" i="10" s="1"/>
  <c r="CE16" i="10" a="1"/>
  <c r="CE16" i="10" s="1"/>
  <c r="DI16" i="10" a="1"/>
  <c r="DI16" i="10" s="1"/>
  <c r="CF16" i="10" a="1"/>
  <c r="CF16" i="10" s="1"/>
  <c r="DI109" i="10" a="1"/>
  <c r="DI109" i="10" s="1"/>
  <c r="CF109" i="10" a="1"/>
  <c r="CF109" i="10" s="1"/>
  <c r="CE109" i="10" a="1"/>
  <c r="CE109" i="10" s="1"/>
  <c r="CF37" i="10" a="1"/>
  <c r="CF37" i="10" s="1"/>
  <c r="CE37" i="10" a="1"/>
  <c r="CE37" i="10" s="1"/>
  <c r="CD57" i="10"/>
  <c r="CD149" i="10"/>
  <c r="CD218" i="10"/>
  <c r="DI115" i="10" a="1"/>
  <c r="DI115" i="10" s="1"/>
  <c r="CF115" i="10" a="1"/>
  <c r="CF115" i="10" s="1"/>
  <c r="CE115" i="10" a="1"/>
  <c r="CE115" i="10" s="1"/>
  <c r="CP95" i="10"/>
  <c r="CD95" i="10"/>
  <c r="CE15" i="10" a="1"/>
  <c r="CE15" i="10" s="1"/>
  <c r="DI15" i="10" a="1"/>
  <c r="DI15" i="10" s="1"/>
  <c r="CF15" i="10" a="1"/>
  <c r="CF15" i="10" s="1"/>
  <c r="CF178" i="10" a="1"/>
  <c r="CF178" i="10" s="1"/>
  <c r="DI178" i="10" a="1"/>
  <c r="DI178" i="10" s="1"/>
  <c r="CE178" i="10" a="1"/>
  <c r="CE178" i="10" s="1"/>
  <c r="CE153" i="10" a="1"/>
  <c r="CE153" i="10" s="1"/>
  <c r="CF153" i="10" a="1"/>
  <c r="CF153" i="10" s="1"/>
  <c r="DI153" i="10" a="1"/>
  <c r="DI153" i="10" s="1"/>
  <c r="CE13" i="10" a="1"/>
  <c r="CE13" i="10" s="1"/>
  <c r="DI13" i="10" a="1"/>
  <c r="DI13" i="10" s="1"/>
  <c r="CF13" i="10" a="1"/>
  <c r="CF13" i="10" s="1"/>
  <c r="CE52" i="10" a="1"/>
  <c r="CE52" i="10" s="1"/>
  <c r="DI52" i="10" a="1"/>
  <c r="DI52" i="10" s="1"/>
  <c r="CF52" i="10" a="1"/>
  <c r="CF52" i="10" s="1"/>
  <c r="CP12" i="10"/>
  <c r="CD12" i="10"/>
  <c r="CD167" i="10"/>
  <c r="CP167" i="10"/>
  <c r="CD24" i="10"/>
  <c r="CD47" i="10"/>
  <c r="CD90" i="10"/>
  <c r="CD116" i="10"/>
  <c r="CD138" i="10"/>
  <c r="CD160" i="10"/>
  <c r="CD48" i="10"/>
  <c r="CD118" i="10"/>
  <c r="CD139" i="10"/>
  <c r="CD161" i="10"/>
  <c r="CD186" i="10"/>
  <c r="CD208" i="10"/>
  <c r="CD26" i="10"/>
  <c r="CD49" i="10"/>
  <c r="CD71" i="10"/>
  <c r="CD92" i="10"/>
  <c r="CD162" i="10"/>
  <c r="CD187" i="10"/>
  <c r="CD209" i="10"/>
  <c r="CD50" i="10"/>
  <c r="CD72" i="10"/>
  <c r="CD93" i="10"/>
  <c r="CD120" i="10"/>
  <c r="CD142" i="10"/>
  <c r="CD163" i="10"/>
  <c r="CD188" i="10"/>
  <c r="CD210" i="10"/>
  <c r="CD73" i="10"/>
  <c r="CD121" i="10"/>
  <c r="CD143" i="10"/>
  <c r="CD164" i="10"/>
  <c r="CD189" i="10"/>
  <c r="CD211" i="10"/>
  <c r="CF204" i="10" a="1"/>
  <c r="CF204" i="10" s="1"/>
  <c r="DI204" i="10" a="1"/>
  <c r="DI204" i="10" s="1"/>
  <c r="CF152" i="10" a="1"/>
  <c r="CF152" i="10" s="1"/>
  <c r="DI152" i="10" a="1"/>
  <c r="DI152" i="10" s="1"/>
  <c r="BY88" i="10" a="1"/>
  <c r="BY88" i="10" s="1"/>
  <c r="DI62" i="10" a="1"/>
  <c r="DI62" i="10" s="1"/>
  <c r="CF62" i="10" a="1"/>
  <c r="CF62" i="10" s="1"/>
  <c r="CE62" i="10" a="1"/>
  <c r="CE62" i="10" s="1"/>
  <c r="BY26" i="10" a="1"/>
  <c r="BY26" i="10" s="1"/>
  <c r="CE12" i="10" a="1"/>
  <c r="CE12" i="10" s="1"/>
  <c r="DI12" i="10" a="1"/>
  <c r="DI12" i="10" s="1"/>
  <c r="CF12" i="10" a="1"/>
  <c r="CF12" i="10" s="1"/>
  <c r="BY219" i="10" a="1"/>
  <c r="BY219" i="10" s="1"/>
  <c r="BY126" i="10" a="1"/>
  <c r="BY126" i="10" s="1"/>
  <c r="DI75" i="10" a="1"/>
  <c r="DI75" i="10" s="1"/>
  <c r="CE75" i="10" a="1"/>
  <c r="CE75" i="10" s="1"/>
  <c r="CF75" i="10" a="1"/>
  <c r="CF75" i="10" s="1"/>
  <c r="CA180" i="10" a="1"/>
  <c r="CA180" i="10" s="1"/>
  <c r="CP180" i="10" s="1"/>
  <c r="CA168" i="10" a="1"/>
  <c r="CA168" i="10" s="1"/>
  <c r="CP168" i="10" s="1"/>
  <c r="CA6" i="10" a="1"/>
  <c r="CA6" i="10" s="1"/>
  <c r="CB207" i="10" a="1"/>
  <c r="CB207" i="10" s="1"/>
  <c r="CC207" i="10" s="1"/>
  <c r="CD207" i="10" s="1"/>
  <c r="CB181" i="10" a="1"/>
  <c r="CB181" i="10" s="1"/>
  <c r="CC181" i="10" s="1"/>
  <c r="CD181" i="10" s="1"/>
  <c r="CB169" i="10" a="1"/>
  <c r="CB169" i="10" s="1"/>
  <c r="CC169" i="10" s="1"/>
  <c r="CB157" i="10" a="1"/>
  <c r="CB157" i="10" s="1"/>
  <c r="CC157" i="10" s="1"/>
  <c r="CD157" i="10" s="1"/>
  <c r="CB144" i="10" a="1"/>
  <c r="CB144" i="10" s="1"/>
  <c r="CC144" i="10" s="1"/>
  <c r="CB131" i="10" a="1"/>
  <c r="CB131" i="10" s="1"/>
  <c r="CC131" i="10" s="1"/>
  <c r="CB119" i="10" a="1"/>
  <c r="CB119" i="10" s="1"/>
  <c r="CC119" i="10" s="1"/>
  <c r="CD119" i="10" s="1"/>
  <c r="CB107" i="10" a="1"/>
  <c r="CB107" i="10" s="1"/>
  <c r="CC107" i="10" s="1"/>
  <c r="CD107" i="10" s="1"/>
  <c r="CB81" i="10" a="1"/>
  <c r="CB81" i="10" s="1"/>
  <c r="CC81" i="10" s="1"/>
  <c r="CD81" i="10" s="1"/>
  <c r="CB69" i="10" a="1"/>
  <c r="CB69" i="10" s="1"/>
  <c r="CC69" i="10" s="1"/>
  <c r="CD69" i="10" s="1"/>
  <c r="CB57" i="10" a="1"/>
  <c r="CB57" i="10" s="1"/>
  <c r="CC57" i="10" s="1"/>
  <c r="CB44" i="10" a="1"/>
  <c r="CB44" i="10" s="1"/>
  <c r="CC44" i="10" s="1"/>
  <c r="CD44" i="10" s="1"/>
  <c r="CB31" i="10" a="1"/>
  <c r="CB31" i="10" s="1"/>
  <c r="CC31" i="10" s="1"/>
  <c r="CD31" i="10" s="1"/>
  <c r="CB19" i="10" a="1"/>
  <c r="CB19" i="10" s="1"/>
  <c r="CC19" i="10" s="1"/>
  <c r="CD19" i="10" s="1"/>
  <c r="CB7" i="10" a="1"/>
  <c r="CB7" i="10" s="1"/>
  <c r="CC7" i="10" s="1"/>
  <c r="CD7" i="10" s="1"/>
  <c r="CF218" i="10" a="1"/>
  <c r="CF218" i="10" s="1"/>
  <c r="DI218" i="10" a="1"/>
  <c r="DI218" i="10" s="1"/>
  <c r="CF202" i="10" a="1"/>
  <c r="CF202" i="10" s="1"/>
  <c r="DI202" i="10" a="1"/>
  <c r="DI202" i="10" s="1"/>
  <c r="BY164" i="10" a="1"/>
  <c r="BY164" i="10" s="1"/>
  <c r="BY151" i="10" a="1"/>
  <c r="BY151" i="10" s="1"/>
  <c r="BY111" i="10" a="1"/>
  <c r="BY111" i="10" s="1"/>
  <c r="BY87" i="10" a="1"/>
  <c r="BY87" i="10" s="1"/>
  <c r="DI74" i="10" a="1"/>
  <c r="DI74" i="10" s="1"/>
  <c r="CF74" i="10" a="1"/>
  <c r="CF74" i="10" s="1"/>
  <c r="BY49" i="10" a="1"/>
  <c r="BY49" i="10" s="1"/>
  <c r="BY24" i="10" a="1"/>
  <c r="BY24" i="10" s="1"/>
  <c r="BY11" i="10" a="1"/>
  <c r="BY11" i="10" s="1"/>
  <c r="CB143" i="10" a="1"/>
  <c r="CB143" i="10" s="1"/>
  <c r="CC143" i="10" s="1"/>
  <c r="CB43" i="10" a="1"/>
  <c r="CB43" i="10" s="1"/>
  <c r="CC43" i="10" s="1"/>
  <c r="CD43" i="10" s="1"/>
  <c r="CD99" i="10"/>
  <c r="CD146" i="10"/>
  <c r="CD192" i="10"/>
  <c r="CF176" i="10" a="1"/>
  <c r="CF176" i="10" s="1"/>
  <c r="DI176" i="10" a="1"/>
  <c r="DI176" i="10" s="1"/>
  <c r="CF124" i="10" a="1"/>
  <c r="CF124" i="10" s="1"/>
  <c r="DI124" i="10" a="1"/>
  <c r="DI124" i="10" s="1"/>
  <c r="DI98" i="10" a="1"/>
  <c r="DI98" i="10" s="1"/>
  <c r="CF98" i="10" a="1"/>
  <c r="CF98" i="10" s="1"/>
  <c r="DI60" i="10" a="1"/>
  <c r="DI60" i="10" s="1"/>
  <c r="CF60" i="10" a="1"/>
  <c r="CF60" i="10" s="1"/>
  <c r="CE60" i="10" a="1"/>
  <c r="CE60" i="10" s="1"/>
  <c r="DI10" i="10" a="1"/>
  <c r="DI10" i="10" s="1"/>
  <c r="CF10" i="10" a="1"/>
  <c r="CF10" i="10" s="1"/>
  <c r="CD33" i="10"/>
  <c r="CF216" i="10" a="1"/>
  <c r="CF216" i="10" s="1"/>
  <c r="DI216" i="10" a="1"/>
  <c r="DI216" i="10" s="1"/>
  <c r="CF123" i="10" a="1"/>
  <c r="CF123" i="10" s="1"/>
  <c r="DI123" i="10" a="1"/>
  <c r="DI123" i="10" s="1"/>
  <c r="DI72" i="10" a="1"/>
  <c r="DI72" i="10" s="1"/>
  <c r="CE72" i="10" a="1"/>
  <c r="CE72" i="10" s="1"/>
  <c r="BY48" i="10" a="1"/>
  <c r="BY48" i="10" s="1"/>
  <c r="DI22" i="10" a="1"/>
  <c r="DI22" i="10" s="1"/>
  <c r="CF22" i="10" a="1"/>
  <c r="CF22" i="10" s="1"/>
  <c r="CE22" i="10" a="1"/>
  <c r="CE22" i="10" s="1"/>
  <c r="CD124" i="10"/>
  <c r="CD169" i="10"/>
  <c r="CD214" i="10"/>
  <c r="CF217" i="10" a="1"/>
  <c r="CF217" i="10" s="1"/>
  <c r="DI217" i="10" a="1"/>
  <c r="DI217" i="10" s="1"/>
  <c r="CF201" i="10" a="1"/>
  <c r="CF201" i="10" s="1"/>
  <c r="DI201" i="10" a="1"/>
  <c r="DI201" i="10" s="1"/>
  <c r="CF163" i="10" a="1"/>
  <c r="CF163" i="10" s="1"/>
  <c r="DI163" i="10" a="1"/>
  <c r="DI163" i="10" s="1"/>
  <c r="CF150" i="10" a="1"/>
  <c r="CF150" i="10" s="1"/>
  <c r="DI150" i="10" a="1"/>
  <c r="DI150" i="10" s="1"/>
  <c r="CF137" i="10" a="1"/>
  <c r="CF137" i="10" s="1"/>
  <c r="DI137" i="10" a="1"/>
  <c r="DI137" i="10" s="1"/>
  <c r="DI23" i="10" a="1"/>
  <c r="DI23" i="10" s="1"/>
  <c r="CF23" i="10" a="1"/>
  <c r="CF23" i="10" s="1"/>
  <c r="CB168" i="10" a="1"/>
  <c r="CB168" i="10" s="1"/>
  <c r="CC168" i="10" s="1"/>
  <c r="CB68" i="10" a="1"/>
  <c r="CB68" i="10" s="1"/>
  <c r="CC68" i="10" s="1"/>
  <c r="CD68" i="10" s="1"/>
  <c r="CD55" i="10"/>
  <c r="CD100" i="10"/>
  <c r="CD147" i="10"/>
  <c r="CD170" i="10"/>
  <c r="CD194" i="10"/>
  <c r="CD216" i="10"/>
  <c r="CF162" i="10" a="1"/>
  <c r="CF162" i="10" s="1"/>
  <c r="DI162" i="10" a="1"/>
  <c r="DI162" i="10" s="1"/>
  <c r="CD34" i="10"/>
  <c r="CD56" i="10"/>
  <c r="CD78" i="10"/>
  <c r="CD101" i="10"/>
  <c r="CD126" i="10"/>
  <c r="CD148" i="10"/>
  <c r="CD195" i="10"/>
  <c r="CD217" i="10"/>
  <c r="CF200" i="10" a="1"/>
  <c r="CF200" i="10" s="1"/>
  <c r="DI200" i="10" a="1"/>
  <c r="DI200" i="10" s="1"/>
  <c r="BY188" i="10" a="1"/>
  <c r="BY188" i="10" s="1"/>
  <c r="CF175" i="10" a="1"/>
  <c r="CF175" i="10" s="1"/>
  <c r="DI175" i="10" a="1"/>
  <c r="DI175" i="10" s="1"/>
  <c r="CF122" i="10" a="1"/>
  <c r="CF122" i="10" s="1"/>
  <c r="DI122" i="10" a="1"/>
  <c r="DI122" i="10" s="1"/>
  <c r="DI35" i="10" a="1"/>
  <c r="DI35" i="10" s="1"/>
  <c r="CF35" i="10" a="1"/>
  <c r="CF35" i="10" s="1"/>
  <c r="CE35" i="10" a="1"/>
  <c r="CE35" i="10" s="1"/>
  <c r="CA228" i="10" a="1"/>
  <c r="CA228" i="10" s="1"/>
  <c r="CA166" i="10" a="1"/>
  <c r="CA166" i="10" s="1"/>
  <c r="CP166" i="10" s="1"/>
  <c r="CB191" i="10" a="1"/>
  <c r="CB191" i="10" s="1"/>
  <c r="CC191" i="10" s="1"/>
  <c r="CD191" i="10" s="1"/>
  <c r="CB167" i="10" a="1"/>
  <c r="CB167" i="10" s="1"/>
  <c r="CC167" i="10" s="1"/>
  <c r="CB129" i="10" a="1"/>
  <c r="CB129" i="10" s="1"/>
  <c r="CC129" i="10" s="1"/>
  <c r="CB104" i="10" a="1"/>
  <c r="CB104" i="10" s="1"/>
  <c r="CC104" i="10" s="1"/>
  <c r="CD104" i="10" s="1"/>
  <c r="CB91" i="10" a="1"/>
  <c r="CB91" i="10" s="1"/>
  <c r="CC91" i="10" s="1"/>
  <c r="CD91" i="10" s="1"/>
  <c r="CB67" i="10" a="1"/>
  <c r="CB67" i="10" s="1"/>
  <c r="CC67" i="10" s="1"/>
  <c r="CD67" i="10" s="1"/>
  <c r="CB29" i="10" a="1"/>
  <c r="CB29" i="10" s="1"/>
  <c r="CC29" i="10" s="1"/>
  <c r="CD29" i="10" s="1"/>
  <c r="CB4" i="10" a="1"/>
  <c r="CB4" i="10" s="1"/>
  <c r="CC4" i="10" s="1"/>
  <c r="DI84" i="10" a="1"/>
  <c r="DI84" i="10" s="1"/>
  <c r="CF84" i="10" a="1"/>
  <c r="CF84" i="10" s="1"/>
  <c r="DI34" i="10" a="1"/>
  <c r="DI34" i="10" s="1"/>
  <c r="CF34" i="10" a="1"/>
  <c r="CF34" i="10" s="1"/>
  <c r="CE34" i="10" a="1"/>
  <c r="CE34" i="10" s="1"/>
  <c r="CD36" i="10"/>
  <c r="CD59" i="10"/>
  <c r="CD80" i="10"/>
  <c r="CD128" i="10"/>
  <c r="CD150" i="10"/>
  <c r="CD197" i="10"/>
  <c r="CD219" i="10"/>
  <c r="CF214" i="10" a="1"/>
  <c r="CF214" i="10" s="1"/>
  <c r="DI214" i="10" a="1"/>
  <c r="DI214" i="10" s="1"/>
  <c r="BY187" i="10" a="1"/>
  <c r="BY187" i="10" s="1"/>
  <c r="CF173" i="10" a="1"/>
  <c r="CF173" i="10" s="1"/>
  <c r="DI173" i="10" a="1"/>
  <c r="DI173" i="10" s="1"/>
  <c r="CF160" i="10" a="1"/>
  <c r="CF160" i="10" s="1"/>
  <c r="DI160" i="10" a="1"/>
  <c r="DI160" i="10" s="1"/>
  <c r="CF135" i="10" a="1"/>
  <c r="CF135" i="10" s="1"/>
  <c r="DI135" i="10" a="1"/>
  <c r="DI135" i="10" s="1"/>
  <c r="CF120" i="10" a="1"/>
  <c r="CF120" i="10" s="1"/>
  <c r="DI120" i="10" a="1"/>
  <c r="DI120" i="10" s="1"/>
  <c r="DI96" i="10" a="1"/>
  <c r="DI96" i="10" s="1"/>
  <c r="CF96" i="10" a="1"/>
  <c r="CF96" i="10" s="1"/>
  <c r="DI83" i="10" a="1"/>
  <c r="DI83" i="10" s="1"/>
  <c r="DI70" i="10" a="1"/>
  <c r="DI70" i="10" s="1"/>
  <c r="CF70" i="10" a="1"/>
  <c r="CF70" i="10" s="1"/>
  <c r="DI58" i="10" a="1"/>
  <c r="DI58" i="10" s="1"/>
  <c r="CF58" i="10" a="1"/>
  <c r="CF58" i="10" s="1"/>
  <c r="CE58" i="10" a="1"/>
  <c r="CE58" i="10" s="1"/>
  <c r="DI33" i="10" a="1"/>
  <c r="DI33" i="10" s="1"/>
  <c r="CF33" i="10" a="1"/>
  <c r="CF33" i="10" s="1"/>
  <c r="CE33" i="10" a="1"/>
  <c r="CE33" i="10" s="1"/>
  <c r="CA227" i="10" a="1"/>
  <c r="CA227" i="10" s="1"/>
  <c r="CP227" i="10" s="1"/>
  <c r="CB228" i="10" a="1"/>
  <c r="CB228" i="10" s="1"/>
  <c r="CC228" i="10" s="1"/>
  <c r="CB128" i="10" a="1"/>
  <c r="CB128" i="10" s="1"/>
  <c r="CC128" i="10" s="1"/>
  <c r="CB66" i="10" a="1"/>
  <c r="CB66" i="10" s="1"/>
  <c r="CC66" i="10" s="1"/>
  <c r="CD66" i="10" s="1"/>
  <c r="CB28" i="10" a="1"/>
  <c r="CB28" i="10" s="1"/>
  <c r="CC28" i="10" s="1"/>
  <c r="CD28" i="10" s="1"/>
  <c r="CD215" i="10"/>
  <c r="CE163" i="10" a="1"/>
  <c r="CE163" i="10" s="1"/>
  <c r="CF213" i="10" a="1"/>
  <c r="CF213" i="10" s="1"/>
  <c r="DI213" i="10" a="1"/>
  <c r="DI213" i="10" s="1"/>
  <c r="DI198" i="10" a="1"/>
  <c r="DI198" i="10" s="1"/>
  <c r="CF198" i="10" a="1"/>
  <c r="CF198" i="10" s="1"/>
  <c r="BY186" i="10" a="1"/>
  <c r="BY186" i="10" s="1"/>
  <c r="CF172" i="10" a="1"/>
  <c r="CF172" i="10" s="1"/>
  <c r="DI172" i="10" a="1"/>
  <c r="DI172" i="10" s="1"/>
  <c r="BY148" i="10" a="1"/>
  <c r="BY148" i="10" s="1"/>
  <c r="CF134" i="10" a="1"/>
  <c r="CF134" i="10" s="1"/>
  <c r="DI134" i="10" a="1"/>
  <c r="DI134" i="10" s="1"/>
  <c r="BY108" i="10" a="1"/>
  <c r="BY108" i="10" s="1"/>
  <c r="DI82" i="10" a="1"/>
  <c r="DI82" i="10" s="1"/>
  <c r="CF82" i="10" a="1"/>
  <c r="CF82" i="10" s="1"/>
  <c r="BY46" i="10" a="1"/>
  <c r="BY46" i="10" s="1"/>
  <c r="DI32" i="10" a="1"/>
  <c r="DI32" i="10" s="1"/>
  <c r="CF32" i="10" a="1"/>
  <c r="CF32" i="10" s="1"/>
  <c r="CE32" i="10" a="1"/>
  <c r="CE32" i="10" s="1"/>
  <c r="BY20" i="10" a="1"/>
  <c r="BY20" i="10" s="1"/>
  <c r="BY8" i="10" a="1"/>
  <c r="BY8" i="10" s="1"/>
  <c r="CD204" i="10"/>
  <c r="CE162" i="10" a="1"/>
  <c r="CE162" i="10" s="1"/>
  <c r="CF212" i="10" a="1"/>
  <c r="CF212" i="10" s="1"/>
  <c r="DI212" i="10" a="1"/>
  <c r="DI212" i="10" s="1"/>
  <c r="BY133" i="10" a="1"/>
  <c r="BY133" i="10" s="1"/>
  <c r="BY95" i="10" a="1"/>
  <c r="BY95" i="10" s="1"/>
  <c r="CA226" i="10" a="1"/>
  <c r="CA226" i="10" s="1"/>
  <c r="CP226" i="10" s="1"/>
  <c r="CA176" i="10" a="1"/>
  <c r="CA176" i="10" s="1"/>
  <c r="CP176" i="10" s="1"/>
  <c r="CB227" i="10" a="1"/>
  <c r="CB227" i="10" s="1"/>
  <c r="CC227" i="10" s="1"/>
  <c r="CB127" i="10" a="1"/>
  <c r="CB127" i="10" s="1"/>
  <c r="CC127" i="10" s="1"/>
  <c r="CD127" i="10" s="1"/>
  <c r="CB114" i="10" a="1"/>
  <c r="CB114" i="10" s="1"/>
  <c r="CC114" i="10" s="1"/>
  <c r="CD114" i="10" s="1"/>
  <c r="CB101" i="10" a="1"/>
  <c r="CB101" i="10" s="1"/>
  <c r="CC101" i="10" s="1"/>
  <c r="CB89" i="10" a="1"/>
  <c r="CB89" i="10" s="1"/>
  <c r="CC89" i="10" s="1"/>
  <c r="CD89" i="10" s="1"/>
  <c r="CB77" i="10" a="1"/>
  <c r="CB77" i="10" s="1"/>
  <c r="CC77" i="10" s="1"/>
  <c r="CD77" i="10" s="1"/>
  <c r="CB64" i="10" a="1"/>
  <c r="CB64" i="10" s="1"/>
  <c r="CC64" i="10" s="1"/>
  <c r="CD64" i="10" s="1"/>
  <c r="CB51" i="10" a="1"/>
  <c r="CB51" i="10" s="1"/>
  <c r="CC51" i="10" s="1"/>
  <c r="CD51" i="10" s="1"/>
  <c r="CB39" i="10" a="1"/>
  <c r="CB39" i="10" s="1"/>
  <c r="CC39" i="10" s="1"/>
  <c r="CD39" i="10" s="1"/>
  <c r="CB27" i="10" a="1"/>
  <c r="CB27" i="10" s="1"/>
  <c r="CC27" i="10" s="1"/>
  <c r="CD27" i="10" s="1"/>
  <c r="CB14" i="10" a="1"/>
  <c r="CB14" i="10" s="1"/>
  <c r="CC14" i="10" s="1"/>
  <c r="CD37" i="10"/>
  <c r="CD60" i="10"/>
  <c r="CD130" i="10"/>
  <c r="CD151" i="10"/>
  <c r="CD198" i="10"/>
  <c r="CD220" i="10"/>
  <c r="CD4" i="10"/>
  <c r="CD38" i="10"/>
  <c r="CD61" i="10"/>
  <c r="CD82" i="10"/>
  <c r="CD131" i="10"/>
  <c r="CD152" i="10"/>
  <c r="CD199" i="10"/>
  <c r="CD84" i="10"/>
  <c r="CD132" i="10"/>
  <c r="CD154" i="10"/>
  <c r="CD178" i="10"/>
  <c r="CD200" i="10"/>
  <c r="CD222" i="10"/>
  <c r="DI197" i="10" a="1"/>
  <c r="DI197" i="10" s="1"/>
  <c r="CF197" i="10" a="1"/>
  <c r="CF197" i="10" s="1"/>
  <c r="BY184" i="10" a="1"/>
  <c r="BY184" i="10" s="1"/>
  <c r="BY171" i="10" a="1"/>
  <c r="BY171" i="10" s="1"/>
  <c r="BY159" i="10" a="1"/>
  <c r="BY159" i="10" s="1"/>
  <c r="BY147" i="10" a="1"/>
  <c r="BY147" i="10" s="1"/>
  <c r="CF132" i="10" a="1"/>
  <c r="CF132" i="10" s="1"/>
  <c r="DI132" i="10" a="1"/>
  <c r="DI132" i="10" s="1"/>
  <c r="DI94" i="10" a="1"/>
  <c r="DI94" i="10" s="1"/>
  <c r="CF94" i="10" a="1"/>
  <c r="CF94" i="10" s="1"/>
  <c r="BY81" i="10" a="1"/>
  <c r="BY81" i="10" s="1"/>
  <c r="BY44" i="10" a="1"/>
  <c r="BY44" i="10" s="1"/>
  <c r="BY19" i="10" a="1"/>
  <c r="BY19" i="10" s="1"/>
  <c r="BY7" i="10" a="1"/>
  <c r="BY7" i="10" s="1"/>
  <c r="CB63" i="10" a="1"/>
  <c r="CB63" i="10" s="1"/>
  <c r="CC63" i="10" s="1"/>
  <c r="BY211" i="10" a="1"/>
  <c r="BY211" i="10" s="1"/>
  <c r="BY183" i="10" a="1"/>
  <c r="BY183" i="10" s="1"/>
  <c r="CA111" i="10" a="1"/>
  <c r="CA111" i="10" s="1"/>
  <c r="CP111" i="10" s="1"/>
  <c r="CA11" i="10" a="1"/>
  <c r="CA11" i="10" s="1"/>
  <c r="CP11" i="10" s="1"/>
  <c r="CB226" i="10" a="1"/>
  <c r="CB226" i="10" s="1"/>
  <c r="CC226" i="10" s="1"/>
  <c r="CD175" i="10"/>
  <c r="CD18" i="10"/>
  <c r="CE124" i="10" a="1"/>
  <c r="CE124" i="10" s="1"/>
  <c r="CE84" i="10" a="1"/>
  <c r="CE84" i="10" s="1"/>
  <c r="CE23" i="10" a="1"/>
  <c r="CE23" i="10" s="1"/>
  <c r="DI210" i="10" a="1"/>
  <c r="DI210" i="10" s="1"/>
  <c r="CF210" i="10" a="1"/>
  <c r="CF210" i="10" s="1"/>
  <c r="BY146" i="10" a="1"/>
  <c r="BY146" i="10" s="1"/>
  <c r="CF92" i="10" a="1"/>
  <c r="CF92" i="10" s="1"/>
  <c r="DI92" i="10" a="1"/>
  <c r="DI92" i="10" s="1"/>
  <c r="CF42" i="10" a="1"/>
  <c r="CF42" i="10" s="1"/>
  <c r="CD16" i="10"/>
  <c r="CE160" i="10" a="1"/>
  <c r="CE160" i="10" s="1"/>
  <c r="CE123" i="10" a="1"/>
  <c r="CE123" i="10" s="1"/>
  <c r="CE10" i="10" a="1"/>
  <c r="CE10" i="10" s="1"/>
  <c r="BY196" i="10" a="1"/>
  <c r="BY196" i="10" s="1"/>
  <c r="CA110" i="10" a="1"/>
  <c r="CA110" i="10" s="1"/>
  <c r="CA10" i="10" a="1"/>
  <c r="CA10" i="10" s="1"/>
  <c r="CB224" i="10" a="1"/>
  <c r="CB224" i="10" s="1"/>
  <c r="CC224" i="10" s="1"/>
  <c r="CD224" i="10" s="1"/>
  <c r="CD15" i="10"/>
  <c r="CE176" i="10" a="1"/>
  <c r="CE176" i="10" s="1"/>
  <c r="CE122" i="10" a="1"/>
  <c r="CE122" i="10" s="1"/>
  <c r="CE82" i="10" a="1"/>
  <c r="CE82" i="10" s="1"/>
  <c r="BY209" i="10" a="1"/>
  <c r="BY209" i="10" s="1"/>
  <c r="DI195" i="10" a="1"/>
  <c r="DI195" i="10" s="1"/>
  <c r="CF195" i="10" a="1"/>
  <c r="CF195" i="10" s="1"/>
  <c r="BY181" i="10" a="1"/>
  <c r="BY181" i="10" s="1"/>
  <c r="BY169" i="10" a="1"/>
  <c r="BY169" i="10" s="1"/>
  <c r="CF54" i="10" a="1"/>
  <c r="CF54" i="10" s="1"/>
  <c r="CE54" i="10" a="1"/>
  <c r="CE54" i="10" s="1"/>
  <c r="DI54" i="10" a="1"/>
  <c r="DI54" i="10" s="1"/>
  <c r="CB223" i="10" a="1"/>
  <c r="CB223" i="10" s="1"/>
  <c r="CC223" i="10" s="1"/>
  <c r="CD223" i="10" s="1"/>
  <c r="CE175" i="10" a="1"/>
  <c r="CE175" i="10" s="1"/>
  <c r="BY208" i="10" a="1"/>
  <c r="BY208" i="10" s="1"/>
  <c r="DI194" i="10" a="1"/>
  <c r="DI194" i="10" s="1"/>
  <c r="CF194" i="10" a="1"/>
  <c r="CF194" i="10" s="1"/>
  <c r="CF53" i="10" a="1"/>
  <c r="CF53" i="10" s="1"/>
  <c r="CE53" i="10" a="1"/>
  <c r="CE53" i="10" s="1"/>
  <c r="DI53" i="10" a="1"/>
  <c r="DI53" i="10" s="1"/>
  <c r="CA171" i="10" a="1"/>
  <c r="CA171" i="10" s="1"/>
  <c r="CP171" i="10" s="1"/>
  <c r="CA109" i="10" a="1"/>
  <c r="CA109" i="10" s="1"/>
  <c r="CA97" i="10" a="1"/>
  <c r="CA97" i="10" s="1"/>
  <c r="CA9" i="10" a="1"/>
  <c r="CA9" i="10" s="1"/>
  <c r="CA83" i="10" a="1"/>
  <c r="CA83" i="10" s="1"/>
  <c r="CE204" i="10" a="1"/>
  <c r="CE204" i="10" s="1"/>
  <c r="CE173" i="10" a="1"/>
  <c r="CE173" i="10" s="1"/>
  <c r="CF192" i="10" a="1"/>
  <c r="CF192" i="10" s="1"/>
  <c r="DI192" i="10" a="1"/>
  <c r="DI192" i="10" s="1"/>
  <c r="CF155" i="10" a="1"/>
  <c r="CF155" i="10" s="1"/>
  <c r="DI155" i="10" a="1"/>
  <c r="DI155" i="10" s="1"/>
  <c r="CA182" i="10" a="1"/>
  <c r="CA182" i="10" s="1"/>
  <c r="CA170" i="10" a="1"/>
  <c r="CA170" i="10" s="1"/>
  <c r="CP170" i="10" s="1"/>
  <c r="CA96" i="10" a="1"/>
  <c r="CA96" i="10" s="1"/>
  <c r="CP96" i="10" s="1"/>
  <c r="CA82" i="10" a="1"/>
  <c r="CA82" i="10" s="1"/>
  <c r="CP82" i="10" s="1"/>
  <c r="CA70" i="10" a="1"/>
  <c r="CA70" i="10" s="1"/>
  <c r="CA58" i="10" a="1"/>
  <c r="CA58" i="10" s="1"/>
  <c r="CA32" i="10" a="1"/>
  <c r="CA32" i="10" s="1"/>
  <c r="CA20" i="10" a="1"/>
  <c r="CA20" i="10" s="1"/>
  <c r="CA8" i="10" a="1"/>
  <c r="CA8" i="10" s="1"/>
  <c r="CB221" i="10" a="1"/>
  <c r="CB221" i="10" s="1"/>
  <c r="CC221" i="10" s="1"/>
  <c r="CD221" i="10" s="1"/>
  <c r="CE218" i="10" a="1"/>
  <c r="CE218" i="10" s="1"/>
  <c r="CE172" i="10" a="1"/>
  <c r="CE172" i="10" s="1"/>
  <c r="CE137" i="10" a="1"/>
  <c r="CE137" i="10" s="1"/>
  <c r="CE120" i="10" a="1"/>
  <c r="CE120" i="10" s="1"/>
  <c r="CD115" i="10"/>
  <c r="CE217" i="10" a="1"/>
  <c r="CE217" i="10" s="1"/>
  <c r="CE202" i="10" a="1"/>
  <c r="CE202" i="10" s="1"/>
  <c r="CE152" i="10" a="1"/>
  <c r="CE152" i="10" s="1"/>
  <c r="CE98" i="10" a="1"/>
  <c r="CE98" i="10" s="1"/>
  <c r="BY220" i="10" a="1"/>
  <c r="BY220" i="10" s="1"/>
  <c r="AA192" i="10"/>
  <c r="AA152" i="10"/>
  <c r="DD224" i="10"/>
  <c r="DD204" i="10"/>
  <c r="DD184" i="10"/>
  <c r="DD164" i="10"/>
  <c r="DD144" i="10"/>
  <c r="DD124" i="10"/>
  <c r="DD104" i="10"/>
  <c r="DD84" i="10"/>
  <c r="DD64" i="10"/>
  <c r="DD24" i="10"/>
  <c r="AA31" i="10"/>
  <c r="DD223" i="10"/>
  <c r="DD203" i="10"/>
  <c r="DD183" i="10"/>
  <c r="DD163" i="10"/>
  <c r="DD143" i="10"/>
  <c r="DD123" i="10"/>
  <c r="DD103" i="10"/>
  <c r="DD63" i="10"/>
  <c r="DD43" i="10"/>
  <c r="DD23" i="10"/>
  <c r="DD222" i="10"/>
  <c r="DD202" i="10"/>
  <c r="DD182" i="10"/>
  <c r="DD162" i="10"/>
  <c r="DD142" i="10"/>
  <c r="DD122" i="10"/>
  <c r="DD102" i="10"/>
  <c r="DD62" i="10"/>
  <c r="DD42" i="10"/>
  <c r="DD22" i="10"/>
  <c r="AA69" i="10"/>
  <c r="DD221" i="10"/>
  <c r="DD201" i="10"/>
  <c r="DD161" i="10"/>
  <c r="DD121" i="10"/>
  <c r="DD101" i="10"/>
  <c r="DD61" i="10"/>
  <c r="DD41" i="10"/>
  <c r="DD21" i="10"/>
  <c r="AA128" i="10"/>
  <c r="AA108" i="10"/>
  <c r="DD220" i="10"/>
  <c r="DD200" i="10"/>
  <c r="DD160" i="10"/>
  <c r="DD140" i="10"/>
  <c r="DD120" i="10"/>
  <c r="DD100" i="10"/>
  <c r="DD80" i="10"/>
  <c r="DD60" i="10"/>
  <c r="DD40" i="10"/>
  <c r="DD219" i="10"/>
  <c r="DD199" i="10"/>
  <c r="DD159" i="10"/>
  <c r="DD139" i="10"/>
  <c r="DD119" i="10"/>
  <c r="DD99" i="10"/>
  <c r="DD79" i="10"/>
  <c r="DD59" i="10"/>
  <c r="DD39" i="10"/>
  <c r="DD218" i="10"/>
  <c r="DD198" i="10"/>
  <c r="DD158" i="10"/>
  <c r="DD138" i="10"/>
  <c r="DD118" i="10"/>
  <c r="DD98" i="10"/>
  <c r="DD78" i="10"/>
  <c r="DD38" i="10"/>
  <c r="AA225" i="10"/>
  <c r="DD217" i="10"/>
  <c r="DD197" i="10"/>
  <c r="DD157" i="10"/>
  <c r="DD137" i="10"/>
  <c r="DD77" i="10"/>
  <c r="DD37" i="10"/>
  <c r="DD216" i="10"/>
  <c r="DD196" i="10"/>
  <c r="DD156" i="10"/>
  <c r="DD136" i="10"/>
  <c r="DD76" i="10"/>
  <c r="DD56" i="10"/>
  <c r="DD36" i="10"/>
  <c r="DD215" i="10"/>
  <c r="DD195" i="10"/>
  <c r="DD155" i="10"/>
  <c r="DD135" i="10"/>
  <c r="DD75" i="10"/>
  <c r="DD55" i="10"/>
  <c r="DD35" i="10"/>
  <c r="DD214" i="10"/>
  <c r="DD194" i="10"/>
  <c r="DD154" i="10"/>
  <c r="DD134" i="10"/>
  <c r="DD94" i="10"/>
  <c r="DD74" i="10"/>
  <c r="DD54" i="10"/>
  <c r="DD34" i="10"/>
  <c r="DD213" i="10"/>
  <c r="DD193" i="10"/>
  <c r="DD133" i="10"/>
  <c r="DD93" i="10"/>
  <c r="DD73" i="10"/>
  <c r="DD53" i="10"/>
  <c r="DD33" i="10"/>
  <c r="BJ147" i="10"/>
  <c r="BJ47" i="10"/>
  <c r="BJ180" i="10"/>
  <c r="BJ146" i="10"/>
  <c r="BJ46" i="10"/>
  <c r="BJ167" i="10"/>
  <c r="BJ67" i="10"/>
  <c r="BJ166" i="10"/>
  <c r="BJ66" i="10"/>
  <c r="BJ199" i="10"/>
  <c r="BG143" i="10"/>
  <c r="BK143" i="10" s="1"/>
  <c r="BJ143" i="10"/>
  <c r="BG63" i="10"/>
  <c r="BK63" i="10" s="1"/>
  <c r="BJ63" i="10"/>
  <c r="BG3" i="10"/>
  <c r="BK3" i="10" s="1"/>
  <c r="BJ3" i="10"/>
  <c r="BG189" i="10"/>
  <c r="BK189" i="10" s="1"/>
  <c r="BJ189" i="10"/>
  <c r="BG109" i="10"/>
  <c r="BK109" i="10" s="1"/>
  <c r="BJ109" i="10"/>
  <c r="BG49" i="10"/>
  <c r="BK49" i="10" s="1"/>
  <c r="BJ49" i="10"/>
  <c r="BG168" i="10"/>
  <c r="BK168" i="10" s="1"/>
  <c r="BJ168" i="10"/>
  <c r="BG68" i="10"/>
  <c r="BK68" i="10" s="1"/>
  <c r="BJ68" i="10"/>
  <c r="BG203" i="10"/>
  <c r="BK203" i="10" s="1"/>
  <c r="BJ203" i="10"/>
  <c r="BG163" i="10"/>
  <c r="BK163" i="10" s="1"/>
  <c r="BJ163" i="10"/>
  <c r="BG103" i="10"/>
  <c r="BK103" i="10" s="1"/>
  <c r="BJ103" i="10"/>
  <c r="BG83" i="10"/>
  <c r="BK83" i="10" s="1"/>
  <c r="BJ83" i="10"/>
  <c r="BG43" i="10"/>
  <c r="BK43" i="10" s="1"/>
  <c r="BJ43" i="10"/>
  <c r="BG23" i="10"/>
  <c r="BK23" i="10" s="1"/>
  <c r="BJ23" i="10"/>
  <c r="BG222" i="10"/>
  <c r="BK222" i="10" s="1"/>
  <c r="BJ222" i="10"/>
  <c r="BG202" i="10"/>
  <c r="BK202" i="10" s="1"/>
  <c r="BJ202" i="10"/>
  <c r="BG182" i="10"/>
  <c r="BK182" i="10" s="1"/>
  <c r="BJ182" i="10"/>
  <c r="BG162" i="10"/>
  <c r="BK162" i="10" s="1"/>
  <c r="BJ162" i="10"/>
  <c r="BG142" i="10"/>
  <c r="BK142" i="10" s="1"/>
  <c r="BJ142" i="10"/>
  <c r="BG122" i="10"/>
  <c r="BK122" i="10" s="1"/>
  <c r="BJ122" i="10"/>
  <c r="BG102" i="10"/>
  <c r="BK102" i="10" s="1"/>
  <c r="BJ102" i="10"/>
  <c r="BG82" i="10"/>
  <c r="BK82" i="10" s="1"/>
  <c r="BJ82" i="10"/>
  <c r="BG62" i="10"/>
  <c r="BK62" i="10" s="1"/>
  <c r="BJ62" i="10"/>
  <c r="BG42" i="10"/>
  <c r="BK42" i="10" s="1"/>
  <c r="BJ42" i="10"/>
  <c r="BG22" i="10"/>
  <c r="BK22" i="10" s="1"/>
  <c r="BJ22" i="10"/>
  <c r="BG2" i="10"/>
  <c r="BK2" i="10" s="1"/>
  <c r="BJ2" i="10"/>
  <c r="BJ227" i="10"/>
  <c r="BJ161" i="10"/>
  <c r="BJ127" i="10"/>
  <c r="BJ27" i="10"/>
  <c r="BG169" i="10"/>
  <c r="BK169" i="10" s="1"/>
  <c r="BJ169" i="10"/>
  <c r="BG89" i="10"/>
  <c r="BK89" i="10" s="1"/>
  <c r="BJ89" i="10"/>
  <c r="BG29" i="10"/>
  <c r="BK29" i="10" s="1"/>
  <c r="BJ29" i="10"/>
  <c r="BG188" i="10"/>
  <c r="BK188" i="10" s="1"/>
  <c r="BJ188" i="10"/>
  <c r="BG88" i="10"/>
  <c r="BK88" i="10" s="1"/>
  <c r="BJ88" i="10"/>
  <c r="BG223" i="10"/>
  <c r="BK223" i="10" s="1"/>
  <c r="BJ223" i="10"/>
  <c r="BG123" i="10"/>
  <c r="BK123" i="10" s="1"/>
  <c r="BJ123" i="10"/>
  <c r="BJ226" i="10"/>
  <c r="BJ160" i="10"/>
  <c r="BJ126" i="10"/>
  <c r="BJ60" i="10"/>
  <c r="BJ26" i="10"/>
  <c r="BG209" i="10"/>
  <c r="BK209" i="10" s="1"/>
  <c r="BJ209" i="10"/>
  <c r="BG129" i="10"/>
  <c r="BK129" i="10" s="1"/>
  <c r="BJ129" i="10"/>
  <c r="BG228" i="10"/>
  <c r="BK228" i="10" s="1"/>
  <c r="BJ228" i="10"/>
  <c r="BG148" i="10"/>
  <c r="BK148" i="10" s="1"/>
  <c r="BJ148" i="10"/>
  <c r="BG108" i="10"/>
  <c r="BK108" i="10" s="1"/>
  <c r="BJ108" i="10"/>
  <c r="BG28" i="10"/>
  <c r="BK28" i="10" s="1"/>
  <c r="BJ28" i="10"/>
  <c r="BG183" i="10"/>
  <c r="BK183" i="10" s="1"/>
  <c r="BJ183" i="10"/>
  <c r="BJ159" i="10"/>
  <c r="BJ59" i="10"/>
  <c r="BG149" i="10"/>
  <c r="BK149" i="10" s="1"/>
  <c r="BJ149" i="10"/>
  <c r="BG69" i="10"/>
  <c r="BK69" i="10" s="1"/>
  <c r="BJ69" i="10"/>
  <c r="BG9" i="10"/>
  <c r="BK9" i="10" s="1"/>
  <c r="BJ9" i="10"/>
  <c r="BG208" i="10"/>
  <c r="BK208" i="10" s="1"/>
  <c r="BJ208" i="10"/>
  <c r="BG128" i="10"/>
  <c r="BK128" i="10" s="1"/>
  <c r="BJ128" i="10"/>
  <c r="BG48" i="10"/>
  <c r="BK48" i="10" s="1"/>
  <c r="BJ48" i="10"/>
  <c r="BG8" i="10"/>
  <c r="BK8" i="10" s="1"/>
  <c r="BJ8" i="10"/>
  <c r="BG18" i="10"/>
  <c r="BK18" i="10" s="1"/>
  <c r="BL18" i="10"/>
  <c r="BG217" i="10"/>
  <c r="BK217" i="10" s="1"/>
  <c r="BG197" i="10"/>
  <c r="BK197" i="10" s="1"/>
  <c r="BG177" i="10"/>
  <c r="BK177" i="10" s="1"/>
  <c r="BG157" i="10"/>
  <c r="BK157" i="10" s="1"/>
  <c r="BG137" i="10"/>
  <c r="BK137" i="10" s="1"/>
  <c r="BG117" i="10"/>
  <c r="BK117" i="10" s="1"/>
  <c r="BG97" i="10"/>
  <c r="BK97" i="10" s="1"/>
  <c r="BG77" i="10"/>
  <c r="BK77" i="10" s="1"/>
  <c r="BG57" i="10"/>
  <c r="BK57" i="10" s="1"/>
  <c r="BG37" i="10"/>
  <c r="BK37" i="10" s="1"/>
  <c r="BG17" i="10"/>
  <c r="BK17" i="10" s="1"/>
  <c r="BJ215" i="10"/>
  <c r="BJ195" i="10"/>
  <c r="BJ175" i="10"/>
  <c r="BJ155" i="10"/>
  <c r="BJ135" i="10"/>
  <c r="BJ115" i="10"/>
  <c r="BJ95" i="10"/>
  <c r="BJ75" i="10"/>
  <c r="BJ55" i="10"/>
  <c r="BJ35" i="10"/>
  <c r="BJ15" i="10"/>
  <c r="BG216" i="10"/>
  <c r="BK216" i="10" s="1"/>
  <c r="BG196" i="10"/>
  <c r="BK196" i="10" s="1"/>
  <c r="BG176" i="10"/>
  <c r="BK176" i="10" s="1"/>
  <c r="BG156" i="10"/>
  <c r="BK156" i="10" s="1"/>
  <c r="BG136" i="10"/>
  <c r="BK136" i="10" s="1"/>
  <c r="BG116" i="10"/>
  <c r="BK116" i="10" s="1"/>
  <c r="BG96" i="10"/>
  <c r="BK96" i="10" s="1"/>
  <c r="BG76" i="10"/>
  <c r="BK76" i="10" s="1"/>
  <c r="BG56" i="10"/>
  <c r="BK56" i="10" s="1"/>
  <c r="BG36" i="10"/>
  <c r="BK36" i="10" s="1"/>
  <c r="BG16" i="10"/>
  <c r="BK16" i="10" s="1"/>
  <c r="BG114" i="10"/>
  <c r="BK114" i="10" s="1"/>
  <c r="BG218" i="10"/>
  <c r="BK218" i="10" s="1"/>
  <c r="BG154" i="10"/>
  <c r="BK154" i="10" s="1"/>
  <c r="BG54" i="10"/>
  <c r="BK54" i="10" s="1"/>
  <c r="BG213" i="10"/>
  <c r="BK213" i="10" s="1"/>
  <c r="BG193" i="10"/>
  <c r="BK193" i="10" s="1"/>
  <c r="BG173" i="10"/>
  <c r="BK173" i="10" s="1"/>
  <c r="BG153" i="10"/>
  <c r="BK153" i="10" s="1"/>
  <c r="BG133" i="10"/>
  <c r="BK133" i="10" s="1"/>
  <c r="BG113" i="10"/>
  <c r="BK113" i="10" s="1"/>
  <c r="BG93" i="10"/>
  <c r="BK93" i="10" s="1"/>
  <c r="BG73" i="10"/>
  <c r="BK73" i="10" s="1"/>
  <c r="BG53" i="10"/>
  <c r="BK53" i="10" s="1"/>
  <c r="BG33" i="10"/>
  <c r="BK33" i="10" s="1"/>
  <c r="BG13" i="10"/>
  <c r="BK13" i="10" s="1"/>
  <c r="BG174" i="10"/>
  <c r="BK174" i="10" s="1"/>
  <c r="BG74" i="10"/>
  <c r="BK74" i="10" s="1"/>
  <c r="BG212" i="10"/>
  <c r="BK212" i="10" s="1"/>
  <c r="BG192" i="10"/>
  <c r="BK192" i="10" s="1"/>
  <c r="BG172" i="10"/>
  <c r="BK172" i="10" s="1"/>
  <c r="BG152" i="10"/>
  <c r="BK152" i="10" s="1"/>
  <c r="BG132" i="10"/>
  <c r="BK132" i="10" s="1"/>
  <c r="BG112" i="10"/>
  <c r="BK112" i="10" s="1"/>
  <c r="BG92" i="10"/>
  <c r="BK92" i="10" s="1"/>
  <c r="BG72" i="10"/>
  <c r="BK72" i="10" s="1"/>
  <c r="BG52" i="10"/>
  <c r="BK52" i="10" s="1"/>
  <c r="BG32" i="10"/>
  <c r="BK32" i="10" s="1"/>
  <c r="BG12" i="10"/>
  <c r="BK12" i="10" s="1"/>
  <c r="BG58" i="10"/>
  <c r="BK58" i="10" s="1"/>
  <c r="BG214" i="10"/>
  <c r="BK214" i="10" s="1"/>
  <c r="BG134" i="10"/>
  <c r="BK134" i="10" s="1"/>
  <c r="BG34" i="10"/>
  <c r="BK34" i="10" s="1"/>
  <c r="BG211" i="10"/>
  <c r="BK211" i="10" s="1"/>
  <c r="BG191" i="10"/>
  <c r="BK191" i="10" s="1"/>
  <c r="BG171" i="10"/>
  <c r="BK171" i="10" s="1"/>
  <c r="BG151" i="10"/>
  <c r="BK151" i="10" s="1"/>
  <c r="BG131" i="10"/>
  <c r="BK131" i="10" s="1"/>
  <c r="BG111" i="10"/>
  <c r="BK111" i="10" s="1"/>
  <c r="BG91" i="10"/>
  <c r="BK91" i="10" s="1"/>
  <c r="BG71" i="10"/>
  <c r="BK71" i="10" s="1"/>
  <c r="BG51" i="10"/>
  <c r="BK51" i="10" s="1"/>
  <c r="BG31" i="10"/>
  <c r="BK31" i="10" s="1"/>
  <c r="BG11" i="10"/>
  <c r="BK11" i="10" s="1"/>
  <c r="BG118" i="10"/>
  <c r="BK118" i="10" s="1"/>
  <c r="BG194" i="10"/>
  <c r="BK194" i="10" s="1"/>
  <c r="BG94" i="10"/>
  <c r="BK94" i="10" s="1"/>
  <c r="BG14" i="10"/>
  <c r="BK14" i="10" s="1"/>
  <c r="BG210" i="10"/>
  <c r="BK210" i="10" s="1"/>
  <c r="BG190" i="10"/>
  <c r="BK190" i="10" s="1"/>
  <c r="BG170" i="10"/>
  <c r="BK170" i="10" s="1"/>
  <c r="BG150" i="10"/>
  <c r="BK150" i="10" s="1"/>
  <c r="BG130" i="10"/>
  <c r="BK130" i="10" s="1"/>
  <c r="BG110" i="10"/>
  <c r="BK110" i="10" s="1"/>
  <c r="BG90" i="10"/>
  <c r="BK90" i="10" s="1"/>
  <c r="BG70" i="10"/>
  <c r="BK70" i="10" s="1"/>
  <c r="BG50" i="10"/>
  <c r="BK50" i="10" s="1"/>
  <c r="BG30" i="10"/>
  <c r="BK30" i="10" s="1"/>
  <c r="BG10" i="10"/>
  <c r="BK10" i="10" s="1"/>
  <c r="BG201" i="10"/>
  <c r="BK201" i="10" s="1"/>
  <c r="BG181" i="10"/>
  <c r="BK181" i="10" s="1"/>
  <c r="BG141" i="10"/>
  <c r="BK141" i="10" s="1"/>
  <c r="BG121" i="10"/>
  <c r="BK121" i="10" s="1"/>
  <c r="BG81" i="10"/>
  <c r="BK81" i="10" s="1"/>
  <c r="BG61" i="10"/>
  <c r="BK61" i="10" s="1"/>
  <c r="BG21" i="10"/>
  <c r="BK21" i="10" s="1"/>
  <c r="Q2" i="10"/>
  <c r="H2" i="10"/>
  <c r="M2" i="10"/>
  <c r="Z2" i="10"/>
  <c r="Z3" i="10"/>
  <c r="Z4" i="10"/>
  <c r="Z5" i="10"/>
  <c r="Z6" i="10"/>
  <c r="Z7" i="10"/>
  <c r="Z8" i="10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Z40" i="10"/>
  <c r="Z41" i="10"/>
  <c r="Z42" i="10"/>
  <c r="Z43" i="10"/>
  <c r="Z44" i="10"/>
  <c r="Z45" i="10"/>
  <c r="Z46" i="10"/>
  <c r="Z47" i="10"/>
  <c r="Z48" i="10"/>
  <c r="Z49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Z79" i="10"/>
  <c r="Z80" i="10"/>
  <c r="Z81" i="10"/>
  <c r="Z82" i="10"/>
  <c r="Z83" i="10"/>
  <c r="Z84" i="10"/>
  <c r="Z85" i="10"/>
  <c r="Z86" i="10"/>
  <c r="Z87" i="10"/>
  <c r="Z88" i="10"/>
  <c r="Z89" i="10"/>
  <c r="Z90" i="10"/>
  <c r="Z91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Y2" i="10"/>
  <c r="Y3" i="10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M51" i="10" s="1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M71" i="10" s="1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M91" i="10" s="1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M131" i="10" s="1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M151" i="10" s="1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M191" i="10" s="1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M211" i="10" s="1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L2" i="10"/>
  <c r="DG228" i="10"/>
  <c r="DG227" i="10"/>
  <c r="DG226" i="10"/>
  <c r="DG225" i="10"/>
  <c r="DG224" i="10"/>
  <c r="DG223" i="10"/>
  <c r="DG222" i="10"/>
  <c r="DG221" i="10"/>
  <c r="DG220" i="10"/>
  <c r="DG219" i="10"/>
  <c r="DG218" i="10"/>
  <c r="DG217" i="10"/>
  <c r="DG216" i="10"/>
  <c r="DG215" i="10"/>
  <c r="DG214" i="10"/>
  <c r="DG213" i="10"/>
  <c r="DG212" i="10"/>
  <c r="DG211" i="10"/>
  <c r="DG210" i="10"/>
  <c r="DG209" i="10"/>
  <c r="DG208" i="10"/>
  <c r="DG207" i="10"/>
  <c r="DG206" i="10"/>
  <c r="DG205" i="10"/>
  <c r="DG204" i="10"/>
  <c r="DG203" i="10"/>
  <c r="DG202" i="10"/>
  <c r="DG201" i="10"/>
  <c r="DG200" i="10"/>
  <c r="DG199" i="10"/>
  <c r="DG198" i="10"/>
  <c r="DG197" i="10"/>
  <c r="DG196" i="10"/>
  <c r="DG195" i="10"/>
  <c r="DG194" i="10"/>
  <c r="DG193" i="10"/>
  <c r="DG192" i="10"/>
  <c r="DG191" i="10"/>
  <c r="DG190" i="10"/>
  <c r="DG189" i="10"/>
  <c r="DG188" i="10"/>
  <c r="DG187" i="10"/>
  <c r="DG186" i="10"/>
  <c r="DG185" i="10"/>
  <c r="DG184" i="10"/>
  <c r="DG183" i="10"/>
  <c r="DG182" i="10"/>
  <c r="DG181" i="10"/>
  <c r="DG180" i="10"/>
  <c r="DG179" i="10"/>
  <c r="DG178" i="10"/>
  <c r="DG177" i="10"/>
  <c r="DG176" i="10"/>
  <c r="DG175" i="10"/>
  <c r="DG174" i="10"/>
  <c r="DG173" i="10"/>
  <c r="DG172" i="10"/>
  <c r="DG171" i="10"/>
  <c r="DG170" i="10"/>
  <c r="DG169" i="10"/>
  <c r="DG168" i="10"/>
  <c r="DG167" i="10"/>
  <c r="DG166" i="10"/>
  <c r="DG165" i="10"/>
  <c r="DG164" i="10"/>
  <c r="DG163" i="10"/>
  <c r="DG162" i="10"/>
  <c r="DG161" i="10"/>
  <c r="DG160" i="10"/>
  <c r="DG159" i="10"/>
  <c r="DG158" i="10"/>
  <c r="DG157" i="10"/>
  <c r="DG156" i="10"/>
  <c r="DG155" i="10"/>
  <c r="DG154" i="10"/>
  <c r="DG153" i="10"/>
  <c r="DG152" i="10"/>
  <c r="DG151" i="10"/>
  <c r="DG150" i="10"/>
  <c r="DG149" i="10"/>
  <c r="DG148" i="10"/>
  <c r="DG147" i="10"/>
  <c r="DG146" i="10"/>
  <c r="DG145" i="10"/>
  <c r="DG144" i="10"/>
  <c r="DG143" i="10"/>
  <c r="DG142" i="10"/>
  <c r="DG141" i="10"/>
  <c r="DG140" i="10"/>
  <c r="DG139" i="10"/>
  <c r="DG138" i="10"/>
  <c r="DG137" i="10"/>
  <c r="DG136" i="10"/>
  <c r="DG135" i="10"/>
  <c r="DG134" i="10"/>
  <c r="DG133" i="10"/>
  <c r="DG132" i="10"/>
  <c r="DG131" i="10"/>
  <c r="DG130" i="10"/>
  <c r="DG129" i="10"/>
  <c r="DG128" i="10"/>
  <c r="DG127" i="10"/>
  <c r="DG126" i="10"/>
  <c r="DG125" i="10"/>
  <c r="DG124" i="10"/>
  <c r="DG123" i="10"/>
  <c r="DG122" i="10"/>
  <c r="DG121" i="10"/>
  <c r="DG120" i="10"/>
  <c r="DG119" i="10"/>
  <c r="DG118" i="10"/>
  <c r="DG117" i="10"/>
  <c r="DG116" i="10"/>
  <c r="DG115" i="10"/>
  <c r="DG114" i="10"/>
  <c r="DG113" i="10"/>
  <c r="DG112" i="10"/>
  <c r="DG111" i="10"/>
  <c r="DG110" i="10"/>
  <c r="DG109" i="10"/>
  <c r="DG108" i="10"/>
  <c r="DG107" i="10"/>
  <c r="DG106" i="10"/>
  <c r="DG105" i="10"/>
  <c r="DG104" i="10"/>
  <c r="DG103" i="10"/>
  <c r="DG102" i="10"/>
  <c r="DG101" i="10"/>
  <c r="DG100" i="10"/>
  <c r="DG99" i="10"/>
  <c r="DG98" i="10"/>
  <c r="DG97" i="10"/>
  <c r="DG96" i="10"/>
  <c r="DG95" i="10"/>
  <c r="DG94" i="10"/>
  <c r="DG93" i="10"/>
  <c r="DG92" i="10"/>
  <c r="DG91" i="10"/>
  <c r="DG90" i="10"/>
  <c r="DG89" i="10"/>
  <c r="DG88" i="10"/>
  <c r="DG87" i="10"/>
  <c r="DG86" i="10"/>
  <c r="DG85" i="10"/>
  <c r="DG84" i="10"/>
  <c r="DG83" i="10"/>
  <c r="DG82" i="10"/>
  <c r="DG81" i="10"/>
  <c r="DG80" i="10"/>
  <c r="DG79" i="10"/>
  <c r="DG78" i="10"/>
  <c r="DG77" i="10"/>
  <c r="DG76" i="10"/>
  <c r="DG75" i="10"/>
  <c r="DG74" i="10"/>
  <c r="DG73" i="10"/>
  <c r="DG72" i="10"/>
  <c r="DG71" i="10"/>
  <c r="DG70" i="10"/>
  <c r="DG69" i="10"/>
  <c r="DG68" i="10"/>
  <c r="DG67" i="10"/>
  <c r="DG66" i="10"/>
  <c r="DG65" i="10"/>
  <c r="DG64" i="10"/>
  <c r="DG63" i="10"/>
  <c r="DG62" i="10"/>
  <c r="DG61" i="10"/>
  <c r="DG60" i="10"/>
  <c r="DG59" i="10"/>
  <c r="DG58" i="10"/>
  <c r="DG57" i="10"/>
  <c r="DG56" i="10"/>
  <c r="DG55" i="10"/>
  <c r="DG54" i="10"/>
  <c r="DG53" i="10"/>
  <c r="DG52" i="10"/>
  <c r="DG51" i="10"/>
  <c r="DG50" i="10"/>
  <c r="DG49" i="10"/>
  <c r="DG48" i="10"/>
  <c r="DG47" i="10"/>
  <c r="DG46" i="10"/>
  <c r="DG45" i="10"/>
  <c r="DG44" i="10"/>
  <c r="DG43" i="10"/>
  <c r="DG42" i="10"/>
  <c r="DG41" i="10"/>
  <c r="DG40" i="10"/>
  <c r="DG39" i="10"/>
  <c r="DG38" i="10"/>
  <c r="DG37" i="10"/>
  <c r="DG36" i="10"/>
  <c r="DG35" i="10"/>
  <c r="DG34" i="10"/>
  <c r="DG33" i="10"/>
  <c r="DG32" i="10"/>
  <c r="DG31" i="10"/>
  <c r="DG30" i="10"/>
  <c r="DG29" i="10"/>
  <c r="DG28" i="10"/>
  <c r="DG27" i="10"/>
  <c r="DG26" i="10"/>
  <c r="DG25" i="10"/>
  <c r="DG24" i="10"/>
  <c r="DG23" i="10"/>
  <c r="DG22" i="10"/>
  <c r="DG21" i="10"/>
  <c r="DG20" i="10"/>
  <c r="DG19" i="10"/>
  <c r="DG18" i="10"/>
  <c r="DG17" i="10"/>
  <c r="DG16" i="10"/>
  <c r="DG15" i="10"/>
  <c r="DG14" i="10"/>
  <c r="DG13" i="10"/>
  <c r="DG12" i="10"/>
  <c r="DG11" i="10"/>
  <c r="DG10" i="10"/>
  <c r="DG9" i="10"/>
  <c r="DG8" i="10"/>
  <c r="DG7" i="10"/>
  <c r="DG6" i="10"/>
  <c r="DG5" i="10"/>
  <c r="DG4" i="10"/>
  <c r="DG3" i="10"/>
  <c r="DG2" i="10"/>
  <c r="U100" i="10"/>
  <c r="U199" i="10"/>
  <c r="U200" i="10"/>
  <c r="U217" i="10"/>
  <c r="U216" i="10"/>
  <c r="U198" i="10"/>
  <c r="U197" i="10"/>
  <c r="U196" i="10"/>
  <c r="U148" i="10"/>
  <c r="U17" i="10"/>
  <c r="CI16" i="10" s="1"/>
  <c r="U16" i="10"/>
  <c r="CI15" i="10" s="1"/>
  <c r="J2" i="10"/>
  <c r="U2" i="10" s="1"/>
  <c r="U3" i="10"/>
  <c r="CI2" i="10" s="1"/>
  <c r="U4" i="10"/>
  <c r="CI3" i="10" s="1"/>
  <c r="U5" i="10"/>
  <c r="CI4" i="10" s="1"/>
  <c r="U6" i="10"/>
  <c r="CI5" i="10" s="1"/>
  <c r="U7" i="10"/>
  <c r="CI6" i="10" s="1"/>
  <c r="U8" i="10"/>
  <c r="CI7" i="10" s="1"/>
  <c r="U9" i="10"/>
  <c r="CI8" i="10" s="1"/>
  <c r="U10" i="10"/>
  <c r="CI9" i="10" s="1"/>
  <c r="U13" i="10"/>
  <c r="CI12" i="10" s="1"/>
  <c r="U14" i="10"/>
  <c r="CI13" i="10" s="1"/>
  <c r="U15" i="10"/>
  <c r="CI14" i="10" s="1"/>
  <c r="U18" i="10"/>
  <c r="CI17" i="10" s="1"/>
  <c r="U20" i="10"/>
  <c r="U22" i="10"/>
  <c r="U23" i="10"/>
  <c r="U24" i="10"/>
  <c r="U25" i="10"/>
  <c r="U26" i="10"/>
  <c r="U27" i="10"/>
  <c r="U28" i="10"/>
  <c r="U29" i="10"/>
  <c r="U30" i="10"/>
  <c r="U33" i="10"/>
  <c r="U34" i="10"/>
  <c r="U35" i="10"/>
  <c r="U36" i="10"/>
  <c r="U37" i="10"/>
  <c r="U38" i="10"/>
  <c r="U39" i="10"/>
  <c r="U40" i="10"/>
  <c r="U42" i="10"/>
  <c r="U43" i="10"/>
  <c r="CI42" i="10" s="1"/>
  <c r="U44" i="10"/>
  <c r="CI43" i="10" s="1"/>
  <c r="U45" i="10"/>
  <c r="U46" i="10"/>
  <c r="U47" i="10"/>
  <c r="U48" i="10"/>
  <c r="U49" i="10"/>
  <c r="U50" i="10"/>
  <c r="U53" i="10"/>
  <c r="U54" i="10"/>
  <c r="U55" i="10"/>
  <c r="U56" i="10"/>
  <c r="CI55" i="10" s="1"/>
  <c r="U57" i="10"/>
  <c r="CI56" i="10" s="1"/>
  <c r="U58" i="10"/>
  <c r="U59" i="10"/>
  <c r="U60" i="10"/>
  <c r="U62" i="10"/>
  <c r="U63" i="10"/>
  <c r="U64" i="10"/>
  <c r="U65" i="10"/>
  <c r="U66" i="10"/>
  <c r="U67" i="10"/>
  <c r="U68" i="10"/>
  <c r="U69" i="10"/>
  <c r="CI68" i="10" s="1"/>
  <c r="U73" i="10"/>
  <c r="U74" i="10"/>
  <c r="U75" i="10"/>
  <c r="U76" i="10"/>
  <c r="U77" i="10"/>
  <c r="U78" i="10"/>
  <c r="U79" i="10"/>
  <c r="U80" i="10"/>
  <c r="CI79" i="10" s="1"/>
  <c r="U82" i="10"/>
  <c r="CI81" i="10" s="1"/>
  <c r="U83" i="10"/>
  <c r="U84" i="10"/>
  <c r="U85" i="10"/>
  <c r="U86" i="10"/>
  <c r="U87" i="10"/>
  <c r="U88" i="10"/>
  <c r="U89" i="10"/>
  <c r="U90" i="10"/>
  <c r="U93" i="10"/>
  <c r="U94" i="10"/>
  <c r="CI93" i="10" s="1"/>
  <c r="U95" i="10"/>
  <c r="CI94" i="10" s="1"/>
  <c r="U96" i="10"/>
  <c r="CI95" i="10" s="1"/>
  <c r="U97" i="10"/>
  <c r="U98" i="10"/>
  <c r="U102" i="10"/>
  <c r="U103" i="10"/>
  <c r="U104" i="10"/>
  <c r="U105" i="10"/>
  <c r="U106" i="10"/>
  <c r="U107" i="10"/>
  <c r="U108" i="10"/>
  <c r="CI107" i="10" s="1"/>
  <c r="U109" i="10"/>
  <c r="CI108" i="10" s="1"/>
  <c r="U110" i="10"/>
  <c r="CI109" i="10" s="1"/>
  <c r="U113" i="10"/>
  <c r="CI112" i="10" s="1"/>
  <c r="U114" i="10"/>
  <c r="CI113" i="10" s="1"/>
  <c r="U115" i="10"/>
  <c r="CI114" i="10" s="1"/>
  <c r="U116" i="10"/>
  <c r="CI115" i="10" s="1"/>
  <c r="U117" i="10"/>
  <c r="U118" i="10"/>
  <c r="U120" i="10"/>
  <c r="U122" i="10"/>
  <c r="U123" i="10"/>
  <c r="U124" i="10"/>
  <c r="U125" i="10"/>
  <c r="U126" i="10"/>
  <c r="U127" i="10"/>
  <c r="U128" i="10"/>
  <c r="CI127" i="10" s="1"/>
  <c r="U129" i="10"/>
  <c r="U130" i="10"/>
  <c r="U133" i="10"/>
  <c r="U134" i="10"/>
  <c r="U135" i="10"/>
  <c r="U136" i="10"/>
  <c r="U137" i="10"/>
  <c r="U138" i="10"/>
  <c r="U140" i="10"/>
  <c r="CI139" i="10" s="1"/>
  <c r="U142" i="10"/>
  <c r="U143" i="10"/>
  <c r="U144" i="10"/>
  <c r="U145" i="10"/>
  <c r="U146" i="10"/>
  <c r="U147" i="10"/>
  <c r="U149" i="10"/>
  <c r="U150" i="10"/>
  <c r="U153" i="10"/>
  <c r="U154" i="10"/>
  <c r="U155" i="10"/>
  <c r="U156" i="10"/>
  <c r="U157" i="10"/>
  <c r="U158" i="10"/>
  <c r="U159" i="10"/>
  <c r="U160" i="10"/>
  <c r="U162" i="10"/>
  <c r="U163" i="10"/>
  <c r="U164" i="10"/>
  <c r="CI163" i="10" s="1"/>
  <c r="U165" i="10"/>
  <c r="CI164" i="10" s="1"/>
  <c r="U166" i="10"/>
  <c r="CI165" i="10" s="1"/>
  <c r="U167" i="10"/>
  <c r="CI166" i="10" s="1"/>
  <c r="U168" i="10"/>
  <c r="CI167" i="10" s="1"/>
  <c r="U169" i="10"/>
  <c r="CI168" i="10" s="1"/>
  <c r="U170" i="10"/>
  <c r="CI169" i="10" s="1"/>
  <c r="U173" i="10"/>
  <c r="CI172" i="10" s="1"/>
  <c r="U174" i="10"/>
  <c r="CI173" i="10" s="1"/>
  <c r="U175" i="10"/>
  <c r="CI174" i="10" s="1"/>
  <c r="U176" i="10"/>
  <c r="CI175" i="10" s="1"/>
  <c r="U177" i="10"/>
  <c r="CI176" i="10" s="1"/>
  <c r="U178" i="10"/>
  <c r="CI177" i="10" s="1"/>
  <c r="U179" i="10"/>
  <c r="CI178" i="10" s="1"/>
  <c r="U180" i="10"/>
  <c r="CI179" i="10" s="1"/>
  <c r="U182" i="10"/>
  <c r="U183" i="10"/>
  <c r="U184" i="10"/>
  <c r="U185" i="10"/>
  <c r="U186" i="10"/>
  <c r="U187" i="10"/>
  <c r="U188" i="10"/>
  <c r="U189" i="10"/>
  <c r="U193" i="10"/>
  <c r="U194" i="10"/>
  <c r="U195" i="10"/>
  <c r="U202" i="10"/>
  <c r="U203" i="10"/>
  <c r="CI202" i="10" s="1"/>
  <c r="U204" i="10"/>
  <c r="U205" i="10"/>
  <c r="U206" i="10"/>
  <c r="U207" i="10"/>
  <c r="U208" i="10"/>
  <c r="U209" i="10"/>
  <c r="U210" i="10"/>
  <c r="U213" i="10"/>
  <c r="U214" i="10"/>
  <c r="CI213" i="10" s="1"/>
  <c r="U215" i="10"/>
  <c r="U218" i="10"/>
  <c r="U219" i="10"/>
  <c r="U220" i="10"/>
  <c r="U222" i="10"/>
  <c r="U223" i="10"/>
  <c r="U224" i="10"/>
  <c r="U225" i="10"/>
  <c r="CI224" i="10" s="1"/>
  <c r="U226" i="10"/>
  <c r="CI225" i="10" s="1"/>
  <c r="U227" i="10"/>
  <c r="CI226" i="10" s="1"/>
  <c r="U228" i="10"/>
  <c r="CI227" i="10" s="1"/>
  <c r="E2" i="10"/>
  <c r="CD2" i="10" s="1"/>
  <c r="DI71" i="10" l="1" a="1"/>
  <c r="DI71" i="10" s="1"/>
  <c r="CE50" i="10" a="1"/>
  <c r="CE50" i="10" s="1"/>
  <c r="CF83" i="10" a="1"/>
  <c r="CF83" i="10" s="1"/>
  <c r="CE36" i="10" a="1"/>
  <c r="CE36" i="10" s="1"/>
  <c r="CE99" i="10" a="1"/>
  <c r="CE99" i="10" s="1"/>
  <c r="CE189" i="10" a="1"/>
  <c r="CE189" i="10" s="1"/>
  <c r="CF50" i="10" a="1"/>
  <c r="CF50" i="10" s="1"/>
  <c r="CD166" i="10"/>
  <c r="CE112" i="10" a="1"/>
  <c r="CE112" i="10" s="1"/>
  <c r="CF93" i="10" a="1"/>
  <c r="CF93" i="10" s="1"/>
  <c r="DI36" i="10" a="1"/>
  <c r="DI36" i="10" s="1"/>
  <c r="DI182" i="10" a="1"/>
  <c r="DI182" i="10" s="1"/>
  <c r="CE182" i="10" a="1"/>
  <c r="CE182" i="10" s="1"/>
  <c r="CE139" i="10" a="1"/>
  <c r="CE139" i="10" s="1"/>
  <c r="DI170" i="10" a="1"/>
  <c r="DI170" i="10" s="1"/>
  <c r="DI139" i="10" a="1"/>
  <c r="DI139" i="10" s="1"/>
  <c r="CE86" i="10" a="1"/>
  <c r="CE86" i="10" s="1"/>
  <c r="CF112" i="10" a="1"/>
  <c r="CF112" i="10" s="1"/>
  <c r="DI42" i="10" a="1"/>
  <c r="DI42" i="10" s="1"/>
  <c r="CD193" i="10"/>
  <c r="CF73" i="10" a="1"/>
  <c r="CF73" i="10" s="1"/>
  <c r="CE177" i="10" a="1"/>
  <c r="CE177" i="10" s="1"/>
  <c r="CF110" i="10" a="1"/>
  <c r="CF110" i="10" s="1"/>
  <c r="CF71" i="10" a="1"/>
  <c r="CF71" i="10" s="1"/>
  <c r="DI93" i="10" a="1"/>
  <c r="DI93" i="10" s="1"/>
  <c r="CD14" i="10"/>
  <c r="CE73" i="10" a="1"/>
  <c r="CE73" i="10" s="1"/>
  <c r="DI177" i="10" a="1"/>
  <c r="DI177" i="10" s="1"/>
  <c r="CD11" i="10"/>
  <c r="CE110" i="10" a="1"/>
  <c r="CE110" i="10" s="1"/>
  <c r="CD129" i="10"/>
  <c r="CD174" i="10"/>
  <c r="CF99" i="10" a="1"/>
  <c r="CF99" i="10" s="1"/>
  <c r="DI189" i="10" a="1"/>
  <c r="DI189" i="10" s="1"/>
  <c r="CE170" i="10" a="1"/>
  <c r="CE170" i="10" s="1"/>
  <c r="CF86" i="10" a="1"/>
  <c r="CF86" i="10" s="1"/>
  <c r="CD111" i="10"/>
  <c r="CE47" i="10" a="1"/>
  <c r="CE47" i="10" s="1"/>
  <c r="CF182" i="10" a="1"/>
  <c r="CF182" i="10" s="1"/>
  <c r="CD177" i="10"/>
  <c r="DC97" i="10"/>
  <c r="DB97" i="10" s="1"/>
  <c r="DC204" i="10"/>
  <c r="DB204" i="10" s="1"/>
  <c r="DC20" i="10"/>
  <c r="DB20" i="10" s="1"/>
  <c r="DC58" i="10"/>
  <c r="DB58" i="10" s="1"/>
  <c r="DC193" i="10"/>
  <c r="DB193" i="10" s="1"/>
  <c r="DC83" i="10"/>
  <c r="DB83" i="10" s="1"/>
  <c r="DC70" i="10"/>
  <c r="DB70" i="10" s="1"/>
  <c r="DC141" i="10"/>
  <c r="DB141" i="10" s="1"/>
  <c r="DC117" i="10"/>
  <c r="DB117" i="10" s="1"/>
  <c r="DC182" i="10"/>
  <c r="DB182" i="10" s="1"/>
  <c r="DC129" i="10"/>
  <c r="DB129" i="10" s="1"/>
  <c r="DI44" i="10" a="1"/>
  <c r="DI44" i="10" s="1"/>
  <c r="CF44" i="10" a="1"/>
  <c r="CF44" i="10" s="1"/>
  <c r="CE44" i="10" a="1"/>
  <c r="CE44" i="10" s="1"/>
  <c r="DI85" i="10" a="1"/>
  <c r="DI85" i="10" s="1"/>
  <c r="CF85" i="10" a="1"/>
  <c r="CF85" i="10" s="1"/>
  <c r="CE85" i="10" a="1"/>
  <c r="CE85" i="10" s="1"/>
  <c r="CF164" i="10" a="1"/>
  <c r="CF164" i="10" s="1"/>
  <c r="DI164" i="10" a="1"/>
  <c r="DI164" i="10" s="1"/>
  <c r="CE164" i="10" a="1"/>
  <c r="CE164" i="10" s="1"/>
  <c r="L120" i="10"/>
  <c r="AA120" i="10" s="1"/>
  <c r="CI119" i="10"/>
  <c r="L22" i="10"/>
  <c r="AA22" i="10" s="1"/>
  <c r="CI21" i="10"/>
  <c r="CD168" i="10"/>
  <c r="L93" i="10"/>
  <c r="AA93" i="10" s="1"/>
  <c r="CI92" i="10"/>
  <c r="DI46" i="10" a="1"/>
  <c r="DI46" i="10" s="1"/>
  <c r="CF46" i="10" a="1"/>
  <c r="CF46" i="10" s="1"/>
  <c r="CE46" i="10" a="1"/>
  <c r="CE46" i="10" s="1"/>
  <c r="L88" i="10"/>
  <c r="AA88" i="10" s="1"/>
  <c r="CI87" i="10"/>
  <c r="DI108" i="10" a="1"/>
  <c r="DI108" i="10" s="1"/>
  <c r="CF108" i="10" a="1"/>
  <c r="CF108" i="10" s="1"/>
  <c r="CE108" i="10" a="1"/>
  <c r="CE108" i="10" s="1"/>
  <c r="L62" i="10"/>
  <c r="AA62" i="10" s="1"/>
  <c r="CI61" i="10"/>
  <c r="L37" i="10"/>
  <c r="AA37" i="10" s="1"/>
  <c r="CI36" i="10"/>
  <c r="CP110" i="10"/>
  <c r="CD110" i="10"/>
  <c r="L215" i="10"/>
  <c r="AA215" i="10" s="1"/>
  <c r="CI214" i="10"/>
  <c r="L184" i="10"/>
  <c r="AA184" i="10" s="1"/>
  <c r="CI183" i="10"/>
  <c r="L160" i="10"/>
  <c r="AA160" i="10" s="1"/>
  <c r="CI159" i="10"/>
  <c r="L135" i="10"/>
  <c r="AA135" i="10" s="1"/>
  <c r="CI134" i="10"/>
  <c r="L84" i="10"/>
  <c r="AA84" i="10" s="1"/>
  <c r="CI83" i="10"/>
  <c r="L59" i="10"/>
  <c r="AA59" i="10" s="1"/>
  <c r="CI58" i="10"/>
  <c r="L36" i="10"/>
  <c r="AA36" i="10" s="1"/>
  <c r="CI35" i="10"/>
  <c r="DI208" i="10" a="1"/>
  <c r="DI208" i="10" s="1"/>
  <c r="CF208" i="10" a="1"/>
  <c r="CF208" i="10" s="1"/>
  <c r="CE208" i="10" a="1"/>
  <c r="CE208" i="10" s="1"/>
  <c r="DI196" i="10" a="1"/>
  <c r="DI196" i="10" s="1"/>
  <c r="CE196" i="10" a="1"/>
  <c r="CE196" i="10" s="1"/>
  <c r="CF196" i="10" a="1"/>
  <c r="CF196" i="10" s="1"/>
  <c r="CD176" i="10"/>
  <c r="CF148" i="10" a="1"/>
  <c r="CF148" i="10" s="1"/>
  <c r="DI148" i="10" a="1"/>
  <c r="DI148" i="10" s="1"/>
  <c r="CE148" i="10" a="1"/>
  <c r="CE148" i="10" s="1"/>
  <c r="CD96" i="10"/>
  <c r="L204" i="10"/>
  <c r="AA204" i="10" s="1"/>
  <c r="CI203" i="10"/>
  <c r="L149" i="10"/>
  <c r="AA149" i="10" s="1"/>
  <c r="CI148" i="10"/>
  <c r="L74" i="10"/>
  <c r="AA74" i="10" s="1"/>
  <c r="CI73" i="10"/>
  <c r="L48" i="10"/>
  <c r="AA48" i="10" s="1"/>
  <c r="CI47" i="10"/>
  <c r="L148" i="10"/>
  <c r="AA148" i="10" s="1"/>
  <c r="CI147" i="10"/>
  <c r="DI65" i="10" a="1"/>
  <c r="DI65" i="10" s="1"/>
  <c r="CE65" i="10" a="1"/>
  <c r="CE65" i="10" s="1"/>
  <c r="CF65" i="10" a="1"/>
  <c r="CF65" i="10" s="1"/>
  <c r="L147" i="10"/>
  <c r="AA147" i="10" s="1"/>
  <c r="CI146" i="10"/>
  <c r="L123" i="10"/>
  <c r="AA123" i="10" s="1"/>
  <c r="CI122" i="10"/>
  <c r="L73" i="10"/>
  <c r="AA73" i="10" s="1"/>
  <c r="CI72" i="10"/>
  <c r="L47" i="10"/>
  <c r="AA47" i="10" s="1"/>
  <c r="CI46" i="10"/>
  <c r="L24" i="10"/>
  <c r="AA24" i="10" s="1"/>
  <c r="CI23" i="10"/>
  <c r="L196" i="10"/>
  <c r="AA196" i="10" s="1"/>
  <c r="CI195" i="10"/>
  <c r="CP83" i="10"/>
  <c r="CD83" i="10"/>
  <c r="L202" i="10"/>
  <c r="AA202" i="10" s="1"/>
  <c r="CI201" i="10"/>
  <c r="L146" i="10"/>
  <c r="AA146" i="10" s="1"/>
  <c r="CI145" i="10"/>
  <c r="L122" i="10"/>
  <c r="AA122" i="10" s="1"/>
  <c r="CI121" i="10"/>
  <c r="L46" i="10"/>
  <c r="AA46" i="10" s="1"/>
  <c r="CI45" i="10"/>
  <c r="L23" i="10"/>
  <c r="AA23" i="10" s="1"/>
  <c r="CI22" i="10"/>
  <c r="L197" i="10"/>
  <c r="AA197" i="10" s="1"/>
  <c r="CI196" i="10"/>
  <c r="CE5" i="10" a="1"/>
  <c r="CE5" i="10" s="1"/>
  <c r="DI5" i="10" a="1"/>
  <c r="DI5" i="10" s="1"/>
  <c r="CF5" i="10" a="1"/>
  <c r="CF5" i="10" s="1"/>
  <c r="L195" i="10"/>
  <c r="AA195" i="10" s="1"/>
  <c r="CI194" i="10"/>
  <c r="L198" i="10"/>
  <c r="AA198" i="10" s="1"/>
  <c r="CI197" i="10"/>
  <c r="L144" i="10"/>
  <c r="AA144" i="10" s="1"/>
  <c r="CI143" i="10"/>
  <c r="L118" i="10"/>
  <c r="AA118" i="10" s="1"/>
  <c r="CI117" i="10"/>
  <c r="L216" i="10"/>
  <c r="AA216" i="10" s="1"/>
  <c r="CI215" i="10"/>
  <c r="L117" i="10"/>
  <c r="AA117" i="10" s="1"/>
  <c r="CI116" i="10"/>
  <c r="L189" i="10"/>
  <c r="AA189" i="10" s="1"/>
  <c r="CI188" i="10"/>
  <c r="L142" i="10"/>
  <c r="AA142" i="10" s="1"/>
  <c r="CI141" i="10"/>
  <c r="L65" i="10"/>
  <c r="AA65" i="10" s="1"/>
  <c r="CI64" i="10"/>
  <c r="L42" i="10"/>
  <c r="AA42" i="10" s="1"/>
  <c r="CI41" i="10"/>
  <c r="L200" i="10"/>
  <c r="AA200" i="10" s="1"/>
  <c r="CI199" i="10"/>
  <c r="CP20" i="10"/>
  <c r="CD20" i="10"/>
  <c r="L188" i="10"/>
  <c r="AA188" i="10" s="1"/>
  <c r="CI187" i="10"/>
  <c r="CP32" i="10"/>
  <c r="CD32" i="10"/>
  <c r="L220" i="10"/>
  <c r="AA220" i="10" s="1"/>
  <c r="CI219" i="10"/>
  <c r="L63" i="10"/>
  <c r="AA63" i="10" s="1"/>
  <c r="CI62" i="10"/>
  <c r="L100" i="10"/>
  <c r="AA100" i="10" s="1"/>
  <c r="CI99" i="10"/>
  <c r="CF126" i="10" a="1"/>
  <c r="CF126" i="10" s="1"/>
  <c r="DI126" i="10" a="1"/>
  <c r="DI126" i="10" s="1"/>
  <c r="CE126" i="10" a="1"/>
  <c r="CE126" i="10" s="1"/>
  <c r="CD227" i="10"/>
  <c r="L219" i="10"/>
  <c r="AA219" i="10" s="1"/>
  <c r="CI218" i="10"/>
  <c r="L186" i="10"/>
  <c r="AA186" i="10" s="1"/>
  <c r="CI185" i="10"/>
  <c r="L163" i="10"/>
  <c r="AA163" i="10" s="1"/>
  <c r="CI162" i="10"/>
  <c r="L86" i="10"/>
  <c r="AA86" i="10" s="1"/>
  <c r="CI85" i="10"/>
  <c r="L38" i="10"/>
  <c r="AA38" i="10" s="1"/>
  <c r="CI37" i="10"/>
  <c r="CP70" i="10"/>
  <c r="CD70" i="10"/>
  <c r="CP10" i="10"/>
  <c r="CD10" i="10"/>
  <c r="L185" i="10"/>
  <c r="AA185" i="10" s="1"/>
  <c r="CI184" i="10"/>
  <c r="L97" i="10"/>
  <c r="AA97" i="10" s="1"/>
  <c r="CI96" i="10"/>
  <c r="L25" i="10"/>
  <c r="AA25" i="10" s="1"/>
  <c r="CI24" i="10"/>
  <c r="DI181" i="10" a="1"/>
  <c r="DI181" i="10" s="1"/>
  <c r="CE181" i="10" a="1"/>
  <c r="CE181" i="10" s="1"/>
  <c r="CF181" i="10" a="1"/>
  <c r="CF181" i="10" s="1"/>
  <c r="CP5" i="10"/>
  <c r="CD5" i="10"/>
  <c r="DI81" i="10" a="1"/>
  <c r="DI81" i="10" s="1"/>
  <c r="CF81" i="10" a="1"/>
  <c r="CF81" i="10" s="1"/>
  <c r="CE81" i="10" a="1"/>
  <c r="CE81" i="10" s="1"/>
  <c r="CF146" i="10" a="1"/>
  <c r="CF146" i="10" s="1"/>
  <c r="DI146" i="10" a="1"/>
  <c r="DI146" i="10" s="1"/>
  <c r="CE146" i="10" a="1"/>
  <c r="CE146" i="10" s="1"/>
  <c r="CP6" i="10"/>
  <c r="CD6" i="10"/>
  <c r="DI209" i="10" a="1"/>
  <c r="DI209" i="10" s="1"/>
  <c r="CE209" i="10" a="1"/>
  <c r="CE209" i="10" s="1"/>
  <c r="CF209" i="10" a="1"/>
  <c r="CF209" i="10" s="1"/>
  <c r="DI105" i="10" a="1"/>
  <c r="DI105" i="10" s="1"/>
  <c r="CE105" i="10" a="1"/>
  <c r="CE105" i="10" s="1"/>
  <c r="CF105" i="10" a="1"/>
  <c r="CF105" i="10" s="1"/>
  <c r="L224" i="10"/>
  <c r="AA224" i="10" s="1"/>
  <c r="CI223" i="10"/>
  <c r="L193" i="10"/>
  <c r="AA193" i="10" s="1"/>
  <c r="CI192" i="10"/>
  <c r="L143" i="10"/>
  <c r="AA143" i="10" s="1"/>
  <c r="CI142" i="10"/>
  <c r="L90" i="10"/>
  <c r="AA90" i="10" s="1"/>
  <c r="CI89" i="10"/>
  <c r="L217" i="10"/>
  <c r="AA217" i="10" s="1"/>
  <c r="CI216" i="10"/>
  <c r="L89" i="10"/>
  <c r="AA89" i="10" s="1"/>
  <c r="CI88" i="10"/>
  <c r="CF147" i="10" a="1"/>
  <c r="CF147" i="10" s="1"/>
  <c r="DI147" i="10" a="1"/>
  <c r="DI147" i="10" s="1"/>
  <c r="CE147" i="10" a="1"/>
  <c r="CE147" i="10" s="1"/>
  <c r="L222" i="10"/>
  <c r="AA222" i="10" s="1"/>
  <c r="CI221" i="10"/>
  <c r="L64" i="10"/>
  <c r="AA64" i="10" s="1"/>
  <c r="CI63" i="10"/>
  <c r="L199" i="10"/>
  <c r="AA199" i="10" s="1"/>
  <c r="CI198" i="10"/>
  <c r="L187" i="10"/>
  <c r="AA187" i="10" s="1"/>
  <c r="CI186" i="10"/>
  <c r="L138" i="10"/>
  <c r="AA138" i="10" s="1"/>
  <c r="CI137" i="10"/>
  <c r="L87" i="10"/>
  <c r="AA87" i="10" s="1"/>
  <c r="CI86" i="10"/>
  <c r="CP58" i="10"/>
  <c r="CD58" i="10"/>
  <c r="DI145" i="10" a="1"/>
  <c r="DI145" i="10" s="1"/>
  <c r="CE145" i="10" a="1"/>
  <c r="CE145" i="10" s="1"/>
  <c r="CF145" i="10" a="1"/>
  <c r="CF145" i="10" s="1"/>
  <c r="L137" i="10"/>
  <c r="AA137" i="10" s="1"/>
  <c r="CI136" i="10"/>
  <c r="CF165" i="10" a="1"/>
  <c r="CF165" i="10" s="1"/>
  <c r="DI165" i="10" a="1"/>
  <c r="DI165" i="10" s="1"/>
  <c r="CE165" i="10" a="1"/>
  <c r="CE165" i="10" s="1"/>
  <c r="L162" i="10"/>
  <c r="AA162" i="10" s="1"/>
  <c r="CI161" i="10"/>
  <c r="L60" i="10"/>
  <c r="AA60" i="10" s="1"/>
  <c r="CI59" i="10"/>
  <c r="CP165" i="10"/>
  <c r="CD165" i="10"/>
  <c r="L183" i="10"/>
  <c r="AA183" i="10" s="1"/>
  <c r="CI182" i="10"/>
  <c r="L159" i="10"/>
  <c r="AA159" i="10" s="1"/>
  <c r="CI158" i="10"/>
  <c r="L83" i="10"/>
  <c r="AA83" i="10" s="1"/>
  <c r="CI82" i="10"/>
  <c r="L35" i="10"/>
  <c r="AA35" i="10" s="1"/>
  <c r="CI34" i="10"/>
  <c r="L213" i="10"/>
  <c r="AA213" i="10" s="1"/>
  <c r="CI212" i="10"/>
  <c r="CF205" i="10" a="1"/>
  <c r="CF205" i="10" s="1"/>
  <c r="DI205" i="10" a="1"/>
  <c r="DI205" i="10" s="1"/>
  <c r="CE205" i="10" a="1"/>
  <c r="CE205" i="10" s="1"/>
  <c r="L130" i="10"/>
  <c r="AA130" i="10" s="1"/>
  <c r="CI129" i="10"/>
  <c r="DI220" i="10" a="1"/>
  <c r="DI220" i="10" s="1"/>
  <c r="CF220" i="10" a="1"/>
  <c r="CF220" i="10" s="1"/>
  <c r="CE220" i="10" a="1"/>
  <c r="CE220" i="10" s="1"/>
  <c r="CF186" i="10" a="1"/>
  <c r="CF186" i="10" s="1"/>
  <c r="DI186" i="10" a="1"/>
  <c r="DI186" i="10" s="1"/>
  <c r="CE186" i="10" a="1"/>
  <c r="CE186" i="10" s="1"/>
  <c r="L209" i="10"/>
  <c r="AA209" i="10" s="1"/>
  <c r="CI208" i="10"/>
  <c r="L156" i="10"/>
  <c r="AA156" i="10" s="1"/>
  <c r="CI155" i="10"/>
  <c r="L129" i="10"/>
  <c r="AA129" i="10" s="1"/>
  <c r="CI128" i="10"/>
  <c r="L105" i="10"/>
  <c r="AA105" i="10" s="1"/>
  <c r="CI104" i="10"/>
  <c r="L79" i="10"/>
  <c r="AA79" i="10" s="1"/>
  <c r="CI78" i="10"/>
  <c r="L55" i="10"/>
  <c r="AA55" i="10" s="1"/>
  <c r="CI54" i="10"/>
  <c r="L30" i="10"/>
  <c r="AA30" i="10" s="1"/>
  <c r="CI29" i="10"/>
  <c r="DI183" i="10" a="1"/>
  <c r="DI183" i="10" s="1"/>
  <c r="CF183" i="10" a="1"/>
  <c r="CF183" i="10" s="1"/>
  <c r="CE183" i="10" a="1"/>
  <c r="CE183" i="10" s="1"/>
  <c r="CF133" i="10" a="1"/>
  <c r="CF133" i="10" s="1"/>
  <c r="DI133" i="10" a="1"/>
  <c r="DI133" i="10" s="1"/>
  <c r="CE133" i="10" a="1"/>
  <c r="CE133" i="10" s="1"/>
  <c r="DI24" i="10" a="1"/>
  <c r="DI24" i="10" s="1"/>
  <c r="CF24" i="10" a="1"/>
  <c r="CF24" i="10" s="1"/>
  <c r="CE24" i="10" a="1"/>
  <c r="CE24" i="10" s="1"/>
  <c r="CD226" i="10"/>
  <c r="L208" i="10"/>
  <c r="AA208" i="10" s="1"/>
  <c r="CI207" i="10"/>
  <c r="L155" i="10"/>
  <c r="AA155" i="10" s="1"/>
  <c r="CI154" i="10"/>
  <c r="L104" i="10"/>
  <c r="AA104" i="10" s="1"/>
  <c r="CI103" i="10"/>
  <c r="L78" i="10"/>
  <c r="AA78" i="10" s="1"/>
  <c r="CI77" i="10"/>
  <c r="L54" i="10"/>
  <c r="AA54" i="10" s="1"/>
  <c r="CI53" i="10"/>
  <c r="L29" i="10"/>
  <c r="AA29" i="10" s="1"/>
  <c r="CI28" i="10"/>
  <c r="DI211" i="10" a="1"/>
  <c r="DI211" i="10" s="1"/>
  <c r="CF211" i="10" a="1"/>
  <c r="CF211" i="10" s="1"/>
  <c r="CE211" i="10" a="1"/>
  <c r="CE211" i="10" s="1"/>
  <c r="DI49" i="10" a="1"/>
  <c r="DI49" i="10" s="1"/>
  <c r="CF49" i="10" a="1"/>
  <c r="CF49" i="10" s="1"/>
  <c r="CE49" i="10" a="1"/>
  <c r="CE49" i="10" s="1"/>
  <c r="CD180" i="10"/>
  <c r="DI8" i="10" a="1"/>
  <c r="DI8" i="10" s="1"/>
  <c r="CF8" i="10" a="1"/>
  <c r="CF8" i="10" s="1"/>
  <c r="CE8" i="10" a="1"/>
  <c r="CE8" i="10" s="1"/>
  <c r="CP228" i="10"/>
  <c r="CD228" i="10"/>
  <c r="DI20" i="10" a="1"/>
  <c r="DI20" i="10" s="1"/>
  <c r="CF20" i="10" a="1"/>
  <c r="CF20" i="10" s="1"/>
  <c r="CE20" i="10" a="1"/>
  <c r="CE20" i="10" s="1"/>
  <c r="CP9" i="10"/>
  <c r="CD9" i="10"/>
  <c r="L66" i="10"/>
  <c r="AA66" i="10" s="1"/>
  <c r="CI65" i="10"/>
  <c r="DI185" i="10" a="1"/>
  <c r="DI185" i="10" s="1"/>
  <c r="CF185" i="10" a="1"/>
  <c r="CF185" i="10" s="1"/>
  <c r="CE185" i="10" a="1"/>
  <c r="CE185" i="10" s="1"/>
  <c r="L223" i="10"/>
  <c r="AA223" i="10" s="1"/>
  <c r="CI222" i="10"/>
  <c r="CF159" i="10" a="1"/>
  <c r="CF159" i="10" s="1"/>
  <c r="DI159" i="10" a="1"/>
  <c r="DI159" i="10" s="1"/>
  <c r="CE159" i="10" a="1"/>
  <c r="CE159" i="10" s="1"/>
  <c r="CF188" i="10" a="1"/>
  <c r="CF188" i="10" s="1"/>
  <c r="DI188" i="10" a="1"/>
  <c r="DI188" i="10" s="1"/>
  <c r="CE188" i="10" a="1"/>
  <c r="CE188" i="10" s="1"/>
  <c r="DI219" i="10" a="1"/>
  <c r="DI219" i="10" s="1"/>
  <c r="CF219" i="10" a="1"/>
  <c r="CF219" i="10" s="1"/>
  <c r="CE219" i="10" a="1"/>
  <c r="CE219" i="10" s="1"/>
  <c r="L136" i="10"/>
  <c r="AA136" i="10" s="1"/>
  <c r="CI135" i="10"/>
  <c r="L133" i="10"/>
  <c r="AA133" i="10" s="1"/>
  <c r="CI132" i="10"/>
  <c r="CP182" i="10"/>
  <c r="CD182" i="10"/>
  <c r="DI95" i="10" a="1"/>
  <c r="DI95" i="10" s="1"/>
  <c r="CF95" i="10" a="1"/>
  <c r="CF95" i="10" s="1"/>
  <c r="CE95" i="10" a="1"/>
  <c r="CE95" i="10" s="1"/>
  <c r="L207" i="10"/>
  <c r="AA207" i="10" s="1"/>
  <c r="CI206" i="10"/>
  <c r="L154" i="10"/>
  <c r="AA154" i="10" s="1"/>
  <c r="CI153" i="10"/>
  <c r="L127" i="10"/>
  <c r="AA127" i="10" s="1"/>
  <c r="CI126" i="10"/>
  <c r="L103" i="10"/>
  <c r="AA103" i="10" s="1"/>
  <c r="CI102" i="10"/>
  <c r="L77" i="10"/>
  <c r="AA77" i="10" s="1"/>
  <c r="CI76" i="10"/>
  <c r="L53" i="10"/>
  <c r="AA53" i="10" s="1"/>
  <c r="CI52" i="10"/>
  <c r="L28" i="10"/>
  <c r="AA28" i="10" s="1"/>
  <c r="CI27" i="10"/>
  <c r="CD171" i="10"/>
  <c r="DI88" i="10" a="1"/>
  <c r="DI88" i="10" s="1"/>
  <c r="CF88" i="10" a="1"/>
  <c r="CF88" i="10" s="1"/>
  <c r="CE88" i="10" a="1"/>
  <c r="CE88" i="10" s="1"/>
  <c r="DI45" i="10" a="1"/>
  <c r="DI45" i="10" s="1"/>
  <c r="CF45" i="10" a="1"/>
  <c r="CF45" i="10" s="1"/>
  <c r="CE45" i="10" a="1"/>
  <c r="CE45" i="10" s="1"/>
  <c r="L124" i="10"/>
  <c r="AA124" i="10" s="1"/>
  <c r="CI123" i="10"/>
  <c r="DI111" i="10" a="1"/>
  <c r="DI111" i="10" s="1"/>
  <c r="CF111" i="10" a="1"/>
  <c r="CF111" i="10" s="1"/>
  <c r="CE111" i="10" a="1"/>
  <c r="CE111" i="10" s="1"/>
  <c r="DI225" i="10" a="1"/>
  <c r="DI225" i="10" s="1"/>
  <c r="CF225" i="10" a="1"/>
  <c r="CF225" i="10" s="1"/>
  <c r="CE225" i="10" a="1"/>
  <c r="CE225" i="10" s="1"/>
  <c r="L45" i="10"/>
  <c r="AA45" i="10" s="1"/>
  <c r="CI44" i="10"/>
  <c r="L67" i="10"/>
  <c r="AA67" i="10" s="1"/>
  <c r="CI66" i="10"/>
  <c r="CP109" i="10"/>
  <c r="CD109" i="10"/>
  <c r="CF125" i="10" a="1"/>
  <c r="CF125" i="10" s="1"/>
  <c r="DI125" i="10" a="1"/>
  <c r="DI125" i="10" s="1"/>
  <c r="CE125" i="10" a="1"/>
  <c r="CE125" i="10" s="1"/>
  <c r="L40" i="10"/>
  <c r="AA40" i="10" s="1"/>
  <c r="CI39" i="10"/>
  <c r="L39" i="10"/>
  <c r="AA39" i="10" s="1"/>
  <c r="CI38" i="10"/>
  <c r="DI184" i="10" a="1"/>
  <c r="DI184" i="10" s="1"/>
  <c r="CF184" i="10" a="1"/>
  <c r="CF184" i="10" s="1"/>
  <c r="CE184" i="10" a="1"/>
  <c r="CE184" i="10" s="1"/>
  <c r="L134" i="10"/>
  <c r="AA134" i="10" s="1"/>
  <c r="CI133" i="10"/>
  <c r="L58" i="10"/>
  <c r="AA58" i="10" s="1"/>
  <c r="CI57" i="10"/>
  <c r="L182" i="10"/>
  <c r="AA182" i="10" s="1"/>
  <c r="CI181" i="10"/>
  <c r="DI26" i="10" a="1"/>
  <c r="DI26" i="10" s="1"/>
  <c r="CF26" i="10" a="1"/>
  <c r="CF26" i="10" s="1"/>
  <c r="CE26" i="10" a="1"/>
  <c r="CE26" i="10" s="1"/>
  <c r="L33" i="10"/>
  <c r="AA33" i="10" s="1"/>
  <c r="CI32" i="10"/>
  <c r="DI11" i="10" a="1"/>
  <c r="DI11" i="10" s="1"/>
  <c r="CF11" i="10" a="1"/>
  <c r="CF11" i="10" s="1"/>
  <c r="CE11" i="10" a="1"/>
  <c r="CE11" i="10" s="1"/>
  <c r="L102" i="10"/>
  <c r="AA102" i="10" s="1"/>
  <c r="CI101" i="10"/>
  <c r="L50" i="10"/>
  <c r="AA50" i="10" s="1"/>
  <c r="CI49" i="10"/>
  <c r="L27" i="10"/>
  <c r="AA27" i="10" s="1"/>
  <c r="CI26" i="10"/>
  <c r="DI7" i="10" a="1"/>
  <c r="DI7" i="10" s="1"/>
  <c r="CF7" i="10" a="1"/>
  <c r="CF7" i="10" s="1"/>
  <c r="CE7" i="10" a="1"/>
  <c r="CE7" i="10" s="1"/>
  <c r="CP45" i="10"/>
  <c r="CD45" i="10"/>
  <c r="DI48" i="10" a="1"/>
  <c r="DI48" i="10" s="1"/>
  <c r="CF48" i="10" a="1"/>
  <c r="CF48" i="10" s="1"/>
  <c r="CE48" i="10" a="1"/>
  <c r="CE48" i="10" s="1"/>
  <c r="CF151" i="10" a="1"/>
  <c r="CF151" i="10" s="1"/>
  <c r="DI151" i="10" a="1"/>
  <c r="DI151" i="10" s="1"/>
  <c r="CE151" i="10" a="1"/>
  <c r="CE151" i="10" s="1"/>
  <c r="L145" i="10"/>
  <c r="AA145" i="10" s="1"/>
  <c r="CI144" i="10"/>
  <c r="L68" i="10"/>
  <c r="AA68" i="10" s="1"/>
  <c r="CI67" i="10"/>
  <c r="CP97" i="10"/>
  <c r="CD97" i="10"/>
  <c r="L194" i="10"/>
  <c r="AA194" i="10" s="1"/>
  <c r="CI193" i="10"/>
  <c r="L20" i="10"/>
  <c r="AA20" i="10" s="1"/>
  <c r="CI19" i="10"/>
  <c r="CP8" i="10"/>
  <c r="CD8" i="10"/>
  <c r="CF187" i="10" a="1"/>
  <c r="CF187" i="10" s="1"/>
  <c r="DI187" i="10" a="1"/>
  <c r="DI187" i="10" s="1"/>
  <c r="CE187" i="10" a="1"/>
  <c r="CE187" i="10" s="1"/>
  <c r="DI171" i="10" a="1"/>
  <c r="DI171" i="10" s="1"/>
  <c r="CE171" i="10" a="1"/>
  <c r="CE171" i="10" s="1"/>
  <c r="CF171" i="10" a="1"/>
  <c r="CF171" i="10" s="1"/>
  <c r="L218" i="10"/>
  <c r="AA218" i="10" s="1"/>
  <c r="CI217" i="10"/>
  <c r="L85" i="10"/>
  <c r="AA85" i="10" s="1"/>
  <c r="CI84" i="10"/>
  <c r="L158" i="10"/>
  <c r="AA158" i="10" s="1"/>
  <c r="CI157" i="10"/>
  <c r="L107" i="10"/>
  <c r="AA107" i="10" s="1"/>
  <c r="CI106" i="10"/>
  <c r="L34" i="10"/>
  <c r="AA34" i="10" s="1"/>
  <c r="CI33" i="10"/>
  <c r="L210" i="10"/>
  <c r="AA210" i="10" s="1"/>
  <c r="CI209" i="10"/>
  <c r="L157" i="10"/>
  <c r="AA157" i="10" s="1"/>
  <c r="CI156" i="10"/>
  <c r="L106" i="10"/>
  <c r="AA106" i="10" s="1"/>
  <c r="CI105" i="10"/>
  <c r="DI25" i="10" a="1"/>
  <c r="DI25" i="10" s="1"/>
  <c r="CF25" i="10" a="1"/>
  <c r="CF25" i="10" s="1"/>
  <c r="CE25" i="10" a="1"/>
  <c r="CE25" i="10" s="1"/>
  <c r="L206" i="10"/>
  <c r="AA206" i="10" s="1"/>
  <c r="CI205" i="10"/>
  <c r="L153" i="10"/>
  <c r="AA153" i="10" s="1"/>
  <c r="CI152" i="10"/>
  <c r="L126" i="10"/>
  <c r="AA126" i="10" s="1"/>
  <c r="CI125" i="10"/>
  <c r="L76" i="10"/>
  <c r="AA76" i="10" s="1"/>
  <c r="CI75" i="10"/>
  <c r="L205" i="10"/>
  <c r="AA205" i="10" s="1"/>
  <c r="CI204" i="10"/>
  <c r="L150" i="10"/>
  <c r="AA150" i="10" s="1"/>
  <c r="CI149" i="10"/>
  <c r="L125" i="10"/>
  <c r="AA125" i="10" s="1"/>
  <c r="CI124" i="10"/>
  <c r="L98" i="10"/>
  <c r="AA98" i="10" s="1"/>
  <c r="CI97" i="10"/>
  <c r="L75" i="10"/>
  <c r="AA75" i="10" s="1"/>
  <c r="CI74" i="10"/>
  <c r="L49" i="10"/>
  <c r="AA49" i="10" s="1"/>
  <c r="CI48" i="10"/>
  <c r="L26" i="10"/>
  <c r="AA26" i="10" s="1"/>
  <c r="CI25" i="10"/>
  <c r="DI169" i="10" a="1"/>
  <c r="DI169" i="10" s="1"/>
  <c r="CF169" i="10" a="1"/>
  <c r="CF169" i="10" s="1"/>
  <c r="CE169" i="10" a="1"/>
  <c r="CE169" i="10" s="1"/>
  <c r="DI19" i="10" a="1"/>
  <c r="DI19" i="10" s="1"/>
  <c r="CF19" i="10" a="1"/>
  <c r="CF19" i="10" s="1"/>
  <c r="CE19" i="10" a="1"/>
  <c r="CE19" i="10" s="1"/>
  <c r="DI87" i="10" a="1"/>
  <c r="DI87" i="10" s="1"/>
  <c r="CE87" i="10" a="1"/>
  <c r="CE87" i="10" s="1"/>
  <c r="CF87" i="10" a="1"/>
  <c r="CF87" i="10" s="1"/>
  <c r="DC32" i="10"/>
  <c r="DB32" i="10" s="1"/>
  <c r="DC45" i="10"/>
  <c r="DB45" i="10" s="1"/>
  <c r="AA2" i="10"/>
  <c r="DD2" i="10"/>
  <c r="DC2" i="10" s="1"/>
  <c r="DB2" i="10" s="1"/>
  <c r="DC215" i="10"/>
  <c r="DB215" i="10" s="1"/>
  <c r="DC153" i="10"/>
  <c r="DB153" i="10" s="1"/>
  <c r="M188" i="10"/>
  <c r="M88" i="10"/>
  <c r="M147" i="10"/>
  <c r="M126" i="10"/>
  <c r="M105" i="10"/>
  <c r="M184" i="10"/>
  <c r="M123" i="10"/>
  <c r="M162" i="10"/>
  <c r="M42" i="10"/>
  <c r="M101" i="10"/>
  <c r="M220" i="10"/>
  <c r="M200" i="10"/>
  <c r="M160" i="10"/>
  <c r="M120" i="10"/>
  <c r="M100" i="10"/>
  <c r="M60" i="10"/>
  <c r="M40" i="10"/>
  <c r="M20" i="10"/>
  <c r="M219" i="10"/>
  <c r="M199" i="10"/>
  <c r="M159" i="10"/>
  <c r="M139" i="10"/>
  <c r="M119" i="10"/>
  <c r="M99" i="10"/>
  <c r="M79" i="10"/>
  <c r="M59" i="10"/>
  <c r="M39" i="10"/>
  <c r="M50" i="10"/>
  <c r="M189" i="10"/>
  <c r="M148" i="10"/>
  <c r="M28" i="10"/>
  <c r="M67" i="10"/>
  <c r="M186" i="10"/>
  <c r="M144" i="10"/>
  <c r="M142" i="10"/>
  <c r="M161" i="10"/>
  <c r="M61" i="10"/>
  <c r="M78" i="10"/>
  <c r="M217" i="10"/>
  <c r="M97" i="10"/>
  <c r="M216" i="10"/>
  <c r="M36" i="10"/>
  <c r="M215" i="10"/>
  <c r="M195" i="10"/>
  <c r="M155" i="10"/>
  <c r="M135" i="10"/>
  <c r="M75" i="10"/>
  <c r="M55" i="10"/>
  <c r="M35" i="10"/>
  <c r="M210" i="10"/>
  <c r="M70" i="10"/>
  <c r="M107" i="10"/>
  <c r="M106" i="10"/>
  <c r="M65" i="10"/>
  <c r="M104" i="10"/>
  <c r="M183" i="10"/>
  <c r="M83" i="10"/>
  <c r="M221" i="10"/>
  <c r="M121" i="10"/>
  <c r="M21" i="10"/>
  <c r="M198" i="10"/>
  <c r="M118" i="10"/>
  <c r="M38" i="10"/>
  <c r="M117" i="10"/>
  <c r="M76" i="10"/>
  <c r="M194" i="10"/>
  <c r="M154" i="10"/>
  <c r="M134" i="10"/>
  <c r="M74" i="10"/>
  <c r="M54" i="10"/>
  <c r="M34" i="10"/>
  <c r="M130" i="10"/>
  <c r="M149" i="10"/>
  <c r="M29" i="10"/>
  <c r="M47" i="10"/>
  <c r="M146" i="10"/>
  <c r="M46" i="10"/>
  <c r="M145" i="10"/>
  <c r="M25" i="10"/>
  <c r="M224" i="10"/>
  <c r="M84" i="10"/>
  <c r="M24" i="10"/>
  <c r="M23" i="10"/>
  <c r="M202" i="10"/>
  <c r="M201" i="10"/>
  <c r="M158" i="10"/>
  <c r="M98" i="10"/>
  <c r="M157" i="10"/>
  <c r="M213" i="10"/>
  <c r="M193" i="10"/>
  <c r="M153" i="10"/>
  <c r="M133" i="10"/>
  <c r="M93" i="10"/>
  <c r="M73" i="10"/>
  <c r="M53" i="10"/>
  <c r="M33" i="10"/>
  <c r="M190" i="10"/>
  <c r="M150" i="10"/>
  <c r="M90" i="10"/>
  <c r="M30" i="10"/>
  <c r="M209" i="10"/>
  <c r="M129" i="10"/>
  <c r="M89" i="10"/>
  <c r="M49" i="10"/>
  <c r="M208" i="10"/>
  <c r="M68" i="10"/>
  <c r="M48" i="10"/>
  <c r="M207" i="10"/>
  <c r="M187" i="10"/>
  <c r="M127" i="10"/>
  <c r="M87" i="10"/>
  <c r="M27" i="10"/>
  <c r="M206" i="10"/>
  <c r="M86" i="10"/>
  <c r="M66" i="10"/>
  <c r="M26" i="10"/>
  <c r="M205" i="10"/>
  <c r="M185" i="10"/>
  <c r="M125" i="10"/>
  <c r="M85" i="10"/>
  <c r="M45" i="10"/>
  <c r="M204" i="10"/>
  <c r="M124" i="10"/>
  <c r="M64" i="10"/>
  <c r="M223" i="10"/>
  <c r="M163" i="10"/>
  <c r="M143" i="10"/>
  <c r="M103" i="10"/>
  <c r="M63" i="10"/>
  <c r="M222" i="10"/>
  <c r="M182" i="10"/>
  <c r="M122" i="10"/>
  <c r="M102" i="10"/>
  <c r="M62" i="10"/>
  <c r="M22" i="10"/>
  <c r="M141" i="10"/>
  <c r="M41" i="10"/>
  <c r="M218" i="10"/>
  <c r="M138" i="10"/>
  <c r="M58" i="10"/>
  <c r="M197" i="10"/>
  <c r="M137" i="10"/>
  <c r="M77" i="10"/>
  <c r="M37" i="10"/>
  <c r="M196" i="10"/>
  <c r="M156" i="10"/>
  <c r="M136" i="10"/>
  <c r="M212" i="10"/>
  <c r="M132" i="10"/>
  <c r="M92" i="10"/>
  <c r="M72" i="10"/>
  <c r="M52" i="10"/>
  <c r="M32" i="10"/>
  <c r="U161" i="10"/>
  <c r="U101" i="10"/>
  <c r="U61" i="10"/>
  <c r="U21" i="10"/>
  <c r="U19" i="10"/>
  <c r="CI18" i="10" s="1"/>
  <c r="U99" i="10"/>
  <c r="U141" i="10"/>
  <c r="U139" i="10"/>
  <c r="U221" i="10"/>
  <c r="U201" i="10"/>
  <c r="U181" i="10"/>
  <c r="CI180" i="10" s="1"/>
  <c r="U121" i="10"/>
  <c r="U81" i="10"/>
  <c r="CI80" i="10" s="1"/>
  <c r="U41" i="10"/>
  <c r="U119" i="10"/>
  <c r="U11" i="10"/>
  <c r="CI10" i="10" s="1"/>
  <c r="U31" i="10"/>
  <c r="CI30" i="10" s="1"/>
  <c r="U51" i="10"/>
  <c r="U71" i="10"/>
  <c r="U91" i="10"/>
  <c r="U111" i="10"/>
  <c r="CI110" i="10" s="1"/>
  <c r="U131" i="10"/>
  <c r="U151" i="10"/>
  <c r="U171" i="10"/>
  <c r="CI170" i="10" s="1"/>
  <c r="U191" i="10"/>
  <c r="U211" i="10"/>
  <c r="U190" i="10"/>
  <c r="U12" i="10"/>
  <c r="CI11" i="10" s="1"/>
  <c r="U32" i="10"/>
  <c r="U52" i="10"/>
  <c r="U72" i="10"/>
  <c r="U92" i="10"/>
  <c r="U112" i="10"/>
  <c r="CI111" i="10" s="1"/>
  <c r="U132" i="10"/>
  <c r="U152" i="10"/>
  <c r="CI151" i="10" s="1"/>
  <c r="U172" i="10"/>
  <c r="CI171" i="10" s="1"/>
  <c r="U192" i="10"/>
  <c r="CI191" i="10" s="1"/>
  <c r="U212" i="10"/>
  <c r="U70" i="10"/>
  <c r="C46" i="1"/>
  <c r="F33" i="1"/>
  <c r="L72" i="10" l="1"/>
  <c r="AA72" i="10" s="1"/>
  <c r="CI71" i="10"/>
  <c r="L201" i="10"/>
  <c r="AA201" i="10" s="1"/>
  <c r="CI200" i="10"/>
  <c r="L161" i="10"/>
  <c r="AA161" i="10" s="1"/>
  <c r="CI160" i="10"/>
  <c r="L41" i="10"/>
  <c r="AA41" i="10" s="1"/>
  <c r="CI40" i="10"/>
  <c r="L92" i="10"/>
  <c r="AA92" i="10" s="1"/>
  <c r="CI91" i="10"/>
  <c r="L52" i="10"/>
  <c r="AA52" i="10" s="1"/>
  <c r="CI51" i="10"/>
  <c r="L32" i="10"/>
  <c r="AA32" i="10" s="1"/>
  <c r="CI31" i="10"/>
  <c r="L221" i="10"/>
  <c r="AA221" i="10" s="1"/>
  <c r="CI220" i="10"/>
  <c r="L139" i="10"/>
  <c r="AA139" i="10" s="1"/>
  <c r="CI138" i="10"/>
  <c r="L70" i="10"/>
  <c r="AA70" i="10" s="1"/>
  <c r="CI69" i="10"/>
  <c r="L212" i="10"/>
  <c r="AA212" i="10" s="1"/>
  <c r="CI211" i="10"/>
  <c r="L141" i="10"/>
  <c r="AA141" i="10" s="1"/>
  <c r="CI140" i="10"/>
  <c r="L211" i="10"/>
  <c r="AA211" i="10" s="1"/>
  <c r="CI210" i="10"/>
  <c r="L191" i="10"/>
  <c r="AA191" i="10" s="1"/>
  <c r="CI190" i="10"/>
  <c r="L51" i="10"/>
  <c r="AA51" i="10" s="1"/>
  <c r="CI50" i="10"/>
  <c r="L119" i="10"/>
  <c r="AA119" i="10" s="1"/>
  <c r="CI118" i="10"/>
  <c r="L121" i="10"/>
  <c r="AA121" i="10" s="1"/>
  <c r="CI120" i="10"/>
  <c r="L151" i="10"/>
  <c r="AA151" i="10" s="1"/>
  <c r="CI150" i="10"/>
  <c r="L61" i="10"/>
  <c r="AA61" i="10" s="1"/>
  <c r="CI60" i="10"/>
  <c r="L91" i="10"/>
  <c r="AA91" i="10" s="1"/>
  <c r="CI90" i="10"/>
  <c r="L71" i="10"/>
  <c r="AA71" i="10" s="1"/>
  <c r="CI70" i="10"/>
  <c r="L132" i="10"/>
  <c r="AA132" i="10" s="1"/>
  <c r="CI131" i="10"/>
  <c r="L190" i="10"/>
  <c r="AA190" i="10" s="1"/>
  <c r="CI189" i="10"/>
  <c r="L99" i="10"/>
  <c r="AA99" i="10" s="1"/>
  <c r="CI98" i="10"/>
  <c r="L21" i="10"/>
  <c r="AA21" i="10" s="1"/>
  <c r="CI20" i="10"/>
  <c r="L131" i="10"/>
  <c r="AA131" i="10" s="1"/>
  <c r="CI130" i="10"/>
  <c r="L101" i="10"/>
  <c r="AA101" i="10" s="1"/>
  <c r="CI100" i="10"/>
  <c r="E20" i="1"/>
  <c r="E14" i="1" l="1"/>
  <c r="E13" i="1"/>
  <c r="E12" i="1"/>
  <c r="AU34" i="1" l="1"/>
  <c r="AU33" i="1"/>
  <c r="AU32" i="1"/>
  <c r="AU31" i="1"/>
  <c r="AU30" i="1"/>
  <c r="AU29" i="1"/>
  <c r="AU28" i="1"/>
  <c r="AU27" i="1"/>
  <c r="AU26" i="1"/>
  <c r="AU25" i="1"/>
  <c r="AU24" i="1"/>
  <c r="AU18" i="1"/>
  <c r="AU17" i="1"/>
  <c r="AU16" i="1"/>
  <c r="AU15" i="1"/>
  <c r="AU14" i="1"/>
  <c r="AU13" i="1"/>
  <c r="AV12" i="1"/>
  <c r="AU12" i="1"/>
  <c r="AV11" i="1"/>
  <c r="AU11" i="1"/>
  <c r="AV9" i="1"/>
  <c r="AU9" i="1"/>
  <c r="AV8" i="1"/>
  <c r="AU8" i="1"/>
  <c r="AV7" i="1"/>
  <c r="AU7" i="1"/>
  <c r="AV6" i="1"/>
  <c r="AU6" i="1"/>
  <c r="AV4" i="1"/>
  <c r="AU4" i="1"/>
  <c r="AV3" i="1"/>
  <c r="AU3" i="1"/>
  <c r="AV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<sst xmlns="http://schemas.openxmlformats.org/spreadsheetml/2006/main" count="25163" uniqueCount="951">
  <si>
    <t>Customer name</t>
  </si>
  <si>
    <t xml:space="preserve">Element name </t>
  </si>
  <si>
    <t>Sac Code</t>
  </si>
  <si>
    <t>Bar Size</t>
  </si>
  <si>
    <t>Coupler Part Code</t>
  </si>
  <si>
    <t>FEMALE Part Code</t>
  </si>
  <si>
    <t>BarSize</t>
  </si>
  <si>
    <t>Unit Weight</t>
  </si>
  <si>
    <t>Bend</t>
  </si>
  <si>
    <t>Length</t>
  </si>
  <si>
    <t>ClientName</t>
  </si>
  <si>
    <t>A615 Grade 60</t>
  </si>
  <si>
    <t>A615 Grade 75</t>
  </si>
  <si>
    <t>A615 Grade 80</t>
  </si>
  <si>
    <t>A615 Grade 100</t>
  </si>
  <si>
    <t>A706 Grade 60</t>
  </si>
  <si>
    <t>A706 Grade 80</t>
  </si>
  <si>
    <t>A706 Grade 100</t>
  </si>
  <si>
    <t>T-head name</t>
  </si>
  <si>
    <t>T-head Part Code</t>
  </si>
  <si>
    <t>T-Head BarSize TD</t>
  </si>
  <si>
    <t>TD Barsize Status</t>
  </si>
  <si>
    <t>T-Head Level TD</t>
  </si>
  <si>
    <t>TD Level Status</t>
  </si>
  <si>
    <t>T-Head BarSize VD</t>
  </si>
  <si>
    <t>VD Barsize Status</t>
  </si>
  <si>
    <t>T-Head Level VD</t>
  </si>
  <si>
    <t>VD Level Status</t>
  </si>
  <si>
    <t>Close Ties</t>
  </si>
  <si>
    <t>Close Hook1</t>
  </si>
  <si>
    <t>Close Hook2</t>
  </si>
  <si>
    <t>Cross Ties</t>
  </si>
  <si>
    <t>Cross Hook1</t>
  </si>
  <si>
    <t>Cross Hook2</t>
  </si>
  <si>
    <t>Per Bar Size/ Level</t>
  </si>
  <si>
    <t>H/6,Max D, 18"</t>
  </si>
  <si>
    <t>CMC - Florida</t>
  </si>
  <si>
    <t>Single Lift</t>
  </si>
  <si>
    <t>From Schedule</t>
  </si>
  <si>
    <t xml:space="preserve">Concrete Columns </t>
  </si>
  <si>
    <t>Per Uploaded File</t>
  </si>
  <si>
    <t>Defualt Length</t>
  </si>
  <si>
    <t>Hook</t>
  </si>
  <si>
    <t>Per Schedule</t>
  </si>
  <si>
    <t>type</t>
  </si>
  <si>
    <t xml:space="preserve">Match Vertical Bars </t>
  </si>
  <si>
    <t>Match Lap</t>
  </si>
  <si>
    <t>Per Bar Size</t>
  </si>
  <si>
    <t>Normal</t>
  </si>
  <si>
    <t>Zone 1</t>
  </si>
  <si>
    <t>Male</t>
  </si>
  <si>
    <t>#4#4</t>
  </si>
  <si>
    <t>LE04</t>
  </si>
  <si>
    <t>#3</t>
  </si>
  <si>
    <t>S90</t>
  </si>
  <si>
    <t>3-</t>
  </si>
  <si>
    <t>3/</t>
  </si>
  <si>
    <t>3**</t>
  </si>
  <si>
    <t>3+</t>
  </si>
  <si>
    <t>3\</t>
  </si>
  <si>
    <t>T3</t>
  </si>
  <si>
    <t>Acc</t>
  </si>
  <si>
    <t>Mark</t>
  </si>
  <si>
    <t>T1</t>
  </si>
  <si>
    <t>S135</t>
  </si>
  <si>
    <t>T5</t>
  </si>
  <si>
    <t>S180</t>
  </si>
  <si>
    <t>Lap</t>
  </si>
  <si>
    <t>Harris - Florida/Orlando</t>
  </si>
  <si>
    <t>Double Lift</t>
  </si>
  <si>
    <t>Level wise</t>
  </si>
  <si>
    <t>Create</t>
  </si>
  <si>
    <t>T-Head</t>
  </si>
  <si>
    <t>size</t>
  </si>
  <si>
    <t>Per schedule</t>
  </si>
  <si>
    <t>Per level</t>
  </si>
  <si>
    <t>Count Spacing</t>
  </si>
  <si>
    <t>Zone 2</t>
  </si>
  <si>
    <t>Vert Dowels</t>
  </si>
  <si>
    <t>2200 CD</t>
  </si>
  <si>
    <t>#5#5</t>
  </si>
  <si>
    <t>LE05</t>
  </si>
  <si>
    <t>#4</t>
  </si>
  <si>
    <t>4-</t>
  </si>
  <si>
    <t>4/</t>
  </si>
  <si>
    <t>4**</t>
  </si>
  <si>
    <t>4+</t>
  </si>
  <si>
    <t>4\</t>
  </si>
  <si>
    <t>T4</t>
  </si>
  <si>
    <t>Level</t>
  </si>
  <si>
    <t>T2</t>
  </si>
  <si>
    <t>T9</t>
  </si>
  <si>
    <t>General</t>
  </si>
  <si>
    <t>Remaining</t>
  </si>
  <si>
    <t>Coupler</t>
  </si>
  <si>
    <t>Harris - Alabama</t>
  </si>
  <si>
    <t>Per Bar Size Wise</t>
  </si>
  <si>
    <t>Top dowels</t>
  </si>
  <si>
    <t>No Coupler</t>
  </si>
  <si>
    <t>qty</t>
  </si>
  <si>
    <t>Default Count</t>
  </si>
  <si>
    <t>Zone</t>
  </si>
  <si>
    <t>Zone 3</t>
  </si>
  <si>
    <t>Loose Dowels</t>
  </si>
  <si>
    <t>#6#6</t>
  </si>
  <si>
    <t>LE06</t>
  </si>
  <si>
    <t>#5</t>
  </si>
  <si>
    <t>5-</t>
  </si>
  <si>
    <t>5/</t>
  </si>
  <si>
    <t>5**</t>
  </si>
  <si>
    <t>5+</t>
  </si>
  <si>
    <t>5\</t>
  </si>
  <si>
    <t>SAC Code</t>
  </si>
  <si>
    <t>T12</t>
  </si>
  <si>
    <t>Job name</t>
  </si>
  <si>
    <t>Harris - Pacific</t>
  </si>
  <si>
    <t>mark</t>
  </si>
  <si>
    <t>Corbels</t>
  </si>
  <si>
    <t>2429 CL</t>
  </si>
  <si>
    <t>#7#7</t>
  </si>
  <si>
    <t>LE07</t>
  </si>
  <si>
    <t>#6</t>
  </si>
  <si>
    <t>6-</t>
  </si>
  <si>
    <t>6/</t>
  </si>
  <si>
    <t>6**</t>
  </si>
  <si>
    <t>6+</t>
  </si>
  <si>
    <t>6\</t>
  </si>
  <si>
    <t>T6</t>
  </si>
  <si>
    <t>PSI</t>
  </si>
  <si>
    <t>T13</t>
  </si>
  <si>
    <t>T17</t>
  </si>
  <si>
    <t>Job number</t>
  </si>
  <si>
    <t>Default Length</t>
  </si>
  <si>
    <t>Harris - N.Carolina</t>
  </si>
  <si>
    <t>create</t>
  </si>
  <si>
    <t>Couplers</t>
  </si>
  <si>
    <t>2429 CP</t>
  </si>
  <si>
    <t>#8#8</t>
  </si>
  <si>
    <t>LE08</t>
  </si>
  <si>
    <t>#7</t>
  </si>
  <si>
    <t>7-</t>
  </si>
  <si>
    <t>7/</t>
  </si>
  <si>
    <t>7**</t>
  </si>
  <si>
    <t>7+</t>
  </si>
  <si>
    <t>7\</t>
  </si>
  <si>
    <t>T7</t>
  </si>
  <si>
    <t>FTG Depth</t>
  </si>
  <si>
    <t>S15</t>
  </si>
  <si>
    <t>CMC - Muncie</t>
  </si>
  <si>
    <t>#9#9</t>
  </si>
  <si>
    <t>LE09</t>
  </si>
  <si>
    <t>#8</t>
  </si>
  <si>
    <t>8-</t>
  </si>
  <si>
    <t>8/</t>
  </si>
  <si>
    <t>8**</t>
  </si>
  <si>
    <t>8+</t>
  </si>
  <si>
    <t>8\</t>
  </si>
  <si>
    <t>T8</t>
  </si>
  <si>
    <t>Multiple</t>
  </si>
  <si>
    <t>CMC - Illinois</t>
  </si>
  <si>
    <t>No T-Head</t>
  </si>
  <si>
    <t>Inte Rebar</t>
  </si>
  <si>
    <t>#10#10</t>
  </si>
  <si>
    <t>LE10</t>
  </si>
  <si>
    <t>#9</t>
  </si>
  <si>
    <t>9-</t>
  </si>
  <si>
    <t>9/</t>
  </si>
  <si>
    <t>9**</t>
  </si>
  <si>
    <t>9+</t>
  </si>
  <si>
    <t>9\</t>
  </si>
  <si>
    <t>Size</t>
  </si>
  <si>
    <t>Column lift condtion</t>
  </si>
  <si>
    <t>Nucor - Florida/Orlando</t>
  </si>
  <si>
    <t>Level Wise</t>
  </si>
  <si>
    <t>#11#11</t>
  </si>
  <si>
    <t>LE11</t>
  </si>
  <si>
    <t>#10</t>
  </si>
  <si>
    <t>10-</t>
  </si>
  <si>
    <t>10/</t>
  </si>
  <si>
    <t>10**</t>
  </si>
  <si>
    <t>10+</t>
  </si>
  <si>
    <t>10\</t>
  </si>
  <si>
    <t>T10</t>
  </si>
  <si>
    <t>Height</t>
  </si>
  <si>
    <t>PSI value</t>
  </si>
  <si>
    <t>Nucor - Alabama</t>
  </si>
  <si>
    <t>BarSize Wise</t>
  </si>
  <si>
    <t>#14#14</t>
  </si>
  <si>
    <t>LE14</t>
  </si>
  <si>
    <t>#11</t>
  </si>
  <si>
    <t>11-</t>
  </si>
  <si>
    <t>11/</t>
  </si>
  <si>
    <t>11**</t>
  </si>
  <si>
    <t>11+</t>
  </si>
  <si>
    <t>11\</t>
  </si>
  <si>
    <t>T11</t>
  </si>
  <si>
    <t>Vert Bars</t>
  </si>
  <si>
    <t xml:space="preserve">Lap </t>
  </si>
  <si>
    <t>Circle city</t>
  </si>
  <si>
    <t>#18#18</t>
  </si>
  <si>
    <t>LE18</t>
  </si>
  <si>
    <t>#14</t>
  </si>
  <si>
    <t>14-</t>
  </si>
  <si>
    <t>14/</t>
  </si>
  <si>
    <t>14**</t>
  </si>
  <si>
    <t>14+</t>
  </si>
  <si>
    <t>14\</t>
  </si>
  <si>
    <t>T14</t>
  </si>
  <si>
    <t>Grade V</t>
  </si>
  <si>
    <t>Concrete Cover</t>
  </si>
  <si>
    <t>CMC - Tennessee</t>
  </si>
  <si>
    <t>#5#6</t>
  </si>
  <si>
    <t>LE0506</t>
  </si>
  <si>
    <t>#18</t>
  </si>
  <si>
    <t>18-</t>
  </si>
  <si>
    <t>18/</t>
  </si>
  <si>
    <t>18**</t>
  </si>
  <si>
    <t>18+</t>
  </si>
  <si>
    <t>18\</t>
  </si>
  <si>
    <t>T18</t>
  </si>
  <si>
    <t>Lap/Coupler</t>
  </si>
  <si>
    <t>Average Slab thickness</t>
  </si>
  <si>
    <t>CMC - N.California</t>
  </si>
  <si>
    <t>#5#7</t>
  </si>
  <si>
    <t>LE0507</t>
  </si>
  <si>
    <t>3 G80</t>
  </si>
  <si>
    <t>3+G80</t>
  </si>
  <si>
    <t>TERM03</t>
  </si>
  <si>
    <t>Oth</t>
  </si>
  <si>
    <t>Vert Conn</t>
  </si>
  <si>
    <t>Footing depth</t>
  </si>
  <si>
    <t>CMC - S.California</t>
  </si>
  <si>
    <t>#5#8</t>
  </si>
  <si>
    <t>LE0508</t>
  </si>
  <si>
    <t>4 G80</t>
  </si>
  <si>
    <t>4+G80</t>
  </si>
  <si>
    <t>TERM04</t>
  </si>
  <si>
    <t>Transition</t>
  </si>
  <si>
    <t>CMC - Utah</t>
  </si>
  <si>
    <t>#6#7</t>
  </si>
  <si>
    <t>LE0607</t>
  </si>
  <si>
    <t>5 G80</t>
  </si>
  <si>
    <t>5+G80</t>
  </si>
  <si>
    <t>TERM05</t>
  </si>
  <si>
    <t>Ties 1</t>
  </si>
  <si>
    <t>CMC - Denver</t>
  </si>
  <si>
    <t>#6#8</t>
  </si>
  <si>
    <t>LE0608</t>
  </si>
  <si>
    <t>6 G80</t>
  </si>
  <si>
    <t>6+G80</t>
  </si>
  <si>
    <t>TERM06</t>
  </si>
  <si>
    <t>Ties 2</t>
  </si>
  <si>
    <t>Vertical bars</t>
  </si>
  <si>
    <t>CMC - Hawaii</t>
  </si>
  <si>
    <t>#6#9</t>
  </si>
  <si>
    <t>LE0609</t>
  </si>
  <si>
    <t>7 G80</t>
  </si>
  <si>
    <t>7+G80</t>
  </si>
  <si>
    <t>TERM07</t>
  </si>
  <si>
    <t>Ties 3</t>
  </si>
  <si>
    <t>Dowels end condition</t>
  </si>
  <si>
    <t>CMC - AZ</t>
  </si>
  <si>
    <t>#7#8</t>
  </si>
  <si>
    <t>LE0708</t>
  </si>
  <si>
    <t>8 G80</t>
  </si>
  <si>
    <t>8+G80</t>
  </si>
  <si>
    <t>TERM08</t>
  </si>
  <si>
    <t>Ties Type</t>
  </si>
  <si>
    <t>Grade Vert</t>
  </si>
  <si>
    <t>CMC - Mesa</t>
  </si>
  <si>
    <t>#7#9</t>
  </si>
  <si>
    <t>LE0709</t>
  </si>
  <si>
    <t>9 G80</t>
  </si>
  <si>
    <t>9+G80</t>
  </si>
  <si>
    <t>TERM09</t>
  </si>
  <si>
    <t>Vertical bar top end condition</t>
  </si>
  <si>
    <t>CMC - Washington</t>
  </si>
  <si>
    <t>#7#10</t>
  </si>
  <si>
    <t>LE0710</t>
  </si>
  <si>
    <t>10 G80</t>
  </si>
  <si>
    <t>10+G80</t>
  </si>
  <si>
    <t>TERM10</t>
  </si>
  <si>
    <t>Top dowel</t>
  </si>
  <si>
    <t>Morse</t>
  </si>
  <si>
    <t>#8#9</t>
  </si>
  <si>
    <t>LE0809</t>
  </si>
  <si>
    <t>11 G80</t>
  </si>
  <si>
    <t>11+G80</t>
  </si>
  <si>
    <t>TERM11</t>
  </si>
  <si>
    <t xml:space="preserve">     Bar Size</t>
  </si>
  <si>
    <t>KM Rebar</t>
  </si>
  <si>
    <t>#8#10</t>
  </si>
  <si>
    <t>LE0810</t>
  </si>
  <si>
    <t>14 G80</t>
  </si>
  <si>
    <t>14+G80</t>
  </si>
  <si>
    <t>TERM14</t>
  </si>
  <si>
    <t xml:space="preserve">     Quantity</t>
  </si>
  <si>
    <t>PSG - N.CA &amp; S.CA</t>
  </si>
  <si>
    <t>#8#11</t>
  </si>
  <si>
    <t>LE0811</t>
  </si>
  <si>
    <t>18 G80</t>
  </si>
  <si>
    <t>18+G80</t>
  </si>
  <si>
    <t>TERM18</t>
  </si>
  <si>
    <t xml:space="preserve">     Length 1</t>
  </si>
  <si>
    <t>Martinez</t>
  </si>
  <si>
    <t>#9#10</t>
  </si>
  <si>
    <t>LE0910</t>
  </si>
  <si>
    <t xml:space="preserve">     Length 2</t>
  </si>
  <si>
    <t>Camblin</t>
  </si>
  <si>
    <t>#9#11</t>
  </si>
  <si>
    <t>LE0911</t>
  </si>
  <si>
    <t>NCR</t>
  </si>
  <si>
    <t>#9#14</t>
  </si>
  <si>
    <t>LE0914</t>
  </si>
  <si>
    <t>Conco</t>
  </si>
  <si>
    <t>#10#11</t>
  </si>
  <si>
    <t>LE1011</t>
  </si>
  <si>
    <t>Ties</t>
  </si>
  <si>
    <t>Del Mar</t>
  </si>
  <si>
    <t>#10#14</t>
  </si>
  <si>
    <t>LE1014</t>
  </si>
  <si>
    <t>Grade Ties</t>
  </si>
  <si>
    <t>Black iron</t>
  </si>
  <si>
    <t>#10#18</t>
  </si>
  <si>
    <t>LE1018</t>
  </si>
  <si>
    <t>Harris - Arizona</t>
  </si>
  <si>
    <t>#11#14</t>
  </si>
  <si>
    <t>LE1114</t>
  </si>
  <si>
    <t>Ties Zone</t>
  </si>
  <si>
    <t>Power construction</t>
  </si>
  <si>
    <t>#11#18</t>
  </si>
  <si>
    <t>LE1118</t>
  </si>
  <si>
    <t xml:space="preserve">    Zone1</t>
  </si>
  <si>
    <t>Count</t>
  </si>
  <si>
    <t>Alta Groups</t>
  </si>
  <si>
    <t>#11#10</t>
  </si>
  <si>
    <t>LE1110</t>
  </si>
  <si>
    <t xml:space="preserve">    Zone2</t>
  </si>
  <si>
    <t>Spacing</t>
  </si>
  <si>
    <t>Regional Steel Corporation</t>
  </si>
  <si>
    <t>#14#18</t>
  </si>
  <si>
    <t>LE1418</t>
  </si>
  <si>
    <t xml:space="preserve">    Zone3</t>
  </si>
  <si>
    <t>C&amp;N Reinforcing</t>
  </si>
  <si>
    <t>#14#11</t>
  </si>
  <si>
    <t>LE1411</t>
  </si>
  <si>
    <t xml:space="preserve">   Default Value</t>
  </si>
  <si>
    <t>Marvella</t>
  </si>
  <si>
    <t>#14#10</t>
  </si>
  <si>
    <t>LE1410</t>
  </si>
  <si>
    <t>Additional Ties Count</t>
  </si>
  <si>
    <t>Associated Rebar</t>
  </si>
  <si>
    <t>#18#14</t>
  </si>
  <si>
    <t>LE1814</t>
  </si>
  <si>
    <t>Template Ties</t>
  </si>
  <si>
    <t>Related Group</t>
  </si>
  <si>
    <t>#18#11</t>
  </si>
  <si>
    <t>LE1811</t>
  </si>
  <si>
    <t>Transpacific Steel</t>
  </si>
  <si>
    <t>#18#10</t>
  </si>
  <si>
    <t>LE1810</t>
  </si>
  <si>
    <t>Vertical Dowels</t>
  </si>
  <si>
    <t>#6#5</t>
  </si>
  <si>
    <t>LE0605</t>
  </si>
  <si>
    <t>Harris - Texas</t>
  </si>
  <si>
    <t>#6#10</t>
  </si>
  <si>
    <t>LE0610</t>
  </si>
  <si>
    <t>#7#5</t>
  </si>
  <si>
    <t>LE0705</t>
  </si>
  <si>
    <t>#7#6</t>
  </si>
  <si>
    <t>LE0706</t>
  </si>
  <si>
    <t>#8#5</t>
  </si>
  <si>
    <t>LE0805</t>
  </si>
  <si>
    <t xml:space="preserve">     T-Head</t>
  </si>
  <si>
    <t>#8#6</t>
  </si>
  <si>
    <t>LE0806</t>
  </si>
  <si>
    <t>#8#7</t>
  </si>
  <si>
    <t>LE0807</t>
  </si>
  <si>
    <t>Accessories/Others</t>
  </si>
  <si>
    <t>#8#14</t>
  </si>
  <si>
    <t>LE0814</t>
  </si>
  <si>
    <t>#9#6</t>
  </si>
  <si>
    <t>LE0906</t>
  </si>
  <si>
    <t>#9#7</t>
  </si>
  <si>
    <t>LE0907</t>
  </si>
  <si>
    <t>#9#8</t>
  </si>
  <si>
    <t>LE0908</t>
  </si>
  <si>
    <t>#9#18</t>
  </si>
  <si>
    <t>LE0918</t>
  </si>
  <si>
    <t>#10#6</t>
  </si>
  <si>
    <t>LE1006</t>
  </si>
  <si>
    <t>#10#7</t>
  </si>
  <si>
    <t>LE1007</t>
  </si>
  <si>
    <t>#10#8</t>
  </si>
  <si>
    <t>LE1008</t>
  </si>
  <si>
    <t>#10#9</t>
  </si>
  <si>
    <t>LE1009</t>
  </si>
  <si>
    <t>#11#7</t>
  </si>
  <si>
    <t>LE1107</t>
  </si>
  <si>
    <t>#11#8</t>
  </si>
  <si>
    <t>LE1108</t>
  </si>
  <si>
    <t>#11#9</t>
  </si>
  <si>
    <t>LE1109</t>
  </si>
  <si>
    <t>#14#8</t>
  </si>
  <si>
    <t>LE1408</t>
  </si>
  <si>
    <t>#14#9</t>
  </si>
  <si>
    <t>LE1409</t>
  </si>
  <si>
    <t>#18#8</t>
  </si>
  <si>
    <t>LE1808</t>
  </si>
  <si>
    <t>#18#9</t>
  </si>
  <si>
    <t>LE1819</t>
  </si>
  <si>
    <t>051</t>
  </si>
  <si>
    <t>023</t>
  </si>
  <si>
    <t>610</t>
  </si>
  <si>
    <t>3=</t>
  </si>
  <si>
    <t>HRC55503</t>
  </si>
  <si>
    <t>4=</t>
  </si>
  <si>
    <t>HRC55504</t>
  </si>
  <si>
    <t>5=</t>
  </si>
  <si>
    <t>HRC55505</t>
  </si>
  <si>
    <t>6=</t>
  </si>
  <si>
    <t>HRC55506</t>
  </si>
  <si>
    <t>7=</t>
  </si>
  <si>
    <t>HRC55507</t>
  </si>
  <si>
    <t>2429 CBL</t>
  </si>
  <si>
    <t>8=</t>
  </si>
  <si>
    <t>HRC55508</t>
  </si>
  <si>
    <t>9=</t>
  </si>
  <si>
    <t>HRC55509</t>
  </si>
  <si>
    <t>10=</t>
  </si>
  <si>
    <t>HRC55510</t>
  </si>
  <si>
    <t>11=</t>
  </si>
  <si>
    <t>HRC55511</t>
  </si>
  <si>
    <t>14=</t>
  </si>
  <si>
    <t>HRC55514</t>
  </si>
  <si>
    <t>18=</t>
  </si>
  <si>
    <t>HRC55518</t>
  </si>
  <si>
    <t>4   .15</t>
  </si>
  <si>
    <t>3*</t>
  </si>
  <si>
    <t>3+*</t>
  </si>
  <si>
    <t>4*</t>
  </si>
  <si>
    <t>4+*</t>
  </si>
  <si>
    <t>EL12D6</t>
  </si>
  <si>
    <t>5*</t>
  </si>
  <si>
    <t>5+*</t>
  </si>
  <si>
    <t>EL16D6</t>
  </si>
  <si>
    <t>6*</t>
  </si>
  <si>
    <t>6+*</t>
  </si>
  <si>
    <t>EL20D6</t>
  </si>
  <si>
    <t>7*</t>
  </si>
  <si>
    <t>7+*</t>
  </si>
  <si>
    <t>EL22D6</t>
  </si>
  <si>
    <t>8*</t>
  </si>
  <si>
    <t>8+*</t>
  </si>
  <si>
    <t>EL25D6</t>
  </si>
  <si>
    <t>9*</t>
  </si>
  <si>
    <t>9+*</t>
  </si>
  <si>
    <t>EL28D6</t>
  </si>
  <si>
    <t>10*</t>
  </si>
  <si>
    <t>10+*</t>
  </si>
  <si>
    <t>EL32D6</t>
  </si>
  <si>
    <t>11*</t>
  </si>
  <si>
    <t>11+*</t>
  </si>
  <si>
    <t>EL36D6</t>
  </si>
  <si>
    <t>14*</t>
  </si>
  <si>
    <t>14+*</t>
  </si>
  <si>
    <t>EL43D6</t>
  </si>
  <si>
    <t>18*</t>
  </si>
  <si>
    <t>18+*</t>
  </si>
  <si>
    <t>EL57D6</t>
  </si>
  <si>
    <t>380+</t>
  </si>
  <si>
    <t>300+</t>
  </si>
  <si>
    <t>Term03</t>
  </si>
  <si>
    <t>480+</t>
  </si>
  <si>
    <t>400+</t>
  </si>
  <si>
    <t>Term04</t>
  </si>
  <si>
    <t>580+</t>
  </si>
  <si>
    <t>500+</t>
  </si>
  <si>
    <t>Term05</t>
  </si>
  <si>
    <t>680+</t>
  </si>
  <si>
    <t>600+</t>
  </si>
  <si>
    <t>Term06</t>
  </si>
  <si>
    <t>780+</t>
  </si>
  <si>
    <t>700+</t>
  </si>
  <si>
    <t>Term07</t>
  </si>
  <si>
    <t>880+</t>
  </si>
  <si>
    <t>800+</t>
  </si>
  <si>
    <t>Term08</t>
  </si>
  <si>
    <t>980+</t>
  </si>
  <si>
    <t>900+</t>
  </si>
  <si>
    <t>Term09</t>
  </si>
  <si>
    <t>1080+</t>
  </si>
  <si>
    <t>1000+</t>
  </si>
  <si>
    <t>Term10</t>
  </si>
  <si>
    <t>1180+</t>
  </si>
  <si>
    <t>1100+</t>
  </si>
  <si>
    <t>Term11</t>
  </si>
  <si>
    <t>1480+</t>
  </si>
  <si>
    <t>1400+</t>
  </si>
  <si>
    <t>Term14</t>
  </si>
  <si>
    <t>1880+</t>
  </si>
  <si>
    <t>1800+</t>
  </si>
  <si>
    <t>Term18</t>
  </si>
  <si>
    <t>510HRC4</t>
  </si>
  <si>
    <t>510HRC5</t>
  </si>
  <si>
    <t>510HRC6</t>
  </si>
  <si>
    <t>510HRC7</t>
  </si>
  <si>
    <t>510HRC8</t>
  </si>
  <si>
    <t>510HRC9</t>
  </si>
  <si>
    <t>510HRC10</t>
  </si>
  <si>
    <t>510HRC11</t>
  </si>
  <si>
    <t>510HRC14</t>
  </si>
  <si>
    <t>510HRC18</t>
  </si>
  <si>
    <t>500HRC4</t>
  </si>
  <si>
    <t>500HRC5</t>
  </si>
  <si>
    <t>500HRC6</t>
  </si>
  <si>
    <t>500HRC7</t>
  </si>
  <si>
    <t>500HRC8</t>
  </si>
  <si>
    <t>500HRC9</t>
  </si>
  <si>
    <t>500HRC10</t>
  </si>
  <si>
    <t>500HRC11</t>
  </si>
  <si>
    <t>500HRC14</t>
  </si>
  <si>
    <t>500HRC18</t>
  </si>
  <si>
    <t>501HRC6</t>
  </si>
  <si>
    <t>502HRC7</t>
  </si>
  <si>
    <t>503H0805</t>
  </si>
  <si>
    <t>501HRC7</t>
  </si>
  <si>
    <t>502HRC8</t>
  </si>
  <si>
    <t>503HRC09</t>
  </si>
  <si>
    <t>504HRC10</t>
  </si>
  <si>
    <t>501HRC8</t>
  </si>
  <si>
    <t>502H0907</t>
  </si>
  <si>
    <t>503HRC10</t>
  </si>
  <si>
    <t>501H0809</t>
  </si>
  <si>
    <t>502HRC10</t>
  </si>
  <si>
    <t>503H0811</t>
  </si>
  <si>
    <t>505HRC14</t>
  </si>
  <si>
    <t>501HRC9</t>
  </si>
  <si>
    <t>501HRC10</t>
  </si>
  <si>
    <t>502H0911</t>
  </si>
  <si>
    <t>503HRC14</t>
  </si>
  <si>
    <t>502HR189</t>
  </si>
  <si>
    <t>501HRC11</t>
  </si>
  <si>
    <t>502HRC14</t>
  </si>
  <si>
    <t>503HRC18</t>
  </si>
  <si>
    <t>502H1107</t>
  </si>
  <si>
    <t>503H1108</t>
  </si>
  <si>
    <t>502HRC11</t>
  </si>
  <si>
    <t>501H1114</t>
  </si>
  <si>
    <t>502HRC18</t>
  </si>
  <si>
    <t>501HRC14</t>
  </si>
  <si>
    <t>501HRC18</t>
  </si>
  <si>
    <t>505HRC18</t>
  </si>
  <si>
    <t>#5#4</t>
  </si>
  <si>
    <t>501HRC5</t>
  </si>
  <si>
    <t>502HRC9</t>
  </si>
  <si>
    <t>EL12A2</t>
  </si>
  <si>
    <t>EL16A2</t>
  </si>
  <si>
    <t>EL20A2</t>
  </si>
  <si>
    <t>EL22A2</t>
  </si>
  <si>
    <t>EL25A2</t>
  </si>
  <si>
    <t>EL28A2</t>
  </si>
  <si>
    <t>EL32A2</t>
  </si>
  <si>
    <t>EL36A2</t>
  </si>
  <si>
    <t>EL43A2</t>
  </si>
  <si>
    <t>EL57A2</t>
  </si>
  <si>
    <t>sds</t>
  </si>
  <si>
    <t>Lap schedule</t>
  </si>
  <si>
    <t>1.5"</t>
  </si>
  <si>
    <t>0-10</t>
  </si>
  <si>
    <t>2-0</t>
  </si>
  <si>
    <t>A</t>
  </si>
  <si>
    <t>B</t>
  </si>
  <si>
    <t>C</t>
  </si>
  <si>
    <t>Grade 60</t>
  </si>
  <si>
    <t>Grade 80</t>
  </si>
  <si>
    <t>Grade 75</t>
  </si>
  <si>
    <t>Per Level</t>
  </si>
  <si>
    <t>Per Bar Size T</t>
  </si>
  <si>
    <t>Per Level T</t>
  </si>
  <si>
    <t>SIZE</t>
  </si>
  <si>
    <t>VERTICAL</t>
  </si>
  <si>
    <t>TIES 1</t>
  </si>
  <si>
    <t>TIES 2</t>
  </si>
  <si>
    <t>TIES 3</t>
  </si>
  <si>
    <t>TYPE</t>
  </si>
  <si>
    <t>LAP</t>
  </si>
  <si>
    <t>COUPLER</t>
  </si>
  <si>
    <t>DOWELS</t>
  </si>
  <si>
    <t>Type</t>
  </si>
  <si>
    <t>Long</t>
  </si>
  <si>
    <t>Short</t>
  </si>
  <si>
    <t>Sub_Length</t>
  </si>
  <si>
    <t>Circular</t>
  </si>
  <si>
    <t>L-V Bar Count</t>
  </si>
  <si>
    <t>S-V Bar Count</t>
  </si>
  <si>
    <t>S Count</t>
  </si>
  <si>
    <t>Quantity</t>
  </si>
  <si>
    <t>Side</t>
  </si>
  <si>
    <t>Close Tie Names</t>
  </si>
  <si>
    <t>Cross Tie Names</t>
  </si>
  <si>
    <t>Category</t>
  </si>
  <si>
    <t>Name</t>
  </si>
  <si>
    <t>Shape</t>
  </si>
  <si>
    <t>Matched Size</t>
  </si>
  <si>
    <t>Bar Spacing</t>
  </si>
  <si>
    <t>Grade T</t>
  </si>
  <si>
    <t>S. No</t>
  </si>
  <si>
    <t>Helper Column LAP</t>
  </si>
  <si>
    <t>Bar Count</t>
  </si>
  <si>
    <t>Width</t>
  </si>
  <si>
    <t>Breath</t>
  </si>
  <si>
    <t>Ties Select</t>
  </si>
  <si>
    <t>VBars Hook</t>
  </si>
  <si>
    <t>C-Length</t>
  </si>
  <si>
    <t>Length Help</t>
  </si>
  <si>
    <t>Ties Zone1 Size</t>
  </si>
  <si>
    <t>Ties Zone1 Count</t>
  </si>
  <si>
    <t>Height Help</t>
  </si>
  <si>
    <t>Overall Ties length</t>
  </si>
  <si>
    <t>Ties Weight</t>
  </si>
  <si>
    <t>VertPart</t>
  </si>
  <si>
    <t>Ties zone1Size</t>
  </si>
  <si>
    <t>Ties zone2Size</t>
  </si>
  <si>
    <t>Ties zone3Size</t>
  </si>
  <si>
    <t>H/6, Max D, 18"</t>
  </si>
  <si>
    <t>Ties zone1Span</t>
  </si>
  <si>
    <t>Ties zone2Span</t>
  </si>
  <si>
    <t>Ties zone3Span</t>
  </si>
  <si>
    <t>Zone 1 Count</t>
  </si>
  <si>
    <t>Zone 2 Count</t>
  </si>
  <si>
    <t>Zone 3 Count</t>
  </si>
  <si>
    <t>Overall length</t>
  </si>
  <si>
    <t>VDwl-Vbars</t>
  </si>
  <si>
    <t>VDwls-Size</t>
  </si>
  <si>
    <t>Length 1</t>
  </si>
  <si>
    <t>Length 2</t>
  </si>
  <si>
    <t>Total Length</t>
  </si>
  <si>
    <t>QTY - Dwls</t>
  </si>
  <si>
    <t>Bar Size - Dwls</t>
  </si>
  <si>
    <t>Length - Dwls</t>
  </si>
  <si>
    <t>Temp Ties</t>
  </si>
  <si>
    <t>Addl Ties</t>
  </si>
  <si>
    <t>VertDwl-Thead</t>
  </si>
  <si>
    <t>TopDwl-Bar Size</t>
  </si>
  <si>
    <t>RM-Mark</t>
  </si>
  <si>
    <t>RM-Height</t>
  </si>
  <si>
    <t>Help-Height</t>
  </si>
  <si>
    <t>RM-Size</t>
  </si>
  <si>
    <t>VD - Coupler-FM</t>
  </si>
  <si>
    <t>Dwl - Coupler - FM</t>
  </si>
  <si>
    <t>Ties_Count</t>
  </si>
  <si>
    <t>H/8, Max D, 18"</t>
  </si>
  <si>
    <t>Lig Support</t>
  </si>
  <si>
    <t>SPI_Dia</t>
  </si>
  <si>
    <t>SPI_Pitch</t>
  </si>
  <si>
    <t>SIP_Extruns</t>
  </si>
  <si>
    <t>SIP_BT</t>
  </si>
  <si>
    <t>BELLA MAR HOLLYWOOD</t>
  </si>
  <si>
    <t>0-8</t>
  </si>
  <si>
    <t>3-0</t>
  </si>
  <si>
    <t>1-0</t>
  </si>
  <si>
    <t>0"</t>
  </si>
  <si>
    <t>0-0</t>
  </si>
  <si>
    <t>LEVEL 01</t>
  </si>
  <si>
    <t>3'-6.00"</t>
  </si>
  <si>
    <t>'22-1</t>
  </si>
  <si>
    <t>LEVEL 02</t>
  </si>
  <si>
    <t>25'-7.00"</t>
  </si>
  <si>
    <t>'10-7</t>
  </si>
  <si>
    <t>LEVEL 03</t>
  </si>
  <si>
    <t>36'-2.00"</t>
  </si>
  <si>
    <t>LEVEL 04</t>
  </si>
  <si>
    <t>46'-9.00"</t>
  </si>
  <si>
    <t>LEVEL 05</t>
  </si>
  <si>
    <t>57'-4.00"</t>
  </si>
  <si>
    <t>LEVEL 06</t>
  </si>
  <si>
    <t>67'-11.00"</t>
  </si>
  <si>
    <t>LEVEL 07</t>
  </si>
  <si>
    <t>78'-6.00"</t>
  </si>
  <si>
    <t>LEVEL 08</t>
  </si>
  <si>
    <t>89'-1.00"</t>
  </si>
  <si>
    <t>LEVEL 09</t>
  </si>
  <si>
    <t>99'-8.00"</t>
  </si>
  <si>
    <t>LEVEL 10</t>
  </si>
  <si>
    <t>110'-3.00"</t>
  </si>
  <si>
    <t>LEVEL 11</t>
  </si>
  <si>
    <t>120'-10.00"</t>
  </si>
  <si>
    <t>LEVEL 12</t>
  </si>
  <si>
    <t>131'-5.00"</t>
  </si>
  <si>
    <t>ROOF TOP</t>
  </si>
  <si>
    <t>142'-0.00"</t>
  </si>
  <si>
    <t>'15-0</t>
  </si>
  <si>
    <t>STAIR ROOF TOP</t>
  </si>
  <si>
    <t>157'-0.00"</t>
  </si>
  <si>
    <t>'None</t>
  </si>
  <si>
    <t>1-6</t>
  </si>
  <si>
    <t>1-10</t>
  </si>
  <si>
    <t>2-8</t>
  </si>
  <si>
    <t>2-6</t>
  </si>
  <si>
    <t>3-4</t>
  </si>
  <si>
    <t>3-2</t>
  </si>
  <si>
    <t>4-0</t>
  </si>
  <si>
    <t>3-9</t>
  </si>
  <si>
    <t>3-6</t>
  </si>
  <si>
    <t>4-8</t>
  </si>
  <si>
    <t>4-4</t>
  </si>
  <si>
    <t>5-4</t>
  </si>
  <si>
    <t>5-0</t>
  </si>
  <si>
    <t>4-6</t>
  </si>
  <si>
    <t>6-0</t>
  </si>
  <si>
    <t>5-8</t>
  </si>
  <si>
    <t>5-1</t>
  </si>
  <si>
    <t>6-9</t>
  </si>
  <si>
    <t>6-4</t>
  </si>
  <si>
    <t>7-7</t>
  </si>
  <si>
    <t>7-1</t>
  </si>
  <si>
    <t>12 x 56</t>
  </si>
  <si>
    <t>14 - #7</t>
  </si>
  <si>
    <t>#3 @ 6"</t>
  </si>
  <si>
    <t>#3 @ 12"</t>
  </si>
  <si>
    <t>14ARC</t>
  </si>
  <si>
    <t>8 x 36</t>
  </si>
  <si>
    <t>6 - #7</t>
  </si>
  <si>
    <t>#3 @ 8"</t>
  </si>
  <si>
    <t>6R</t>
  </si>
  <si>
    <t>24 x 36</t>
  </si>
  <si>
    <t>12 - #9</t>
  </si>
  <si>
    <t>12R</t>
  </si>
  <si>
    <t>16 - #11</t>
  </si>
  <si>
    <t>#4 @ 6"</t>
  </si>
  <si>
    <t>#4 @ 12"</t>
  </si>
  <si>
    <t>16R</t>
  </si>
  <si>
    <t>14 x 24</t>
  </si>
  <si>
    <t>16 x 30</t>
  </si>
  <si>
    <t>8 - #7</t>
  </si>
  <si>
    <t>8R</t>
  </si>
  <si>
    <t>18 - #9</t>
  </si>
  <si>
    <t>18R</t>
  </si>
  <si>
    <t>8 - #10</t>
  </si>
  <si>
    <t>36" dia</t>
  </si>
  <si>
    <t>10 - #10</t>
  </si>
  <si>
    <t>30" dia</t>
  </si>
  <si>
    <t>6 - #10</t>
  </si>
  <si>
    <t>10 - #8</t>
  </si>
  <si>
    <t>18 x 30</t>
  </si>
  <si>
    <t>10 - #7</t>
  </si>
  <si>
    <t>10R</t>
  </si>
  <si>
    <t>20 x 36</t>
  </si>
  <si>
    <t>24 x 30</t>
  </si>
  <si>
    <t>18 x 72</t>
  </si>
  <si>
    <t>12 - #10</t>
  </si>
  <si>
    <t>16 - #9</t>
  </si>
  <si>
    <t>8 - #9</t>
  </si>
  <si>
    <t>36 x 36</t>
  </si>
  <si>
    <t>16 x 24</t>
  </si>
  <si>
    <t>24" dia</t>
  </si>
  <si>
    <t>1,1 1,4 3,4 3,1</t>
  </si>
  <si>
    <t>2,1 2,4 &amp; 1,2 3,2 &amp; 1,3 3,3</t>
  </si>
  <si>
    <t>S135 &amp; S135 &amp; S135</t>
  </si>
  <si>
    <t>S90 &amp; S90 &amp; S90</t>
  </si>
  <si>
    <t>T9 &amp; T9 &amp; T9</t>
  </si>
  <si>
    <t>1,1 1,5 3,5 3,1</t>
  </si>
  <si>
    <t>2,1 2,5 &amp; 1,2 3,2 &amp; 1,3 3,3 &amp; 1,4 3,4</t>
  </si>
  <si>
    <t>S135 &amp; S135 &amp; S135 &amp; S135</t>
  </si>
  <si>
    <t>S90 &amp; S90 &amp; S90 &amp; S90</t>
  </si>
  <si>
    <t>T9 &amp; T9 &amp; T9 &amp; T9</t>
  </si>
  <si>
    <t>1,1 1,6 4,6 4,1</t>
  </si>
  <si>
    <t>2,1 2,6 &amp; 3,1 3,6 &amp; 1,2 4,2 &amp; 1,3 4,3 &amp; 1,4 4,4 &amp; 1,5 4,5</t>
  </si>
  <si>
    <t>S135 &amp; S135 &amp; S135 &amp; S135 &amp; S135 &amp; S135</t>
  </si>
  <si>
    <t>S90 &amp; S90 &amp; S90 &amp; S90 &amp; S90 &amp; S90</t>
  </si>
  <si>
    <t>T9 &amp; T9 &amp; T9 &amp; T9 &amp; T9 &amp; T9</t>
  </si>
  <si>
    <t>1,1 1,3 2,3 2,1</t>
  </si>
  <si>
    <t>1,2 2,2</t>
  </si>
  <si>
    <t>1,1 1,4 2,4 2,1</t>
  </si>
  <si>
    <t>1,2 2,2 &amp; 1,3 2,3</t>
  </si>
  <si>
    <t>S135 &amp; S135</t>
  </si>
  <si>
    <t>S90 &amp; S90</t>
  </si>
  <si>
    <t>T9 &amp; T9</t>
  </si>
  <si>
    <t>1,1 1,5 6,5 6,1</t>
  </si>
  <si>
    <t>1,3 6,3 &amp; 2,1 2,5 &amp; 3,1 3,5 &amp; 4,1 4,5 &amp; 5,1 5,5</t>
  </si>
  <si>
    <t>S135 &amp; S135 &amp; S135 &amp; S135 &amp; S135</t>
  </si>
  <si>
    <t>S90 &amp; S90 &amp; S90 &amp; S90 &amp; S90</t>
  </si>
  <si>
    <t>T9 &amp; T9 &amp; T9 &amp; T9 &amp; T9</t>
  </si>
  <si>
    <t>0-6</t>
  </si>
  <si>
    <t>VARIOUS</t>
  </si>
  <si>
    <t>Class</t>
  </si>
  <si>
    <t>1</t>
  </si>
  <si>
    <t>19-7</t>
  </si>
  <si>
    <t>21-7</t>
  </si>
  <si>
    <t>12-3</t>
  </si>
  <si>
    <t>5-10</t>
  </si>
  <si>
    <t>5-6</t>
  </si>
  <si>
    <t>MARK - 1</t>
  </si>
  <si>
    <t>MARK - 10</t>
  </si>
  <si>
    <t>MARK - 11</t>
  </si>
  <si>
    <t>MARK - 12</t>
  </si>
  <si>
    <t>MARK - 13</t>
  </si>
  <si>
    <t>MARK - 14</t>
  </si>
  <si>
    <t>MARK - 15</t>
  </si>
  <si>
    <t>MARK - 16</t>
  </si>
  <si>
    <t>MARK - 17</t>
  </si>
  <si>
    <t>MARK - 18</t>
  </si>
  <si>
    <t>MARK - 19</t>
  </si>
  <si>
    <t>MARK - 2</t>
  </si>
  <si>
    <t>MARK - 20</t>
  </si>
  <si>
    <t>MARK - 21</t>
  </si>
  <si>
    <t>MARK - 22</t>
  </si>
  <si>
    <t>MARK - 23</t>
  </si>
  <si>
    <t>MARK - 24</t>
  </si>
  <si>
    <t>MARK - 25</t>
  </si>
  <si>
    <t>MARK - 26</t>
  </si>
  <si>
    <t>MARK - 27</t>
  </si>
  <si>
    <t>MARK - 28</t>
  </si>
  <si>
    <t>MARK - 29</t>
  </si>
  <si>
    <t>MARK - 3</t>
  </si>
  <si>
    <t>MARK - 30</t>
  </si>
  <si>
    <t>MARK - 31</t>
  </si>
  <si>
    <t>MARK - 32</t>
  </si>
  <si>
    <t>MARK - 33</t>
  </si>
  <si>
    <t>MARK - 34</t>
  </si>
  <si>
    <t>MARK - 35</t>
  </si>
  <si>
    <t>MARK - 36</t>
  </si>
  <si>
    <t>MARK - 37</t>
  </si>
  <si>
    <t>MARK - 38</t>
  </si>
  <si>
    <t>MARK - 39</t>
  </si>
  <si>
    <t>MARK - 4</t>
  </si>
  <si>
    <t>MARK - 40</t>
  </si>
  <si>
    <t>MARK - 41</t>
  </si>
  <si>
    <t>MARK - 42</t>
  </si>
  <si>
    <t>MARK - 43</t>
  </si>
  <si>
    <t>MARK - 44</t>
  </si>
  <si>
    <t>MARK - 45</t>
  </si>
  <si>
    <t>MARK - 46</t>
  </si>
  <si>
    <t>MARK - 47</t>
  </si>
  <si>
    <t>MARK - 48</t>
  </si>
  <si>
    <t>MARK - 49</t>
  </si>
  <si>
    <t>MARK - 5</t>
  </si>
  <si>
    <t>MARK - 50</t>
  </si>
  <si>
    <t>MARK - 51</t>
  </si>
  <si>
    <t>MARK - 52</t>
  </si>
  <si>
    <t>MARK - 53</t>
  </si>
  <si>
    <t>MARK - 54</t>
  </si>
  <si>
    <t>MARK - 55</t>
  </si>
  <si>
    <t>MARK - 56</t>
  </si>
  <si>
    <t>MARK - 57</t>
  </si>
  <si>
    <t>MARK - 58</t>
  </si>
  <si>
    <t>MARK - 59</t>
  </si>
  <si>
    <t>MARK - 6</t>
  </si>
  <si>
    <t>MARK - 60</t>
  </si>
  <si>
    <t>MARK - 61</t>
  </si>
  <si>
    <t>MARK - 62</t>
  </si>
  <si>
    <t>MARK - 63</t>
  </si>
  <si>
    <t>MARK - 64</t>
  </si>
  <si>
    <t>MARK - 65</t>
  </si>
  <si>
    <t>MARK - 66</t>
  </si>
  <si>
    <t>MARK - 67</t>
  </si>
  <si>
    <t>MARK - 7</t>
  </si>
  <si>
    <t>MARK - 8</t>
  </si>
  <si>
    <t>MARK - 9</t>
  </si>
  <si>
    <t>SIZE: 12 x 56</t>
  </si>
  <si>
    <t>SIZE: 8 x 36</t>
  </si>
  <si>
    <t>SIZE: 24 x 36</t>
  </si>
  <si>
    <t>SIZE: 14 x 24</t>
  </si>
  <si>
    <t>SIZE: 16 x 30</t>
  </si>
  <si>
    <t>SIZE: VARIOUS</t>
  </si>
  <si>
    <t>SIZE: 30" dia</t>
  </si>
  <si>
    <t>SIZE: 16 x 24</t>
  </si>
  <si>
    <t>SIZE: 24" dia</t>
  </si>
  <si>
    <t>SIZE: 18 x 30</t>
  </si>
  <si>
    <t>HEIGHT: 22-1</t>
  </si>
  <si>
    <t>HEIGHT: 19-7</t>
  </si>
  <si>
    <t>HEIGHT: 21-7</t>
  </si>
  <si>
    <t>HEIGHT: 12-3</t>
  </si>
  <si>
    <t>HEIGHT: 138-0</t>
  </si>
  <si>
    <t>HEIGHT: 127-5</t>
  </si>
  <si>
    <t>HEIGHT: 136-0</t>
  </si>
  <si>
    <t>HEIGHT: 116-5</t>
  </si>
  <si>
    <t>LEVEL 01 VERT DWLS</t>
  </si>
  <si>
    <t>Hea</t>
  </si>
  <si>
    <t>LEVEL 02 VERT DWLS</t>
  </si>
  <si>
    <t>LEVEL 01 VERT</t>
  </si>
  <si>
    <t>LEVEL 02 VERT</t>
  </si>
  <si>
    <t>LEVEL 03 VERT</t>
  </si>
  <si>
    <t>LEVEL 04 VERT</t>
  </si>
  <si>
    <t>LEVEL 05 VERT</t>
  </si>
  <si>
    <t>LEVEL 06 VERT</t>
  </si>
  <si>
    <t>LEVEL 07 VERT</t>
  </si>
  <si>
    <t>LEVEL 08 VERT</t>
  </si>
  <si>
    <t>LEVEL 09 VERT</t>
  </si>
  <si>
    <t>LEVEL 10 VERT</t>
  </si>
  <si>
    <t>LEVEL 11 VERT</t>
  </si>
  <si>
    <t>LEVEL 12 VERT</t>
  </si>
  <si>
    <t>10</t>
  </si>
  <si>
    <t>LEVEL 01 Loose Dwls</t>
  </si>
  <si>
    <t>Str</t>
  </si>
  <si>
    <t>6</t>
  </si>
  <si>
    <t>5</t>
  </si>
  <si>
    <t>LEVEL 01 Ties-Z1</t>
  </si>
  <si>
    <t>Lig</t>
  </si>
  <si>
    <t/>
  </si>
  <si>
    <t>LEVEL 02 Ties-Z1</t>
  </si>
  <si>
    <t>LEVEL 03 Ties-Z1</t>
  </si>
  <si>
    <t>LEVEL 04 Ties-Z1</t>
  </si>
  <si>
    <t>LEVEL 05 Ties-Z1</t>
  </si>
  <si>
    <t>LEVEL 06 Ties-Z1</t>
  </si>
  <si>
    <t>LEVEL 07 Ties-Z1</t>
  </si>
  <si>
    <t>LEVEL 08 Ties-Z1</t>
  </si>
  <si>
    <t>LEVEL 09 Ties-Z1</t>
  </si>
  <si>
    <t>LEVEL 10 Ties-Z1</t>
  </si>
  <si>
    <t>LEVEL 11 Ties-Z1</t>
  </si>
  <si>
    <t>LEVEL 12 Ties-Z1</t>
  </si>
  <si>
    <t>LEVEL 01 Ties-Z2</t>
  </si>
  <si>
    <t>LEVEL 02 Ties-Z2</t>
  </si>
  <si>
    <t>LEVEL 03 Ties-Z2</t>
  </si>
  <si>
    <t>LEVEL 04 Ties-Z2</t>
  </si>
  <si>
    <t>LEVEL 05 Ties-Z2</t>
  </si>
  <si>
    <t>LEVEL 06 Ties-Z2</t>
  </si>
  <si>
    <t>LEVEL 07 Ties-Z2</t>
  </si>
  <si>
    <t>LEVEL 08 Ties-Z2</t>
  </si>
  <si>
    <t>LEVEL 09 Ties-Z2</t>
  </si>
  <si>
    <t>LEVEL 10 Ties-Z2</t>
  </si>
  <si>
    <t>LEVEL 11 Ties-Z2</t>
  </si>
  <si>
    <t>LEVEL 12 Ties-Z2</t>
  </si>
  <si>
    <t>LEVEL 01 Ties-Z3</t>
  </si>
  <si>
    <t>LEVEL 02 Ties-Z3</t>
  </si>
  <si>
    <t>LEVEL 03 Ties-Z3</t>
  </si>
  <si>
    <t>LEVEL 04 Ties-Z3</t>
  </si>
  <si>
    <t>LEVEL 05 Ties-Z3</t>
  </si>
  <si>
    <t>LEVEL 06 Ties-Z3</t>
  </si>
  <si>
    <t>LEVEL 07 Ties-Z3</t>
  </si>
  <si>
    <t>LEVEL 08 Ties-Z3</t>
  </si>
  <si>
    <t>LEVEL 09 Ties-Z3</t>
  </si>
  <si>
    <t>LEVEL 10 Ties-Z3</t>
  </si>
  <si>
    <t>LEVEL 11 Ties-Z3</t>
  </si>
  <si>
    <t>LEVEL 12 Ties-Z3</t>
  </si>
  <si>
    <t>LEVEL 01 TEMP TIES</t>
  </si>
  <si>
    <t>LEVEL 02 TEMP TIES</t>
  </si>
  <si>
    <t>LEVEL 01 ADDL TIES</t>
  </si>
  <si>
    <t>LEVEL 02 ADDL TIES</t>
  </si>
  <si>
    <t>LEVEL 03 ADDL TIES</t>
  </si>
  <si>
    <t>LEVEL 04 ADDL TIES</t>
  </si>
  <si>
    <t>LEVEL 05 ADDL TIES</t>
  </si>
  <si>
    <t>LEVEL 06 ADDL TIES</t>
  </si>
  <si>
    <t>LEVEL 07 ADDL TIES</t>
  </si>
  <si>
    <t>LEVEL 08 ADDL TIES</t>
  </si>
  <si>
    <t>LEVEL 09 ADDL TIES</t>
  </si>
  <si>
    <t>LEVEL 10 ADDL TIES</t>
  </si>
  <si>
    <t>LEVEL 11 ADDL TIES</t>
  </si>
  <si>
    <t>LEVEL 12 ADDL TIES</t>
  </si>
  <si>
    <t>yuiyu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</si>
</sst>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[&gt;=1]&quot;'#'0'&quot;;[&gt;=0.0833]&quot;'#'0&quot;;"/>
    <numFmt numFmtId="165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BE5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84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3" borderId="0" xfId="0" applyFont="1" applyFill="1"/>
    <xf numFmtId="164" fontId="0" fillId="0" borderId="0" xfId="0" applyNumberFormat="1"/>
    <xf numFmtId="0" fontId="0" fillId="0" borderId="0" xfId="0" applyAlignment="1">
      <alignment horizontal="left"/>
    </xf>
    <xf numFmtId="0" fontId="3" fillId="0" borderId="0" xfId="1"/>
    <xf numFmtId="0" fontId="4" fillId="4" borderId="1" xfId="0" applyFont="1" applyFill="1" applyBorder="1"/>
    <xf numFmtId="0" fontId="4" fillId="4" borderId="0" xfId="0" applyFont="1" applyFill="1" applyAlignment="1">
      <alignment horizontal="center"/>
    </xf>
    <xf numFmtId="0" fontId="4" fillId="5" borderId="1" xfId="0" applyFont="1" applyFill="1" applyBorder="1"/>
    <xf numFmtId="0" fontId="4" fillId="6" borderId="1" xfId="0" applyFont="1" applyFill="1" applyBorder="1"/>
    <xf numFmtId="0" fontId="4" fillId="6" borderId="2" xfId="0" applyFont="1" applyFill="1" applyBorder="1"/>
    <xf numFmtId="0" fontId="4" fillId="5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6" fontId="0" fillId="0" borderId="0" xfId="0" applyNumberFormat="1"/>
    <xf numFmtId="49" fontId="0" fillId="0" borderId="0" xfId="0" applyNumberFormat="1"/>
    <xf numFmtId="49" fontId="4" fillId="6" borderId="1" xfId="0" applyNumberFormat="1" applyFont="1" applyFill="1" applyBorder="1"/>
    <xf numFmtId="0" fontId="2" fillId="7" borderId="0" xfId="0" applyFont="1" applyFill="1"/>
    <xf numFmtId="0" fontId="0" fillId="3" borderId="0" xfId="0" applyFill="1"/>
    <xf numFmtId="49" fontId="0" fillId="0" borderId="0" xfId="0" applyNumberFormat="1" applyAlignment="1">
      <alignment horizontal="left"/>
    </xf>
    <xf numFmtId="0" fontId="4" fillId="4" borderId="2" xfId="0" applyFont="1" applyFill="1" applyBorder="1"/>
    <xf numFmtId="49" fontId="4" fillId="4" borderId="1" xfId="0" applyNumberFormat="1" applyFont="1" applyFill="1" applyBorder="1"/>
    <xf numFmtId="49" fontId="0" fillId="0" borderId="0" xfId="0" quotePrefix="1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0" fillId="0" borderId="0" xfId="0" applyNumberFormat="1"/>
    <xf numFmtId="2" fontId="0" fillId="3" borderId="0" xfId="0" applyNumberFormat="1" applyFill="1"/>
    <xf numFmtId="0" fontId="2" fillId="8" borderId="0" xfId="0" applyFont="1" applyFill="1"/>
    <xf numFmtId="0" fontId="0" fillId="8" borderId="0" xfId="0" applyFill="1"/>
    <xf numFmtId="0" fontId="0" fillId="7" borderId="0" xfId="0" applyFill="1"/>
    <xf numFmtId="1" fontId="0" fillId="7" borderId="0" xfId="0" applyNumberFormat="1" applyFill="1"/>
    <xf numFmtId="0" fontId="0" fillId="6" borderId="0" xfId="0" applyFill="1"/>
    <xf numFmtId="2" fontId="2" fillId="8" borderId="0" xfId="0" applyNumberFormat="1" applyFont="1" applyFill="1"/>
    <xf numFmtId="2" fontId="0" fillId="8" borderId="0" xfId="0" applyNumberFormat="1" applyFill="1"/>
    <xf numFmtId="0" fontId="0" fillId="9" borderId="0" xfId="0" applyFill="1"/>
    <xf numFmtId="0" fontId="2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2" fontId="0" fillId="11" borderId="0" xfId="0" applyNumberFormat="1" applyFill="1"/>
    <xf numFmtId="2" fontId="0" fillId="12" borderId="0" xfId="0" applyNumberFormat="1" applyFill="1"/>
    <xf numFmtId="0" fontId="0" fillId="13" borderId="0" xfId="0" applyFill="1"/>
    <xf numFmtId="49" fontId="0" fillId="3" borderId="0" xfId="0" applyNumberFormat="1" applyFill="1"/>
    <xf numFmtId="0" fontId="0" fillId="14" borderId="0" xfId="0" applyFill="1"/>
    <xf numFmtId="0" fontId="0" fillId="9" borderId="0" xfId="0" applyFill="1" applyAlignment="1">
      <alignment horizontal="left"/>
    </xf>
    <xf numFmtId="0" fontId="0" fillId="5" borderId="0" xfId="0" applyFill="1"/>
    <xf numFmtId="2" fontId="0" fillId="5" borderId="0" xfId="0" applyNumberFormat="1" applyFill="1"/>
    <xf numFmtId="0" fontId="0" fillId="0" borderId="0" xfId="0" applyProtection="1">
      <protection locked="0"/>
    </xf>
    <xf numFmtId="0" fontId="5" fillId="0" borderId="0" xfId="0" applyFont="1"/>
    <xf numFmtId="0" fontId="5" fillId="16" borderId="0" xfId="0" applyFont="1" applyFill="1"/>
    <xf numFmtId="0" fontId="0" fillId="16" borderId="0" xfId="0" applyFill="1"/>
    <xf numFmtId="49" fontId="6" fillId="0" borderId="0" xfId="0" applyNumberFormat="1" applyFont="1"/>
    <xf numFmtId="49" fontId="5" fillId="0" borderId="0" xfId="0" applyNumberFormat="1" applyFont="1"/>
    <xf numFmtId="0" fontId="7" fillId="0" borderId="0" xfId="0" applyFont="1"/>
    <xf numFmtId="0" fontId="5" fillId="3" borderId="0" xfId="0" applyFont="1" applyFill="1"/>
    <xf numFmtId="0" fontId="7" fillId="3" borderId="0" xfId="0" applyFont="1" applyFill="1"/>
    <xf numFmtId="1" fontId="0" fillId="0" borderId="0" xfId="0" applyNumberFormat="1" applyAlignment="1">
      <alignment horizontal="right"/>
    </xf>
    <xf numFmtId="49" fontId="0" fillId="6" borderId="0" xfId="0" applyNumberFormat="1" applyFill="1"/>
    <xf numFmtId="0" fontId="0" fillId="17" borderId="0" xfId="0" applyFill="1"/>
    <xf numFmtId="0" fontId="0" fillId="0" borderId="0" xfId="0" applyAlignment="1">
      <alignment horizontal="left" vertical="center"/>
    </xf>
    <xf numFmtId="0" fontId="0" fillId="4" borderId="0" xfId="0" applyFill="1"/>
    <xf numFmtId="0" fontId="8" fillId="18" borderId="0" xfId="0" applyFont="1" applyFill="1"/>
    <xf numFmtId="2" fontId="0" fillId="19" borderId="0" xfId="0" applyNumberFormat="1" applyFill="1"/>
    <xf numFmtId="0" fontId="2" fillId="15" borderId="0" xfId="0" applyFont="1" applyFill="1"/>
    <xf numFmtId="49" fontId="0" fillId="20" borderId="0" xfId="0" applyNumberFormat="1" applyFill="1"/>
    <xf numFmtId="0" fontId="0" fillId="13" borderId="1" xfId="0" applyFill="1" applyBorder="1"/>
    <xf numFmtId="0" fontId="0" fillId="6" borderId="1" xfId="0" applyFill="1" applyBorder="1"/>
    <xf numFmtId="16" fontId="0" fillId="0" borderId="0" xfId="0" applyNumberFormat="1"/>
    <xf numFmtId="2" fontId="2" fillId="6" borderId="0" xfId="0" applyNumberFormat="1" applyFont="1" applyFill="1"/>
    <xf numFmtId="2" fontId="0" fillId="6" borderId="0" xfId="0" applyNumberFormat="1" applyFill="1"/>
    <xf numFmtId="0" fontId="0" fillId="13" borderId="0" xfId="0" applyFill="1" applyAlignment="1">
      <alignment horizontal="left"/>
    </xf>
    <xf numFmtId="49" fontId="0" fillId="13" borderId="0" xfId="0" applyNumberFormat="1" applyFill="1" applyAlignment="1">
      <alignment horizontal="left"/>
    </xf>
    <xf numFmtId="49" fontId="0" fillId="13" borderId="0" xfId="0" applyNumberFormat="1" applyFill="1"/>
    <xf numFmtId="0" fontId="0" fillId="0" borderId="0" xfId="0" applyAlignment="1">
      <alignment horizontal="center"/>
    </xf>
    <xf numFmtId="49" fontId="4" fillId="5" borderId="1" xfId="0" applyNumberFormat="1" applyFont="1" applyFill="1" applyBorder="1"/>
    <xf numFmtId="49" fontId="4" fillId="4" borderId="0" xfId="0" applyNumberFormat="1" applyFont="1" applyFill="1" applyAlignment="1">
      <alignment horizont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6" borderId="0" xfId="0" applyFill="1" applyAlignment="1">
      <alignment horizontal="center"/>
    </xf>
    <xf numFmtId="2" fontId="0" fillId="0" borderId="0" xfId="0" applyNumberFormat="1"/>
    <xf numFmtId="0" fontId="2" fillId="15" borderId="0" xfId="0" applyFont="1" applyFill="1" applyAlignment="1">
      <alignment horizontal="center"/>
    </xf>
    <xf numFmtId="0" fontId="0" fillId="0" borderId="0" xfId="0"/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CC2252"/>
  <sheetViews>
    <sheetView workbookViewId="0">
      <selection activeCell="H21" sqref="H21"/>
    </sheetView>
  </sheetViews>
  <sheetFormatPr defaultRowHeight="15" x14ac:dyDescent="0.25"/>
  <cols>
    <col min="2" max="2" width="28" bestFit="1" customWidth="1"/>
    <col min="3" max="3" width="22.42578125" style="5" bestFit="1" customWidth="1"/>
    <col min="4" max="4" width="8" bestFit="1" customWidth="1"/>
    <col min="5" max="5" width="12" bestFit="1" customWidth="1"/>
    <col min="6" max="6" width="2" bestFit="1" customWidth="1"/>
    <col min="8" max="8" width="16.7109375" bestFit="1" customWidth="1"/>
    <col min="9" max="9" width="13.7109375" bestFit="1" customWidth="1"/>
    <col min="10" max="10" width="7.85546875" bestFit="1" customWidth="1"/>
    <col min="11" max="11" width="24.7109375" bestFit="1" customWidth="1"/>
    <col min="12" max="12" width="16" bestFit="1" customWidth="1"/>
    <col min="13" max="13" width="14.140625" bestFit="1" customWidth="1"/>
    <col min="14" max="14" width="17.7109375" bestFit="1" customWidth="1"/>
    <col min="15" max="15" width="16.5703125" bestFit="1" customWidth="1"/>
    <col min="16" max="16" width="16.7109375" bestFit="1" customWidth="1"/>
    <col min="17" max="18" width="13.5703125" bestFit="1" customWidth="1"/>
    <col min="19" max="19" width="16.7109375" bestFit="1" customWidth="1"/>
    <col min="20" max="20" width="6.42578125" bestFit="1" customWidth="1"/>
    <col min="21" max="22" width="18.7109375" bestFit="1" customWidth="1"/>
    <col min="23" max="23" width="13.5703125" bestFit="1" customWidth="1"/>
    <col min="24" max="24" width="11.140625" bestFit="1" customWidth="1"/>
    <col min="25" max="25" width="13.7109375" bestFit="1" customWidth="1"/>
    <col min="26" max="26" width="6.7109375" bestFit="1" customWidth="1"/>
    <col min="27" max="27" width="8.85546875" bestFit="1" customWidth="1"/>
    <col min="28" max="28" width="6.140625" bestFit="1" customWidth="1"/>
    <col min="29" max="29" width="6.42578125" bestFit="1" customWidth="1"/>
    <col min="30" max="30" width="3" bestFit="1" customWidth="1"/>
    <col min="31" max="31" width="6.42578125" bestFit="1" customWidth="1"/>
    <col min="32" max="32" width="9.140625" customWidth="1"/>
    <col min="33" max="33" width="24.7109375" bestFit="1" customWidth="1"/>
    <col min="34" max="34" width="17.7109375" bestFit="1" customWidth="1"/>
    <col min="35" max="35" width="9" bestFit="1" customWidth="1"/>
    <col min="36" max="36" width="9.140625" customWidth="1"/>
    <col min="37" max="37" width="5.28515625" bestFit="1" customWidth="1"/>
    <col min="38" max="38" width="24.7109375" bestFit="1" customWidth="1"/>
    <col min="39" max="39" width="10.140625" bestFit="1" customWidth="1"/>
    <col min="40" max="40" width="19.140625" bestFit="1" customWidth="1"/>
    <col min="41" max="41" width="16.5703125" bestFit="1" customWidth="1"/>
    <col min="42" max="42" width="7.42578125" bestFit="1" customWidth="1"/>
    <col min="43" max="43" width="11" bestFit="1" customWidth="1"/>
    <col min="44" max="44" width="9.140625" customWidth="1"/>
    <col min="45" max="45" width="7.85546875" bestFit="1" customWidth="1"/>
    <col min="46" max="46" width="5.42578125" bestFit="1" customWidth="1"/>
    <col min="47" max="48" width="12" bestFit="1" customWidth="1"/>
    <col min="49" max="49" width="7.42578125" bestFit="1" customWidth="1"/>
    <col min="50" max="50" width="24.7109375" bestFit="1" customWidth="1"/>
    <col min="51" max="53" width="13.42578125" bestFit="1" customWidth="1"/>
    <col min="54" max="54" width="14.42578125" bestFit="1" customWidth="1"/>
    <col min="55" max="56" width="13.42578125" bestFit="1" customWidth="1"/>
    <col min="57" max="57" width="14.42578125" bestFit="1" customWidth="1"/>
    <col min="58" max="58" width="24.7109375" bestFit="1" customWidth="1"/>
    <col min="59" max="59" width="7.85546875" bestFit="1" customWidth="1"/>
    <col min="60" max="60" width="16.140625" bestFit="1" customWidth="1"/>
    <col min="61" max="61" width="9.140625" customWidth="1"/>
    <col min="63" max="63" width="4.140625" bestFit="1" customWidth="1"/>
    <col min="65" max="65" width="11.7109375" bestFit="1" customWidth="1"/>
    <col min="66" max="66" width="17" bestFit="1" customWidth="1"/>
    <col min="67" max="67" width="16.140625" bestFit="1" customWidth="1"/>
    <col min="68" max="68" width="14.85546875" bestFit="1" customWidth="1"/>
    <col min="69" max="69" width="14" bestFit="1" customWidth="1"/>
    <col min="71" max="71" width="17.28515625" bestFit="1" customWidth="1"/>
    <col min="72" max="72" width="16.28515625" bestFit="1" customWidth="1"/>
    <col min="73" max="73" width="15" bestFit="1" customWidth="1"/>
    <col min="74" max="74" width="14.140625" bestFit="1" customWidth="1"/>
    <col min="76" max="76" width="9.85546875" bestFit="1" customWidth="1"/>
    <col min="77" max="78" width="11.85546875" bestFit="1" customWidth="1"/>
    <col min="79" max="79" width="10" bestFit="1" customWidth="1"/>
    <col min="80" max="81" width="12" bestFit="1" customWidth="1"/>
  </cols>
  <sheetData>
    <row r="1" spans="2:81" x14ac:dyDescent="0.25">
      <c r="AA1" s="18"/>
      <c r="AB1" s="18"/>
      <c r="AC1" s="18"/>
      <c r="AD1" s="18"/>
      <c r="AE1" s="18"/>
      <c r="AG1" t="s">
        <v>0</v>
      </c>
      <c r="AH1" t="s">
        <v>1</v>
      </c>
      <c r="AI1" t="s">
        <v>2</v>
      </c>
      <c r="AL1" s="18" t="s">
        <v>0</v>
      </c>
      <c r="AM1" s="18" t="s">
        <v>3</v>
      </c>
      <c r="AN1" s="18" t="s">
        <v>4</v>
      </c>
      <c r="AO1" s="18" t="s">
        <v>5</v>
      </c>
      <c r="AP1" t="s">
        <v>6</v>
      </c>
      <c r="AQ1" t="s">
        <v>7</v>
      </c>
      <c r="AS1" t="s">
        <v>3</v>
      </c>
      <c r="AT1" t="s">
        <v>8</v>
      </c>
      <c r="AU1" t="s">
        <v>9</v>
      </c>
      <c r="AW1" t="s">
        <v>6</v>
      </c>
      <c r="AX1" t="s">
        <v>10</v>
      </c>
      <c r="AY1" t="s">
        <v>11</v>
      </c>
      <c r="AZ1" t="s">
        <v>12</v>
      </c>
      <c r="BA1" t="s">
        <v>13</v>
      </c>
      <c r="BB1" t="s">
        <v>14</v>
      </c>
      <c r="BC1" t="s">
        <v>15</v>
      </c>
      <c r="BD1" t="s">
        <v>16</v>
      </c>
      <c r="BE1" t="s">
        <v>17</v>
      </c>
      <c r="BF1" s="18" t="s">
        <v>18</v>
      </c>
      <c r="BG1" s="18" t="s">
        <v>3</v>
      </c>
      <c r="BH1" s="18" t="s">
        <v>19</v>
      </c>
      <c r="BN1" t="s">
        <v>20</v>
      </c>
      <c r="BO1" t="s">
        <v>21</v>
      </c>
      <c r="BP1" t="s">
        <v>22</v>
      </c>
      <c r="BQ1" t="s">
        <v>23</v>
      </c>
      <c r="BS1" t="s">
        <v>24</v>
      </c>
      <c r="BT1" t="s">
        <v>25</v>
      </c>
      <c r="BU1" t="s">
        <v>26</v>
      </c>
      <c r="BV1" t="s">
        <v>27</v>
      </c>
      <c r="BX1" t="s">
        <v>28</v>
      </c>
      <c r="BY1" t="s">
        <v>29</v>
      </c>
      <c r="BZ1" t="s">
        <v>30</v>
      </c>
      <c r="CA1" t="s">
        <v>31</v>
      </c>
      <c r="CB1" t="s">
        <v>32</v>
      </c>
      <c r="CC1" t="s">
        <v>33</v>
      </c>
    </row>
    <row r="2" spans="2:81" x14ac:dyDescent="0.25">
      <c r="H2" t="s">
        <v>34</v>
      </c>
      <c r="I2" t="s">
        <v>35</v>
      </c>
      <c r="K2" t="s">
        <v>36</v>
      </c>
      <c r="L2" t="s">
        <v>37</v>
      </c>
      <c r="M2" t="s">
        <v>38</v>
      </c>
      <c r="N2" t="s">
        <v>39</v>
      </c>
      <c r="O2" t="s">
        <v>40</v>
      </c>
      <c r="P2" t="s">
        <v>34</v>
      </c>
      <c r="Q2" t="s">
        <v>41</v>
      </c>
      <c r="R2" t="s">
        <v>42</v>
      </c>
      <c r="S2" t="s">
        <v>43</v>
      </c>
      <c r="T2" t="s">
        <v>44</v>
      </c>
      <c r="U2" t="s">
        <v>45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747</v>
      </c>
      <c r="AB2">
        <v>1</v>
      </c>
      <c r="AC2" t="s">
        <v>717</v>
      </c>
      <c r="AD2">
        <v>6</v>
      </c>
      <c r="AE2" t="s">
        <v>747</v>
      </c>
      <c r="AG2" t="s">
        <v>36</v>
      </c>
      <c r="AH2" t="s">
        <v>39</v>
      </c>
      <c r="AI2">
        <v>2429</v>
      </c>
      <c r="AK2" s="32" t="s">
        <v>50</v>
      </c>
      <c r="AL2" t="s">
        <v>36</v>
      </c>
      <c r="AM2" t="s">
        <v>51</v>
      </c>
      <c r="AN2" t="s">
        <v>52</v>
      </c>
      <c r="AP2" t="s">
        <v>53</v>
      </c>
      <c r="AQ2" s="26">
        <v>0.376</v>
      </c>
      <c r="AS2" t="s">
        <v>53</v>
      </c>
      <c r="AT2" t="s">
        <v>54</v>
      </c>
      <c r="AU2">
        <v>0.5</v>
      </c>
      <c r="AV2">
        <f>4/12</f>
        <v>0.33333333333333331</v>
      </c>
      <c r="AW2" t="s">
        <v>53</v>
      </c>
      <c r="AX2" t="s">
        <v>36</v>
      </c>
      <c r="AY2">
        <v>3</v>
      </c>
      <c r="AZ2" t="s">
        <v>55</v>
      </c>
      <c r="BA2" t="s">
        <v>56</v>
      </c>
      <c r="BB2" t="s">
        <v>57</v>
      </c>
      <c r="BC2" t="s">
        <v>58</v>
      </c>
      <c r="BD2" t="s">
        <v>59</v>
      </c>
      <c r="BE2" t="s">
        <v>57</v>
      </c>
      <c r="BF2" t="s">
        <v>36</v>
      </c>
      <c r="BG2" t="s">
        <v>53</v>
      </c>
      <c r="BH2" t="s">
        <v>60</v>
      </c>
      <c r="BK2" t="s">
        <v>61</v>
      </c>
      <c r="BM2" s="5" t="s">
        <v>62</v>
      </c>
      <c r="BX2" t="s">
        <v>63</v>
      </c>
      <c r="BY2" t="s">
        <v>64</v>
      </c>
      <c r="BZ2" t="s">
        <v>64</v>
      </c>
      <c r="CA2" t="s">
        <v>65</v>
      </c>
      <c r="CB2" t="s">
        <v>66</v>
      </c>
      <c r="CC2" t="s">
        <v>54</v>
      </c>
    </row>
    <row r="3" spans="2:81" x14ac:dyDescent="0.25">
      <c r="H3" t="s">
        <v>11</v>
      </c>
      <c r="J3" t="s">
        <v>67</v>
      </c>
      <c r="K3" t="s">
        <v>68</v>
      </c>
      <c r="L3" t="s">
        <v>69</v>
      </c>
      <c r="M3" t="s">
        <v>70</v>
      </c>
      <c r="O3" t="s">
        <v>71</v>
      </c>
      <c r="P3" t="s">
        <v>11</v>
      </c>
      <c r="Q3" t="s">
        <v>42</v>
      </c>
      <c r="R3" t="s">
        <v>72</v>
      </c>
      <c r="S3" t="s">
        <v>34</v>
      </c>
      <c r="T3" t="s">
        <v>73</v>
      </c>
      <c r="U3" t="s">
        <v>74</v>
      </c>
      <c r="V3" t="s">
        <v>74</v>
      </c>
      <c r="W3" t="s">
        <v>41</v>
      </c>
      <c r="X3" t="s">
        <v>75</v>
      </c>
      <c r="Y3" t="s">
        <v>76</v>
      </c>
      <c r="Z3" t="s">
        <v>77</v>
      </c>
      <c r="AA3" t="s">
        <v>728</v>
      </c>
      <c r="AB3">
        <v>2</v>
      </c>
      <c r="AC3" t="s">
        <v>733</v>
      </c>
      <c r="AD3">
        <v>8</v>
      </c>
      <c r="AE3" t="s">
        <v>728</v>
      </c>
      <c r="AG3" t="s">
        <v>36</v>
      </c>
      <c r="AH3" s="49" t="s">
        <v>78</v>
      </c>
      <c r="AI3" s="49" t="s">
        <v>79</v>
      </c>
      <c r="AK3" s="32" t="s">
        <v>50</v>
      </c>
      <c r="AL3" t="s">
        <v>36</v>
      </c>
      <c r="AM3" t="s">
        <v>80</v>
      </c>
      <c r="AN3" t="s">
        <v>81</v>
      </c>
      <c r="AP3" t="s">
        <v>82</v>
      </c>
      <c r="AQ3" s="26">
        <v>0.66800000000000004</v>
      </c>
      <c r="AS3" t="s">
        <v>82</v>
      </c>
      <c r="AT3" t="s">
        <v>54</v>
      </c>
      <c r="AU3">
        <f>8/12</f>
        <v>0.66666666666666663</v>
      </c>
      <c r="AV3">
        <f>4.5/12</f>
        <v>0.375</v>
      </c>
      <c r="AW3" t="s">
        <v>82</v>
      </c>
      <c r="AX3" t="s">
        <v>36</v>
      </c>
      <c r="AY3">
        <v>4</v>
      </c>
      <c r="AZ3" t="s">
        <v>83</v>
      </c>
      <c r="BA3" t="s">
        <v>84</v>
      </c>
      <c r="BB3" t="s">
        <v>85</v>
      </c>
      <c r="BC3" t="s">
        <v>86</v>
      </c>
      <c r="BD3" t="s">
        <v>87</v>
      </c>
      <c r="BE3" t="s">
        <v>85</v>
      </c>
      <c r="BF3" t="s">
        <v>36</v>
      </c>
      <c r="BG3" t="s">
        <v>82</v>
      </c>
      <c r="BH3" t="s">
        <v>88</v>
      </c>
      <c r="BK3" t="s">
        <v>61</v>
      </c>
      <c r="BM3" s="5" t="s">
        <v>89</v>
      </c>
      <c r="BX3" t="s">
        <v>90</v>
      </c>
      <c r="BY3" t="s">
        <v>54</v>
      </c>
      <c r="BZ3" t="s">
        <v>54</v>
      </c>
      <c r="CA3" t="s">
        <v>91</v>
      </c>
      <c r="CB3" t="s">
        <v>64</v>
      </c>
      <c r="CC3" t="s">
        <v>54</v>
      </c>
    </row>
    <row r="4" spans="2:81" x14ac:dyDescent="0.25">
      <c r="B4" s="1" t="s">
        <v>92</v>
      </c>
      <c r="H4" t="s">
        <v>12</v>
      </c>
      <c r="I4" t="s">
        <v>93</v>
      </c>
      <c r="J4" t="s">
        <v>94</v>
      </c>
      <c r="K4" t="s">
        <v>95</v>
      </c>
      <c r="L4" t="s">
        <v>96</v>
      </c>
      <c r="M4">
        <v>3000</v>
      </c>
      <c r="P4" t="s">
        <v>12</v>
      </c>
      <c r="R4" t="s">
        <v>97</v>
      </c>
      <c r="S4" t="s">
        <v>98</v>
      </c>
      <c r="T4" t="s">
        <v>99</v>
      </c>
      <c r="U4" t="s">
        <v>53</v>
      </c>
      <c r="V4" t="s">
        <v>100</v>
      </c>
      <c r="Y4" t="s">
        <v>101</v>
      </c>
      <c r="Z4" t="s">
        <v>102</v>
      </c>
      <c r="AA4" s="23" t="s">
        <v>721</v>
      </c>
      <c r="AB4">
        <v>3</v>
      </c>
      <c r="AC4" t="s">
        <v>755</v>
      </c>
      <c r="AD4">
        <v>10</v>
      </c>
      <c r="AE4" t="s">
        <v>732</v>
      </c>
      <c r="AG4" t="s">
        <v>36</v>
      </c>
      <c r="AH4" t="s">
        <v>103</v>
      </c>
      <c r="AI4">
        <v>2429</v>
      </c>
      <c r="AK4" s="32" t="s">
        <v>50</v>
      </c>
      <c r="AL4" t="s">
        <v>36</v>
      </c>
      <c r="AM4" t="s">
        <v>104</v>
      </c>
      <c r="AN4" t="s">
        <v>105</v>
      </c>
      <c r="AP4" t="s">
        <v>106</v>
      </c>
      <c r="AQ4" s="26">
        <v>1.0429999999999999</v>
      </c>
      <c r="AS4" t="s">
        <v>106</v>
      </c>
      <c r="AT4" t="s">
        <v>54</v>
      </c>
      <c r="AU4">
        <f>10/12</f>
        <v>0.83333333333333337</v>
      </c>
      <c r="AV4">
        <f>6/12</f>
        <v>0.5</v>
      </c>
      <c r="AW4" t="s">
        <v>106</v>
      </c>
      <c r="AX4" t="s">
        <v>36</v>
      </c>
      <c r="AY4">
        <v>5</v>
      </c>
      <c r="AZ4" t="s">
        <v>107</v>
      </c>
      <c r="BA4" t="s">
        <v>108</v>
      </c>
      <c r="BB4" t="s">
        <v>109</v>
      </c>
      <c r="BC4" t="s">
        <v>110</v>
      </c>
      <c r="BD4" t="s">
        <v>111</v>
      </c>
      <c r="BE4" t="s">
        <v>109</v>
      </c>
      <c r="BF4" t="s">
        <v>36</v>
      </c>
      <c r="BG4" t="s">
        <v>106</v>
      </c>
      <c r="BH4" t="s">
        <v>65</v>
      </c>
      <c r="BK4" t="s">
        <v>61</v>
      </c>
      <c r="BM4" s="5" t="s">
        <v>112</v>
      </c>
      <c r="BX4" t="s">
        <v>88</v>
      </c>
      <c r="BY4" t="s">
        <v>64</v>
      </c>
      <c r="BZ4" t="s">
        <v>64</v>
      </c>
      <c r="CA4" t="s">
        <v>113</v>
      </c>
      <c r="CB4" t="s">
        <v>64</v>
      </c>
      <c r="CC4" t="s">
        <v>64</v>
      </c>
    </row>
    <row r="5" spans="2:81" x14ac:dyDescent="0.25">
      <c r="B5" s="2" t="s">
        <v>114</v>
      </c>
      <c r="C5" s="5" t="s">
        <v>658</v>
      </c>
      <c r="D5" s="2"/>
      <c r="H5" t="s">
        <v>13</v>
      </c>
      <c r="I5" t="s">
        <v>67</v>
      </c>
      <c r="K5" t="s">
        <v>115</v>
      </c>
      <c r="M5">
        <v>3500</v>
      </c>
      <c r="P5" t="s">
        <v>13</v>
      </c>
      <c r="R5" t="s">
        <v>67</v>
      </c>
      <c r="T5" t="s">
        <v>116</v>
      </c>
      <c r="U5" t="s">
        <v>82</v>
      </c>
      <c r="AA5" t="s">
        <v>732</v>
      </c>
      <c r="AB5">
        <v>4</v>
      </c>
      <c r="AC5" t="s">
        <v>734</v>
      </c>
      <c r="AD5">
        <v>12</v>
      </c>
      <c r="AE5" t="s">
        <v>738</v>
      </c>
      <c r="AG5" t="s">
        <v>36</v>
      </c>
      <c r="AH5" t="s">
        <v>117</v>
      </c>
      <c r="AI5" t="s">
        <v>118</v>
      </c>
      <c r="AK5" s="32" t="s">
        <v>50</v>
      </c>
      <c r="AL5" t="s">
        <v>36</v>
      </c>
      <c r="AM5" t="s">
        <v>119</v>
      </c>
      <c r="AN5" t="s">
        <v>120</v>
      </c>
      <c r="AP5" t="s">
        <v>121</v>
      </c>
      <c r="AQ5" s="26">
        <v>1.502</v>
      </c>
      <c r="AS5" t="s">
        <v>121</v>
      </c>
      <c r="AT5" t="s">
        <v>54</v>
      </c>
      <c r="AU5">
        <v>1</v>
      </c>
      <c r="AV5">
        <v>1</v>
      </c>
      <c r="AW5" t="s">
        <v>121</v>
      </c>
      <c r="AX5" t="s">
        <v>36</v>
      </c>
      <c r="AY5">
        <v>6</v>
      </c>
      <c r="AZ5" t="s">
        <v>122</v>
      </c>
      <c r="BA5" t="s">
        <v>123</v>
      </c>
      <c r="BB5" t="s">
        <v>124</v>
      </c>
      <c r="BC5" t="s">
        <v>125</v>
      </c>
      <c r="BD5" t="s">
        <v>126</v>
      </c>
      <c r="BE5" t="s">
        <v>124</v>
      </c>
      <c r="BF5" t="s">
        <v>36</v>
      </c>
      <c r="BG5" t="s">
        <v>121</v>
      </c>
      <c r="BH5" t="s">
        <v>127</v>
      </c>
      <c r="BK5" t="s">
        <v>61</v>
      </c>
      <c r="BM5" s="60" t="s">
        <v>128</v>
      </c>
      <c r="BX5" t="s">
        <v>129</v>
      </c>
      <c r="BY5" t="s">
        <v>64</v>
      </c>
      <c r="BZ5" t="s">
        <v>64</v>
      </c>
      <c r="CA5" t="s">
        <v>130</v>
      </c>
      <c r="CB5" t="s">
        <v>66</v>
      </c>
      <c r="CC5" t="s">
        <v>66</v>
      </c>
    </row>
    <row r="6" spans="2:81" x14ac:dyDescent="0.25">
      <c r="B6" s="2" t="s">
        <v>131</v>
      </c>
      <c r="C6" s="5">
        <v>19815</v>
      </c>
      <c r="D6" s="2"/>
      <c r="H6" t="s">
        <v>14</v>
      </c>
      <c r="I6" t="s">
        <v>132</v>
      </c>
      <c r="K6" t="s">
        <v>133</v>
      </c>
      <c r="M6">
        <v>4000</v>
      </c>
      <c r="P6" t="s">
        <v>14</v>
      </c>
      <c r="R6" t="s">
        <v>41</v>
      </c>
      <c r="T6" t="s">
        <v>134</v>
      </c>
      <c r="U6" t="s">
        <v>106</v>
      </c>
      <c r="AA6" t="s">
        <v>738</v>
      </c>
      <c r="AB6">
        <v>5</v>
      </c>
      <c r="AC6" t="s">
        <v>745</v>
      </c>
      <c r="AD6">
        <v>14</v>
      </c>
      <c r="AE6" t="s">
        <v>756</v>
      </c>
      <c r="AG6" t="s">
        <v>36</v>
      </c>
      <c r="AH6" t="s">
        <v>135</v>
      </c>
      <c r="AI6" t="s">
        <v>136</v>
      </c>
      <c r="AK6" s="32" t="s">
        <v>50</v>
      </c>
      <c r="AL6" t="s">
        <v>36</v>
      </c>
      <c r="AM6" t="s">
        <v>137</v>
      </c>
      <c r="AN6" t="s">
        <v>138</v>
      </c>
      <c r="AP6" t="s">
        <v>139</v>
      </c>
      <c r="AQ6" s="26">
        <v>2.044</v>
      </c>
      <c r="AS6" t="s">
        <v>139</v>
      </c>
      <c r="AT6" t="s">
        <v>54</v>
      </c>
      <c r="AU6">
        <f>1+(2/12)</f>
        <v>1.1666666666666667</v>
      </c>
      <c r="AV6">
        <f>1+(2/12)</f>
        <v>1.1666666666666667</v>
      </c>
      <c r="AW6" t="s">
        <v>139</v>
      </c>
      <c r="AX6" t="s">
        <v>36</v>
      </c>
      <c r="AY6">
        <v>7</v>
      </c>
      <c r="AZ6" t="s">
        <v>140</v>
      </c>
      <c r="BA6" t="s">
        <v>141</v>
      </c>
      <c r="BB6" t="s">
        <v>142</v>
      </c>
      <c r="BC6" t="s">
        <v>143</v>
      </c>
      <c r="BD6" t="s">
        <v>144</v>
      </c>
      <c r="BE6" t="s">
        <v>142</v>
      </c>
      <c r="BF6" t="s">
        <v>36</v>
      </c>
      <c r="BG6" t="s">
        <v>139</v>
      </c>
      <c r="BH6" t="s">
        <v>145</v>
      </c>
      <c r="BK6" t="s">
        <v>61</v>
      </c>
      <c r="BM6" s="19" t="s">
        <v>146</v>
      </c>
      <c r="CA6" t="s">
        <v>147</v>
      </c>
      <c r="CB6" t="s">
        <v>54</v>
      </c>
      <c r="CC6" t="s">
        <v>54</v>
      </c>
    </row>
    <row r="7" spans="2:81" x14ac:dyDescent="0.25">
      <c r="B7" s="2" t="s">
        <v>1</v>
      </c>
      <c r="C7" s="5" t="s">
        <v>39</v>
      </c>
      <c r="D7" s="2"/>
      <c r="H7" t="s">
        <v>15</v>
      </c>
      <c r="K7" t="s">
        <v>148</v>
      </c>
      <c r="M7">
        <v>4500</v>
      </c>
      <c r="P7" t="s">
        <v>15</v>
      </c>
      <c r="U7" t="s">
        <v>121</v>
      </c>
      <c r="W7" t="s">
        <v>72</v>
      </c>
      <c r="AA7" t="s">
        <v>756</v>
      </c>
      <c r="AB7">
        <v>6</v>
      </c>
      <c r="AC7" t="s">
        <v>750</v>
      </c>
      <c r="AD7">
        <v>16</v>
      </c>
      <c r="AE7" t="s">
        <v>742</v>
      </c>
      <c r="AK7" s="32" t="s">
        <v>50</v>
      </c>
      <c r="AL7" t="s">
        <v>36</v>
      </c>
      <c r="AM7" t="s">
        <v>149</v>
      </c>
      <c r="AN7" t="s">
        <v>150</v>
      </c>
      <c r="AP7" t="s">
        <v>151</v>
      </c>
      <c r="AQ7" s="26">
        <v>2.67</v>
      </c>
      <c r="AS7" t="s">
        <v>151</v>
      </c>
      <c r="AT7" t="s">
        <v>54</v>
      </c>
      <c r="AU7">
        <f>1+(4/12)</f>
        <v>1.3333333333333333</v>
      </c>
      <c r="AV7">
        <f>1+(4/12)</f>
        <v>1.3333333333333333</v>
      </c>
      <c r="AW7" t="s">
        <v>151</v>
      </c>
      <c r="AX7" t="s">
        <v>36</v>
      </c>
      <c r="AY7">
        <v>8</v>
      </c>
      <c r="AZ7" t="s">
        <v>152</v>
      </c>
      <c r="BA7" t="s">
        <v>153</v>
      </c>
      <c r="BB7" t="s">
        <v>154</v>
      </c>
      <c r="BC7" t="s">
        <v>155</v>
      </c>
      <c r="BD7" t="s">
        <v>156</v>
      </c>
      <c r="BE7" t="s">
        <v>154</v>
      </c>
      <c r="BF7" t="s">
        <v>36</v>
      </c>
      <c r="BG7" t="s">
        <v>151</v>
      </c>
      <c r="BH7" t="s">
        <v>157</v>
      </c>
      <c r="BK7" t="s">
        <v>61</v>
      </c>
      <c r="BM7" s="5" t="s">
        <v>158</v>
      </c>
    </row>
    <row r="8" spans="2:81" x14ac:dyDescent="0.25">
      <c r="B8" s="2" t="s">
        <v>0</v>
      </c>
      <c r="C8" s="5" t="s">
        <v>36</v>
      </c>
      <c r="H8" t="s">
        <v>16</v>
      </c>
      <c r="K8" t="s">
        <v>159</v>
      </c>
      <c r="M8">
        <v>5000</v>
      </c>
      <c r="P8" t="s">
        <v>16</v>
      </c>
      <c r="U8" t="s">
        <v>139</v>
      </c>
      <c r="W8" t="s">
        <v>160</v>
      </c>
      <c r="AA8" t="s">
        <v>742</v>
      </c>
      <c r="AB8">
        <v>7</v>
      </c>
      <c r="AC8" t="s">
        <v>748</v>
      </c>
      <c r="AD8">
        <v>18</v>
      </c>
      <c r="AE8" t="s">
        <v>740</v>
      </c>
      <c r="AG8" t="s">
        <v>161</v>
      </c>
      <c r="AH8" t="s">
        <v>39</v>
      </c>
      <c r="AI8" s="49">
        <v>51</v>
      </c>
      <c r="AK8" s="32" t="s">
        <v>50</v>
      </c>
      <c r="AL8" t="s">
        <v>36</v>
      </c>
      <c r="AM8" t="s">
        <v>162</v>
      </c>
      <c r="AN8" t="s">
        <v>163</v>
      </c>
      <c r="AP8" t="s">
        <v>164</v>
      </c>
      <c r="AQ8" s="26">
        <v>3.4</v>
      </c>
      <c r="AS8" t="s">
        <v>164</v>
      </c>
      <c r="AT8" t="s">
        <v>54</v>
      </c>
      <c r="AU8">
        <f>1+(7/12)</f>
        <v>1.5833333333333335</v>
      </c>
      <c r="AV8">
        <f>1+(7/12)</f>
        <v>1.5833333333333335</v>
      </c>
      <c r="AW8" t="s">
        <v>164</v>
      </c>
      <c r="AX8" t="s">
        <v>36</v>
      </c>
      <c r="AY8">
        <v>9</v>
      </c>
      <c r="AZ8" t="s">
        <v>165</v>
      </c>
      <c r="BA8" t="s">
        <v>166</v>
      </c>
      <c r="BB8" t="s">
        <v>167</v>
      </c>
      <c r="BC8" t="s">
        <v>168</v>
      </c>
      <c r="BD8" t="s">
        <v>169</v>
      </c>
      <c r="BE8" t="s">
        <v>167</v>
      </c>
      <c r="BF8" t="s">
        <v>36</v>
      </c>
      <c r="BG8" t="s">
        <v>164</v>
      </c>
      <c r="BH8" t="s">
        <v>91</v>
      </c>
      <c r="BK8" t="s">
        <v>61</v>
      </c>
      <c r="BM8" s="5" t="s">
        <v>170</v>
      </c>
    </row>
    <row r="9" spans="2:81" x14ac:dyDescent="0.25">
      <c r="B9" s="2" t="s">
        <v>171</v>
      </c>
      <c r="C9" t="s">
        <v>37</v>
      </c>
      <c r="K9" t="s">
        <v>172</v>
      </c>
      <c r="M9">
        <v>5500</v>
      </c>
      <c r="U9" t="s">
        <v>151</v>
      </c>
      <c r="W9" t="s">
        <v>173</v>
      </c>
      <c r="AA9" t="s">
        <v>740</v>
      </c>
      <c r="AB9">
        <v>8</v>
      </c>
      <c r="AC9" t="s">
        <v>749</v>
      </c>
      <c r="AE9" t="s">
        <v>725</v>
      </c>
      <c r="AG9" t="s">
        <v>161</v>
      </c>
      <c r="AH9" s="49" t="s">
        <v>78</v>
      </c>
      <c r="AI9" s="49">
        <v>39</v>
      </c>
      <c r="AK9" s="32" t="s">
        <v>50</v>
      </c>
      <c r="AL9" t="s">
        <v>36</v>
      </c>
      <c r="AM9" t="s">
        <v>174</v>
      </c>
      <c r="AN9" t="s">
        <v>175</v>
      </c>
      <c r="AP9" t="s">
        <v>176</v>
      </c>
      <c r="AQ9" s="26">
        <v>4.3029999999999999</v>
      </c>
      <c r="AS9" t="s">
        <v>176</v>
      </c>
      <c r="AT9" t="s">
        <v>54</v>
      </c>
      <c r="AU9">
        <f>1+(10/12)</f>
        <v>1.8333333333333335</v>
      </c>
      <c r="AV9">
        <f>1+(10/12)</f>
        <v>1.8333333333333335</v>
      </c>
      <c r="AW9" t="s">
        <v>176</v>
      </c>
      <c r="AX9" t="s">
        <v>36</v>
      </c>
      <c r="AY9">
        <v>10</v>
      </c>
      <c r="AZ9" t="s">
        <v>177</v>
      </c>
      <c r="BA9" t="s">
        <v>178</v>
      </c>
      <c r="BB9" t="s">
        <v>179</v>
      </c>
      <c r="BC9" t="s">
        <v>180</v>
      </c>
      <c r="BD9" t="s">
        <v>181</v>
      </c>
      <c r="BE9" t="s">
        <v>179</v>
      </c>
      <c r="BF9" t="s">
        <v>36</v>
      </c>
      <c r="BG9" t="s">
        <v>176</v>
      </c>
      <c r="BH9" t="s">
        <v>182</v>
      </c>
      <c r="BK9" t="s">
        <v>61</v>
      </c>
      <c r="BM9" s="5" t="s">
        <v>183</v>
      </c>
    </row>
    <row r="10" spans="2:81" x14ac:dyDescent="0.25">
      <c r="B10" s="2" t="s">
        <v>184</v>
      </c>
      <c r="C10">
        <v>10000</v>
      </c>
      <c r="D10" s="6"/>
      <c r="K10" t="s">
        <v>185</v>
      </c>
      <c r="M10">
        <v>6000</v>
      </c>
      <c r="U10" t="s">
        <v>164</v>
      </c>
      <c r="W10" t="s">
        <v>186</v>
      </c>
      <c r="AA10" t="s">
        <v>725</v>
      </c>
      <c r="AB10">
        <v>9</v>
      </c>
      <c r="AC10" t="s">
        <v>726</v>
      </c>
      <c r="AE10" t="s">
        <v>736</v>
      </c>
      <c r="AK10" s="32" t="s">
        <v>50</v>
      </c>
      <c r="AL10" t="s">
        <v>36</v>
      </c>
      <c r="AM10" t="s">
        <v>187</v>
      </c>
      <c r="AN10" t="s">
        <v>188</v>
      </c>
      <c r="AP10" t="s">
        <v>189</v>
      </c>
      <c r="AQ10" s="26">
        <v>5.3129999999999997</v>
      </c>
      <c r="AS10" t="s">
        <v>189</v>
      </c>
      <c r="AT10" t="s">
        <v>54</v>
      </c>
      <c r="AU10">
        <v>2</v>
      </c>
      <c r="AV10">
        <v>2</v>
      </c>
      <c r="AW10" t="s">
        <v>189</v>
      </c>
      <c r="AX10" t="s">
        <v>36</v>
      </c>
      <c r="AY10">
        <v>11</v>
      </c>
      <c r="AZ10" t="s">
        <v>190</v>
      </c>
      <c r="BA10" t="s">
        <v>191</v>
      </c>
      <c r="BB10" t="s">
        <v>192</v>
      </c>
      <c r="BC10" t="s">
        <v>193</v>
      </c>
      <c r="BD10" t="s">
        <v>194</v>
      </c>
      <c r="BE10" t="s">
        <v>192</v>
      </c>
      <c r="BF10" t="s">
        <v>36</v>
      </c>
      <c r="BG10" t="s">
        <v>189</v>
      </c>
      <c r="BH10" t="s">
        <v>195</v>
      </c>
      <c r="BK10" t="s">
        <v>61</v>
      </c>
      <c r="BM10" s="5" t="s">
        <v>196</v>
      </c>
    </row>
    <row r="11" spans="2:81" x14ac:dyDescent="0.25">
      <c r="B11" s="2" t="s">
        <v>197</v>
      </c>
      <c r="C11" s="5" t="s">
        <v>71</v>
      </c>
      <c r="D11" s="6"/>
      <c r="K11" t="s">
        <v>198</v>
      </c>
      <c r="M11">
        <v>6500</v>
      </c>
      <c r="U11" t="s">
        <v>176</v>
      </c>
      <c r="AA11" t="s">
        <v>736</v>
      </c>
      <c r="AB11">
        <v>10</v>
      </c>
      <c r="AC11" t="s">
        <v>756</v>
      </c>
      <c r="AK11" s="32" t="s">
        <v>50</v>
      </c>
      <c r="AL11" t="s">
        <v>36</v>
      </c>
      <c r="AM11" t="s">
        <v>199</v>
      </c>
      <c r="AN11" t="s">
        <v>200</v>
      </c>
      <c r="AP11" t="s">
        <v>201</v>
      </c>
      <c r="AQ11" s="26">
        <v>7.65</v>
      </c>
      <c r="AS11" t="s">
        <v>201</v>
      </c>
      <c r="AT11" t="s">
        <v>54</v>
      </c>
      <c r="AU11">
        <f>2+(7/12)</f>
        <v>2.5833333333333335</v>
      </c>
      <c r="AV11">
        <f>2+(7/12)</f>
        <v>2.5833333333333335</v>
      </c>
      <c r="AW11" t="s">
        <v>201</v>
      </c>
      <c r="AX11" t="s">
        <v>36</v>
      </c>
      <c r="AY11">
        <v>14</v>
      </c>
      <c r="AZ11" t="s">
        <v>202</v>
      </c>
      <c r="BA11" t="s">
        <v>203</v>
      </c>
      <c r="BB11" t="s">
        <v>204</v>
      </c>
      <c r="BC11" t="s">
        <v>205</v>
      </c>
      <c r="BD11" t="s">
        <v>206</v>
      </c>
      <c r="BE11" t="s">
        <v>204</v>
      </c>
      <c r="BF11" t="s">
        <v>36</v>
      </c>
      <c r="BG11" t="s">
        <v>201</v>
      </c>
      <c r="BH11" t="s">
        <v>207</v>
      </c>
      <c r="BK11" t="s">
        <v>61</v>
      </c>
      <c r="BM11" s="5" t="s">
        <v>208</v>
      </c>
    </row>
    <row r="12" spans="2:81" x14ac:dyDescent="0.25">
      <c r="B12" s="2" t="s">
        <v>209</v>
      </c>
      <c r="C12" s="5" t="s">
        <v>568</v>
      </c>
      <c r="E12" s="61" t="str">
        <f>LEFT(C12,LEN(C12)-1)</f>
        <v>1.5</v>
      </c>
      <c r="K12" t="s">
        <v>210</v>
      </c>
      <c r="M12">
        <v>7000</v>
      </c>
      <c r="U12" t="s">
        <v>189</v>
      </c>
      <c r="AB12">
        <v>11</v>
      </c>
      <c r="AC12" t="s">
        <v>742</v>
      </c>
      <c r="AG12" t="s">
        <v>68</v>
      </c>
      <c r="AH12" t="s">
        <v>39</v>
      </c>
      <c r="AI12">
        <v>200</v>
      </c>
      <c r="AK12" s="32" t="s">
        <v>50</v>
      </c>
      <c r="AL12" t="s">
        <v>36</v>
      </c>
      <c r="AM12" t="s">
        <v>211</v>
      </c>
      <c r="AN12" t="s">
        <v>212</v>
      </c>
      <c r="AP12" t="s">
        <v>213</v>
      </c>
      <c r="AQ12" s="26">
        <v>13.6</v>
      </c>
      <c r="AS12" t="s">
        <v>213</v>
      </c>
      <c r="AT12" t="s">
        <v>54</v>
      </c>
      <c r="AU12">
        <f>3+(5/12)</f>
        <v>3.4166666666666665</v>
      </c>
      <c r="AV12">
        <f>3+(5/12)</f>
        <v>3.4166666666666665</v>
      </c>
      <c r="AW12" t="s">
        <v>213</v>
      </c>
      <c r="AX12" t="s">
        <v>36</v>
      </c>
      <c r="AY12">
        <v>18</v>
      </c>
      <c r="AZ12" t="s">
        <v>214</v>
      </c>
      <c r="BA12" t="s">
        <v>215</v>
      </c>
      <c r="BB12" t="s">
        <v>216</v>
      </c>
      <c r="BC12" t="s">
        <v>217</v>
      </c>
      <c r="BD12" t="s">
        <v>218</v>
      </c>
      <c r="BE12" t="s">
        <v>216</v>
      </c>
      <c r="BF12" t="s">
        <v>36</v>
      </c>
      <c r="BG12" t="s">
        <v>213</v>
      </c>
      <c r="BH12" t="s">
        <v>219</v>
      </c>
      <c r="BK12" t="s">
        <v>61</v>
      </c>
      <c r="BM12" s="5" t="s">
        <v>220</v>
      </c>
    </row>
    <row r="13" spans="2:81" x14ac:dyDescent="0.25">
      <c r="B13" s="2" t="s">
        <v>221</v>
      </c>
      <c r="C13" s="19" t="s">
        <v>659</v>
      </c>
      <c r="E13" s="61">
        <f>LEFT(C13,FIND("-",C13)-1)+(RIGHT(C13,LEN(C13)-FIND("-",C13))/12)</f>
        <v>0.66666666666666663</v>
      </c>
      <c r="K13" t="s">
        <v>222</v>
      </c>
      <c r="M13">
        <v>7500</v>
      </c>
      <c r="U13" t="s">
        <v>201</v>
      </c>
      <c r="AB13">
        <v>12</v>
      </c>
      <c r="AC13" t="s">
        <v>754</v>
      </c>
      <c r="AG13" t="s">
        <v>68</v>
      </c>
      <c r="AH13" s="49" t="s">
        <v>78</v>
      </c>
      <c r="AI13" s="49">
        <v>120</v>
      </c>
      <c r="AK13" s="32" t="s">
        <v>50</v>
      </c>
      <c r="AL13" t="s">
        <v>36</v>
      </c>
      <c r="AM13" t="s">
        <v>223</v>
      </c>
      <c r="AN13" t="s">
        <v>224</v>
      </c>
      <c r="AS13" t="s">
        <v>53</v>
      </c>
      <c r="AT13" t="s">
        <v>64</v>
      </c>
      <c r="AU13">
        <f>4/12</f>
        <v>0.33333333333333331</v>
      </c>
      <c r="AW13" t="s">
        <v>53</v>
      </c>
      <c r="AX13" s="18" t="s">
        <v>161</v>
      </c>
      <c r="AY13" s="18">
        <v>3</v>
      </c>
      <c r="AZ13" s="18" t="s">
        <v>56</v>
      </c>
      <c r="BA13" s="18" t="s">
        <v>225</v>
      </c>
      <c r="BB13" t="s">
        <v>57</v>
      </c>
      <c r="BC13" s="18" t="s">
        <v>58</v>
      </c>
      <c r="BD13" s="18" t="s">
        <v>226</v>
      </c>
      <c r="BE13" t="s">
        <v>57</v>
      </c>
      <c r="BF13" s="18" t="s">
        <v>161</v>
      </c>
      <c r="BG13" s="18" t="s">
        <v>53</v>
      </c>
      <c r="BH13" s="18" t="s">
        <v>227</v>
      </c>
      <c r="BK13" t="s">
        <v>228</v>
      </c>
      <c r="BM13" s="19" t="s">
        <v>229</v>
      </c>
    </row>
    <row r="14" spans="2:81" x14ac:dyDescent="0.25">
      <c r="B14" s="2" t="s">
        <v>230</v>
      </c>
      <c r="C14" s="19" t="s">
        <v>660</v>
      </c>
      <c r="E14" s="61">
        <f>LEFT(C14,FIND("-",C14)-1)+(RIGHT(C14,LEN(C14)-FIND("-",C14))/12)</f>
        <v>3</v>
      </c>
      <c r="K14" t="s">
        <v>231</v>
      </c>
      <c r="M14">
        <v>8000</v>
      </c>
      <c r="U14" t="s">
        <v>213</v>
      </c>
      <c r="AB14">
        <v>13</v>
      </c>
      <c r="AC14" t="s">
        <v>740</v>
      </c>
      <c r="AH14" s="49"/>
      <c r="AI14" s="49"/>
      <c r="AK14" s="32" t="s">
        <v>50</v>
      </c>
      <c r="AL14" t="s">
        <v>36</v>
      </c>
      <c r="AM14" t="s">
        <v>232</v>
      </c>
      <c r="AN14" t="s">
        <v>233</v>
      </c>
      <c r="AS14" t="s">
        <v>82</v>
      </c>
      <c r="AT14" t="s">
        <v>64</v>
      </c>
      <c r="AU14">
        <f>4.5/12</f>
        <v>0.375</v>
      </c>
      <c r="AW14" t="s">
        <v>82</v>
      </c>
      <c r="AX14" s="18" t="s">
        <v>161</v>
      </c>
      <c r="AY14" s="18">
        <v>4</v>
      </c>
      <c r="AZ14" s="18" t="s">
        <v>84</v>
      </c>
      <c r="BA14" s="18" t="s">
        <v>234</v>
      </c>
      <c r="BB14" t="s">
        <v>85</v>
      </c>
      <c r="BC14" s="18" t="s">
        <v>86</v>
      </c>
      <c r="BD14" s="18" t="s">
        <v>235</v>
      </c>
      <c r="BE14" t="s">
        <v>85</v>
      </c>
      <c r="BF14" s="18" t="s">
        <v>161</v>
      </c>
      <c r="BG14" s="18" t="s">
        <v>82</v>
      </c>
      <c r="BH14" s="18" t="s">
        <v>236</v>
      </c>
      <c r="BK14" t="s">
        <v>61</v>
      </c>
      <c r="BM14" s="5" t="s">
        <v>237</v>
      </c>
    </row>
    <row r="15" spans="2:81" x14ac:dyDescent="0.25">
      <c r="K15" t="s">
        <v>238</v>
      </c>
      <c r="M15">
        <v>8500</v>
      </c>
      <c r="AB15">
        <v>14</v>
      </c>
      <c r="AC15" t="s">
        <v>722</v>
      </c>
      <c r="AH15" s="49"/>
      <c r="AI15" s="49"/>
      <c r="AK15" s="32" t="s">
        <v>50</v>
      </c>
      <c r="AL15" t="s">
        <v>36</v>
      </c>
      <c r="AM15" t="s">
        <v>239</v>
      </c>
      <c r="AN15" t="s">
        <v>240</v>
      </c>
      <c r="AS15" t="s">
        <v>106</v>
      </c>
      <c r="AT15" t="s">
        <v>64</v>
      </c>
      <c r="AU15">
        <f>5.5/12</f>
        <v>0.45833333333333331</v>
      </c>
      <c r="AW15" t="s">
        <v>106</v>
      </c>
      <c r="AX15" s="18" t="s">
        <v>161</v>
      </c>
      <c r="AY15" s="18">
        <v>5</v>
      </c>
      <c r="AZ15" s="18" t="s">
        <v>108</v>
      </c>
      <c r="BA15" s="18" t="s">
        <v>241</v>
      </c>
      <c r="BB15" t="s">
        <v>109</v>
      </c>
      <c r="BC15" s="18" t="s">
        <v>110</v>
      </c>
      <c r="BD15" s="18" t="s">
        <v>242</v>
      </c>
      <c r="BE15" t="s">
        <v>109</v>
      </c>
      <c r="BF15" s="18" t="s">
        <v>161</v>
      </c>
      <c r="BG15" s="18" t="s">
        <v>106</v>
      </c>
      <c r="BH15" s="18" t="s">
        <v>243</v>
      </c>
      <c r="BK15" t="s">
        <v>61</v>
      </c>
      <c r="BM15" s="5" t="s">
        <v>244</v>
      </c>
    </row>
    <row r="16" spans="2:81" x14ac:dyDescent="0.25">
      <c r="K16" t="s">
        <v>245</v>
      </c>
      <c r="M16">
        <v>9000</v>
      </c>
      <c r="AB16">
        <v>15</v>
      </c>
      <c r="AH16" s="49"/>
      <c r="AI16" s="49"/>
      <c r="AK16" s="32" t="s">
        <v>50</v>
      </c>
      <c r="AL16" t="s">
        <v>36</v>
      </c>
      <c r="AM16" t="s">
        <v>246</v>
      </c>
      <c r="AN16" t="s">
        <v>247</v>
      </c>
      <c r="AS16" t="s">
        <v>121</v>
      </c>
      <c r="AT16" t="s">
        <v>64</v>
      </c>
      <c r="AU16">
        <f>7.75/12</f>
        <v>0.64583333333333337</v>
      </c>
      <c r="AW16" t="s">
        <v>121</v>
      </c>
      <c r="AX16" s="18" t="s">
        <v>161</v>
      </c>
      <c r="AY16" s="18">
        <v>6</v>
      </c>
      <c r="AZ16" s="18" t="s">
        <v>123</v>
      </c>
      <c r="BA16" s="18" t="s">
        <v>248</v>
      </c>
      <c r="BB16" t="s">
        <v>124</v>
      </c>
      <c r="BC16" s="18" t="s">
        <v>125</v>
      </c>
      <c r="BD16" s="18" t="s">
        <v>249</v>
      </c>
      <c r="BE16" t="s">
        <v>124</v>
      </c>
      <c r="BF16" s="18" t="s">
        <v>161</v>
      </c>
      <c r="BG16" s="18" t="s">
        <v>121</v>
      </c>
      <c r="BH16" s="18" t="s">
        <v>250</v>
      </c>
      <c r="BK16" t="s">
        <v>61</v>
      </c>
      <c r="BM16" s="5" t="s">
        <v>251</v>
      </c>
    </row>
    <row r="17" spans="2:65" x14ac:dyDescent="0.25">
      <c r="B17" s="1" t="s">
        <v>252</v>
      </c>
      <c r="K17" t="s">
        <v>253</v>
      </c>
      <c r="M17">
        <v>9500</v>
      </c>
      <c r="AB17">
        <v>16</v>
      </c>
      <c r="AH17" s="49"/>
      <c r="AI17" s="49"/>
      <c r="AK17" s="32" t="s">
        <v>50</v>
      </c>
      <c r="AL17" t="s">
        <v>36</v>
      </c>
      <c r="AM17" t="s">
        <v>254</v>
      </c>
      <c r="AN17" t="s">
        <v>255</v>
      </c>
      <c r="AS17" t="s">
        <v>139</v>
      </c>
      <c r="AT17" t="s">
        <v>64</v>
      </c>
      <c r="AU17">
        <f>9/12</f>
        <v>0.75</v>
      </c>
      <c r="AW17" t="s">
        <v>139</v>
      </c>
      <c r="AX17" s="18" t="s">
        <v>161</v>
      </c>
      <c r="AY17" s="18">
        <v>7</v>
      </c>
      <c r="AZ17" s="18" t="s">
        <v>141</v>
      </c>
      <c r="BA17" s="18" t="s">
        <v>256</v>
      </c>
      <c r="BB17" t="s">
        <v>142</v>
      </c>
      <c r="BC17" s="18" t="s">
        <v>143</v>
      </c>
      <c r="BD17" s="18" t="s">
        <v>257</v>
      </c>
      <c r="BE17" t="s">
        <v>142</v>
      </c>
      <c r="BF17" s="18" t="s">
        <v>161</v>
      </c>
      <c r="BG17" s="18" t="s">
        <v>139</v>
      </c>
      <c r="BH17" s="18" t="s">
        <v>258</v>
      </c>
      <c r="BK17" t="s">
        <v>61</v>
      </c>
      <c r="BM17" s="5" t="s">
        <v>259</v>
      </c>
    </row>
    <row r="18" spans="2:65" x14ac:dyDescent="0.25">
      <c r="B18" s="2" t="s">
        <v>260</v>
      </c>
      <c r="C18"/>
      <c r="D18" s="15"/>
      <c r="K18" t="s">
        <v>261</v>
      </c>
      <c r="M18">
        <v>10000</v>
      </c>
      <c r="U18" t="s">
        <v>45</v>
      </c>
      <c r="V18" t="s">
        <v>45</v>
      </c>
      <c r="AB18">
        <v>17</v>
      </c>
      <c r="AG18" t="s">
        <v>68</v>
      </c>
      <c r="AH18" t="s">
        <v>103</v>
      </c>
      <c r="AI18">
        <v>200</v>
      </c>
      <c r="AK18" s="32" t="s">
        <v>50</v>
      </c>
      <c r="AL18" t="s">
        <v>36</v>
      </c>
      <c r="AM18" t="s">
        <v>262</v>
      </c>
      <c r="AN18" t="s">
        <v>263</v>
      </c>
      <c r="AS18" t="s">
        <v>151</v>
      </c>
      <c r="AT18" t="s">
        <v>64</v>
      </c>
      <c r="AU18">
        <f>10.25/12</f>
        <v>0.85416666666666663</v>
      </c>
      <c r="AW18" t="s">
        <v>151</v>
      </c>
      <c r="AX18" s="18" t="s">
        <v>161</v>
      </c>
      <c r="AY18" s="18">
        <v>8</v>
      </c>
      <c r="AZ18" s="18" t="s">
        <v>153</v>
      </c>
      <c r="BA18" s="18" t="s">
        <v>264</v>
      </c>
      <c r="BB18" t="s">
        <v>154</v>
      </c>
      <c r="BC18" s="18" t="s">
        <v>155</v>
      </c>
      <c r="BD18" s="18" t="s">
        <v>265</v>
      </c>
      <c r="BE18" t="s">
        <v>154</v>
      </c>
      <c r="BF18" s="18" t="s">
        <v>161</v>
      </c>
      <c r="BG18" s="18" t="s">
        <v>151</v>
      </c>
      <c r="BH18" s="18" t="s">
        <v>266</v>
      </c>
      <c r="BK18" t="s">
        <v>61</v>
      </c>
      <c r="BM18" s="5" t="s">
        <v>267</v>
      </c>
    </row>
    <row r="19" spans="2:65" x14ac:dyDescent="0.25">
      <c r="B19" s="2" t="s">
        <v>268</v>
      </c>
      <c r="C19" t="s">
        <v>11</v>
      </c>
      <c r="K19" t="s">
        <v>269</v>
      </c>
      <c r="M19">
        <v>10500</v>
      </c>
      <c r="U19" t="s">
        <v>53</v>
      </c>
      <c r="V19" t="s">
        <v>100</v>
      </c>
      <c r="AB19">
        <v>18</v>
      </c>
      <c r="AK19" s="32" t="s">
        <v>50</v>
      </c>
      <c r="AL19" t="s">
        <v>36</v>
      </c>
      <c r="AM19" t="s">
        <v>270</v>
      </c>
      <c r="AN19" t="s">
        <v>271</v>
      </c>
      <c r="AS19" t="s">
        <v>164</v>
      </c>
      <c r="AT19" t="s">
        <v>64</v>
      </c>
      <c r="AW19" t="s">
        <v>164</v>
      </c>
      <c r="AX19" s="18" t="s">
        <v>161</v>
      </c>
      <c r="AY19" s="18">
        <v>9</v>
      </c>
      <c r="AZ19" s="18" t="s">
        <v>166</v>
      </c>
      <c r="BA19" s="18" t="s">
        <v>272</v>
      </c>
      <c r="BB19" t="s">
        <v>167</v>
      </c>
      <c r="BC19" s="18" t="s">
        <v>168</v>
      </c>
      <c r="BD19" s="18" t="s">
        <v>273</v>
      </c>
      <c r="BE19" t="s">
        <v>167</v>
      </c>
      <c r="BF19" s="18" t="s">
        <v>161</v>
      </c>
      <c r="BG19" s="18" t="s">
        <v>164</v>
      </c>
      <c r="BH19" s="18" t="s">
        <v>274</v>
      </c>
      <c r="BK19" t="s">
        <v>61</v>
      </c>
      <c r="BM19" s="5"/>
    </row>
    <row r="20" spans="2:65" x14ac:dyDescent="0.25">
      <c r="B20" s="2" t="s">
        <v>275</v>
      </c>
      <c r="C20" t="s">
        <v>42</v>
      </c>
      <c r="D20" s="72" t="s">
        <v>663</v>
      </c>
      <c r="E20" s="61">
        <f>LEFT(D20,FIND("-",D20)-1)+(RIGHT(D20,LEN(D20)-FIND("-",D20))/12)</f>
        <v>0</v>
      </c>
      <c r="K20" t="s">
        <v>276</v>
      </c>
      <c r="M20">
        <v>11000</v>
      </c>
      <c r="U20" t="s">
        <v>82</v>
      </c>
      <c r="AB20">
        <v>19</v>
      </c>
      <c r="AG20" t="s">
        <v>68</v>
      </c>
      <c r="AH20" t="s">
        <v>117</v>
      </c>
      <c r="AI20">
        <v>200</v>
      </c>
      <c r="AK20" s="32" t="s">
        <v>50</v>
      </c>
      <c r="AL20" t="s">
        <v>36</v>
      </c>
      <c r="AM20" t="s">
        <v>277</v>
      </c>
      <c r="AN20" t="s">
        <v>278</v>
      </c>
      <c r="AS20" t="s">
        <v>176</v>
      </c>
      <c r="AT20" t="s">
        <v>64</v>
      </c>
      <c r="AW20" t="s">
        <v>176</v>
      </c>
      <c r="AX20" s="18" t="s">
        <v>161</v>
      </c>
      <c r="AY20" s="18">
        <v>10</v>
      </c>
      <c r="AZ20" s="18" t="s">
        <v>178</v>
      </c>
      <c r="BA20" s="18" t="s">
        <v>279</v>
      </c>
      <c r="BB20" t="s">
        <v>179</v>
      </c>
      <c r="BC20" s="18" t="s">
        <v>180</v>
      </c>
      <c r="BD20" s="18" t="s">
        <v>280</v>
      </c>
      <c r="BE20" t="s">
        <v>179</v>
      </c>
      <c r="BF20" s="18" t="s">
        <v>161</v>
      </c>
      <c r="BG20" s="18" t="s">
        <v>176</v>
      </c>
      <c r="BH20" s="18" t="s">
        <v>281</v>
      </c>
      <c r="BK20" t="s">
        <v>61</v>
      </c>
    </row>
    <row r="21" spans="2:65" x14ac:dyDescent="0.25">
      <c r="B21" s="2" t="s">
        <v>282</v>
      </c>
      <c r="D21" s="68"/>
      <c r="K21" t="s">
        <v>283</v>
      </c>
      <c r="M21">
        <v>11500</v>
      </c>
      <c r="U21" t="s">
        <v>106</v>
      </c>
      <c r="AB21">
        <v>20</v>
      </c>
      <c r="AG21" t="s">
        <v>68</v>
      </c>
      <c r="AH21" t="s">
        <v>135</v>
      </c>
      <c r="AI21">
        <v>700</v>
      </c>
      <c r="AK21" s="32" t="s">
        <v>50</v>
      </c>
      <c r="AL21" t="s">
        <v>36</v>
      </c>
      <c r="AM21" t="s">
        <v>284</v>
      </c>
      <c r="AN21" t="s">
        <v>285</v>
      </c>
      <c r="AS21" t="s">
        <v>189</v>
      </c>
      <c r="AT21" t="s">
        <v>64</v>
      </c>
      <c r="AW21" t="s">
        <v>189</v>
      </c>
      <c r="AX21" s="18" t="s">
        <v>161</v>
      </c>
      <c r="AY21" s="18">
        <v>11</v>
      </c>
      <c r="AZ21" s="18" t="s">
        <v>191</v>
      </c>
      <c r="BA21" s="18" t="s">
        <v>286</v>
      </c>
      <c r="BB21" t="s">
        <v>192</v>
      </c>
      <c r="BC21" s="18" t="s">
        <v>193</v>
      </c>
      <c r="BD21" s="18" t="s">
        <v>287</v>
      </c>
      <c r="BE21" t="s">
        <v>192</v>
      </c>
      <c r="BF21" s="18" t="s">
        <v>161</v>
      </c>
      <c r="BG21" s="18" t="s">
        <v>189</v>
      </c>
      <c r="BH21" s="18" t="s">
        <v>288</v>
      </c>
      <c r="BK21" t="s">
        <v>61</v>
      </c>
    </row>
    <row r="22" spans="2:65" x14ac:dyDescent="0.25">
      <c r="B22" s="2" t="s">
        <v>289</v>
      </c>
      <c r="C22" s="19"/>
      <c r="K22" t="s">
        <v>290</v>
      </c>
      <c r="M22">
        <v>12000</v>
      </c>
      <c r="U22" t="s">
        <v>121</v>
      </c>
      <c r="AB22">
        <v>21</v>
      </c>
      <c r="AG22" t="s">
        <v>95</v>
      </c>
      <c r="AH22" t="s">
        <v>39</v>
      </c>
      <c r="AI22">
        <v>200</v>
      </c>
      <c r="AK22" s="32" t="s">
        <v>50</v>
      </c>
      <c r="AL22" t="s">
        <v>36</v>
      </c>
      <c r="AM22" t="s">
        <v>291</v>
      </c>
      <c r="AN22" t="s">
        <v>292</v>
      </c>
      <c r="AS22" t="s">
        <v>201</v>
      </c>
      <c r="AT22" t="s">
        <v>64</v>
      </c>
      <c r="AW22" t="s">
        <v>201</v>
      </c>
      <c r="AX22" s="18" t="s">
        <v>161</v>
      </c>
      <c r="AY22" s="18">
        <v>14</v>
      </c>
      <c r="AZ22" s="18" t="s">
        <v>203</v>
      </c>
      <c r="BA22" s="18" t="s">
        <v>293</v>
      </c>
      <c r="BB22" t="s">
        <v>204</v>
      </c>
      <c r="BC22" s="18" t="s">
        <v>205</v>
      </c>
      <c r="BD22" s="18" t="s">
        <v>294</v>
      </c>
      <c r="BE22" t="s">
        <v>204</v>
      </c>
      <c r="BF22" s="18" t="s">
        <v>161</v>
      </c>
      <c r="BG22" s="18" t="s">
        <v>201</v>
      </c>
      <c r="BH22" s="18" t="s">
        <v>295</v>
      </c>
      <c r="BK22" t="s">
        <v>61</v>
      </c>
    </row>
    <row r="23" spans="2:65" x14ac:dyDescent="0.25">
      <c r="B23" s="2" t="s">
        <v>296</v>
      </c>
      <c r="C23" s="19"/>
      <c r="K23" t="s">
        <v>297</v>
      </c>
      <c r="U23" t="s">
        <v>139</v>
      </c>
      <c r="AB23">
        <v>22</v>
      </c>
      <c r="AG23" t="s">
        <v>95</v>
      </c>
      <c r="AH23" s="49" t="s">
        <v>78</v>
      </c>
      <c r="AI23" s="49">
        <v>120</v>
      </c>
      <c r="AK23" s="32" t="s">
        <v>50</v>
      </c>
      <c r="AL23" t="s">
        <v>36</v>
      </c>
      <c r="AM23" t="s">
        <v>298</v>
      </c>
      <c r="AN23" t="s">
        <v>299</v>
      </c>
      <c r="AS23" t="s">
        <v>213</v>
      </c>
      <c r="AT23" t="s">
        <v>64</v>
      </c>
      <c r="AW23" t="s">
        <v>213</v>
      </c>
      <c r="AX23" s="18" t="s">
        <v>161</v>
      </c>
      <c r="AY23" s="18">
        <v>18</v>
      </c>
      <c r="AZ23" s="18" t="s">
        <v>215</v>
      </c>
      <c r="BA23" s="18" t="s">
        <v>300</v>
      </c>
      <c r="BB23" t="s">
        <v>216</v>
      </c>
      <c r="BC23" s="18" t="s">
        <v>217</v>
      </c>
      <c r="BD23" s="18" t="s">
        <v>301</v>
      </c>
      <c r="BE23" t="s">
        <v>216</v>
      </c>
      <c r="BF23" s="18" t="s">
        <v>161</v>
      </c>
      <c r="BG23" s="18" t="s">
        <v>213</v>
      </c>
      <c r="BH23" s="18" t="s">
        <v>302</v>
      </c>
      <c r="BK23" t="s">
        <v>61</v>
      </c>
    </row>
    <row r="24" spans="2:65" x14ac:dyDescent="0.25">
      <c r="B24" s="2" t="s">
        <v>303</v>
      </c>
      <c r="C24" s="19"/>
      <c r="D24" s="15"/>
      <c r="K24" t="s">
        <v>304</v>
      </c>
      <c r="U24" t="s">
        <v>151</v>
      </c>
      <c r="AB24">
        <v>23</v>
      </c>
      <c r="AH24" s="49"/>
      <c r="AI24" s="49"/>
      <c r="AK24" s="32" t="s">
        <v>50</v>
      </c>
      <c r="AL24" t="s">
        <v>36</v>
      </c>
      <c r="AM24" t="s">
        <v>305</v>
      </c>
      <c r="AN24" t="s">
        <v>306</v>
      </c>
      <c r="AS24" t="s">
        <v>53</v>
      </c>
      <c r="AT24" t="s">
        <v>66</v>
      </c>
      <c r="AU24">
        <f>5/12</f>
        <v>0.41666666666666669</v>
      </c>
      <c r="AW24" t="s">
        <v>53</v>
      </c>
      <c r="AX24" t="s">
        <v>68</v>
      </c>
      <c r="AY24">
        <v>3</v>
      </c>
      <c r="AZ24" t="s">
        <v>55</v>
      </c>
      <c r="BA24" t="s">
        <v>56</v>
      </c>
      <c r="BB24" t="s">
        <v>57</v>
      </c>
      <c r="BC24" t="s">
        <v>58</v>
      </c>
      <c r="BD24" t="s">
        <v>59</v>
      </c>
      <c r="BE24" t="s">
        <v>57</v>
      </c>
      <c r="BF24" t="s">
        <v>68</v>
      </c>
      <c r="BG24" t="s">
        <v>53</v>
      </c>
      <c r="BH24" t="s">
        <v>60</v>
      </c>
      <c r="BK24" t="s">
        <v>61</v>
      </c>
    </row>
    <row r="25" spans="2:65" x14ac:dyDescent="0.25">
      <c r="B25" s="2" t="s">
        <v>307</v>
      </c>
      <c r="C25" s="19"/>
      <c r="D25" s="73"/>
      <c r="E25" s="42"/>
      <c r="K25" t="s">
        <v>308</v>
      </c>
      <c r="U25" t="s">
        <v>164</v>
      </c>
      <c r="AB25">
        <v>24</v>
      </c>
      <c r="AH25" s="49"/>
      <c r="AI25" s="49"/>
      <c r="AK25" s="32" t="s">
        <v>50</v>
      </c>
      <c r="AL25" t="s">
        <v>36</v>
      </c>
      <c r="AM25" t="s">
        <v>309</v>
      </c>
      <c r="AN25" t="s">
        <v>310</v>
      </c>
      <c r="AS25" t="s">
        <v>82</v>
      </c>
      <c r="AT25" t="s">
        <v>66</v>
      </c>
      <c r="AU25">
        <f>6/12</f>
        <v>0.5</v>
      </c>
      <c r="AW25" t="s">
        <v>82</v>
      </c>
      <c r="AX25" t="s">
        <v>68</v>
      </c>
      <c r="AY25">
        <v>4</v>
      </c>
      <c r="AZ25" t="s">
        <v>83</v>
      </c>
      <c r="BA25" t="s">
        <v>84</v>
      </c>
      <c r="BB25" t="s">
        <v>85</v>
      </c>
      <c r="BC25" t="s">
        <v>86</v>
      </c>
      <c r="BD25" t="s">
        <v>87</v>
      </c>
      <c r="BE25" t="s">
        <v>85</v>
      </c>
      <c r="BF25" t="s">
        <v>68</v>
      </c>
      <c r="BG25" t="s">
        <v>82</v>
      </c>
      <c r="BH25" t="s">
        <v>88</v>
      </c>
      <c r="BK25" t="s">
        <v>61</v>
      </c>
    </row>
    <row r="26" spans="2:65" x14ac:dyDescent="0.25">
      <c r="B26" s="2" t="s">
        <v>94</v>
      </c>
      <c r="C26" t="s">
        <v>98</v>
      </c>
      <c r="K26" t="s">
        <v>311</v>
      </c>
      <c r="U26" t="s">
        <v>176</v>
      </c>
      <c r="AB26">
        <v>25</v>
      </c>
      <c r="AH26" s="49"/>
      <c r="AI26" s="49"/>
      <c r="AK26" s="32" t="s">
        <v>50</v>
      </c>
      <c r="AL26" t="s">
        <v>36</v>
      </c>
      <c r="AM26" t="s">
        <v>312</v>
      </c>
      <c r="AN26" t="s">
        <v>313</v>
      </c>
      <c r="AS26" t="s">
        <v>106</v>
      </c>
      <c r="AT26" t="s">
        <v>66</v>
      </c>
      <c r="AU26">
        <f>7/12</f>
        <v>0.58333333333333337</v>
      </c>
      <c r="AW26" t="s">
        <v>106</v>
      </c>
      <c r="AX26" t="s">
        <v>68</v>
      </c>
      <c r="AY26">
        <v>5</v>
      </c>
      <c r="AZ26" t="s">
        <v>107</v>
      </c>
      <c r="BA26" t="s">
        <v>108</v>
      </c>
      <c r="BB26" t="s">
        <v>109</v>
      </c>
      <c r="BC26" t="s">
        <v>110</v>
      </c>
      <c r="BD26" t="s">
        <v>111</v>
      </c>
      <c r="BE26" t="s">
        <v>109</v>
      </c>
      <c r="BF26" t="s">
        <v>68</v>
      </c>
      <c r="BG26" t="s">
        <v>106</v>
      </c>
      <c r="BH26" t="s">
        <v>65</v>
      </c>
      <c r="BK26" t="s">
        <v>61</v>
      </c>
    </row>
    <row r="27" spans="2:65" x14ac:dyDescent="0.25">
      <c r="B27" s="2"/>
      <c r="K27" t="s">
        <v>314</v>
      </c>
      <c r="U27" t="s">
        <v>189</v>
      </c>
      <c r="AB27">
        <v>26</v>
      </c>
      <c r="AH27" s="49"/>
      <c r="AI27" s="49"/>
      <c r="AK27" s="32" t="s">
        <v>50</v>
      </c>
      <c r="AL27" t="s">
        <v>36</v>
      </c>
      <c r="AM27" t="s">
        <v>315</v>
      </c>
      <c r="AN27" t="s">
        <v>316</v>
      </c>
      <c r="AS27" t="s">
        <v>121</v>
      </c>
      <c r="AT27" t="s">
        <v>66</v>
      </c>
      <c r="AU27">
        <f>8/12</f>
        <v>0.66666666666666663</v>
      </c>
      <c r="AW27" t="s">
        <v>121</v>
      </c>
      <c r="AX27" t="s">
        <v>68</v>
      </c>
      <c r="AY27">
        <v>6</v>
      </c>
      <c r="AZ27" t="s">
        <v>122</v>
      </c>
      <c r="BA27" t="s">
        <v>123</v>
      </c>
      <c r="BB27" t="s">
        <v>124</v>
      </c>
      <c r="BC27" t="s">
        <v>125</v>
      </c>
      <c r="BD27" t="s">
        <v>126</v>
      </c>
      <c r="BE27" t="s">
        <v>124</v>
      </c>
      <c r="BF27" t="s">
        <v>68</v>
      </c>
      <c r="BG27" t="s">
        <v>121</v>
      </c>
      <c r="BH27" t="s">
        <v>127</v>
      </c>
      <c r="BK27" t="s">
        <v>61</v>
      </c>
    </row>
    <row r="28" spans="2:65" x14ac:dyDescent="0.25">
      <c r="B28" s="1" t="s">
        <v>317</v>
      </c>
      <c r="K28" t="s">
        <v>318</v>
      </c>
      <c r="U28" t="s">
        <v>201</v>
      </c>
      <c r="AB28">
        <v>27</v>
      </c>
      <c r="AG28" t="s">
        <v>95</v>
      </c>
      <c r="AH28" t="s">
        <v>103</v>
      </c>
      <c r="AI28">
        <v>200</v>
      </c>
      <c r="AK28" s="32" t="s">
        <v>50</v>
      </c>
      <c r="AL28" t="s">
        <v>36</v>
      </c>
      <c r="AM28" t="s">
        <v>319</v>
      </c>
      <c r="AN28" t="s">
        <v>320</v>
      </c>
      <c r="AS28" t="s">
        <v>139</v>
      </c>
      <c r="AT28" t="s">
        <v>66</v>
      </c>
      <c r="AU28">
        <f>10/12</f>
        <v>0.83333333333333337</v>
      </c>
      <c r="AW28" t="s">
        <v>139</v>
      </c>
      <c r="AX28" t="s">
        <v>68</v>
      </c>
      <c r="AY28">
        <v>7</v>
      </c>
      <c r="AZ28" t="s">
        <v>140</v>
      </c>
      <c r="BA28" t="s">
        <v>141</v>
      </c>
      <c r="BB28" t="s">
        <v>142</v>
      </c>
      <c r="BC28" t="s">
        <v>143</v>
      </c>
      <c r="BD28" t="s">
        <v>144</v>
      </c>
      <c r="BE28" t="s">
        <v>142</v>
      </c>
      <c r="BF28" t="s">
        <v>68</v>
      </c>
      <c r="BG28" t="s">
        <v>139</v>
      </c>
      <c r="BH28" t="s">
        <v>145</v>
      </c>
      <c r="BK28" t="s">
        <v>61</v>
      </c>
    </row>
    <row r="29" spans="2:65" x14ac:dyDescent="0.25">
      <c r="B29" s="2" t="s">
        <v>321</v>
      </c>
      <c r="C29" t="s">
        <v>11</v>
      </c>
      <c r="J29" s="4"/>
      <c r="K29" t="s">
        <v>322</v>
      </c>
      <c r="U29" t="s">
        <v>213</v>
      </c>
      <c r="AB29">
        <v>28</v>
      </c>
      <c r="AK29" s="32" t="s">
        <v>50</v>
      </c>
      <c r="AL29" t="s">
        <v>36</v>
      </c>
      <c r="AM29" t="s">
        <v>323</v>
      </c>
      <c r="AN29" t="s">
        <v>324</v>
      </c>
      <c r="AS29" t="s">
        <v>151</v>
      </c>
      <c r="AT29" t="s">
        <v>66</v>
      </c>
      <c r="AU29">
        <f>11/12</f>
        <v>0.91666666666666663</v>
      </c>
      <c r="AW29" t="s">
        <v>151</v>
      </c>
      <c r="AX29" t="s">
        <v>68</v>
      </c>
      <c r="AY29">
        <v>8</v>
      </c>
      <c r="AZ29" t="s">
        <v>152</v>
      </c>
      <c r="BA29" t="s">
        <v>153</v>
      </c>
      <c r="BB29" t="s">
        <v>154</v>
      </c>
      <c r="BC29" t="s">
        <v>155</v>
      </c>
      <c r="BD29" t="s">
        <v>156</v>
      </c>
      <c r="BE29" t="s">
        <v>154</v>
      </c>
      <c r="BF29" t="s">
        <v>68</v>
      </c>
      <c r="BG29" t="s">
        <v>151</v>
      </c>
      <c r="BH29" t="s">
        <v>157</v>
      </c>
      <c r="BK29" t="s">
        <v>61</v>
      </c>
    </row>
    <row r="30" spans="2:65" x14ac:dyDescent="0.25">
      <c r="B30" s="2" t="s">
        <v>267</v>
      </c>
      <c r="C30"/>
      <c r="J30" s="4"/>
      <c r="K30" t="s">
        <v>325</v>
      </c>
      <c r="AB30">
        <v>29</v>
      </c>
      <c r="AG30" t="s">
        <v>95</v>
      </c>
      <c r="AH30" t="s">
        <v>117</v>
      </c>
      <c r="AI30">
        <v>200</v>
      </c>
      <c r="AK30" s="32" t="s">
        <v>50</v>
      </c>
      <c r="AL30" t="s">
        <v>36</v>
      </c>
      <c r="AM30" t="s">
        <v>326</v>
      </c>
      <c r="AN30" t="s">
        <v>327</v>
      </c>
      <c r="AS30" t="s">
        <v>164</v>
      </c>
      <c r="AT30" t="s">
        <v>66</v>
      </c>
      <c r="AU30">
        <f>1+(3/12)</f>
        <v>1.25</v>
      </c>
      <c r="AW30" t="s">
        <v>164</v>
      </c>
      <c r="AX30" t="s">
        <v>68</v>
      </c>
      <c r="AY30">
        <v>9</v>
      </c>
      <c r="AZ30" t="s">
        <v>165</v>
      </c>
      <c r="BA30" t="s">
        <v>166</v>
      </c>
      <c r="BB30" t="s">
        <v>167</v>
      </c>
      <c r="BC30" t="s">
        <v>168</v>
      </c>
      <c r="BD30" t="s">
        <v>169</v>
      </c>
      <c r="BE30" t="s">
        <v>167</v>
      </c>
      <c r="BF30" t="s">
        <v>68</v>
      </c>
      <c r="BG30" t="s">
        <v>164</v>
      </c>
      <c r="BH30" t="s">
        <v>91</v>
      </c>
      <c r="BK30" t="s">
        <v>61</v>
      </c>
    </row>
    <row r="31" spans="2:65" x14ac:dyDescent="0.25">
      <c r="B31" s="2" t="s">
        <v>328</v>
      </c>
      <c r="C31" s="5" t="s">
        <v>101</v>
      </c>
      <c r="J31" s="4"/>
      <c r="K31" t="s">
        <v>329</v>
      </c>
      <c r="AB31">
        <v>30</v>
      </c>
      <c r="AG31" t="s">
        <v>95</v>
      </c>
      <c r="AH31" t="s">
        <v>135</v>
      </c>
      <c r="AI31">
        <v>700</v>
      </c>
      <c r="AK31" s="32" t="s">
        <v>50</v>
      </c>
      <c r="AL31" t="s">
        <v>36</v>
      </c>
      <c r="AM31" t="s">
        <v>330</v>
      </c>
      <c r="AN31" t="s">
        <v>331</v>
      </c>
      <c r="AS31" t="s">
        <v>176</v>
      </c>
      <c r="AT31" t="s">
        <v>66</v>
      </c>
      <c r="AU31">
        <f>1+(5/12)</f>
        <v>1.4166666666666667</v>
      </c>
      <c r="AW31" t="s">
        <v>176</v>
      </c>
      <c r="AX31" t="s">
        <v>68</v>
      </c>
      <c r="AY31">
        <v>10</v>
      </c>
      <c r="AZ31" t="s">
        <v>177</v>
      </c>
      <c r="BA31" t="s">
        <v>178</v>
      </c>
      <c r="BB31" t="s">
        <v>179</v>
      </c>
      <c r="BC31" t="s">
        <v>180</v>
      </c>
      <c r="BD31" t="s">
        <v>181</v>
      </c>
      <c r="BE31" t="s">
        <v>179</v>
      </c>
      <c r="BF31" t="s">
        <v>68</v>
      </c>
      <c r="BG31" t="s">
        <v>176</v>
      </c>
      <c r="BH31" t="s">
        <v>182</v>
      </c>
      <c r="BK31" t="s">
        <v>61</v>
      </c>
    </row>
    <row r="32" spans="2:65" x14ac:dyDescent="0.25">
      <c r="B32" s="2" t="s">
        <v>332</v>
      </c>
      <c r="C32" t="s">
        <v>67</v>
      </c>
      <c r="D32" s="2" t="s">
        <v>333</v>
      </c>
      <c r="E32" s="5"/>
      <c r="J32" s="4"/>
      <c r="K32" t="s">
        <v>334</v>
      </c>
      <c r="AB32">
        <v>31</v>
      </c>
      <c r="AG32" t="s">
        <v>115</v>
      </c>
      <c r="AH32" t="s">
        <v>39</v>
      </c>
      <c r="AI32">
        <v>200</v>
      </c>
      <c r="AK32" s="32" t="s">
        <v>50</v>
      </c>
      <c r="AL32" t="s">
        <v>36</v>
      </c>
      <c r="AM32" t="s">
        <v>335</v>
      </c>
      <c r="AN32" t="s">
        <v>336</v>
      </c>
      <c r="AS32" t="s">
        <v>189</v>
      </c>
      <c r="AT32" t="s">
        <v>66</v>
      </c>
      <c r="AU32">
        <f>1+(7/12)</f>
        <v>1.5833333333333335</v>
      </c>
      <c r="AW32" t="s">
        <v>189</v>
      </c>
      <c r="AX32" t="s">
        <v>68</v>
      </c>
      <c r="AY32">
        <v>11</v>
      </c>
      <c r="AZ32" t="s">
        <v>190</v>
      </c>
      <c r="BA32" t="s">
        <v>191</v>
      </c>
      <c r="BB32" t="s">
        <v>192</v>
      </c>
      <c r="BC32" t="s">
        <v>193</v>
      </c>
      <c r="BD32" t="s">
        <v>194</v>
      </c>
      <c r="BE32" t="s">
        <v>192</v>
      </c>
      <c r="BF32" t="s">
        <v>68</v>
      </c>
      <c r="BG32" t="s">
        <v>189</v>
      </c>
      <c r="BH32" t="s">
        <v>195</v>
      </c>
      <c r="BK32" t="s">
        <v>228</v>
      </c>
    </row>
    <row r="33" spans="2:63" x14ac:dyDescent="0.25">
      <c r="B33" s="2" t="s">
        <v>337</v>
      </c>
      <c r="C33" t="s">
        <v>93</v>
      </c>
      <c r="D33" s="2" t="s">
        <v>338</v>
      </c>
      <c r="E33" s="5" t="s">
        <v>662</v>
      </c>
      <c r="F33" s="61" t="str">
        <f>LEFT(E33,LEN(E33)-1)</f>
        <v>0</v>
      </c>
      <c r="K33" t="s">
        <v>339</v>
      </c>
      <c r="AB33">
        <v>32</v>
      </c>
      <c r="AG33" t="s">
        <v>115</v>
      </c>
      <c r="AH33" s="49" t="s">
        <v>78</v>
      </c>
      <c r="AI33" s="49">
        <v>120</v>
      </c>
      <c r="AK33" s="32" t="s">
        <v>50</v>
      </c>
      <c r="AL33" t="s">
        <v>36</v>
      </c>
      <c r="AM33" t="s">
        <v>340</v>
      </c>
      <c r="AN33" t="s">
        <v>341</v>
      </c>
      <c r="AS33" t="s">
        <v>201</v>
      </c>
      <c r="AT33" t="s">
        <v>66</v>
      </c>
      <c r="AU33">
        <f>2+(3/12)</f>
        <v>2.25</v>
      </c>
      <c r="AW33" t="s">
        <v>201</v>
      </c>
      <c r="AX33" t="s">
        <v>68</v>
      </c>
      <c r="AY33">
        <v>14</v>
      </c>
      <c r="AZ33" t="s">
        <v>202</v>
      </c>
      <c r="BA33" t="s">
        <v>203</v>
      </c>
      <c r="BB33" t="s">
        <v>204</v>
      </c>
      <c r="BC33" t="s">
        <v>205</v>
      </c>
      <c r="BD33" t="s">
        <v>206</v>
      </c>
      <c r="BE33" t="s">
        <v>204</v>
      </c>
      <c r="BF33" t="s">
        <v>68</v>
      </c>
      <c r="BG33" t="s">
        <v>201</v>
      </c>
      <c r="BH33" t="s">
        <v>207</v>
      </c>
      <c r="BK33" t="s">
        <v>61</v>
      </c>
    </row>
    <row r="34" spans="2:63" x14ac:dyDescent="0.25">
      <c r="B34" s="2" t="s">
        <v>342</v>
      </c>
      <c r="C34" t="s">
        <v>132</v>
      </c>
      <c r="K34" t="s">
        <v>343</v>
      </c>
      <c r="AB34">
        <v>33</v>
      </c>
      <c r="AH34" s="49"/>
      <c r="AI34" s="49"/>
      <c r="AK34" s="32" t="s">
        <v>50</v>
      </c>
      <c r="AL34" t="s">
        <v>36</v>
      </c>
      <c r="AM34" t="s">
        <v>344</v>
      </c>
      <c r="AN34" t="s">
        <v>345</v>
      </c>
      <c r="AS34" t="s">
        <v>213</v>
      </c>
      <c r="AT34" t="s">
        <v>66</v>
      </c>
      <c r="AU34">
        <f>3</f>
        <v>3</v>
      </c>
      <c r="AW34" t="s">
        <v>213</v>
      </c>
      <c r="AX34" t="s">
        <v>68</v>
      </c>
      <c r="AY34">
        <v>18</v>
      </c>
      <c r="AZ34" t="s">
        <v>214</v>
      </c>
      <c r="BA34" t="s">
        <v>215</v>
      </c>
      <c r="BB34" t="s">
        <v>216</v>
      </c>
      <c r="BC34" t="s">
        <v>217</v>
      </c>
      <c r="BD34" t="s">
        <v>218</v>
      </c>
      <c r="BE34" t="s">
        <v>216</v>
      </c>
      <c r="BF34" t="s">
        <v>68</v>
      </c>
      <c r="BG34" t="s">
        <v>213</v>
      </c>
      <c r="BH34" t="s">
        <v>219</v>
      </c>
      <c r="BK34" t="s">
        <v>61</v>
      </c>
    </row>
    <row r="35" spans="2:63" x14ac:dyDescent="0.25">
      <c r="B35" s="2" t="s">
        <v>346</v>
      </c>
      <c r="C35" s="19" t="s">
        <v>661</v>
      </c>
      <c r="K35" t="s">
        <v>347</v>
      </c>
      <c r="AB35">
        <v>34</v>
      </c>
      <c r="AH35" s="49"/>
      <c r="AI35" s="49"/>
      <c r="AK35" s="32" t="s">
        <v>50</v>
      </c>
      <c r="AL35" t="s">
        <v>36</v>
      </c>
      <c r="AM35" t="s">
        <v>348</v>
      </c>
      <c r="AN35" t="s">
        <v>349</v>
      </c>
      <c r="AW35" s="54" t="s">
        <v>53</v>
      </c>
      <c r="AX35" t="s">
        <v>95</v>
      </c>
      <c r="AY35">
        <v>3</v>
      </c>
      <c r="AZ35" t="s">
        <v>55</v>
      </c>
      <c r="BA35" t="s">
        <v>56</v>
      </c>
      <c r="BB35" t="s">
        <v>57</v>
      </c>
      <c r="BC35" t="s">
        <v>58</v>
      </c>
      <c r="BD35" t="s">
        <v>59</v>
      </c>
      <c r="BE35" t="s">
        <v>57</v>
      </c>
      <c r="BF35" t="s">
        <v>95</v>
      </c>
      <c r="BG35" t="s">
        <v>53</v>
      </c>
      <c r="BH35" t="s">
        <v>60</v>
      </c>
      <c r="BK35" t="s">
        <v>61</v>
      </c>
    </row>
    <row r="36" spans="2:63" x14ac:dyDescent="0.25">
      <c r="B36" s="2" t="s">
        <v>350</v>
      </c>
      <c r="C36" s="5">
        <v>5</v>
      </c>
      <c r="K36" t="s">
        <v>351</v>
      </c>
      <c r="AB36">
        <v>35</v>
      </c>
      <c r="AH36" s="49"/>
      <c r="AI36" s="49"/>
      <c r="AK36" s="32" t="s">
        <v>50</v>
      </c>
      <c r="AL36" t="s">
        <v>36</v>
      </c>
      <c r="AM36" t="s">
        <v>352</v>
      </c>
      <c r="AN36" t="s">
        <v>353</v>
      </c>
      <c r="AW36" s="54" t="s">
        <v>82</v>
      </c>
      <c r="AX36" t="s">
        <v>95</v>
      </c>
      <c r="AY36">
        <v>4</v>
      </c>
      <c r="AZ36" t="s">
        <v>83</v>
      </c>
      <c r="BA36" t="s">
        <v>84</v>
      </c>
      <c r="BB36" t="s">
        <v>85</v>
      </c>
      <c r="BC36" t="s">
        <v>86</v>
      </c>
      <c r="BD36" t="s">
        <v>87</v>
      </c>
      <c r="BE36" t="s">
        <v>85</v>
      </c>
      <c r="BF36" t="s">
        <v>95</v>
      </c>
      <c r="BG36" t="s">
        <v>82</v>
      </c>
      <c r="BH36" t="s">
        <v>88</v>
      </c>
      <c r="BK36" t="s">
        <v>61</v>
      </c>
    </row>
    <row r="37" spans="2:63" x14ac:dyDescent="0.25">
      <c r="B37" s="2" t="s">
        <v>354</v>
      </c>
      <c r="C37" s="5">
        <v>3</v>
      </c>
      <c r="K37" t="s">
        <v>355</v>
      </c>
      <c r="AB37">
        <v>36</v>
      </c>
      <c r="AH37" s="49"/>
      <c r="AI37" s="49"/>
      <c r="AK37" s="32" t="s">
        <v>50</v>
      </c>
      <c r="AL37" t="s">
        <v>36</v>
      </c>
      <c r="AM37" t="s">
        <v>356</v>
      </c>
      <c r="AN37" t="s">
        <v>357</v>
      </c>
      <c r="AW37" s="54" t="s">
        <v>106</v>
      </c>
      <c r="AX37" t="s">
        <v>95</v>
      </c>
      <c r="AY37">
        <v>5</v>
      </c>
      <c r="AZ37" t="s">
        <v>107</v>
      </c>
      <c r="BA37" t="s">
        <v>108</v>
      </c>
      <c r="BB37" t="s">
        <v>109</v>
      </c>
      <c r="BC37" t="s">
        <v>110</v>
      </c>
      <c r="BD37" t="s">
        <v>111</v>
      </c>
      <c r="BE37" t="s">
        <v>109</v>
      </c>
      <c r="BF37" t="s">
        <v>95</v>
      </c>
      <c r="BG37" t="s">
        <v>106</v>
      </c>
      <c r="BH37" t="s">
        <v>65</v>
      </c>
      <c r="BK37" t="s">
        <v>61</v>
      </c>
    </row>
    <row r="38" spans="2:63" x14ac:dyDescent="0.25">
      <c r="K38" t="s">
        <v>358</v>
      </c>
      <c r="AB38">
        <v>37</v>
      </c>
      <c r="AG38" t="s">
        <v>115</v>
      </c>
      <c r="AH38" t="s">
        <v>103</v>
      </c>
      <c r="AI38">
        <v>200</v>
      </c>
      <c r="AK38" s="32" t="s">
        <v>50</v>
      </c>
      <c r="AL38" t="s">
        <v>36</v>
      </c>
      <c r="AM38" t="s">
        <v>359</v>
      </c>
      <c r="AN38" t="s">
        <v>360</v>
      </c>
      <c r="AW38" s="54" t="s">
        <v>121</v>
      </c>
      <c r="AX38" t="s">
        <v>95</v>
      </c>
      <c r="AY38">
        <v>6</v>
      </c>
      <c r="AZ38" t="s">
        <v>122</v>
      </c>
      <c r="BA38" t="s">
        <v>123</v>
      </c>
      <c r="BB38" t="s">
        <v>124</v>
      </c>
      <c r="BC38" t="s">
        <v>125</v>
      </c>
      <c r="BD38" t="s">
        <v>126</v>
      </c>
      <c r="BE38" t="s">
        <v>124</v>
      </c>
      <c r="BF38" t="s">
        <v>95</v>
      </c>
      <c r="BG38" t="s">
        <v>121</v>
      </c>
      <c r="BH38" t="s">
        <v>127</v>
      </c>
      <c r="BK38" t="s">
        <v>61</v>
      </c>
    </row>
    <row r="39" spans="2:63" x14ac:dyDescent="0.25">
      <c r="B39" s="2" t="s">
        <v>361</v>
      </c>
      <c r="K39" t="s">
        <v>161</v>
      </c>
      <c r="AB39">
        <v>38</v>
      </c>
      <c r="AK39" s="32" t="s">
        <v>50</v>
      </c>
      <c r="AL39" t="s">
        <v>36</v>
      </c>
      <c r="AM39" t="s">
        <v>362</v>
      </c>
      <c r="AN39" t="s">
        <v>363</v>
      </c>
      <c r="AW39" s="54" t="s">
        <v>139</v>
      </c>
      <c r="AX39" t="s">
        <v>95</v>
      </c>
      <c r="AY39">
        <v>7</v>
      </c>
      <c r="AZ39" t="s">
        <v>140</v>
      </c>
      <c r="BA39" t="s">
        <v>141</v>
      </c>
      <c r="BB39" t="s">
        <v>142</v>
      </c>
      <c r="BC39" t="s">
        <v>143</v>
      </c>
      <c r="BD39" t="s">
        <v>144</v>
      </c>
      <c r="BE39" t="s">
        <v>142</v>
      </c>
      <c r="BF39" t="s">
        <v>95</v>
      </c>
      <c r="BG39" t="s">
        <v>139</v>
      </c>
      <c r="BH39" t="s">
        <v>145</v>
      </c>
      <c r="BK39" t="s">
        <v>61</v>
      </c>
    </row>
    <row r="40" spans="2:63" x14ac:dyDescent="0.25">
      <c r="B40" s="2" t="s">
        <v>289</v>
      </c>
      <c r="C40" t="s">
        <v>45</v>
      </c>
      <c r="K40" t="s">
        <v>364</v>
      </c>
      <c r="AB40">
        <v>39</v>
      </c>
      <c r="AG40" t="s">
        <v>115</v>
      </c>
      <c r="AH40" t="s">
        <v>117</v>
      </c>
      <c r="AI40">
        <v>200</v>
      </c>
      <c r="AK40" s="32" t="s">
        <v>50</v>
      </c>
      <c r="AL40" t="s">
        <v>36</v>
      </c>
      <c r="AM40" t="s">
        <v>365</v>
      </c>
      <c r="AN40" t="s">
        <v>366</v>
      </c>
      <c r="AW40" s="54" t="s">
        <v>151</v>
      </c>
      <c r="AX40" t="s">
        <v>95</v>
      </c>
      <c r="AY40">
        <v>8</v>
      </c>
      <c r="AZ40" t="s">
        <v>152</v>
      </c>
      <c r="BA40" t="s">
        <v>153</v>
      </c>
      <c r="BB40" t="s">
        <v>154</v>
      </c>
      <c r="BC40" t="s">
        <v>155</v>
      </c>
      <c r="BD40" t="s">
        <v>156</v>
      </c>
      <c r="BE40" t="s">
        <v>154</v>
      </c>
      <c r="BF40" t="s">
        <v>95</v>
      </c>
      <c r="BG40" t="s">
        <v>151</v>
      </c>
      <c r="BH40" t="s">
        <v>157</v>
      </c>
      <c r="BK40" t="s">
        <v>61</v>
      </c>
    </row>
    <row r="41" spans="2:63" x14ac:dyDescent="0.25">
      <c r="B41" s="2" t="s">
        <v>296</v>
      </c>
      <c r="C41" t="s">
        <v>45</v>
      </c>
      <c r="AB41">
        <v>40</v>
      </c>
      <c r="AG41" t="s">
        <v>115</v>
      </c>
      <c r="AH41" t="s">
        <v>135</v>
      </c>
      <c r="AI41">
        <v>700</v>
      </c>
      <c r="AK41" s="32" t="s">
        <v>50</v>
      </c>
      <c r="AL41" t="s">
        <v>36</v>
      </c>
      <c r="AM41" t="s">
        <v>367</v>
      </c>
      <c r="AN41" t="s">
        <v>368</v>
      </c>
      <c r="AW41" s="54" t="s">
        <v>164</v>
      </c>
      <c r="AX41" t="s">
        <v>95</v>
      </c>
      <c r="AY41">
        <v>9</v>
      </c>
      <c r="AZ41" t="s">
        <v>165</v>
      </c>
      <c r="BA41" t="s">
        <v>166</v>
      </c>
      <c r="BB41" t="s">
        <v>167</v>
      </c>
      <c r="BC41" t="s">
        <v>168</v>
      </c>
      <c r="BD41" t="s">
        <v>169</v>
      </c>
      <c r="BE41" t="s">
        <v>167</v>
      </c>
      <c r="BF41" t="s">
        <v>95</v>
      </c>
      <c r="BG41" t="s">
        <v>164</v>
      </c>
      <c r="BH41" t="s">
        <v>91</v>
      </c>
    </row>
    <row r="42" spans="2:63" x14ac:dyDescent="0.25">
      <c r="B42" s="2" t="s">
        <v>303</v>
      </c>
      <c r="C42" s="15" t="s">
        <v>42</v>
      </c>
      <c r="D42" s="15"/>
      <c r="AB42">
        <v>41</v>
      </c>
      <c r="AG42" t="s">
        <v>133</v>
      </c>
      <c r="AH42" s="50" t="s">
        <v>39</v>
      </c>
      <c r="AI42" s="50">
        <v>200</v>
      </c>
      <c r="AK42" s="32" t="s">
        <v>50</v>
      </c>
      <c r="AL42" t="s">
        <v>36</v>
      </c>
      <c r="AM42" t="s">
        <v>369</v>
      </c>
      <c r="AN42" t="s">
        <v>370</v>
      </c>
      <c r="AW42" s="54" t="s">
        <v>176</v>
      </c>
      <c r="AX42" t="s">
        <v>95</v>
      </c>
      <c r="AY42">
        <v>10</v>
      </c>
      <c r="AZ42" t="s">
        <v>177</v>
      </c>
      <c r="BA42" t="s">
        <v>178</v>
      </c>
      <c r="BB42" t="s">
        <v>179</v>
      </c>
      <c r="BC42" t="s">
        <v>180</v>
      </c>
      <c r="BD42" t="s">
        <v>181</v>
      </c>
      <c r="BE42" t="s">
        <v>179</v>
      </c>
      <c r="BF42" t="s">
        <v>95</v>
      </c>
      <c r="BG42" t="s">
        <v>176</v>
      </c>
      <c r="BH42" t="s">
        <v>182</v>
      </c>
    </row>
    <row r="43" spans="2:63" x14ac:dyDescent="0.25">
      <c r="B43" s="2" t="s">
        <v>307</v>
      </c>
      <c r="C43" s="15" t="s">
        <v>46</v>
      </c>
      <c r="D43" s="15"/>
      <c r="AB43">
        <v>42</v>
      </c>
      <c r="AG43" t="s">
        <v>133</v>
      </c>
      <c r="AH43" s="50" t="s">
        <v>78</v>
      </c>
      <c r="AI43" s="50">
        <v>120</v>
      </c>
      <c r="AK43" s="32" t="s">
        <v>50</v>
      </c>
      <c r="AL43" t="s">
        <v>36</v>
      </c>
      <c r="AM43" t="s">
        <v>371</v>
      </c>
      <c r="AN43" t="s">
        <v>372</v>
      </c>
      <c r="AW43" s="54" t="s">
        <v>189</v>
      </c>
      <c r="AX43" t="s">
        <v>95</v>
      </c>
      <c r="AY43">
        <v>11</v>
      </c>
      <c r="AZ43" t="s">
        <v>190</v>
      </c>
      <c r="BA43" t="s">
        <v>191</v>
      </c>
      <c r="BB43" t="s">
        <v>192</v>
      </c>
      <c r="BC43" t="s">
        <v>193</v>
      </c>
      <c r="BD43" t="s">
        <v>194</v>
      </c>
      <c r="BE43" t="s">
        <v>192</v>
      </c>
      <c r="BF43" t="s">
        <v>95</v>
      </c>
      <c r="BG43" t="s">
        <v>189</v>
      </c>
      <c r="BH43" t="s">
        <v>195</v>
      </c>
    </row>
    <row r="44" spans="2:63" x14ac:dyDescent="0.25">
      <c r="B44" t="s">
        <v>373</v>
      </c>
      <c r="C44" s="71" t="s">
        <v>160</v>
      </c>
      <c r="D44" s="73"/>
      <c r="E44" s="42"/>
      <c r="AB44">
        <v>43</v>
      </c>
      <c r="AH44" s="50"/>
      <c r="AI44" s="50"/>
      <c r="AK44" s="32" t="s">
        <v>50</v>
      </c>
      <c r="AL44" t="s">
        <v>36</v>
      </c>
      <c r="AM44" t="s">
        <v>374</v>
      </c>
      <c r="AN44" t="s">
        <v>375</v>
      </c>
      <c r="AW44" s="54" t="s">
        <v>201</v>
      </c>
      <c r="AX44" t="s">
        <v>95</v>
      </c>
      <c r="AY44">
        <v>14</v>
      </c>
      <c r="AZ44" t="s">
        <v>202</v>
      </c>
      <c r="BA44" t="s">
        <v>203</v>
      </c>
      <c r="BB44" t="s">
        <v>204</v>
      </c>
      <c r="BC44" t="s">
        <v>205</v>
      </c>
      <c r="BD44" t="s">
        <v>206</v>
      </c>
      <c r="BE44" t="s">
        <v>204</v>
      </c>
      <c r="BF44" t="s">
        <v>95</v>
      </c>
      <c r="BG44" t="s">
        <v>201</v>
      </c>
      <c r="BH44" t="s">
        <v>207</v>
      </c>
    </row>
    <row r="45" spans="2:63" x14ac:dyDescent="0.25">
      <c r="AB45">
        <v>44</v>
      </c>
      <c r="AH45" s="50"/>
      <c r="AI45" s="50"/>
      <c r="AK45" s="32" t="s">
        <v>50</v>
      </c>
      <c r="AL45" t="s">
        <v>36</v>
      </c>
      <c r="AM45" t="s">
        <v>376</v>
      </c>
      <c r="AN45" t="s">
        <v>377</v>
      </c>
      <c r="AW45" s="54" t="s">
        <v>213</v>
      </c>
      <c r="AX45" t="s">
        <v>95</v>
      </c>
      <c r="AY45">
        <v>18</v>
      </c>
      <c r="AZ45" t="s">
        <v>214</v>
      </c>
      <c r="BA45" t="s">
        <v>215</v>
      </c>
      <c r="BB45" t="s">
        <v>216</v>
      </c>
      <c r="BC45" t="s">
        <v>217</v>
      </c>
      <c r="BD45" t="s">
        <v>218</v>
      </c>
      <c r="BE45" t="s">
        <v>216</v>
      </c>
      <c r="BF45" t="s">
        <v>95</v>
      </c>
      <c r="BG45" t="s">
        <v>213</v>
      </c>
      <c r="BH45" t="s">
        <v>219</v>
      </c>
    </row>
    <row r="46" spans="2:63" x14ac:dyDescent="0.25">
      <c r="B46" s="2" t="s">
        <v>378</v>
      </c>
      <c r="C46" s="45" t="str">
        <f>INDEX(BK2:BK41,MATCH(C8,Customername,0))</f>
        <v>Acc</v>
      </c>
      <c r="AB46">
        <v>45</v>
      </c>
      <c r="AH46" s="50"/>
      <c r="AI46" s="50"/>
      <c r="AK46" s="32" t="s">
        <v>50</v>
      </c>
      <c r="AL46" t="s">
        <v>36</v>
      </c>
      <c r="AM46" t="s">
        <v>379</v>
      </c>
      <c r="AN46" t="s">
        <v>380</v>
      </c>
      <c r="AW46" s="54" t="s">
        <v>53</v>
      </c>
      <c r="AX46" s="54" t="s">
        <v>115</v>
      </c>
      <c r="AY46" s="54">
        <v>3</v>
      </c>
      <c r="AZ46" s="54" t="s">
        <v>55</v>
      </c>
      <c r="BA46" s="54" t="s">
        <v>56</v>
      </c>
      <c r="BB46" s="54" t="s">
        <v>57</v>
      </c>
      <c r="BC46" s="54" t="s">
        <v>58</v>
      </c>
      <c r="BD46" s="54" t="s">
        <v>59</v>
      </c>
      <c r="BE46" s="54" t="s">
        <v>57</v>
      </c>
      <c r="BF46" s="54" t="s">
        <v>115</v>
      </c>
      <c r="BG46" s="54" t="s">
        <v>53</v>
      </c>
      <c r="BH46" s="54" t="s">
        <v>60</v>
      </c>
    </row>
    <row r="47" spans="2:63" x14ac:dyDescent="0.25">
      <c r="AB47">
        <v>46</v>
      </c>
      <c r="AH47" s="50"/>
      <c r="AI47" s="50"/>
      <c r="AK47" s="32" t="s">
        <v>50</v>
      </c>
      <c r="AL47" t="s">
        <v>36</v>
      </c>
      <c r="AM47" t="s">
        <v>381</v>
      </c>
      <c r="AN47" t="s">
        <v>382</v>
      </c>
      <c r="AW47" s="54" t="s">
        <v>82</v>
      </c>
      <c r="AX47" s="54" t="s">
        <v>115</v>
      </c>
      <c r="AY47" s="54">
        <v>4</v>
      </c>
      <c r="AZ47" s="54" t="s">
        <v>83</v>
      </c>
      <c r="BA47" s="54" t="s">
        <v>84</v>
      </c>
      <c r="BB47" s="54" t="s">
        <v>85</v>
      </c>
      <c r="BC47" s="54" t="s">
        <v>86</v>
      </c>
      <c r="BD47" s="54" t="s">
        <v>87</v>
      </c>
      <c r="BE47" s="54" t="s">
        <v>85</v>
      </c>
      <c r="BF47" s="54" t="s">
        <v>115</v>
      </c>
      <c r="BG47" s="54" t="s">
        <v>82</v>
      </c>
      <c r="BH47" s="54" t="s">
        <v>88</v>
      </c>
    </row>
    <row r="48" spans="2:63" x14ac:dyDescent="0.25">
      <c r="AB48">
        <v>47</v>
      </c>
      <c r="AG48" t="s">
        <v>133</v>
      </c>
      <c r="AH48" s="50" t="s">
        <v>103</v>
      </c>
      <c r="AI48" s="50">
        <v>200</v>
      </c>
      <c r="AK48" s="32" t="s">
        <v>50</v>
      </c>
      <c r="AL48" t="s">
        <v>36</v>
      </c>
      <c r="AM48" t="s">
        <v>383</v>
      </c>
      <c r="AN48" t="s">
        <v>384</v>
      </c>
      <c r="AW48" s="54" t="s">
        <v>106</v>
      </c>
      <c r="AX48" s="54" t="s">
        <v>115</v>
      </c>
      <c r="AY48" s="54">
        <v>5</v>
      </c>
      <c r="AZ48" s="54" t="s">
        <v>107</v>
      </c>
      <c r="BA48" s="54" t="s">
        <v>108</v>
      </c>
      <c r="BB48" s="54" t="s">
        <v>109</v>
      </c>
      <c r="BC48" s="54" t="s">
        <v>110</v>
      </c>
      <c r="BD48" s="54" t="s">
        <v>111</v>
      </c>
      <c r="BE48" s="54" t="s">
        <v>109</v>
      </c>
      <c r="BF48" s="54" t="s">
        <v>115</v>
      </c>
      <c r="BG48" s="54" t="s">
        <v>106</v>
      </c>
      <c r="BH48" s="54" t="s">
        <v>65</v>
      </c>
    </row>
    <row r="49" spans="28:60" x14ac:dyDescent="0.25">
      <c r="AB49">
        <v>48</v>
      </c>
      <c r="AH49" s="50"/>
      <c r="AI49" s="50"/>
      <c r="AK49" s="32" t="s">
        <v>50</v>
      </c>
      <c r="AL49" t="s">
        <v>36</v>
      </c>
      <c r="AM49" t="s">
        <v>385</v>
      </c>
      <c r="AN49" t="s">
        <v>386</v>
      </c>
      <c r="AW49" s="54" t="s">
        <v>121</v>
      </c>
      <c r="AX49" s="54" t="s">
        <v>115</v>
      </c>
      <c r="AY49" s="54">
        <v>6</v>
      </c>
      <c r="AZ49" s="54" t="s">
        <v>122</v>
      </c>
      <c r="BA49" s="54" t="s">
        <v>123</v>
      </c>
      <c r="BB49" s="54" t="s">
        <v>124</v>
      </c>
      <c r="BC49" s="54" t="s">
        <v>125</v>
      </c>
      <c r="BD49" s="54" t="s">
        <v>126</v>
      </c>
      <c r="BE49" s="54" t="s">
        <v>124</v>
      </c>
      <c r="BF49" s="54" t="s">
        <v>115</v>
      </c>
      <c r="BG49" s="54" t="s">
        <v>121</v>
      </c>
      <c r="BH49" s="54" t="s">
        <v>127</v>
      </c>
    </row>
    <row r="50" spans="28:60" x14ac:dyDescent="0.25">
      <c r="AB50">
        <v>49</v>
      </c>
      <c r="AG50" t="s">
        <v>133</v>
      </c>
      <c r="AH50" s="50" t="s">
        <v>117</v>
      </c>
      <c r="AI50" s="50">
        <v>200</v>
      </c>
      <c r="AK50" s="32" t="s">
        <v>50</v>
      </c>
      <c r="AL50" t="s">
        <v>36</v>
      </c>
      <c r="AM50" t="s">
        <v>387</v>
      </c>
      <c r="AN50" t="s">
        <v>388</v>
      </c>
      <c r="AW50" s="54" t="s">
        <v>139</v>
      </c>
      <c r="AX50" s="54" t="s">
        <v>115</v>
      </c>
      <c r="AY50" s="54">
        <v>7</v>
      </c>
      <c r="AZ50" s="54" t="s">
        <v>140</v>
      </c>
      <c r="BA50" s="54" t="s">
        <v>141</v>
      </c>
      <c r="BB50" s="54" t="s">
        <v>142</v>
      </c>
      <c r="BC50" s="54" t="s">
        <v>143</v>
      </c>
      <c r="BD50" s="54" t="s">
        <v>144</v>
      </c>
      <c r="BE50" s="54" t="s">
        <v>142</v>
      </c>
      <c r="BF50" s="54" t="s">
        <v>115</v>
      </c>
      <c r="BG50" s="54" t="s">
        <v>139</v>
      </c>
      <c r="BH50" s="54" t="s">
        <v>145</v>
      </c>
    </row>
    <row r="51" spans="28:60" x14ac:dyDescent="0.25">
      <c r="AB51">
        <v>50</v>
      </c>
      <c r="AG51" t="s">
        <v>133</v>
      </c>
      <c r="AH51" s="50" t="s">
        <v>135</v>
      </c>
      <c r="AI51" s="50">
        <v>700</v>
      </c>
      <c r="AK51" s="32" t="s">
        <v>50</v>
      </c>
      <c r="AL51" t="s">
        <v>36</v>
      </c>
      <c r="AM51" t="s">
        <v>389</v>
      </c>
      <c r="AN51" t="s">
        <v>390</v>
      </c>
      <c r="AW51" s="54" t="s">
        <v>151</v>
      </c>
      <c r="AX51" s="54" t="s">
        <v>115</v>
      </c>
      <c r="AY51" s="54">
        <v>8</v>
      </c>
      <c r="AZ51" s="54" t="s">
        <v>152</v>
      </c>
      <c r="BA51" s="54" t="s">
        <v>153</v>
      </c>
      <c r="BB51" s="54" t="s">
        <v>154</v>
      </c>
      <c r="BC51" s="54" t="s">
        <v>155</v>
      </c>
      <c r="BD51" s="54" t="s">
        <v>156</v>
      </c>
      <c r="BE51" s="54" t="s">
        <v>154</v>
      </c>
      <c r="BF51" s="54" t="s">
        <v>115</v>
      </c>
      <c r="BG51" s="54" t="s">
        <v>151</v>
      </c>
      <c r="BH51" s="54" t="s">
        <v>157</v>
      </c>
    </row>
    <row r="52" spans="28:60" x14ac:dyDescent="0.25">
      <c r="AB52">
        <v>51</v>
      </c>
      <c r="AG52" t="s">
        <v>148</v>
      </c>
      <c r="AH52" t="s">
        <v>39</v>
      </c>
      <c r="AI52">
        <v>2429</v>
      </c>
      <c r="AK52" s="32" t="s">
        <v>50</v>
      </c>
      <c r="AL52" t="s">
        <v>36</v>
      </c>
      <c r="AM52" t="s">
        <v>391</v>
      </c>
      <c r="AN52" t="s">
        <v>392</v>
      </c>
      <c r="AW52" s="54" t="s">
        <v>164</v>
      </c>
      <c r="AX52" s="54" t="s">
        <v>115</v>
      </c>
      <c r="AY52" s="54">
        <v>9</v>
      </c>
      <c r="AZ52" s="54" t="s">
        <v>165</v>
      </c>
      <c r="BA52" s="54" t="s">
        <v>166</v>
      </c>
      <c r="BB52" s="54" t="s">
        <v>167</v>
      </c>
      <c r="BC52" s="54" t="s">
        <v>168</v>
      </c>
      <c r="BD52" s="54" t="s">
        <v>169</v>
      </c>
      <c r="BE52" s="54" t="s">
        <v>167</v>
      </c>
      <c r="BF52" s="54" t="s">
        <v>115</v>
      </c>
      <c r="BG52" s="54" t="s">
        <v>164</v>
      </c>
      <c r="BH52" s="54" t="s">
        <v>91</v>
      </c>
    </row>
    <row r="53" spans="28:60" x14ac:dyDescent="0.25">
      <c r="AB53">
        <v>52</v>
      </c>
      <c r="AG53" t="s">
        <v>148</v>
      </c>
      <c r="AH53" s="49" t="s">
        <v>78</v>
      </c>
      <c r="AI53" s="49" t="s">
        <v>79</v>
      </c>
      <c r="AK53" s="32" t="s">
        <v>50</v>
      </c>
      <c r="AL53" t="s">
        <v>36</v>
      </c>
      <c r="AM53" t="s">
        <v>393</v>
      </c>
      <c r="AN53" t="s">
        <v>394</v>
      </c>
      <c r="AW53" s="54" t="s">
        <v>176</v>
      </c>
      <c r="AX53" s="54" t="s">
        <v>115</v>
      </c>
      <c r="AY53" s="54">
        <v>10</v>
      </c>
      <c r="AZ53" s="54" t="s">
        <v>177</v>
      </c>
      <c r="BA53" s="54" t="s">
        <v>178</v>
      </c>
      <c r="BB53" s="54" t="s">
        <v>179</v>
      </c>
      <c r="BC53" s="54" t="s">
        <v>180</v>
      </c>
      <c r="BD53" s="54" t="s">
        <v>181</v>
      </c>
      <c r="BE53" s="54" t="s">
        <v>179</v>
      </c>
      <c r="BF53" s="54" t="s">
        <v>115</v>
      </c>
      <c r="BG53" s="54" t="s">
        <v>176</v>
      </c>
      <c r="BH53" s="54" t="s">
        <v>182</v>
      </c>
    </row>
    <row r="54" spans="28:60" x14ac:dyDescent="0.25">
      <c r="AB54">
        <v>53</v>
      </c>
      <c r="AH54" s="49"/>
      <c r="AI54" s="49"/>
      <c r="AK54" s="32" t="s">
        <v>50</v>
      </c>
      <c r="AL54" t="s">
        <v>36</v>
      </c>
      <c r="AM54" t="s">
        <v>395</v>
      </c>
      <c r="AN54" t="s">
        <v>396</v>
      </c>
      <c r="AW54" s="54" t="s">
        <v>189</v>
      </c>
      <c r="AX54" s="54" t="s">
        <v>115</v>
      </c>
      <c r="AY54" s="54">
        <v>11</v>
      </c>
      <c r="AZ54" s="54" t="s">
        <v>190</v>
      </c>
      <c r="BA54" s="54" t="s">
        <v>191</v>
      </c>
      <c r="BB54" s="54" t="s">
        <v>192</v>
      </c>
      <c r="BC54" s="54" t="s">
        <v>193</v>
      </c>
      <c r="BD54" s="54" t="s">
        <v>194</v>
      </c>
      <c r="BE54" s="54" t="s">
        <v>192</v>
      </c>
      <c r="BF54" s="54" t="s">
        <v>115</v>
      </c>
      <c r="BG54" s="54" t="s">
        <v>189</v>
      </c>
      <c r="BH54" s="54" t="s">
        <v>195</v>
      </c>
    </row>
    <row r="55" spans="28:60" x14ac:dyDescent="0.25">
      <c r="AB55">
        <v>54</v>
      </c>
      <c r="AH55" s="49"/>
      <c r="AI55" s="49"/>
      <c r="AK55" s="32" t="s">
        <v>50</v>
      </c>
      <c r="AL55" t="s">
        <v>36</v>
      </c>
      <c r="AM55" t="s">
        <v>397</v>
      </c>
      <c r="AN55" t="s">
        <v>398</v>
      </c>
      <c r="AW55" s="54" t="s">
        <v>201</v>
      </c>
      <c r="AX55" s="54" t="s">
        <v>115</v>
      </c>
      <c r="AY55" s="54">
        <v>14</v>
      </c>
      <c r="AZ55" s="54" t="s">
        <v>202</v>
      </c>
      <c r="BA55" s="54" t="s">
        <v>203</v>
      </c>
      <c r="BB55" s="54" t="s">
        <v>204</v>
      </c>
      <c r="BC55" s="54" t="s">
        <v>205</v>
      </c>
      <c r="BD55" s="54" t="s">
        <v>206</v>
      </c>
      <c r="BE55" s="54" t="s">
        <v>204</v>
      </c>
      <c r="BF55" s="54" t="s">
        <v>115</v>
      </c>
      <c r="BG55" s="54" t="s">
        <v>201</v>
      </c>
      <c r="BH55" s="54" t="s">
        <v>207</v>
      </c>
    </row>
    <row r="56" spans="28:60" x14ac:dyDescent="0.25">
      <c r="AB56">
        <v>55</v>
      </c>
      <c r="AH56" s="49"/>
      <c r="AI56" s="49"/>
      <c r="AK56" s="32" t="s">
        <v>50</v>
      </c>
      <c r="AL56" t="s">
        <v>36</v>
      </c>
      <c r="AM56" t="s">
        <v>399</v>
      </c>
      <c r="AN56" t="s">
        <v>400</v>
      </c>
      <c r="AW56" s="54" t="s">
        <v>213</v>
      </c>
      <c r="AX56" s="54" t="s">
        <v>115</v>
      </c>
      <c r="AY56" s="54">
        <v>18</v>
      </c>
      <c r="AZ56" s="54" t="s">
        <v>214</v>
      </c>
      <c r="BA56" s="54" t="s">
        <v>215</v>
      </c>
      <c r="BB56" s="54" t="s">
        <v>216</v>
      </c>
      <c r="BC56" s="54" t="s">
        <v>217</v>
      </c>
      <c r="BD56" s="54" t="s">
        <v>218</v>
      </c>
      <c r="BE56" s="54" t="s">
        <v>216</v>
      </c>
      <c r="BF56" s="54" t="s">
        <v>115</v>
      </c>
      <c r="BG56" s="54" t="s">
        <v>213</v>
      </c>
      <c r="BH56" s="54" t="s">
        <v>219</v>
      </c>
    </row>
    <row r="57" spans="28:60" x14ac:dyDescent="0.25">
      <c r="AB57">
        <v>56</v>
      </c>
      <c r="AG57" t="s">
        <v>148</v>
      </c>
      <c r="AH57" t="s">
        <v>103</v>
      </c>
      <c r="AI57">
        <v>2429</v>
      </c>
      <c r="AK57" s="32" t="s">
        <v>50</v>
      </c>
      <c r="AL57" t="s">
        <v>36</v>
      </c>
      <c r="AM57" t="s">
        <v>401</v>
      </c>
      <c r="AN57" t="s">
        <v>402</v>
      </c>
      <c r="AW57" t="s">
        <v>53</v>
      </c>
      <c r="AX57" s="54" t="s">
        <v>133</v>
      </c>
      <c r="AY57" s="54">
        <v>3</v>
      </c>
      <c r="AZ57" s="54" t="s">
        <v>55</v>
      </c>
      <c r="BA57" s="54" t="s">
        <v>56</v>
      </c>
      <c r="BB57" s="54" t="s">
        <v>57</v>
      </c>
      <c r="BC57" s="54" t="s">
        <v>58</v>
      </c>
      <c r="BD57" s="54" t="s">
        <v>59</v>
      </c>
      <c r="BE57" s="54" t="s">
        <v>57</v>
      </c>
      <c r="BF57" s="54" t="s">
        <v>115</v>
      </c>
      <c r="BG57" s="54" t="s">
        <v>53</v>
      </c>
      <c r="BH57" s="54" t="s">
        <v>60</v>
      </c>
    </row>
    <row r="58" spans="28:60" x14ac:dyDescent="0.25">
      <c r="AB58">
        <v>57</v>
      </c>
      <c r="AH58" s="49"/>
      <c r="AI58" s="49"/>
      <c r="AK58" s="32" t="s">
        <v>50</v>
      </c>
      <c r="AL58" t="s">
        <v>36</v>
      </c>
      <c r="AM58" t="s">
        <v>403</v>
      </c>
      <c r="AN58" t="s">
        <v>404</v>
      </c>
      <c r="AW58" t="s">
        <v>82</v>
      </c>
      <c r="AX58" s="54" t="s">
        <v>133</v>
      </c>
      <c r="AY58" s="54">
        <v>4</v>
      </c>
      <c r="AZ58" s="54" t="s">
        <v>83</v>
      </c>
      <c r="BA58" s="54" t="s">
        <v>84</v>
      </c>
      <c r="BB58" s="54" t="s">
        <v>85</v>
      </c>
      <c r="BC58" s="54" t="s">
        <v>86</v>
      </c>
      <c r="BD58" s="54" t="s">
        <v>87</v>
      </c>
      <c r="BE58" s="54" t="s">
        <v>85</v>
      </c>
      <c r="BF58" s="54" t="s">
        <v>115</v>
      </c>
      <c r="BG58" s="54" t="s">
        <v>82</v>
      </c>
      <c r="BH58" s="54" t="s">
        <v>88</v>
      </c>
    </row>
    <row r="59" spans="28:60" x14ac:dyDescent="0.25">
      <c r="AB59">
        <v>58</v>
      </c>
      <c r="AH59" s="49"/>
      <c r="AI59" s="49"/>
      <c r="AK59" s="32" t="s">
        <v>50</v>
      </c>
      <c r="AL59" t="s">
        <v>36</v>
      </c>
      <c r="AM59" t="s">
        <v>405</v>
      </c>
      <c r="AN59" t="s">
        <v>406</v>
      </c>
      <c r="AW59" t="s">
        <v>106</v>
      </c>
      <c r="AX59" s="54" t="s">
        <v>133</v>
      </c>
      <c r="AY59" s="54">
        <v>5</v>
      </c>
      <c r="AZ59" s="54" t="s">
        <v>107</v>
      </c>
      <c r="BA59" s="54" t="s">
        <v>108</v>
      </c>
      <c r="BB59" s="54" t="s">
        <v>109</v>
      </c>
      <c r="BC59" s="54" t="s">
        <v>110</v>
      </c>
      <c r="BD59" s="54" t="s">
        <v>111</v>
      </c>
      <c r="BE59" s="54" t="s">
        <v>109</v>
      </c>
      <c r="BF59" s="54" t="s">
        <v>115</v>
      </c>
      <c r="BG59" s="54" t="s">
        <v>106</v>
      </c>
      <c r="BH59" s="54" t="s">
        <v>65</v>
      </c>
    </row>
    <row r="60" spans="28:60" x14ac:dyDescent="0.25">
      <c r="AB60">
        <v>59</v>
      </c>
      <c r="AG60" t="s">
        <v>148</v>
      </c>
      <c r="AH60" t="s">
        <v>117</v>
      </c>
      <c r="AI60" t="s">
        <v>118</v>
      </c>
      <c r="AK60" s="32" t="s">
        <v>50</v>
      </c>
      <c r="AL60" t="s">
        <v>36</v>
      </c>
      <c r="AM60" t="s">
        <v>407</v>
      </c>
      <c r="AN60" t="s">
        <v>408</v>
      </c>
      <c r="AW60" t="s">
        <v>121</v>
      </c>
      <c r="AX60" s="54" t="s">
        <v>133</v>
      </c>
      <c r="AY60" s="54">
        <v>6</v>
      </c>
      <c r="AZ60" s="54" t="s">
        <v>122</v>
      </c>
      <c r="BA60" s="54" t="s">
        <v>123</v>
      </c>
      <c r="BB60" s="54" t="s">
        <v>124</v>
      </c>
      <c r="BC60" s="54" t="s">
        <v>125</v>
      </c>
      <c r="BD60" s="54" t="s">
        <v>126</v>
      </c>
      <c r="BE60" s="54" t="s">
        <v>124</v>
      </c>
      <c r="BF60" s="54" t="s">
        <v>115</v>
      </c>
      <c r="BG60" s="54" t="s">
        <v>121</v>
      </c>
      <c r="BH60" s="54" t="s">
        <v>127</v>
      </c>
    </row>
    <row r="61" spans="28:60" x14ac:dyDescent="0.25">
      <c r="AB61">
        <v>60</v>
      </c>
      <c r="AG61" t="s">
        <v>148</v>
      </c>
      <c r="AH61" t="s">
        <v>135</v>
      </c>
      <c r="AI61" t="s">
        <v>136</v>
      </c>
      <c r="AK61" s="32" t="s">
        <v>50</v>
      </c>
      <c r="AL61" t="s">
        <v>36</v>
      </c>
      <c r="AM61" t="s">
        <v>409</v>
      </c>
      <c r="AN61" t="s">
        <v>410</v>
      </c>
      <c r="AW61" t="s">
        <v>139</v>
      </c>
      <c r="AX61" s="54" t="s">
        <v>133</v>
      </c>
      <c r="AY61" s="54">
        <v>7</v>
      </c>
      <c r="AZ61" s="54" t="s">
        <v>140</v>
      </c>
      <c r="BA61" s="54" t="s">
        <v>141</v>
      </c>
      <c r="BB61" s="54" t="s">
        <v>142</v>
      </c>
      <c r="BC61" s="54" t="s">
        <v>143</v>
      </c>
      <c r="BD61" s="54" t="s">
        <v>144</v>
      </c>
      <c r="BE61" s="54" t="s">
        <v>142</v>
      </c>
      <c r="BF61" s="54" t="s">
        <v>115</v>
      </c>
      <c r="BG61" s="54" t="s">
        <v>139</v>
      </c>
      <c r="BH61" s="54" t="s">
        <v>145</v>
      </c>
    </row>
    <row r="62" spans="28:60" x14ac:dyDescent="0.25">
      <c r="AB62">
        <v>61</v>
      </c>
      <c r="AG62" t="s">
        <v>159</v>
      </c>
      <c r="AH62" t="s">
        <v>39</v>
      </c>
      <c r="AI62">
        <v>2429</v>
      </c>
      <c r="AW62" t="s">
        <v>151</v>
      </c>
      <c r="AX62" s="54" t="s">
        <v>133</v>
      </c>
      <c r="AY62" s="54">
        <v>8</v>
      </c>
      <c r="AZ62" s="54" t="s">
        <v>152</v>
      </c>
      <c r="BA62" s="54" t="s">
        <v>153</v>
      </c>
      <c r="BB62" s="54" t="s">
        <v>154</v>
      </c>
      <c r="BC62" s="54" t="s">
        <v>155</v>
      </c>
      <c r="BD62" s="54" t="s">
        <v>156</v>
      </c>
      <c r="BE62" s="54" t="s">
        <v>154</v>
      </c>
      <c r="BF62" s="54" t="s">
        <v>115</v>
      </c>
      <c r="BG62" s="54" t="s">
        <v>151</v>
      </c>
      <c r="BH62" s="54" t="s">
        <v>157</v>
      </c>
    </row>
    <row r="63" spans="28:60" x14ac:dyDescent="0.25">
      <c r="AB63">
        <v>62</v>
      </c>
      <c r="AG63" t="s">
        <v>159</v>
      </c>
      <c r="AH63" s="49" t="s">
        <v>78</v>
      </c>
      <c r="AI63" s="49" t="s">
        <v>79</v>
      </c>
      <c r="AK63" s="32" t="s">
        <v>50</v>
      </c>
      <c r="AL63" t="s">
        <v>161</v>
      </c>
      <c r="AM63" t="s">
        <v>51</v>
      </c>
      <c r="AN63" t="s">
        <v>52</v>
      </c>
      <c r="AW63" t="s">
        <v>164</v>
      </c>
      <c r="AX63" s="54" t="s">
        <v>133</v>
      </c>
      <c r="AY63" s="54">
        <v>9</v>
      </c>
      <c r="AZ63" s="54" t="s">
        <v>165</v>
      </c>
      <c r="BA63" s="54" t="s">
        <v>166</v>
      </c>
      <c r="BB63" s="54" t="s">
        <v>167</v>
      </c>
      <c r="BC63" s="54" t="s">
        <v>168</v>
      </c>
      <c r="BD63" s="54" t="s">
        <v>169</v>
      </c>
      <c r="BE63" s="54" t="s">
        <v>167</v>
      </c>
      <c r="BF63" s="54" t="s">
        <v>115</v>
      </c>
      <c r="BG63" s="54" t="s">
        <v>164</v>
      </c>
      <c r="BH63" s="54" t="s">
        <v>91</v>
      </c>
    </row>
    <row r="64" spans="28:60" x14ac:dyDescent="0.25">
      <c r="AB64">
        <v>63</v>
      </c>
      <c r="AH64" s="49"/>
      <c r="AI64" s="49"/>
      <c r="AK64" s="32" t="s">
        <v>50</v>
      </c>
      <c r="AL64" t="s">
        <v>161</v>
      </c>
      <c r="AM64" t="s">
        <v>80</v>
      </c>
      <c r="AN64" t="s">
        <v>81</v>
      </c>
      <c r="AW64" t="s">
        <v>176</v>
      </c>
      <c r="AX64" s="54" t="s">
        <v>133</v>
      </c>
      <c r="AY64" s="54">
        <v>10</v>
      </c>
      <c r="AZ64" s="54" t="s">
        <v>177</v>
      </c>
      <c r="BA64" s="54" t="s">
        <v>178</v>
      </c>
      <c r="BB64" s="54" t="s">
        <v>179</v>
      </c>
      <c r="BC64" s="54" t="s">
        <v>180</v>
      </c>
      <c r="BD64" s="54" t="s">
        <v>181</v>
      </c>
      <c r="BE64" s="54" t="s">
        <v>179</v>
      </c>
      <c r="BF64" s="54" t="s">
        <v>115</v>
      </c>
      <c r="BG64" s="54" t="s">
        <v>176</v>
      </c>
      <c r="BH64" s="54" t="s">
        <v>182</v>
      </c>
    </row>
    <row r="65" spans="28:60" x14ac:dyDescent="0.25">
      <c r="AB65">
        <v>64</v>
      </c>
      <c r="AH65" s="49"/>
      <c r="AI65" s="49"/>
      <c r="AK65" s="32" t="s">
        <v>50</v>
      </c>
      <c r="AL65" t="s">
        <v>161</v>
      </c>
      <c r="AM65" t="s">
        <v>104</v>
      </c>
      <c r="AN65" t="s">
        <v>105</v>
      </c>
      <c r="AW65" t="s">
        <v>189</v>
      </c>
      <c r="AX65" s="54" t="s">
        <v>133</v>
      </c>
      <c r="AY65" s="54">
        <v>11</v>
      </c>
      <c r="AZ65" s="54" t="s">
        <v>190</v>
      </c>
      <c r="BA65" s="54" t="s">
        <v>191</v>
      </c>
      <c r="BB65" s="54" t="s">
        <v>192</v>
      </c>
      <c r="BC65" s="54" t="s">
        <v>193</v>
      </c>
      <c r="BD65" s="54" t="s">
        <v>194</v>
      </c>
      <c r="BE65" s="54" t="s">
        <v>192</v>
      </c>
      <c r="BF65" s="54" t="s">
        <v>115</v>
      </c>
      <c r="BG65" s="54" t="s">
        <v>189</v>
      </c>
      <c r="BH65" s="54" t="s">
        <v>195</v>
      </c>
    </row>
    <row r="66" spans="28:60" x14ac:dyDescent="0.25">
      <c r="AB66">
        <v>65</v>
      </c>
      <c r="AH66" s="49"/>
      <c r="AI66" s="49"/>
      <c r="AK66" s="32" t="s">
        <v>50</v>
      </c>
      <c r="AL66" t="s">
        <v>161</v>
      </c>
      <c r="AM66" t="s">
        <v>119</v>
      </c>
      <c r="AN66" t="s">
        <v>120</v>
      </c>
      <c r="AW66" t="s">
        <v>201</v>
      </c>
      <c r="AX66" s="54" t="s">
        <v>133</v>
      </c>
      <c r="AY66" s="54">
        <v>14</v>
      </c>
      <c r="AZ66" s="54" t="s">
        <v>202</v>
      </c>
      <c r="BA66" s="54" t="s">
        <v>203</v>
      </c>
      <c r="BB66" s="54" t="s">
        <v>204</v>
      </c>
      <c r="BC66" s="54" t="s">
        <v>205</v>
      </c>
      <c r="BD66" s="54" t="s">
        <v>206</v>
      </c>
      <c r="BE66" s="54" t="s">
        <v>204</v>
      </c>
      <c r="BF66" s="54" t="s">
        <v>115</v>
      </c>
      <c r="BG66" s="54" t="s">
        <v>201</v>
      </c>
      <c r="BH66" s="54" t="s">
        <v>207</v>
      </c>
    </row>
    <row r="67" spans="28:60" x14ac:dyDescent="0.25">
      <c r="AB67">
        <v>66</v>
      </c>
      <c r="AG67" t="s">
        <v>159</v>
      </c>
      <c r="AH67" t="s">
        <v>103</v>
      </c>
      <c r="AI67">
        <v>2429</v>
      </c>
      <c r="AK67" s="32" t="s">
        <v>50</v>
      </c>
      <c r="AL67" t="s">
        <v>161</v>
      </c>
      <c r="AM67" t="s">
        <v>137</v>
      </c>
      <c r="AN67" t="s">
        <v>138</v>
      </c>
      <c r="AW67" t="s">
        <v>213</v>
      </c>
      <c r="AX67" s="54" t="s">
        <v>133</v>
      </c>
      <c r="AY67" s="54">
        <v>18</v>
      </c>
      <c r="AZ67" s="54" t="s">
        <v>214</v>
      </c>
      <c r="BA67" s="54" t="s">
        <v>215</v>
      </c>
      <c r="BB67" s="54" t="s">
        <v>216</v>
      </c>
      <c r="BC67" s="54" t="s">
        <v>217</v>
      </c>
      <c r="BD67" s="54" t="s">
        <v>218</v>
      </c>
      <c r="BE67" s="54" t="s">
        <v>216</v>
      </c>
      <c r="BF67" s="54" t="s">
        <v>115</v>
      </c>
      <c r="BG67" s="54" t="s">
        <v>213</v>
      </c>
      <c r="BH67" s="54" t="s">
        <v>219</v>
      </c>
    </row>
    <row r="68" spans="28:60" x14ac:dyDescent="0.25">
      <c r="AB68">
        <v>67</v>
      </c>
      <c r="AH68" s="49"/>
      <c r="AI68" s="49"/>
      <c r="AK68" s="32" t="s">
        <v>50</v>
      </c>
      <c r="AL68" t="s">
        <v>161</v>
      </c>
      <c r="AM68" t="s">
        <v>149</v>
      </c>
      <c r="AN68" t="s">
        <v>150</v>
      </c>
      <c r="AW68" t="s">
        <v>53</v>
      </c>
      <c r="AX68" t="s">
        <v>148</v>
      </c>
      <c r="AY68">
        <v>3</v>
      </c>
      <c r="AZ68" t="s">
        <v>55</v>
      </c>
      <c r="BA68" t="s">
        <v>56</v>
      </c>
      <c r="BB68" t="s">
        <v>57</v>
      </c>
      <c r="BC68" t="s">
        <v>58</v>
      </c>
      <c r="BD68" t="s">
        <v>59</v>
      </c>
      <c r="BE68" t="s">
        <v>57</v>
      </c>
      <c r="BF68" t="s">
        <v>148</v>
      </c>
      <c r="BG68" t="s">
        <v>53</v>
      </c>
      <c r="BH68" t="s">
        <v>60</v>
      </c>
    </row>
    <row r="69" spans="28:60" x14ac:dyDescent="0.25">
      <c r="AH69" s="49"/>
      <c r="AI69" s="49"/>
      <c r="AK69" s="32" t="s">
        <v>50</v>
      </c>
      <c r="AL69" t="s">
        <v>161</v>
      </c>
      <c r="AM69" t="s">
        <v>162</v>
      </c>
      <c r="AN69" t="s">
        <v>163</v>
      </c>
      <c r="AW69" t="s">
        <v>82</v>
      </c>
      <c r="AX69" t="s">
        <v>148</v>
      </c>
      <c r="AY69">
        <v>4</v>
      </c>
      <c r="AZ69" t="s">
        <v>83</v>
      </c>
      <c r="BA69" t="s">
        <v>84</v>
      </c>
      <c r="BB69" t="s">
        <v>85</v>
      </c>
      <c r="BC69" t="s">
        <v>86</v>
      </c>
      <c r="BD69" t="s">
        <v>87</v>
      </c>
      <c r="BE69" t="s">
        <v>85</v>
      </c>
      <c r="BF69" t="s">
        <v>148</v>
      </c>
      <c r="BG69" t="s">
        <v>82</v>
      </c>
      <c r="BH69" t="s">
        <v>88</v>
      </c>
    </row>
    <row r="70" spans="28:60" x14ac:dyDescent="0.25">
      <c r="AG70" t="s">
        <v>159</v>
      </c>
      <c r="AH70" t="s">
        <v>117</v>
      </c>
      <c r="AI70" t="s">
        <v>118</v>
      </c>
      <c r="AK70" s="32" t="s">
        <v>50</v>
      </c>
      <c r="AL70" t="s">
        <v>161</v>
      </c>
      <c r="AM70" t="s">
        <v>174</v>
      </c>
      <c r="AN70" t="s">
        <v>175</v>
      </c>
      <c r="AW70" t="s">
        <v>106</v>
      </c>
      <c r="AX70" t="s">
        <v>148</v>
      </c>
      <c r="AY70">
        <v>5</v>
      </c>
      <c r="AZ70" t="s">
        <v>107</v>
      </c>
      <c r="BA70" t="s">
        <v>108</v>
      </c>
      <c r="BB70" t="s">
        <v>109</v>
      </c>
      <c r="BC70" t="s">
        <v>110</v>
      </c>
      <c r="BD70" t="s">
        <v>111</v>
      </c>
      <c r="BE70" t="s">
        <v>109</v>
      </c>
      <c r="BF70" t="s">
        <v>148</v>
      </c>
      <c r="BG70" t="s">
        <v>106</v>
      </c>
      <c r="BH70" t="s">
        <v>65</v>
      </c>
    </row>
    <row r="71" spans="28:60" x14ac:dyDescent="0.25">
      <c r="AG71" t="s">
        <v>159</v>
      </c>
      <c r="AH71" t="s">
        <v>135</v>
      </c>
      <c r="AI71" t="s">
        <v>136</v>
      </c>
      <c r="AK71" s="32" t="s">
        <v>50</v>
      </c>
      <c r="AL71" t="s">
        <v>161</v>
      </c>
      <c r="AM71" t="s">
        <v>187</v>
      </c>
      <c r="AN71" t="s">
        <v>188</v>
      </c>
      <c r="AW71" t="s">
        <v>121</v>
      </c>
      <c r="AX71" t="s">
        <v>148</v>
      </c>
      <c r="AY71">
        <v>6</v>
      </c>
      <c r="AZ71" t="s">
        <v>122</v>
      </c>
      <c r="BA71" t="s">
        <v>123</v>
      </c>
      <c r="BB71" t="s">
        <v>124</v>
      </c>
      <c r="BC71" t="s">
        <v>125</v>
      </c>
      <c r="BD71" t="s">
        <v>126</v>
      </c>
      <c r="BE71" t="s">
        <v>124</v>
      </c>
      <c r="BF71" t="s">
        <v>148</v>
      </c>
      <c r="BG71" t="s">
        <v>121</v>
      </c>
      <c r="BH71" t="s">
        <v>127</v>
      </c>
    </row>
    <row r="72" spans="28:60" x14ac:dyDescent="0.25">
      <c r="AG72" t="s">
        <v>172</v>
      </c>
      <c r="AH72" t="s">
        <v>39</v>
      </c>
      <c r="AI72">
        <v>200</v>
      </c>
      <c r="AK72" s="32" t="s">
        <v>50</v>
      </c>
      <c r="AL72" t="s">
        <v>161</v>
      </c>
      <c r="AM72" t="s">
        <v>199</v>
      </c>
      <c r="AN72" t="s">
        <v>200</v>
      </c>
      <c r="AW72" t="s">
        <v>139</v>
      </c>
      <c r="AX72" t="s">
        <v>148</v>
      </c>
      <c r="AY72">
        <v>7</v>
      </c>
      <c r="AZ72" t="s">
        <v>140</v>
      </c>
      <c r="BA72" t="s">
        <v>141</v>
      </c>
      <c r="BB72" t="s">
        <v>142</v>
      </c>
      <c r="BC72" t="s">
        <v>143</v>
      </c>
      <c r="BD72" t="s">
        <v>144</v>
      </c>
      <c r="BE72" t="s">
        <v>142</v>
      </c>
      <c r="BF72" t="s">
        <v>148</v>
      </c>
      <c r="BG72" t="s">
        <v>139</v>
      </c>
      <c r="BH72" t="s">
        <v>145</v>
      </c>
    </row>
    <row r="73" spans="28:60" x14ac:dyDescent="0.25">
      <c r="AG73" t="s">
        <v>172</v>
      </c>
      <c r="AH73" s="49" t="s">
        <v>78</v>
      </c>
      <c r="AI73" s="49">
        <v>120</v>
      </c>
      <c r="AK73" s="32" t="s">
        <v>50</v>
      </c>
      <c r="AL73" t="s">
        <v>161</v>
      </c>
      <c r="AM73" t="s">
        <v>211</v>
      </c>
      <c r="AN73" t="s">
        <v>212</v>
      </c>
      <c r="AW73" t="s">
        <v>151</v>
      </c>
      <c r="AX73" t="s">
        <v>148</v>
      </c>
      <c r="AY73">
        <v>8</v>
      </c>
      <c r="AZ73" t="s">
        <v>152</v>
      </c>
      <c r="BA73" t="s">
        <v>153</v>
      </c>
      <c r="BB73" t="s">
        <v>154</v>
      </c>
      <c r="BC73" t="s">
        <v>155</v>
      </c>
      <c r="BD73" t="s">
        <v>156</v>
      </c>
      <c r="BE73" t="s">
        <v>154</v>
      </c>
      <c r="BF73" t="s">
        <v>148</v>
      </c>
      <c r="BG73" t="s">
        <v>151</v>
      </c>
      <c r="BH73" t="s">
        <v>157</v>
      </c>
    </row>
    <row r="74" spans="28:60" x14ac:dyDescent="0.25">
      <c r="AH74" s="49"/>
      <c r="AI74" s="49"/>
      <c r="AK74" s="32" t="s">
        <v>50</v>
      </c>
      <c r="AL74" t="s">
        <v>161</v>
      </c>
      <c r="AM74" t="s">
        <v>223</v>
      </c>
      <c r="AN74" t="s">
        <v>224</v>
      </c>
      <c r="AW74" t="s">
        <v>164</v>
      </c>
      <c r="AX74" t="s">
        <v>148</v>
      </c>
      <c r="AY74">
        <v>9</v>
      </c>
      <c r="AZ74" t="s">
        <v>165</v>
      </c>
      <c r="BA74" t="s">
        <v>166</v>
      </c>
      <c r="BB74" t="s">
        <v>167</v>
      </c>
      <c r="BC74" t="s">
        <v>168</v>
      </c>
      <c r="BD74" t="s">
        <v>169</v>
      </c>
      <c r="BE74" t="s">
        <v>167</v>
      </c>
      <c r="BF74" t="s">
        <v>148</v>
      </c>
      <c r="BG74" t="s">
        <v>164</v>
      </c>
      <c r="BH74" t="s">
        <v>91</v>
      </c>
    </row>
    <row r="75" spans="28:60" x14ac:dyDescent="0.25">
      <c r="AH75" s="49"/>
      <c r="AI75" s="49"/>
      <c r="AK75" s="32" t="s">
        <v>50</v>
      </c>
      <c r="AL75" t="s">
        <v>161</v>
      </c>
      <c r="AM75" t="s">
        <v>232</v>
      </c>
      <c r="AN75" t="s">
        <v>233</v>
      </c>
      <c r="AW75" t="s">
        <v>176</v>
      </c>
      <c r="AX75" t="s">
        <v>148</v>
      </c>
      <c r="AY75">
        <v>10</v>
      </c>
      <c r="AZ75" t="s">
        <v>177</v>
      </c>
      <c r="BA75" t="s">
        <v>178</v>
      </c>
      <c r="BB75" t="s">
        <v>179</v>
      </c>
      <c r="BC75" t="s">
        <v>180</v>
      </c>
      <c r="BD75" t="s">
        <v>181</v>
      </c>
      <c r="BE75" t="s">
        <v>179</v>
      </c>
      <c r="BF75" t="s">
        <v>148</v>
      </c>
      <c r="BG75" t="s">
        <v>176</v>
      </c>
      <c r="BH75" t="s">
        <v>182</v>
      </c>
    </row>
    <row r="76" spans="28:60" x14ac:dyDescent="0.25">
      <c r="AH76" s="49"/>
      <c r="AI76" s="49"/>
      <c r="AK76" s="32" t="s">
        <v>50</v>
      </c>
      <c r="AL76" t="s">
        <v>161</v>
      </c>
      <c r="AM76" t="s">
        <v>239</v>
      </c>
      <c r="AN76" t="s">
        <v>240</v>
      </c>
      <c r="AW76" t="s">
        <v>189</v>
      </c>
      <c r="AX76" t="s">
        <v>148</v>
      </c>
      <c r="AY76">
        <v>11</v>
      </c>
      <c r="AZ76" t="s">
        <v>190</v>
      </c>
      <c r="BA76" t="s">
        <v>191</v>
      </c>
      <c r="BB76" t="s">
        <v>192</v>
      </c>
      <c r="BC76" t="s">
        <v>193</v>
      </c>
      <c r="BD76" t="s">
        <v>194</v>
      </c>
      <c r="BE76" t="s">
        <v>192</v>
      </c>
      <c r="BF76" t="s">
        <v>148</v>
      </c>
      <c r="BG76" t="s">
        <v>189</v>
      </c>
      <c r="BH76" t="s">
        <v>195</v>
      </c>
    </row>
    <row r="77" spans="28:60" x14ac:dyDescent="0.25">
      <c r="AH77" s="49"/>
      <c r="AI77" s="49"/>
      <c r="AK77" s="32" t="s">
        <v>50</v>
      </c>
      <c r="AL77" t="s">
        <v>161</v>
      </c>
      <c r="AM77" t="s">
        <v>246</v>
      </c>
      <c r="AN77" t="s">
        <v>247</v>
      </c>
      <c r="AW77" t="s">
        <v>201</v>
      </c>
      <c r="AX77" t="s">
        <v>148</v>
      </c>
      <c r="AY77">
        <v>14</v>
      </c>
      <c r="AZ77" t="s">
        <v>202</v>
      </c>
      <c r="BA77" t="s">
        <v>203</v>
      </c>
      <c r="BB77" t="s">
        <v>204</v>
      </c>
      <c r="BC77" t="s">
        <v>205</v>
      </c>
      <c r="BD77" t="s">
        <v>206</v>
      </c>
      <c r="BE77" t="s">
        <v>204</v>
      </c>
      <c r="BF77" t="s">
        <v>148</v>
      </c>
      <c r="BG77" t="s">
        <v>201</v>
      </c>
      <c r="BH77" t="s">
        <v>207</v>
      </c>
    </row>
    <row r="78" spans="28:60" x14ac:dyDescent="0.25">
      <c r="AG78" t="s">
        <v>172</v>
      </c>
      <c r="AH78" t="s">
        <v>103</v>
      </c>
      <c r="AI78">
        <v>200</v>
      </c>
      <c r="AK78" s="32" t="s">
        <v>50</v>
      </c>
      <c r="AL78" t="s">
        <v>161</v>
      </c>
      <c r="AM78" t="s">
        <v>254</v>
      </c>
      <c r="AN78" t="s">
        <v>255</v>
      </c>
      <c r="AW78" t="s">
        <v>213</v>
      </c>
      <c r="AX78" t="s">
        <v>148</v>
      </c>
      <c r="AY78">
        <v>18</v>
      </c>
      <c r="AZ78" t="s">
        <v>214</v>
      </c>
      <c r="BA78" t="s">
        <v>215</v>
      </c>
      <c r="BB78" t="s">
        <v>216</v>
      </c>
      <c r="BC78" t="s">
        <v>217</v>
      </c>
      <c r="BD78" t="s">
        <v>218</v>
      </c>
      <c r="BE78" t="s">
        <v>216</v>
      </c>
      <c r="BF78" t="s">
        <v>148</v>
      </c>
      <c r="BG78" t="s">
        <v>213</v>
      </c>
      <c r="BH78" t="s">
        <v>219</v>
      </c>
    </row>
    <row r="79" spans="28:60" x14ac:dyDescent="0.25">
      <c r="AK79" s="32" t="s">
        <v>50</v>
      </c>
      <c r="AL79" t="s">
        <v>161</v>
      </c>
      <c r="AM79" t="s">
        <v>262</v>
      </c>
      <c r="AN79" t="s">
        <v>263</v>
      </c>
      <c r="AW79" t="s">
        <v>53</v>
      </c>
      <c r="AX79" t="s">
        <v>159</v>
      </c>
      <c r="AY79">
        <v>3</v>
      </c>
      <c r="AZ79" t="s">
        <v>55</v>
      </c>
      <c r="BA79" t="s">
        <v>56</v>
      </c>
      <c r="BB79" t="s">
        <v>57</v>
      </c>
      <c r="BC79" t="s">
        <v>58</v>
      </c>
      <c r="BD79" t="s">
        <v>59</v>
      </c>
      <c r="BE79" t="s">
        <v>57</v>
      </c>
      <c r="BF79" t="s">
        <v>159</v>
      </c>
      <c r="BG79" t="s">
        <v>53</v>
      </c>
      <c r="BH79" t="s">
        <v>60</v>
      </c>
    </row>
    <row r="80" spans="28:60" x14ac:dyDescent="0.25">
      <c r="AG80" t="s">
        <v>172</v>
      </c>
      <c r="AH80" t="s">
        <v>117</v>
      </c>
      <c r="AI80">
        <v>200</v>
      </c>
      <c r="AK80" s="32" t="s">
        <v>50</v>
      </c>
      <c r="AL80" t="s">
        <v>161</v>
      </c>
      <c r="AM80" t="s">
        <v>270</v>
      </c>
      <c r="AN80" t="s">
        <v>271</v>
      </c>
      <c r="AW80" t="s">
        <v>82</v>
      </c>
      <c r="AX80" t="s">
        <v>159</v>
      </c>
      <c r="AY80">
        <v>4</v>
      </c>
      <c r="AZ80" t="s">
        <v>83</v>
      </c>
      <c r="BA80" t="s">
        <v>84</v>
      </c>
      <c r="BB80" t="s">
        <v>85</v>
      </c>
      <c r="BC80" t="s">
        <v>86</v>
      </c>
      <c r="BD80" t="s">
        <v>87</v>
      </c>
      <c r="BE80" t="s">
        <v>85</v>
      </c>
      <c r="BF80" t="s">
        <v>159</v>
      </c>
      <c r="BG80" t="s">
        <v>82</v>
      </c>
      <c r="BH80" t="s">
        <v>88</v>
      </c>
    </row>
    <row r="81" spans="33:60" x14ac:dyDescent="0.25">
      <c r="AG81" t="s">
        <v>172</v>
      </c>
      <c r="AH81" t="s">
        <v>135</v>
      </c>
      <c r="AI81">
        <v>700</v>
      </c>
      <c r="AK81" s="32" t="s">
        <v>50</v>
      </c>
      <c r="AL81" t="s">
        <v>161</v>
      </c>
      <c r="AM81" t="s">
        <v>277</v>
      </c>
      <c r="AN81" t="s">
        <v>278</v>
      </c>
      <c r="AW81" t="s">
        <v>106</v>
      </c>
      <c r="AX81" t="s">
        <v>159</v>
      </c>
      <c r="AY81">
        <v>5</v>
      </c>
      <c r="AZ81" t="s">
        <v>107</v>
      </c>
      <c r="BA81" t="s">
        <v>108</v>
      </c>
      <c r="BB81" t="s">
        <v>109</v>
      </c>
      <c r="BC81" t="s">
        <v>110</v>
      </c>
      <c r="BD81" t="s">
        <v>111</v>
      </c>
      <c r="BE81" t="s">
        <v>109</v>
      </c>
      <c r="BF81" t="s">
        <v>159</v>
      </c>
      <c r="BG81" t="s">
        <v>106</v>
      </c>
      <c r="BH81" t="s">
        <v>65</v>
      </c>
    </row>
    <row r="82" spans="33:60" x14ac:dyDescent="0.25">
      <c r="AG82" t="s">
        <v>185</v>
      </c>
      <c r="AH82" t="s">
        <v>39</v>
      </c>
      <c r="AI82">
        <v>200</v>
      </c>
      <c r="AK82" s="32" t="s">
        <v>50</v>
      </c>
      <c r="AL82" t="s">
        <v>161</v>
      </c>
      <c r="AM82" t="s">
        <v>284</v>
      </c>
      <c r="AN82" t="s">
        <v>285</v>
      </c>
      <c r="AW82" t="s">
        <v>121</v>
      </c>
      <c r="AX82" t="s">
        <v>159</v>
      </c>
      <c r="AY82">
        <v>6</v>
      </c>
      <c r="AZ82" t="s">
        <v>122</v>
      </c>
      <c r="BA82" t="s">
        <v>123</v>
      </c>
      <c r="BB82" t="s">
        <v>124</v>
      </c>
      <c r="BC82" t="s">
        <v>125</v>
      </c>
      <c r="BD82" t="s">
        <v>126</v>
      </c>
      <c r="BE82" t="s">
        <v>124</v>
      </c>
      <c r="BF82" t="s">
        <v>159</v>
      </c>
      <c r="BG82" t="s">
        <v>121</v>
      </c>
      <c r="BH82" t="s">
        <v>127</v>
      </c>
    </row>
    <row r="83" spans="33:60" x14ac:dyDescent="0.25">
      <c r="AG83" t="s">
        <v>185</v>
      </c>
      <c r="AH83" s="49" t="s">
        <v>78</v>
      </c>
      <c r="AI83" s="49">
        <v>120</v>
      </c>
      <c r="AK83" s="32" t="s">
        <v>50</v>
      </c>
      <c r="AL83" t="s">
        <v>161</v>
      </c>
      <c r="AM83" t="s">
        <v>291</v>
      </c>
      <c r="AN83" t="s">
        <v>292</v>
      </c>
      <c r="AW83" t="s">
        <v>139</v>
      </c>
      <c r="AX83" t="s">
        <v>159</v>
      </c>
      <c r="AY83">
        <v>7</v>
      </c>
      <c r="AZ83" t="s">
        <v>140</v>
      </c>
      <c r="BA83" t="s">
        <v>141</v>
      </c>
      <c r="BB83" t="s">
        <v>142</v>
      </c>
      <c r="BC83" t="s">
        <v>143</v>
      </c>
      <c r="BD83" t="s">
        <v>144</v>
      </c>
      <c r="BE83" t="s">
        <v>142</v>
      </c>
      <c r="BF83" t="s">
        <v>159</v>
      </c>
      <c r="BG83" t="s">
        <v>139</v>
      </c>
      <c r="BH83" t="s">
        <v>145</v>
      </c>
    </row>
    <row r="84" spans="33:60" x14ac:dyDescent="0.25">
      <c r="AH84" s="49"/>
      <c r="AI84" s="49"/>
      <c r="AK84" s="32" t="s">
        <v>50</v>
      </c>
      <c r="AL84" t="s">
        <v>161</v>
      </c>
      <c r="AM84" t="s">
        <v>298</v>
      </c>
      <c r="AN84" t="s">
        <v>299</v>
      </c>
      <c r="AW84" t="s">
        <v>151</v>
      </c>
      <c r="AX84" t="s">
        <v>159</v>
      </c>
      <c r="AY84">
        <v>8</v>
      </c>
      <c r="AZ84" t="s">
        <v>152</v>
      </c>
      <c r="BA84" t="s">
        <v>153</v>
      </c>
      <c r="BB84" t="s">
        <v>154</v>
      </c>
      <c r="BC84" t="s">
        <v>155</v>
      </c>
      <c r="BD84" t="s">
        <v>156</v>
      </c>
      <c r="BE84" t="s">
        <v>154</v>
      </c>
      <c r="BF84" t="s">
        <v>159</v>
      </c>
      <c r="BG84" t="s">
        <v>151</v>
      </c>
      <c r="BH84" t="s">
        <v>157</v>
      </c>
    </row>
    <row r="85" spans="33:60" x14ac:dyDescent="0.25">
      <c r="AH85" s="49"/>
      <c r="AI85" s="49"/>
      <c r="AK85" s="32" t="s">
        <v>50</v>
      </c>
      <c r="AL85" t="s">
        <v>161</v>
      </c>
      <c r="AM85" t="s">
        <v>305</v>
      </c>
      <c r="AN85" t="s">
        <v>306</v>
      </c>
      <c r="AW85" t="s">
        <v>164</v>
      </c>
      <c r="AX85" t="s">
        <v>159</v>
      </c>
      <c r="AY85">
        <v>9</v>
      </c>
      <c r="AZ85" t="s">
        <v>165</v>
      </c>
      <c r="BA85" t="s">
        <v>166</v>
      </c>
      <c r="BB85" t="s">
        <v>167</v>
      </c>
      <c r="BC85" t="s">
        <v>168</v>
      </c>
      <c r="BD85" t="s">
        <v>169</v>
      </c>
      <c r="BE85" t="s">
        <v>167</v>
      </c>
      <c r="BF85" t="s">
        <v>159</v>
      </c>
      <c r="BG85" t="s">
        <v>164</v>
      </c>
      <c r="BH85" t="s">
        <v>91</v>
      </c>
    </row>
    <row r="86" spans="33:60" x14ac:dyDescent="0.25">
      <c r="AH86" s="49"/>
      <c r="AI86" s="49"/>
      <c r="AK86" s="32" t="s">
        <v>50</v>
      </c>
      <c r="AL86" t="s">
        <v>161</v>
      </c>
      <c r="AM86" t="s">
        <v>309</v>
      </c>
      <c r="AN86" t="s">
        <v>310</v>
      </c>
      <c r="AW86" t="s">
        <v>176</v>
      </c>
      <c r="AX86" t="s">
        <v>159</v>
      </c>
      <c r="AY86">
        <v>10</v>
      </c>
      <c r="AZ86" t="s">
        <v>177</v>
      </c>
      <c r="BA86" t="s">
        <v>178</v>
      </c>
      <c r="BB86" t="s">
        <v>179</v>
      </c>
      <c r="BC86" t="s">
        <v>180</v>
      </c>
      <c r="BD86" t="s">
        <v>181</v>
      </c>
      <c r="BE86" t="s">
        <v>179</v>
      </c>
      <c r="BF86" t="s">
        <v>159</v>
      </c>
      <c r="BG86" t="s">
        <v>176</v>
      </c>
      <c r="BH86" t="s">
        <v>182</v>
      </c>
    </row>
    <row r="87" spans="33:60" x14ac:dyDescent="0.25">
      <c r="AH87" s="49"/>
      <c r="AI87" s="49"/>
      <c r="AK87" s="32" t="s">
        <v>50</v>
      </c>
      <c r="AL87" t="s">
        <v>161</v>
      </c>
      <c r="AM87" t="s">
        <v>312</v>
      </c>
      <c r="AN87" t="s">
        <v>313</v>
      </c>
      <c r="AW87" t="s">
        <v>189</v>
      </c>
      <c r="AX87" t="s">
        <v>159</v>
      </c>
      <c r="AY87">
        <v>11</v>
      </c>
      <c r="AZ87" t="s">
        <v>190</v>
      </c>
      <c r="BA87" t="s">
        <v>191</v>
      </c>
      <c r="BB87" t="s">
        <v>192</v>
      </c>
      <c r="BC87" t="s">
        <v>193</v>
      </c>
      <c r="BD87" t="s">
        <v>194</v>
      </c>
      <c r="BE87" t="s">
        <v>192</v>
      </c>
      <c r="BF87" t="s">
        <v>159</v>
      </c>
      <c r="BG87" t="s">
        <v>189</v>
      </c>
      <c r="BH87" t="s">
        <v>195</v>
      </c>
    </row>
    <row r="88" spans="33:60" x14ac:dyDescent="0.25">
      <c r="AG88" t="s">
        <v>185</v>
      </c>
      <c r="AH88" t="s">
        <v>103</v>
      </c>
      <c r="AI88">
        <v>200</v>
      </c>
      <c r="AK88" s="32" t="s">
        <v>50</v>
      </c>
      <c r="AL88" t="s">
        <v>161</v>
      </c>
      <c r="AM88" t="s">
        <v>315</v>
      </c>
      <c r="AN88" t="s">
        <v>316</v>
      </c>
      <c r="AW88" t="s">
        <v>201</v>
      </c>
      <c r="AX88" t="s">
        <v>159</v>
      </c>
      <c r="AY88">
        <v>14</v>
      </c>
      <c r="AZ88" t="s">
        <v>202</v>
      </c>
      <c r="BA88" t="s">
        <v>203</v>
      </c>
      <c r="BB88" t="s">
        <v>204</v>
      </c>
      <c r="BC88" t="s">
        <v>205</v>
      </c>
      <c r="BD88" t="s">
        <v>206</v>
      </c>
      <c r="BE88" t="s">
        <v>204</v>
      </c>
      <c r="BF88" t="s">
        <v>159</v>
      </c>
      <c r="BG88" t="s">
        <v>201</v>
      </c>
      <c r="BH88" t="s">
        <v>207</v>
      </c>
    </row>
    <row r="89" spans="33:60" x14ac:dyDescent="0.25">
      <c r="AK89" s="32" t="s">
        <v>50</v>
      </c>
      <c r="AL89" t="s">
        <v>161</v>
      </c>
      <c r="AM89" t="s">
        <v>319</v>
      </c>
      <c r="AN89" t="s">
        <v>320</v>
      </c>
      <c r="AW89" t="s">
        <v>213</v>
      </c>
      <c r="AX89" t="s">
        <v>159</v>
      </c>
      <c r="AY89">
        <v>18</v>
      </c>
      <c r="AZ89" t="s">
        <v>214</v>
      </c>
      <c r="BA89" t="s">
        <v>215</v>
      </c>
      <c r="BB89" t="s">
        <v>216</v>
      </c>
      <c r="BC89" t="s">
        <v>217</v>
      </c>
      <c r="BD89" t="s">
        <v>218</v>
      </c>
      <c r="BE89" t="s">
        <v>216</v>
      </c>
      <c r="BF89" t="s">
        <v>159</v>
      </c>
      <c r="BG89" t="s">
        <v>213</v>
      </c>
      <c r="BH89" t="s">
        <v>219</v>
      </c>
    </row>
    <row r="90" spans="33:60" x14ac:dyDescent="0.25">
      <c r="AG90" t="s">
        <v>185</v>
      </c>
      <c r="AH90" t="s">
        <v>117</v>
      </c>
      <c r="AI90">
        <v>200</v>
      </c>
      <c r="AK90" s="32" t="s">
        <v>50</v>
      </c>
      <c r="AL90" t="s">
        <v>161</v>
      </c>
      <c r="AM90" t="s">
        <v>323</v>
      </c>
      <c r="AN90" t="s">
        <v>324</v>
      </c>
      <c r="AW90" t="s">
        <v>53</v>
      </c>
      <c r="AX90" t="s">
        <v>172</v>
      </c>
      <c r="AY90">
        <v>3</v>
      </c>
      <c r="AZ90" t="s">
        <v>55</v>
      </c>
      <c r="BA90" t="s">
        <v>56</v>
      </c>
      <c r="BB90" t="s">
        <v>57</v>
      </c>
      <c r="BC90" t="s">
        <v>58</v>
      </c>
      <c r="BD90" t="s">
        <v>59</v>
      </c>
      <c r="BE90" t="s">
        <v>57</v>
      </c>
      <c r="BF90" t="s">
        <v>172</v>
      </c>
      <c r="BG90" t="s">
        <v>53</v>
      </c>
      <c r="BH90" t="s">
        <v>60</v>
      </c>
    </row>
    <row r="91" spans="33:60" x14ac:dyDescent="0.25">
      <c r="AG91" t="s">
        <v>185</v>
      </c>
      <c r="AH91" t="s">
        <v>135</v>
      </c>
      <c r="AI91">
        <v>700</v>
      </c>
      <c r="AK91" s="32" t="s">
        <v>50</v>
      </c>
      <c r="AL91" t="s">
        <v>161</v>
      </c>
      <c r="AM91" t="s">
        <v>326</v>
      </c>
      <c r="AN91" t="s">
        <v>327</v>
      </c>
      <c r="AW91" t="s">
        <v>82</v>
      </c>
      <c r="AX91" t="s">
        <v>172</v>
      </c>
      <c r="AY91">
        <v>4</v>
      </c>
      <c r="AZ91" t="s">
        <v>83</v>
      </c>
      <c r="BA91" t="s">
        <v>84</v>
      </c>
      <c r="BB91" t="s">
        <v>85</v>
      </c>
      <c r="BC91" t="s">
        <v>86</v>
      </c>
      <c r="BD91" t="s">
        <v>87</v>
      </c>
      <c r="BE91" t="s">
        <v>85</v>
      </c>
      <c r="BF91" t="s">
        <v>172</v>
      </c>
      <c r="BG91" t="s">
        <v>82</v>
      </c>
      <c r="BH91" t="s">
        <v>88</v>
      </c>
    </row>
    <row r="92" spans="33:60" x14ac:dyDescent="0.25">
      <c r="AG92" t="s">
        <v>198</v>
      </c>
      <c r="AH92" s="50" t="s">
        <v>39</v>
      </c>
      <c r="AI92" s="50">
        <v>2429</v>
      </c>
      <c r="AK92" s="32" t="s">
        <v>50</v>
      </c>
      <c r="AL92" t="s">
        <v>161</v>
      </c>
      <c r="AM92" t="s">
        <v>330</v>
      </c>
      <c r="AN92" t="s">
        <v>331</v>
      </c>
      <c r="AW92" t="s">
        <v>106</v>
      </c>
      <c r="AX92" t="s">
        <v>172</v>
      </c>
      <c r="AY92">
        <v>5</v>
      </c>
      <c r="AZ92" t="s">
        <v>107</v>
      </c>
      <c r="BA92" t="s">
        <v>108</v>
      </c>
      <c r="BB92" t="s">
        <v>109</v>
      </c>
      <c r="BC92" t="s">
        <v>110</v>
      </c>
      <c r="BD92" t="s">
        <v>111</v>
      </c>
      <c r="BE92" t="s">
        <v>109</v>
      </c>
      <c r="BF92" t="s">
        <v>172</v>
      </c>
      <c r="BG92" t="s">
        <v>106</v>
      </c>
      <c r="BH92" t="s">
        <v>65</v>
      </c>
    </row>
    <row r="93" spans="33:60" x14ac:dyDescent="0.25">
      <c r="AG93" t="s">
        <v>198</v>
      </c>
      <c r="AH93" s="50" t="s">
        <v>78</v>
      </c>
      <c r="AI93" s="50" t="s">
        <v>79</v>
      </c>
      <c r="AK93" s="32" t="s">
        <v>50</v>
      </c>
      <c r="AL93" t="s">
        <v>161</v>
      </c>
      <c r="AM93" t="s">
        <v>335</v>
      </c>
      <c r="AN93" t="s">
        <v>336</v>
      </c>
      <c r="AW93" t="s">
        <v>121</v>
      </c>
      <c r="AX93" t="s">
        <v>172</v>
      </c>
      <c r="AY93">
        <v>6</v>
      </c>
      <c r="AZ93" t="s">
        <v>122</v>
      </c>
      <c r="BA93" t="s">
        <v>123</v>
      </c>
      <c r="BB93" t="s">
        <v>124</v>
      </c>
      <c r="BC93" t="s">
        <v>125</v>
      </c>
      <c r="BD93" t="s">
        <v>126</v>
      </c>
      <c r="BE93" t="s">
        <v>124</v>
      </c>
      <c r="BF93" t="s">
        <v>172</v>
      </c>
      <c r="BG93" t="s">
        <v>121</v>
      </c>
      <c r="BH93" t="s">
        <v>127</v>
      </c>
    </row>
    <row r="94" spans="33:60" x14ac:dyDescent="0.25">
      <c r="AH94" s="50"/>
      <c r="AI94" s="50"/>
      <c r="AK94" s="32" t="s">
        <v>50</v>
      </c>
      <c r="AL94" t="s">
        <v>161</v>
      </c>
      <c r="AM94" t="s">
        <v>340</v>
      </c>
      <c r="AN94" t="s">
        <v>341</v>
      </c>
      <c r="AW94" t="s">
        <v>139</v>
      </c>
      <c r="AX94" t="s">
        <v>172</v>
      </c>
      <c r="AY94">
        <v>7</v>
      </c>
      <c r="AZ94" t="s">
        <v>140</v>
      </c>
      <c r="BA94" t="s">
        <v>141</v>
      </c>
      <c r="BB94" t="s">
        <v>142</v>
      </c>
      <c r="BC94" t="s">
        <v>143</v>
      </c>
      <c r="BD94" t="s">
        <v>144</v>
      </c>
      <c r="BE94" t="s">
        <v>142</v>
      </c>
      <c r="BF94" t="s">
        <v>172</v>
      </c>
      <c r="BG94" t="s">
        <v>139</v>
      </c>
      <c r="BH94" t="s">
        <v>145</v>
      </c>
    </row>
    <row r="95" spans="33:60" x14ac:dyDescent="0.25">
      <c r="AH95" s="50"/>
      <c r="AI95" s="50"/>
      <c r="AK95" s="32" t="s">
        <v>50</v>
      </c>
      <c r="AL95" t="s">
        <v>161</v>
      </c>
      <c r="AM95" t="s">
        <v>344</v>
      </c>
      <c r="AN95" t="s">
        <v>345</v>
      </c>
      <c r="AW95" t="s">
        <v>151</v>
      </c>
      <c r="AX95" t="s">
        <v>172</v>
      </c>
      <c r="AY95">
        <v>8</v>
      </c>
      <c r="AZ95" t="s">
        <v>152</v>
      </c>
      <c r="BA95" t="s">
        <v>153</v>
      </c>
      <c r="BB95" t="s">
        <v>154</v>
      </c>
      <c r="BC95" t="s">
        <v>155</v>
      </c>
      <c r="BD95" t="s">
        <v>156</v>
      </c>
      <c r="BE95" t="s">
        <v>154</v>
      </c>
      <c r="BF95" t="s">
        <v>172</v>
      </c>
      <c r="BG95" t="s">
        <v>151</v>
      </c>
      <c r="BH95" t="s">
        <v>157</v>
      </c>
    </row>
    <row r="96" spans="33:60" x14ac:dyDescent="0.25">
      <c r="AH96" s="50"/>
      <c r="AI96" s="50"/>
      <c r="AK96" s="32" t="s">
        <v>50</v>
      </c>
      <c r="AL96" t="s">
        <v>161</v>
      </c>
      <c r="AM96" t="s">
        <v>348</v>
      </c>
      <c r="AN96" t="s">
        <v>349</v>
      </c>
      <c r="AW96" t="s">
        <v>164</v>
      </c>
      <c r="AX96" t="s">
        <v>172</v>
      </c>
      <c r="AY96">
        <v>9</v>
      </c>
      <c r="AZ96" t="s">
        <v>165</v>
      </c>
      <c r="BA96" t="s">
        <v>166</v>
      </c>
      <c r="BB96" t="s">
        <v>167</v>
      </c>
      <c r="BC96" t="s">
        <v>168</v>
      </c>
      <c r="BD96" t="s">
        <v>169</v>
      </c>
      <c r="BE96" t="s">
        <v>167</v>
      </c>
      <c r="BF96" t="s">
        <v>172</v>
      </c>
      <c r="BG96" t="s">
        <v>164</v>
      </c>
      <c r="BH96" t="s">
        <v>91</v>
      </c>
    </row>
    <row r="97" spans="33:60" x14ac:dyDescent="0.25">
      <c r="AG97" t="s">
        <v>198</v>
      </c>
      <c r="AH97" s="50" t="s">
        <v>103</v>
      </c>
      <c r="AI97" s="50">
        <v>2429</v>
      </c>
      <c r="AK97" s="32" t="s">
        <v>50</v>
      </c>
      <c r="AL97" t="s">
        <v>161</v>
      </c>
      <c r="AM97" t="s">
        <v>352</v>
      </c>
      <c r="AN97" t="s">
        <v>353</v>
      </c>
      <c r="AW97" t="s">
        <v>176</v>
      </c>
      <c r="AX97" t="s">
        <v>172</v>
      </c>
      <c r="AY97">
        <v>10</v>
      </c>
      <c r="AZ97" t="s">
        <v>177</v>
      </c>
      <c r="BA97" t="s">
        <v>178</v>
      </c>
      <c r="BB97" t="s">
        <v>179</v>
      </c>
      <c r="BC97" t="s">
        <v>180</v>
      </c>
      <c r="BD97" t="s">
        <v>181</v>
      </c>
      <c r="BE97" t="s">
        <v>179</v>
      </c>
      <c r="BF97" t="s">
        <v>172</v>
      </c>
      <c r="BG97" t="s">
        <v>176</v>
      </c>
      <c r="BH97" t="s">
        <v>182</v>
      </c>
    </row>
    <row r="98" spans="33:60" x14ac:dyDescent="0.25">
      <c r="AH98" s="50"/>
      <c r="AI98" s="50"/>
      <c r="AK98" s="32" t="s">
        <v>50</v>
      </c>
      <c r="AL98" t="s">
        <v>161</v>
      </c>
      <c r="AM98" t="s">
        <v>356</v>
      </c>
      <c r="AN98" t="s">
        <v>357</v>
      </c>
      <c r="AW98" t="s">
        <v>189</v>
      </c>
      <c r="AX98" t="s">
        <v>172</v>
      </c>
      <c r="AY98">
        <v>11</v>
      </c>
      <c r="AZ98" t="s">
        <v>190</v>
      </c>
      <c r="BA98" t="s">
        <v>191</v>
      </c>
      <c r="BB98" t="s">
        <v>192</v>
      </c>
      <c r="BC98" t="s">
        <v>193</v>
      </c>
      <c r="BD98" t="s">
        <v>194</v>
      </c>
      <c r="BE98" t="s">
        <v>192</v>
      </c>
      <c r="BF98" t="s">
        <v>172</v>
      </c>
      <c r="BG98" t="s">
        <v>189</v>
      </c>
      <c r="BH98" t="s">
        <v>195</v>
      </c>
    </row>
    <row r="99" spans="33:60" x14ac:dyDescent="0.25">
      <c r="AH99" s="50"/>
      <c r="AI99" s="50"/>
      <c r="AK99" s="32" t="s">
        <v>50</v>
      </c>
      <c r="AL99" t="s">
        <v>161</v>
      </c>
      <c r="AM99" t="s">
        <v>359</v>
      </c>
      <c r="AN99" t="s">
        <v>360</v>
      </c>
      <c r="AW99" t="s">
        <v>201</v>
      </c>
      <c r="AX99" t="s">
        <v>172</v>
      </c>
      <c r="AY99">
        <v>14</v>
      </c>
      <c r="AZ99" t="s">
        <v>202</v>
      </c>
      <c r="BA99" t="s">
        <v>203</v>
      </c>
      <c r="BB99" t="s">
        <v>204</v>
      </c>
      <c r="BC99" t="s">
        <v>205</v>
      </c>
      <c r="BD99" t="s">
        <v>206</v>
      </c>
      <c r="BE99" t="s">
        <v>204</v>
      </c>
      <c r="BF99" t="s">
        <v>172</v>
      </c>
      <c r="BG99" t="s">
        <v>201</v>
      </c>
      <c r="BH99" t="s">
        <v>207</v>
      </c>
    </row>
    <row r="100" spans="33:60" x14ac:dyDescent="0.25">
      <c r="AG100" t="s">
        <v>198</v>
      </c>
      <c r="AH100" s="50" t="s">
        <v>117</v>
      </c>
      <c r="AI100" s="50" t="s">
        <v>118</v>
      </c>
      <c r="AK100" s="32" t="s">
        <v>50</v>
      </c>
      <c r="AL100" t="s">
        <v>161</v>
      </c>
      <c r="AM100" t="s">
        <v>362</v>
      </c>
      <c r="AN100" t="s">
        <v>363</v>
      </c>
      <c r="AW100" t="s">
        <v>213</v>
      </c>
      <c r="AX100" t="s">
        <v>172</v>
      </c>
      <c r="AY100">
        <v>18</v>
      </c>
      <c r="AZ100" t="s">
        <v>214</v>
      </c>
      <c r="BA100" t="s">
        <v>215</v>
      </c>
      <c r="BB100" t="s">
        <v>216</v>
      </c>
      <c r="BC100" t="s">
        <v>217</v>
      </c>
      <c r="BD100" t="s">
        <v>218</v>
      </c>
      <c r="BE100" t="s">
        <v>216</v>
      </c>
      <c r="BF100" t="s">
        <v>172</v>
      </c>
      <c r="BG100" t="s">
        <v>213</v>
      </c>
      <c r="BH100" t="s">
        <v>219</v>
      </c>
    </row>
    <row r="101" spans="33:60" x14ac:dyDescent="0.25">
      <c r="AG101" t="s">
        <v>198</v>
      </c>
      <c r="AH101" s="50" t="s">
        <v>135</v>
      </c>
      <c r="AI101" s="50" t="s">
        <v>136</v>
      </c>
      <c r="AK101" s="32" t="s">
        <v>50</v>
      </c>
      <c r="AL101" t="s">
        <v>161</v>
      </c>
      <c r="AM101" t="s">
        <v>365</v>
      </c>
      <c r="AN101" t="s">
        <v>366</v>
      </c>
      <c r="AW101" s="54" t="s">
        <v>53</v>
      </c>
      <c r="AX101" t="s">
        <v>185</v>
      </c>
      <c r="AY101">
        <v>3</v>
      </c>
      <c r="AZ101" t="s">
        <v>55</v>
      </c>
      <c r="BA101" t="s">
        <v>56</v>
      </c>
      <c r="BB101" t="s">
        <v>57</v>
      </c>
      <c r="BC101" t="s">
        <v>58</v>
      </c>
      <c r="BD101" t="s">
        <v>59</v>
      </c>
      <c r="BE101" t="s">
        <v>57</v>
      </c>
      <c r="BF101" t="s">
        <v>185</v>
      </c>
      <c r="BG101" t="s">
        <v>53</v>
      </c>
      <c r="BH101" t="s">
        <v>60</v>
      </c>
    </row>
    <row r="102" spans="33:60" x14ac:dyDescent="0.25">
      <c r="AG102" t="s">
        <v>210</v>
      </c>
      <c r="AH102" t="s">
        <v>39</v>
      </c>
      <c r="AI102">
        <v>2429</v>
      </c>
      <c r="AK102" s="32" t="s">
        <v>50</v>
      </c>
      <c r="AL102" t="s">
        <v>161</v>
      </c>
      <c r="AM102" t="s">
        <v>367</v>
      </c>
      <c r="AN102" t="s">
        <v>368</v>
      </c>
      <c r="AW102" s="54" t="s">
        <v>82</v>
      </c>
      <c r="AX102" t="s">
        <v>185</v>
      </c>
      <c r="AY102">
        <v>4</v>
      </c>
      <c r="AZ102" t="s">
        <v>83</v>
      </c>
      <c r="BA102" t="s">
        <v>84</v>
      </c>
      <c r="BB102" t="s">
        <v>85</v>
      </c>
      <c r="BC102" t="s">
        <v>86</v>
      </c>
      <c r="BD102" t="s">
        <v>87</v>
      </c>
      <c r="BE102" t="s">
        <v>85</v>
      </c>
      <c r="BF102" t="s">
        <v>185</v>
      </c>
      <c r="BG102" t="s">
        <v>82</v>
      </c>
      <c r="BH102" t="s">
        <v>88</v>
      </c>
    </row>
    <row r="103" spans="33:60" x14ac:dyDescent="0.25">
      <c r="AG103" t="s">
        <v>210</v>
      </c>
      <c r="AH103" s="49" t="s">
        <v>78</v>
      </c>
      <c r="AI103" s="49" t="s">
        <v>79</v>
      </c>
      <c r="AK103" s="32" t="s">
        <v>50</v>
      </c>
      <c r="AL103" t="s">
        <v>161</v>
      </c>
      <c r="AM103" t="s">
        <v>369</v>
      </c>
      <c r="AN103" t="s">
        <v>370</v>
      </c>
      <c r="AW103" s="54" t="s">
        <v>106</v>
      </c>
      <c r="AX103" t="s">
        <v>185</v>
      </c>
      <c r="AY103">
        <v>5</v>
      </c>
      <c r="AZ103" t="s">
        <v>107</v>
      </c>
      <c r="BA103" t="s">
        <v>108</v>
      </c>
      <c r="BB103" t="s">
        <v>109</v>
      </c>
      <c r="BC103" t="s">
        <v>110</v>
      </c>
      <c r="BD103" t="s">
        <v>111</v>
      </c>
      <c r="BE103" t="s">
        <v>109</v>
      </c>
      <c r="BF103" t="s">
        <v>185</v>
      </c>
      <c r="BG103" t="s">
        <v>106</v>
      </c>
      <c r="BH103" t="s">
        <v>65</v>
      </c>
    </row>
    <row r="104" spans="33:60" x14ac:dyDescent="0.25">
      <c r="AH104" s="49"/>
      <c r="AI104" s="49"/>
      <c r="AK104" s="32" t="s">
        <v>50</v>
      </c>
      <c r="AL104" t="s">
        <v>161</v>
      </c>
      <c r="AM104" t="s">
        <v>371</v>
      </c>
      <c r="AN104" t="s">
        <v>372</v>
      </c>
      <c r="AW104" s="54" t="s">
        <v>121</v>
      </c>
      <c r="AX104" t="s">
        <v>185</v>
      </c>
      <c r="AY104">
        <v>6</v>
      </c>
      <c r="AZ104" t="s">
        <v>122</v>
      </c>
      <c r="BA104" t="s">
        <v>123</v>
      </c>
      <c r="BB104" t="s">
        <v>124</v>
      </c>
      <c r="BC104" t="s">
        <v>125</v>
      </c>
      <c r="BD104" t="s">
        <v>126</v>
      </c>
      <c r="BE104" t="s">
        <v>124</v>
      </c>
      <c r="BF104" t="s">
        <v>185</v>
      </c>
      <c r="BG104" t="s">
        <v>121</v>
      </c>
      <c r="BH104" t="s">
        <v>127</v>
      </c>
    </row>
    <row r="105" spans="33:60" x14ac:dyDescent="0.25">
      <c r="AH105" s="49"/>
      <c r="AI105" s="49"/>
      <c r="AK105" s="32" t="s">
        <v>50</v>
      </c>
      <c r="AL105" t="s">
        <v>161</v>
      </c>
      <c r="AM105" t="s">
        <v>374</v>
      </c>
      <c r="AN105" t="s">
        <v>375</v>
      </c>
      <c r="AW105" s="54" t="s">
        <v>139</v>
      </c>
      <c r="AX105" t="s">
        <v>185</v>
      </c>
      <c r="AY105">
        <v>7</v>
      </c>
      <c r="AZ105" t="s">
        <v>140</v>
      </c>
      <c r="BA105" t="s">
        <v>141</v>
      </c>
      <c r="BB105" t="s">
        <v>142</v>
      </c>
      <c r="BC105" t="s">
        <v>143</v>
      </c>
      <c r="BD105" t="s">
        <v>144</v>
      </c>
      <c r="BE105" t="s">
        <v>142</v>
      </c>
      <c r="BF105" t="s">
        <v>185</v>
      </c>
      <c r="BG105" t="s">
        <v>139</v>
      </c>
      <c r="BH105" t="s">
        <v>145</v>
      </c>
    </row>
    <row r="106" spans="33:60" x14ac:dyDescent="0.25">
      <c r="AH106" s="49"/>
      <c r="AI106" s="49"/>
      <c r="AK106" s="32" t="s">
        <v>50</v>
      </c>
      <c r="AL106" t="s">
        <v>161</v>
      </c>
      <c r="AM106" t="s">
        <v>376</v>
      </c>
      <c r="AN106" t="s">
        <v>377</v>
      </c>
      <c r="AW106" s="54" t="s">
        <v>151</v>
      </c>
      <c r="AX106" t="s">
        <v>185</v>
      </c>
      <c r="AY106">
        <v>8</v>
      </c>
      <c r="AZ106" t="s">
        <v>152</v>
      </c>
      <c r="BA106" t="s">
        <v>153</v>
      </c>
      <c r="BB106" t="s">
        <v>154</v>
      </c>
      <c r="BC106" t="s">
        <v>155</v>
      </c>
      <c r="BD106" t="s">
        <v>156</v>
      </c>
      <c r="BE106" t="s">
        <v>154</v>
      </c>
      <c r="BF106" t="s">
        <v>185</v>
      </c>
      <c r="BG106" t="s">
        <v>151</v>
      </c>
      <c r="BH106" t="s">
        <v>157</v>
      </c>
    </row>
    <row r="107" spans="33:60" x14ac:dyDescent="0.25">
      <c r="AG107" t="s">
        <v>210</v>
      </c>
      <c r="AH107" t="s">
        <v>103</v>
      </c>
      <c r="AI107">
        <v>2429</v>
      </c>
      <c r="AK107" s="32" t="s">
        <v>50</v>
      </c>
      <c r="AL107" t="s">
        <v>161</v>
      </c>
      <c r="AM107" t="s">
        <v>379</v>
      </c>
      <c r="AN107" t="s">
        <v>380</v>
      </c>
      <c r="AW107" s="54" t="s">
        <v>164</v>
      </c>
      <c r="AX107" t="s">
        <v>185</v>
      </c>
      <c r="AY107">
        <v>9</v>
      </c>
      <c r="AZ107" t="s">
        <v>165</v>
      </c>
      <c r="BA107" t="s">
        <v>166</v>
      </c>
      <c r="BB107" t="s">
        <v>167</v>
      </c>
      <c r="BC107" t="s">
        <v>168</v>
      </c>
      <c r="BD107" t="s">
        <v>169</v>
      </c>
      <c r="BE107" t="s">
        <v>167</v>
      </c>
      <c r="BF107" t="s">
        <v>185</v>
      </c>
      <c r="BG107" t="s">
        <v>164</v>
      </c>
      <c r="BH107" t="s">
        <v>91</v>
      </c>
    </row>
    <row r="108" spans="33:60" x14ac:dyDescent="0.25">
      <c r="AH108" s="49"/>
      <c r="AI108" s="49"/>
      <c r="AK108" s="32" t="s">
        <v>50</v>
      </c>
      <c r="AL108" t="s">
        <v>161</v>
      </c>
      <c r="AM108" t="s">
        <v>381</v>
      </c>
      <c r="AN108" t="s">
        <v>382</v>
      </c>
      <c r="AW108" s="54" t="s">
        <v>176</v>
      </c>
      <c r="AX108" t="s">
        <v>185</v>
      </c>
      <c r="AY108">
        <v>10</v>
      </c>
      <c r="AZ108" t="s">
        <v>177</v>
      </c>
      <c r="BA108" t="s">
        <v>178</v>
      </c>
      <c r="BB108" t="s">
        <v>179</v>
      </c>
      <c r="BC108" t="s">
        <v>180</v>
      </c>
      <c r="BD108" t="s">
        <v>181</v>
      </c>
      <c r="BE108" t="s">
        <v>179</v>
      </c>
      <c r="BF108" t="s">
        <v>185</v>
      </c>
      <c r="BG108" t="s">
        <v>176</v>
      </c>
      <c r="BH108" t="s">
        <v>182</v>
      </c>
    </row>
    <row r="109" spans="33:60" x14ac:dyDescent="0.25">
      <c r="AH109" s="49"/>
      <c r="AI109" s="49"/>
      <c r="AK109" s="32" t="s">
        <v>50</v>
      </c>
      <c r="AL109" t="s">
        <v>161</v>
      </c>
      <c r="AM109" t="s">
        <v>383</v>
      </c>
      <c r="AN109" t="s">
        <v>384</v>
      </c>
      <c r="AW109" s="54" t="s">
        <v>189</v>
      </c>
      <c r="AX109" t="s">
        <v>185</v>
      </c>
      <c r="AY109">
        <v>11</v>
      </c>
      <c r="AZ109" t="s">
        <v>190</v>
      </c>
      <c r="BA109" t="s">
        <v>191</v>
      </c>
      <c r="BB109" t="s">
        <v>192</v>
      </c>
      <c r="BC109" t="s">
        <v>193</v>
      </c>
      <c r="BD109" t="s">
        <v>194</v>
      </c>
      <c r="BE109" t="s">
        <v>192</v>
      </c>
      <c r="BF109" t="s">
        <v>185</v>
      </c>
      <c r="BG109" t="s">
        <v>189</v>
      </c>
      <c r="BH109" t="s">
        <v>195</v>
      </c>
    </row>
    <row r="110" spans="33:60" x14ac:dyDescent="0.25">
      <c r="AG110" t="s">
        <v>210</v>
      </c>
      <c r="AH110" t="s">
        <v>117</v>
      </c>
      <c r="AI110" t="s">
        <v>118</v>
      </c>
      <c r="AK110" s="32" t="s">
        <v>50</v>
      </c>
      <c r="AL110" t="s">
        <v>161</v>
      </c>
      <c r="AM110" t="s">
        <v>385</v>
      </c>
      <c r="AN110" t="s">
        <v>386</v>
      </c>
      <c r="AW110" s="54" t="s">
        <v>201</v>
      </c>
      <c r="AX110" t="s">
        <v>185</v>
      </c>
      <c r="AY110">
        <v>14</v>
      </c>
      <c r="AZ110" t="s">
        <v>202</v>
      </c>
      <c r="BA110" t="s">
        <v>203</v>
      </c>
      <c r="BB110" t="s">
        <v>204</v>
      </c>
      <c r="BC110" t="s">
        <v>205</v>
      </c>
      <c r="BD110" t="s">
        <v>206</v>
      </c>
      <c r="BE110" t="s">
        <v>204</v>
      </c>
      <c r="BF110" t="s">
        <v>185</v>
      </c>
      <c r="BG110" t="s">
        <v>201</v>
      </c>
      <c r="BH110" t="s">
        <v>207</v>
      </c>
    </row>
    <row r="111" spans="33:60" x14ac:dyDescent="0.25">
      <c r="AG111" t="s">
        <v>210</v>
      </c>
      <c r="AH111" t="s">
        <v>135</v>
      </c>
      <c r="AI111" t="s">
        <v>136</v>
      </c>
      <c r="AK111" s="32" t="s">
        <v>50</v>
      </c>
      <c r="AL111" t="s">
        <v>161</v>
      </c>
      <c r="AM111" t="s">
        <v>387</v>
      </c>
      <c r="AN111" t="s">
        <v>388</v>
      </c>
      <c r="AW111" s="54" t="s">
        <v>213</v>
      </c>
      <c r="AX111" t="s">
        <v>185</v>
      </c>
      <c r="AY111">
        <v>18</v>
      </c>
      <c r="AZ111" t="s">
        <v>214</v>
      </c>
      <c r="BA111" t="s">
        <v>215</v>
      </c>
      <c r="BB111" t="s">
        <v>216</v>
      </c>
      <c r="BC111" t="s">
        <v>217</v>
      </c>
      <c r="BD111" t="s">
        <v>218</v>
      </c>
      <c r="BE111" t="s">
        <v>216</v>
      </c>
      <c r="BF111" t="s">
        <v>185</v>
      </c>
      <c r="BG111" t="s">
        <v>213</v>
      </c>
      <c r="BH111" t="s">
        <v>219</v>
      </c>
    </row>
    <row r="112" spans="33:60" x14ac:dyDescent="0.25">
      <c r="AG112" t="s">
        <v>210</v>
      </c>
      <c r="AI112" s="52"/>
      <c r="AK112" s="32" t="s">
        <v>50</v>
      </c>
      <c r="AL112" t="s">
        <v>161</v>
      </c>
      <c r="AM112" t="s">
        <v>389</v>
      </c>
      <c r="AN112" t="s">
        <v>390</v>
      </c>
      <c r="AW112" t="s">
        <v>53</v>
      </c>
      <c r="AX112" s="54" t="s">
        <v>198</v>
      </c>
      <c r="AY112" s="54">
        <v>3</v>
      </c>
      <c r="AZ112" s="54" t="s">
        <v>55</v>
      </c>
      <c r="BA112" s="54" t="s">
        <v>56</v>
      </c>
      <c r="BB112" s="54" t="s">
        <v>57</v>
      </c>
      <c r="BC112" s="54" t="s">
        <v>58</v>
      </c>
      <c r="BD112" s="54" t="s">
        <v>59</v>
      </c>
      <c r="BE112" s="54" t="s">
        <v>57</v>
      </c>
      <c r="BF112" s="54" t="s">
        <v>198</v>
      </c>
      <c r="BG112" s="54" t="s">
        <v>53</v>
      </c>
      <c r="BH112" s="54" t="s">
        <v>60</v>
      </c>
    </row>
    <row r="113" spans="33:60" x14ac:dyDescent="0.25">
      <c r="AG113" t="s">
        <v>210</v>
      </c>
      <c r="AH113" s="49"/>
      <c r="AI113" s="52"/>
      <c r="AK113" s="32" t="s">
        <v>50</v>
      </c>
      <c r="AL113" t="s">
        <v>161</v>
      </c>
      <c r="AM113" t="s">
        <v>391</v>
      </c>
      <c r="AN113" t="s">
        <v>392</v>
      </c>
      <c r="AW113" t="s">
        <v>82</v>
      </c>
      <c r="AX113" s="54" t="s">
        <v>198</v>
      </c>
      <c r="AY113" s="54">
        <v>4</v>
      </c>
      <c r="AZ113" s="54" t="s">
        <v>83</v>
      </c>
      <c r="BA113" s="54" t="s">
        <v>84</v>
      </c>
      <c r="BB113" s="54" t="s">
        <v>85</v>
      </c>
      <c r="BC113" s="54" t="s">
        <v>86</v>
      </c>
      <c r="BD113" s="54" t="s">
        <v>87</v>
      </c>
      <c r="BE113" s="54" t="s">
        <v>85</v>
      </c>
      <c r="BF113" s="54" t="s">
        <v>198</v>
      </c>
      <c r="BG113" s="54" t="s">
        <v>82</v>
      </c>
      <c r="BH113" s="54" t="s">
        <v>88</v>
      </c>
    </row>
    <row r="114" spans="33:60" x14ac:dyDescent="0.25">
      <c r="AG114" s="44"/>
      <c r="AH114" s="49"/>
      <c r="AI114" s="53"/>
      <c r="AK114" s="32" t="s">
        <v>50</v>
      </c>
      <c r="AL114" t="s">
        <v>161</v>
      </c>
      <c r="AM114" t="s">
        <v>393</v>
      </c>
      <c r="AN114" t="s">
        <v>394</v>
      </c>
      <c r="AW114" t="s">
        <v>106</v>
      </c>
      <c r="AX114" s="54" t="s">
        <v>198</v>
      </c>
      <c r="AY114" s="54">
        <v>5</v>
      </c>
      <c r="AZ114" s="54" t="s">
        <v>107</v>
      </c>
      <c r="BA114" s="54" t="s">
        <v>108</v>
      </c>
      <c r="BB114" s="54" t="s">
        <v>109</v>
      </c>
      <c r="BC114" s="54" t="s">
        <v>110</v>
      </c>
      <c r="BD114" s="54" t="s">
        <v>111</v>
      </c>
      <c r="BE114" s="54" t="s">
        <v>109</v>
      </c>
      <c r="BF114" s="54" t="s">
        <v>198</v>
      </c>
      <c r="BG114" s="54" t="s">
        <v>106</v>
      </c>
      <c r="BH114" s="54" t="s">
        <v>65</v>
      </c>
    </row>
    <row r="115" spans="33:60" x14ac:dyDescent="0.25">
      <c r="AG115" t="s">
        <v>222</v>
      </c>
      <c r="AH115" s="49" t="s">
        <v>39</v>
      </c>
      <c r="AI115" s="53" t="s">
        <v>411</v>
      </c>
      <c r="AK115" s="32" t="s">
        <v>50</v>
      </c>
      <c r="AL115" t="s">
        <v>161</v>
      </c>
      <c r="AM115" t="s">
        <v>395</v>
      </c>
      <c r="AN115" t="s">
        <v>396</v>
      </c>
      <c r="AW115" t="s">
        <v>121</v>
      </c>
      <c r="AX115" s="54" t="s">
        <v>198</v>
      </c>
      <c r="AY115" s="54">
        <v>6</v>
      </c>
      <c r="AZ115" s="54" t="s">
        <v>122</v>
      </c>
      <c r="BA115" s="54" t="s">
        <v>123</v>
      </c>
      <c r="BB115" s="54" t="s">
        <v>124</v>
      </c>
      <c r="BC115" s="54" t="s">
        <v>125</v>
      </c>
      <c r="BD115" s="54" t="s">
        <v>126</v>
      </c>
      <c r="BE115" s="54" t="s">
        <v>124</v>
      </c>
      <c r="BF115" s="54" t="s">
        <v>198</v>
      </c>
      <c r="BG115" s="54" t="s">
        <v>121</v>
      </c>
      <c r="BH115" s="54" t="s">
        <v>127</v>
      </c>
    </row>
    <row r="116" spans="33:60" x14ac:dyDescent="0.25">
      <c r="AH116" s="49"/>
      <c r="AI116" s="53"/>
      <c r="AK116" s="32" t="s">
        <v>50</v>
      </c>
      <c r="AL116" t="s">
        <v>161</v>
      </c>
      <c r="AM116" t="s">
        <v>397</v>
      </c>
      <c r="AN116" t="s">
        <v>398</v>
      </c>
      <c r="AW116" t="s">
        <v>139</v>
      </c>
      <c r="AX116" s="54" t="s">
        <v>198</v>
      </c>
      <c r="AY116" s="54">
        <v>7</v>
      </c>
      <c r="AZ116" s="54" t="s">
        <v>140</v>
      </c>
      <c r="BA116" s="54" t="s">
        <v>141</v>
      </c>
      <c r="BB116" s="54" t="s">
        <v>142</v>
      </c>
      <c r="BC116" s="54" t="s">
        <v>143</v>
      </c>
      <c r="BD116" s="54" t="s">
        <v>144</v>
      </c>
      <c r="BE116" s="54" t="s">
        <v>142</v>
      </c>
      <c r="BF116" s="54" t="s">
        <v>198</v>
      </c>
      <c r="BG116" s="54" t="s">
        <v>139</v>
      </c>
      <c r="BH116" s="54" t="s">
        <v>145</v>
      </c>
    </row>
    <row r="117" spans="33:60" x14ac:dyDescent="0.25">
      <c r="AG117" t="s">
        <v>222</v>
      </c>
      <c r="AH117" s="49" t="s">
        <v>78</v>
      </c>
      <c r="AI117" s="53" t="s">
        <v>412</v>
      </c>
      <c r="AK117" s="32" t="s">
        <v>50</v>
      </c>
      <c r="AL117" t="s">
        <v>161</v>
      </c>
      <c r="AM117" t="s">
        <v>399</v>
      </c>
      <c r="AN117" t="s">
        <v>400</v>
      </c>
      <c r="AW117" t="s">
        <v>151</v>
      </c>
      <c r="AX117" s="54" t="s">
        <v>198</v>
      </c>
      <c r="AY117" s="54">
        <v>8</v>
      </c>
      <c r="AZ117" s="54" t="s">
        <v>152</v>
      </c>
      <c r="BA117" s="54" t="s">
        <v>153</v>
      </c>
      <c r="BB117" s="54" t="s">
        <v>154</v>
      </c>
      <c r="BC117" s="54" t="s">
        <v>155</v>
      </c>
      <c r="BD117" s="54" t="s">
        <v>156</v>
      </c>
      <c r="BE117" s="54" t="s">
        <v>154</v>
      </c>
      <c r="BF117" s="54" t="s">
        <v>198</v>
      </c>
      <c r="BG117" s="54" t="s">
        <v>151</v>
      </c>
      <c r="BH117" s="54" t="s">
        <v>157</v>
      </c>
    </row>
    <row r="118" spans="33:60" x14ac:dyDescent="0.25">
      <c r="AH118" s="49"/>
      <c r="AI118" s="53"/>
      <c r="AK118" s="32" t="s">
        <v>50</v>
      </c>
      <c r="AL118" t="s">
        <v>161</v>
      </c>
      <c r="AM118" t="s">
        <v>401</v>
      </c>
      <c r="AN118" t="s">
        <v>402</v>
      </c>
      <c r="AW118" t="s">
        <v>164</v>
      </c>
      <c r="AX118" s="54" t="s">
        <v>198</v>
      </c>
      <c r="AY118" s="54">
        <v>9</v>
      </c>
      <c r="AZ118" s="54" t="s">
        <v>165</v>
      </c>
      <c r="BA118" s="54" t="s">
        <v>166</v>
      </c>
      <c r="BB118" s="54" t="s">
        <v>167</v>
      </c>
      <c r="BC118" s="54" t="s">
        <v>168</v>
      </c>
      <c r="BD118" s="54" t="s">
        <v>169</v>
      </c>
      <c r="BE118" s="54" t="s">
        <v>167</v>
      </c>
      <c r="BF118" s="54" t="s">
        <v>198</v>
      </c>
      <c r="BG118" s="54" t="s">
        <v>164</v>
      </c>
      <c r="BH118" s="54" t="s">
        <v>91</v>
      </c>
    </row>
    <row r="119" spans="33:60" x14ac:dyDescent="0.25">
      <c r="AH119" s="49"/>
      <c r="AI119" s="53"/>
      <c r="AK119" s="32" t="s">
        <v>50</v>
      </c>
      <c r="AL119" t="s">
        <v>161</v>
      </c>
      <c r="AM119" t="s">
        <v>403</v>
      </c>
      <c r="AN119" t="s">
        <v>404</v>
      </c>
      <c r="AW119" t="s">
        <v>176</v>
      </c>
      <c r="AX119" s="54" t="s">
        <v>198</v>
      </c>
      <c r="AY119" s="54">
        <v>10</v>
      </c>
      <c r="AZ119" s="54" t="s">
        <v>177</v>
      </c>
      <c r="BA119" s="54" t="s">
        <v>178</v>
      </c>
      <c r="BB119" s="54" t="s">
        <v>179</v>
      </c>
      <c r="BC119" s="54" t="s">
        <v>180</v>
      </c>
      <c r="BD119" s="54" t="s">
        <v>181</v>
      </c>
      <c r="BE119" s="54" t="s">
        <v>179</v>
      </c>
      <c r="BF119" s="54" t="s">
        <v>198</v>
      </c>
      <c r="BG119" s="54" t="s">
        <v>176</v>
      </c>
      <c r="BH119" s="54" t="s">
        <v>182</v>
      </c>
    </row>
    <row r="120" spans="33:60" x14ac:dyDescent="0.25">
      <c r="AH120" s="49"/>
      <c r="AI120" s="53"/>
      <c r="AK120" s="32" t="s">
        <v>50</v>
      </c>
      <c r="AL120" t="s">
        <v>161</v>
      </c>
      <c r="AM120" t="s">
        <v>405</v>
      </c>
      <c r="AN120" t="s">
        <v>406</v>
      </c>
      <c r="AW120" t="s">
        <v>189</v>
      </c>
      <c r="AX120" s="54" t="s">
        <v>198</v>
      </c>
      <c r="AY120" s="54">
        <v>11</v>
      </c>
      <c r="AZ120" s="54" t="s">
        <v>190</v>
      </c>
      <c r="BA120" s="54" t="s">
        <v>191</v>
      </c>
      <c r="BB120" s="54" t="s">
        <v>192</v>
      </c>
      <c r="BC120" s="54" t="s">
        <v>193</v>
      </c>
      <c r="BD120" s="54" t="s">
        <v>194</v>
      </c>
      <c r="BE120" s="54" t="s">
        <v>192</v>
      </c>
      <c r="BF120" s="54" t="s">
        <v>198</v>
      </c>
      <c r="BG120" s="54" t="s">
        <v>189</v>
      </c>
      <c r="BH120" s="54" t="s">
        <v>195</v>
      </c>
    </row>
    <row r="121" spans="33:60" x14ac:dyDescent="0.25">
      <c r="AH121" s="49"/>
      <c r="AI121" s="53"/>
      <c r="AK121" s="32" t="s">
        <v>50</v>
      </c>
      <c r="AL121" t="s">
        <v>161</v>
      </c>
      <c r="AM121" t="s">
        <v>407</v>
      </c>
      <c r="AN121" t="s">
        <v>408</v>
      </c>
      <c r="AW121" t="s">
        <v>201</v>
      </c>
      <c r="AX121" s="54" t="s">
        <v>198</v>
      </c>
      <c r="AY121" s="54">
        <v>14</v>
      </c>
      <c r="AZ121" s="54" t="s">
        <v>202</v>
      </c>
      <c r="BA121" s="54" t="s">
        <v>203</v>
      </c>
      <c r="BB121" s="54" t="s">
        <v>204</v>
      </c>
      <c r="BC121" s="54" t="s">
        <v>205</v>
      </c>
      <c r="BD121" s="54" t="s">
        <v>206</v>
      </c>
      <c r="BE121" s="54" t="s">
        <v>204</v>
      </c>
      <c r="BF121" s="54" t="s">
        <v>198</v>
      </c>
      <c r="BG121" s="54" t="s">
        <v>201</v>
      </c>
      <c r="BH121" s="54" t="s">
        <v>207</v>
      </c>
    </row>
    <row r="122" spans="33:60" x14ac:dyDescent="0.25">
      <c r="AH122" s="49"/>
      <c r="AI122" s="53"/>
      <c r="AK122" s="32" t="s">
        <v>50</v>
      </c>
      <c r="AL122" t="s">
        <v>161</v>
      </c>
      <c r="AM122" t="s">
        <v>409</v>
      </c>
      <c r="AN122" t="s">
        <v>410</v>
      </c>
      <c r="AW122" t="s">
        <v>213</v>
      </c>
      <c r="AX122" s="54" t="s">
        <v>198</v>
      </c>
      <c r="AY122" s="54">
        <v>18</v>
      </c>
      <c r="AZ122" s="54" t="s">
        <v>214</v>
      </c>
      <c r="BA122" s="54" t="s">
        <v>215</v>
      </c>
      <c r="BB122" s="54" t="s">
        <v>216</v>
      </c>
      <c r="BC122" s="54" t="s">
        <v>217</v>
      </c>
      <c r="BD122" s="54" t="s">
        <v>218</v>
      </c>
      <c r="BE122" s="54" t="s">
        <v>216</v>
      </c>
      <c r="BF122" s="54" t="s">
        <v>198</v>
      </c>
      <c r="BG122" s="54" t="s">
        <v>213</v>
      </c>
      <c r="BH122" s="54" t="s">
        <v>219</v>
      </c>
    </row>
    <row r="123" spans="33:60" x14ac:dyDescent="0.25">
      <c r="AG123" t="s">
        <v>222</v>
      </c>
      <c r="AH123" s="49" t="s">
        <v>103</v>
      </c>
      <c r="AI123" s="53" t="s">
        <v>411</v>
      </c>
      <c r="AX123" t="s">
        <v>210</v>
      </c>
      <c r="AY123">
        <v>3</v>
      </c>
      <c r="AZ123" t="s">
        <v>55</v>
      </c>
      <c r="BA123" t="s">
        <v>56</v>
      </c>
      <c r="BB123" t="s">
        <v>57</v>
      </c>
      <c r="BC123" t="s">
        <v>58</v>
      </c>
      <c r="BD123" t="s">
        <v>59</v>
      </c>
      <c r="BE123" t="s">
        <v>57</v>
      </c>
      <c r="BF123" t="s">
        <v>210</v>
      </c>
      <c r="BG123" t="s">
        <v>53</v>
      </c>
      <c r="BH123" t="s">
        <v>60</v>
      </c>
    </row>
    <row r="124" spans="33:60" x14ac:dyDescent="0.25">
      <c r="AH124" s="49"/>
      <c r="AI124" s="53"/>
      <c r="AK124" s="32" t="s">
        <v>50</v>
      </c>
      <c r="AL124" t="s">
        <v>68</v>
      </c>
      <c r="AM124" t="s">
        <v>51</v>
      </c>
      <c r="AN124" t="s">
        <v>52</v>
      </c>
      <c r="AX124" t="s">
        <v>210</v>
      </c>
      <c r="AY124">
        <v>4</v>
      </c>
      <c r="AZ124" t="s">
        <v>83</v>
      </c>
      <c r="BA124" t="s">
        <v>84</v>
      </c>
      <c r="BB124" t="s">
        <v>85</v>
      </c>
      <c r="BC124" t="s">
        <v>86</v>
      </c>
      <c r="BD124" t="s">
        <v>87</v>
      </c>
      <c r="BE124" t="s">
        <v>85</v>
      </c>
      <c r="BF124" t="s">
        <v>210</v>
      </c>
      <c r="BG124" t="s">
        <v>82</v>
      </c>
      <c r="BH124" t="s">
        <v>88</v>
      </c>
    </row>
    <row r="125" spans="33:60" x14ac:dyDescent="0.25">
      <c r="AH125" s="49"/>
      <c r="AI125" s="53"/>
      <c r="AK125" s="32" t="s">
        <v>50</v>
      </c>
      <c r="AL125" t="s">
        <v>68</v>
      </c>
      <c r="AM125" t="s">
        <v>80</v>
      </c>
      <c r="AN125" t="s">
        <v>81</v>
      </c>
      <c r="AW125" t="s">
        <v>53</v>
      </c>
      <c r="AX125" t="s">
        <v>210</v>
      </c>
      <c r="AY125">
        <v>5</v>
      </c>
      <c r="AZ125" t="s">
        <v>107</v>
      </c>
      <c r="BA125" t="s">
        <v>108</v>
      </c>
      <c r="BB125" t="s">
        <v>109</v>
      </c>
      <c r="BC125" t="s">
        <v>110</v>
      </c>
      <c r="BD125" t="s">
        <v>111</v>
      </c>
      <c r="BE125" t="s">
        <v>109</v>
      </c>
      <c r="BF125" t="s">
        <v>210</v>
      </c>
      <c r="BG125" t="s">
        <v>106</v>
      </c>
      <c r="BH125" t="s">
        <v>65</v>
      </c>
    </row>
    <row r="126" spans="33:60" x14ac:dyDescent="0.25">
      <c r="AH126" s="49"/>
      <c r="AI126" s="53"/>
      <c r="AK126" s="32" t="s">
        <v>50</v>
      </c>
      <c r="AL126" t="s">
        <v>68</v>
      </c>
      <c r="AM126" t="s">
        <v>104</v>
      </c>
      <c r="AN126" t="s">
        <v>105</v>
      </c>
      <c r="AW126" t="s">
        <v>82</v>
      </c>
      <c r="AX126" t="s">
        <v>210</v>
      </c>
      <c r="AY126">
        <v>6</v>
      </c>
      <c r="AZ126" t="s">
        <v>122</v>
      </c>
      <c r="BA126" t="s">
        <v>123</v>
      </c>
      <c r="BB126" t="s">
        <v>124</v>
      </c>
      <c r="BC126" t="s">
        <v>125</v>
      </c>
      <c r="BD126" t="s">
        <v>126</v>
      </c>
      <c r="BE126" t="s">
        <v>124</v>
      </c>
      <c r="BF126" t="s">
        <v>210</v>
      </c>
      <c r="BG126" t="s">
        <v>121</v>
      </c>
      <c r="BH126" t="s">
        <v>127</v>
      </c>
    </row>
    <row r="127" spans="33:60" x14ac:dyDescent="0.25">
      <c r="AH127" s="49"/>
      <c r="AI127" s="53"/>
      <c r="AK127" s="32" t="s">
        <v>50</v>
      </c>
      <c r="AL127" t="s">
        <v>68</v>
      </c>
      <c r="AM127" t="s">
        <v>119</v>
      </c>
      <c r="AN127" t="s">
        <v>120</v>
      </c>
      <c r="AW127" t="s">
        <v>106</v>
      </c>
      <c r="AX127" t="s">
        <v>210</v>
      </c>
      <c r="AY127">
        <v>7</v>
      </c>
      <c r="AZ127" t="s">
        <v>140</v>
      </c>
      <c r="BA127" t="s">
        <v>141</v>
      </c>
      <c r="BB127" t="s">
        <v>142</v>
      </c>
      <c r="BC127" t="s">
        <v>143</v>
      </c>
      <c r="BD127" t="s">
        <v>144</v>
      </c>
      <c r="BE127" t="s">
        <v>142</v>
      </c>
      <c r="BF127" t="s">
        <v>210</v>
      </c>
      <c r="BG127" t="s">
        <v>139</v>
      </c>
      <c r="BH127" t="s">
        <v>145</v>
      </c>
    </row>
    <row r="128" spans="33:60" x14ac:dyDescent="0.25">
      <c r="AH128" s="49"/>
      <c r="AI128" s="53"/>
      <c r="AK128" s="32" t="s">
        <v>50</v>
      </c>
      <c r="AL128" t="s">
        <v>68</v>
      </c>
      <c r="AM128" t="s">
        <v>137</v>
      </c>
      <c r="AN128" t="s">
        <v>138</v>
      </c>
      <c r="AW128" t="s">
        <v>121</v>
      </c>
      <c r="AX128" t="s">
        <v>210</v>
      </c>
      <c r="AY128">
        <v>8</v>
      </c>
      <c r="AZ128" t="s">
        <v>152</v>
      </c>
      <c r="BA128" t="s">
        <v>153</v>
      </c>
      <c r="BB128" t="s">
        <v>154</v>
      </c>
      <c r="BC128" t="s">
        <v>155</v>
      </c>
      <c r="BD128" t="s">
        <v>156</v>
      </c>
      <c r="BE128" t="s">
        <v>154</v>
      </c>
      <c r="BF128" t="s">
        <v>210</v>
      </c>
      <c r="BG128" t="s">
        <v>151</v>
      </c>
      <c r="BH128" t="s">
        <v>157</v>
      </c>
    </row>
    <row r="129" spans="33:60" x14ac:dyDescent="0.25">
      <c r="AG129" t="s">
        <v>222</v>
      </c>
      <c r="AH129" s="49" t="s">
        <v>117</v>
      </c>
      <c r="AI129" s="53" t="s">
        <v>411</v>
      </c>
      <c r="AK129" s="32" t="s">
        <v>50</v>
      </c>
      <c r="AL129" t="s">
        <v>68</v>
      </c>
      <c r="AM129" t="s">
        <v>149</v>
      </c>
      <c r="AN129" t="s">
        <v>150</v>
      </c>
      <c r="AW129" t="s">
        <v>139</v>
      </c>
      <c r="AX129" t="s">
        <v>210</v>
      </c>
      <c r="AY129">
        <v>9</v>
      </c>
      <c r="AZ129" t="s">
        <v>165</v>
      </c>
      <c r="BA129" t="s">
        <v>166</v>
      </c>
      <c r="BB129" t="s">
        <v>167</v>
      </c>
      <c r="BC129" t="s">
        <v>168</v>
      </c>
      <c r="BD129" t="s">
        <v>169</v>
      </c>
      <c r="BE129" t="s">
        <v>167</v>
      </c>
      <c r="BF129" t="s">
        <v>210</v>
      </c>
      <c r="BG129" t="s">
        <v>164</v>
      </c>
      <c r="BH129" t="s">
        <v>91</v>
      </c>
    </row>
    <row r="130" spans="33:60" x14ac:dyDescent="0.25">
      <c r="AH130" s="49"/>
      <c r="AI130" s="53"/>
      <c r="AK130" s="32" t="s">
        <v>50</v>
      </c>
      <c r="AL130" t="s">
        <v>68</v>
      </c>
      <c r="AM130" t="s">
        <v>162</v>
      </c>
      <c r="AN130" t="s">
        <v>163</v>
      </c>
      <c r="AW130" t="s">
        <v>151</v>
      </c>
      <c r="AX130" t="s">
        <v>210</v>
      </c>
      <c r="AY130">
        <v>10</v>
      </c>
      <c r="AZ130" t="s">
        <v>177</v>
      </c>
      <c r="BA130" t="s">
        <v>178</v>
      </c>
      <c r="BB130" t="s">
        <v>179</v>
      </c>
      <c r="BC130" t="s">
        <v>180</v>
      </c>
      <c r="BD130" t="s">
        <v>181</v>
      </c>
      <c r="BE130" t="s">
        <v>179</v>
      </c>
      <c r="BF130" t="s">
        <v>210</v>
      </c>
      <c r="BG130" t="s">
        <v>176</v>
      </c>
      <c r="BH130" t="s">
        <v>182</v>
      </c>
    </row>
    <row r="131" spans="33:60" x14ac:dyDescent="0.25">
      <c r="AG131" t="s">
        <v>222</v>
      </c>
      <c r="AH131" s="49" t="s">
        <v>135</v>
      </c>
      <c r="AI131" s="53" t="s">
        <v>413</v>
      </c>
      <c r="AK131" s="32" t="s">
        <v>50</v>
      </c>
      <c r="AL131" t="s">
        <v>68</v>
      </c>
      <c r="AM131" t="s">
        <v>174</v>
      </c>
      <c r="AN131" t="s">
        <v>175</v>
      </c>
      <c r="AW131" t="s">
        <v>164</v>
      </c>
      <c r="AX131" t="s">
        <v>210</v>
      </c>
      <c r="AY131">
        <v>11</v>
      </c>
      <c r="AZ131" t="s">
        <v>190</v>
      </c>
      <c r="BA131" t="s">
        <v>191</v>
      </c>
      <c r="BB131" t="s">
        <v>192</v>
      </c>
      <c r="BC131" t="s">
        <v>193</v>
      </c>
      <c r="BD131" t="s">
        <v>194</v>
      </c>
      <c r="BE131" t="s">
        <v>192</v>
      </c>
      <c r="BF131" t="s">
        <v>210</v>
      </c>
      <c r="BG131" t="s">
        <v>189</v>
      </c>
      <c r="BH131" t="s">
        <v>195</v>
      </c>
    </row>
    <row r="132" spans="33:60" x14ac:dyDescent="0.25">
      <c r="AH132" s="49"/>
      <c r="AI132" s="53"/>
      <c r="AK132" s="32" t="s">
        <v>50</v>
      </c>
      <c r="AL132" t="s">
        <v>68</v>
      </c>
      <c r="AM132" t="s">
        <v>187</v>
      </c>
      <c r="AN132" t="s">
        <v>188</v>
      </c>
      <c r="AW132" t="s">
        <v>176</v>
      </c>
      <c r="AX132" t="s">
        <v>210</v>
      </c>
      <c r="AY132">
        <v>14</v>
      </c>
      <c r="AZ132" t="s">
        <v>202</v>
      </c>
      <c r="BA132" t="s">
        <v>203</v>
      </c>
      <c r="BB132" t="s">
        <v>204</v>
      </c>
      <c r="BC132" t="s">
        <v>205</v>
      </c>
      <c r="BD132" t="s">
        <v>206</v>
      </c>
      <c r="BE132" t="s">
        <v>204</v>
      </c>
      <c r="BF132" t="s">
        <v>210</v>
      </c>
      <c r="BG132" t="s">
        <v>201</v>
      </c>
      <c r="BH132" t="s">
        <v>207</v>
      </c>
    </row>
    <row r="133" spans="33:60" x14ac:dyDescent="0.25">
      <c r="AG133" t="s">
        <v>231</v>
      </c>
      <c r="AH133" t="s">
        <v>39</v>
      </c>
      <c r="AI133">
        <v>2429</v>
      </c>
      <c r="AK133" s="32" t="s">
        <v>50</v>
      </c>
      <c r="AL133" t="s">
        <v>68</v>
      </c>
      <c r="AM133" t="s">
        <v>199</v>
      </c>
      <c r="AN133" t="s">
        <v>200</v>
      </c>
      <c r="AW133" t="s">
        <v>189</v>
      </c>
      <c r="AX133" t="s">
        <v>210</v>
      </c>
      <c r="AY133">
        <v>18</v>
      </c>
      <c r="AZ133" t="s">
        <v>214</v>
      </c>
      <c r="BA133" t="s">
        <v>215</v>
      </c>
      <c r="BB133" t="s">
        <v>216</v>
      </c>
      <c r="BC133" t="s">
        <v>217</v>
      </c>
      <c r="BD133" t="s">
        <v>218</v>
      </c>
      <c r="BE133" t="s">
        <v>216</v>
      </c>
      <c r="BF133" t="s">
        <v>210</v>
      </c>
      <c r="BG133" t="s">
        <v>213</v>
      </c>
      <c r="BH133" t="s">
        <v>219</v>
      </c>
    </row>
    <row r="134" spans="33:60" x14ac:dyDescent="0.25">
      <c r="AG134" t="s">
        <v>231</v>
      </c>
      <c r="AH134" s="49" t="s">
        <v>78</v>
      </c>
      <c r="AI134" s="49" t="s">
        <v>79</v>
      </c>
      <c r="AK134" s="32" t="s">
        <v>50</v>
      </c>
      <c r="AL134" t="s">
        <v>68</v>
      </c>
      <c r="AM134" t="s">
        <v>211</v>
      </c>
      <c r="AN134" t="s">
        <v>212</v>
      </c>
      <c r="AW134" t="s">
        <v>201</v>
      </c>
    </row>
    <row r="135" spans="33:60" x14ac:dyDescent="0.25">
      <c r="AH135" s="49"/>
      <c r="AI135" s="49"/>
      <c r="AK135" s="32" t="s">
        <v>50</v>
      </c>
      <c r="AL135" t="s">
        <v>68</v>
      </c>
      <c r="AM135" t="s">
        <v>223</v>
      </c>
      <c r="AN135" t="s">
        <v>224</v>
      </c>
      <c r="AW135" t="s">
        <v>213</v>
      </c>
    </row>
    <row r="136" spans="33:60" x14ac:dyDescent="0.25">
      <c r="AH136" s="49"/>
      <c r="AI136" s="49"/>
      <c r="AK136" s="32" t="s">
        <v>50</v>
      </c>
      <c r="AL136" t="s">
        <v>68</v>
      </c>
      <c r="AM136" t="s">
        <v>232</v>
      </c>
      <c r="AN136" t="s">
        <v>233</v>
      </c>
      <c r="AW136" t="s">
        <v>53</v>
      </c>
      <c r="AX136" t="s">
        <v>222</v>
      </c>
      <c r="AY136">
        <v>3</v>
      </c>
      <c r="AZ136" t="s">
        <v>55</v>
      </c>
      <c r="BA136" t="s">
        <v>414</v>
      </c>
      <c r="BB136" t="s">
        <v>57</v>
      </c>
      <c r="BC136" t="s">
        <v>58</v>
      </c>
      <c r="BD136" t="s">
        <v>59</v>
      </c>
      <c r="BE136" t="s">
        <v>57</v>
      </c>
      <c r="BF136" t="s">
        <v>222</v>
      </c>
      <c r="BG136" t="s">
        <v>53</v>
      </c>
      <c r="BH136" t="s">
        <v>415</v>
      </c>
    </row>
    <row r="137" spans="33:60" x14ac:dyDescent="0.25">
      <c r="AH137" s="49"/>
      <c r="AI137" s="49"/>
      <c r="AK137" s="32" t="s">
        <v>50</v>
      </c>
      <c r="AL137" t="s">
        <v>68</v>
      </c>
      <c r="AM137" t="s">
        <v>239</v>
      </c>
      <c r="AN137" t="s">
        <v>240</v>
      </c>
      <c r="AW137" t="s">
        <v>82</v>
      </c>
      <c r="AX137" t="s">
        <v>222</v>
      </c>
      <c r="AY137">
        <v>4</v>
      </c>
      <c r="AZ137" t="s">
        <v>83</v>
      </c>
      <c r="BA137" t="s">
        <v>416</v>
      </c>
      <c r="BB137" t="s">
        <v>85</v>
      </c>
      <c r="BC137" t="s">
        <v>86</v>
      </c>
      <c r="BD137" t="s">
        <v>87</v>
      </c>
      <c r="BE137" t="s">
        <v>85</v>
      </c>
      <c r="BF137" t="s">
        <v>222</v>
      </c>
      <c r="BG137" t="s">
        <v>82</v>
      </c>
      <c r="BH137" t="s">
        <v>417</v>
      </c>
    </row>
    <row r="138" spans="33:60" x14ac:dyDescent="0.25">
      <c r="AG138" t="s">
        <v>231</v>
      </c>
      <c r="AH138" t="s">
        <v>103</v>
      </c>
      <c r="AI138">
        <v>2429</v>
      </c>
      <c r="AK138" s="32" t="s">
        <v>50</v>
      </c>
      <c r="AL138" t="s">
        <v>68</v>
      </c>
      <c r="AM138" t="s">
        <v>246</v>
      </c>
      <c r="AN138" t="s">
        <v>247</v>
      </c>
      <c r="AW138" t="s">
        <v>106</v>
      </c>
      <c r="AX138" t="s">
        <v>222</v>
      </c>
      <c r="AY138">
        <v>5</v>
      </c>
      <c r="AZ138" t="s">
        <v>107</v>
      </c>
      <c r="BA138" t="s">
        <v>418</v>
      </c>
      <c r="BB138" t="s">
        <v>109</v>
      </c>
      <c r="BC138" t="s">
        <v>110</v>
      </c>
      <c r="BD138" t="s">
        <v>111</v>
      </c>
      <c r="BE138" t="s">
        <v>109</v>
      </c>
      <c r="BF138" t="s">
        <v>222</v>
      </c>
      <c r="BG138" t="s">
        <v>106</v>
      </c>
      <c r="BH138" t="s">
        <v>419</v>
      </c>
    </row>
    <row r="139" spans="33:60" x14ac:dyDescent="0.25">
      <c r="AH139" s="49"/>
      <c r="AI139" s="49"/>
      <c r="AK139" s="32" t="s">
        <v>50</v>
      </c>
      <c r="AL139" t="s">
        <v>68</v>
      </c>
      <c r="AM139" t="s">
        <v>254</v>
      </c>
      <c r="AN139" t="s">
        <v>255</v>
      </c>
      <c r="AW139" t="s">
        <v>121</v>
      </c>
      <c r="AX139" t="s">
        <v>222</v>
      </c>
      <c r="AY139">
        <v>6</v>
      </c>
      <c r="AZ139" t="s">
        <v>122</v>
      </c>
      <c r="BA139" t="s">
        <v>420</v>
      </c>
      <c r="BB139" t="s">
        <v>124</v>
      </c>
      <c r="BC139" t="s">
        <v>125</v>
      </c>
      <c r="BD139" t="s">
        <v>126</v>
      </c>
      <c r="BE139" t="s">
        <v>124</v>
      </c>
      <c r="BF139" t="s">
        <v>222</v>
      </c>
      <c r="BG139" t="s">
        <v>121</v>
      </c>
      <c r="BH139" t="s">
        <v>421</v>
      </c>
    </row>
    <row r="140" spans="33:60" x14ac:dyDescent="0.25">
      <c r="AH140" s="49"/>
      <c r="AI140" s="49"/>
      <c r="AK140" s="32" t="s">
        <v>50</v>
      </c>
      <c r="AL140" t="s">
        <v>68</v>
      </c>
      <c r="AM140" t="s">
        <v>262</v>
      </c>
      <c r="AN140" t="s">
        <v>263</v>
      </c>
      <c r="AW140" t="s">
        <v>139</v>
      </c>
      <c r="AX140" t="s">
        <v>222</v>
      </c>
      <c r="AY140">
        <v>7</v>
      </c>
      <c r="AZ140" t="s">
        <v>140</v>
      </c>
      <c r="BA140" t="s">
        <v>422</v>
      </c>
      <c r="BB140" t="s">
        <v>142</v>
      </c>
      <c r="BC140" t="s">
        <v>143</v>
      </c>
      <c r="BD140" t="s">
        <v>144</v>
      </c>
      <c r="BE140" t="s">
        <v>142</v>
      </c>
      <c r="BF140" t="s">
        <v>222</v>
      </c>
      <c r="BG140" t="s">
        <v>139</v>
      </c>
      <c r="BH140" t="s">
        <v>423</v>
      </c>
    </row>
    <row r="141" spans="33:60" x14ac:dyDescent="0.25">
      <c r="AG141" t="s">
        <v>231</v>
      </c>
      <c r="AH141" t="s">
        <v>117</v>
      </c>
      <c r="AI141" t="s">
        <v>424</v>
      </c>
      <c r="AK141" s="32" t="s">
        <v>50</v>
      </c>
      <c r="AL141" t="s">
        <v>68</v>
      </c>
      <c r="AM141" t="s">
        <v>270</v>
      </c>
      <c r="AN141" t="s">
        <v>271</v>
      </c>
      <c r="AW141" t="s">
        <v>151</v>
      </c>
      <c r="AX141" t="s">
        <v>222</v>
      </c>
      <c r="AY141">
        <v>8</v>
      </c>
      <c r="AZ141" t="s">
        <v>152</v>
      </c>
      <c r="BA141" t="s">
        <v>425</v>
      </c>
      <c r="BB141" t="s">
        <v>154</v>
      </c>
      <c r="BC141" t="s">
        <v>155</v>
      </c>
      <c r="BD141" t="s">
        <v>156</v>
      </c>
      <c r="BE141" t="s">
        <v>154</v>
      </c>
      <c r="BF141" t="s">
        <v>222</v>
      </c>
      <c r="BG141" t="s">
        <v>151</v>
      </c>
      <c r="BH141" t="s">
        <v>426</v>
      </c>
    </row>
    <row r="142" spans="33:60" x14ac:dyDescent="0.25">
      <c r="AG142" t="s">
        <v>231</v>
      </c>
      <c r="AH142" t="s">
        <v>135</v>
      </c>
      <c r="AI142" t="s">
        <v>136</v>
      </c>
      <c r="AK142" s="32" t="s">
        <v>50</v>
      </c>
      <c r="AL142" t="s">
        <v>68</v>
      </c>
      <c r="AM142" t="s">
        <v>277</v>
      </c>
      <c r="AN142" t="s">
        <v>278</v>
      </c>
      <c r="AW142" t="s">
        <v>164</v>
      </c>
      <c r="AX142" t="s">
        <v>222</v>
      </c>
      <c r="AY142">
        <v>9</v>
      </c>
      <c r="AZ142" t="s">
        <v>165</v>
      </c>
      <c r="BA142" t="s">
        <v>427</v>
      </c>
      <c r="BB142" t="s">
        <v>167</v>
      </c>
      <c r="BC142" t="s">
        <v>168</v>
      </c>
      <c r="BD142" t="s">
        <v>169</v>
      </c>
      <c r="BE142" t="s">
        <v>167</v>
      </c>
      <c r="BF142" t="s">
        <v>222</v>
      </c>
      <c r="BG142" t="s">
        <v>164</v>
      </c>
      <c r="BH142" t="s">
        <v>428</v>
      </c>
    </row>
    <row r="143" spans="33:60" x14ac:dyDescent="0.25">
      <c r="AG143" t="s">
        <v>238</v>
      </c>
      <c r="AH143" t="s">
        <v>39</v>
      </c>
      <c r="AI143">
        <v>2429</v>
      </c>
      <c r="AK143" s="32" t="s">
        <v>50</v>
      </c>
      <c r="AL143" t="s">
        <v>68</v>
      </c>
      <c r="AM143" t="s">
        <v>284</v>
      </c>
      <c r="AN143" t="s">
        <v>285</v>
      </c>
      <c r="AW143" t="s">
        <v>176</v>
      </c>
      <c r="AX143" t="s">
        <v>222</v>
      </c>
      <c r="AY143">
        <v>10</v>
      </c>
      <c r="AZ143" t="s">
        <v>177</v>
      </c>
      <c r="BA143" t="s">
        <v>429</v>
      </c>
      <c r="BB143" t="s">
        <v>179</v>
      </c>
      <c r="BC143" t="s">
        <v>180</v>
      </c>
      <c r="BD143" t="s">
        <v>181</v>
      </c>
      <c r="BE143" t="s">
        <v>179</v>
      </c>
      <c r="BF143" t="s">
        <v>222</v>
      </c>
      <c r="BG143" t="s">
        <v>176</v>
      </c>
      <c r="BH143" t="s">
        <v>430</v>
      </c>
    </row>
    <row r="144" spans="33:60" x14ac:dyDescent="0.25">
      <c r="AG144" t="s">
        <v>238</v>
      </c>
      <c r="AH144" s="49" t="s">
        <v>78</v>
      </c>
      <c r="AI144" s="49" t="s">
        <v>79</v>
      </c>
      <c r="AK144" s="32" t="s">
        <v>50</v>
      </c>
      <c r="AL144" t="s">
        <v>68</v>
      </c>
      <c r="AM144" t="s">
        <v>291</v>
      </c>
      <c r="AN144" t="s">
        <v>292</v>
      </c>
      <c r="AW144" t="s">
        <v>189</v>
      </c>
      <c r="AX144" t="s">
        <v>222</v>
      </c>
      <c r="AY144">
        <v>11</v>
      </c>
      <c r="AZ144" t="s">
        <v>190</v>
      </c>
      <c r="BA144" t="s">
        <v>431</v>
      </c>
      <c r="BB144" t="s">
        <v>192</v>
      </c>
      <c r="BC144" t="s">
        <v>193</v>
      </c>
      <c r="BD144" t="s">
        <v>194</v>
      </c>
      <c r="BE144" t="s">
        <v>192</v>
      </c>
      <c r="BF144" t="s">
        <v>222</v>
      </c>
      <c r="BG144" t="s">
        <v>189</v>
      </c>
      <c r="BH144" t="s">
        <v>432</v>
      </c>
    </row>
    <row r="145" spans="33:60" x14ac:dyDescent="0.25">
      <c r="AH145" s="49"/>
      <c r="AI145" s="49"/>
      <c r="AK145" s="32" t="s">
        <v>50</v>
      </c>
      <c r="AL145" t="s">
        <v>68</v>
      </c>
      <c r="AM145" t="s">
        <v>298</v>
      </c>
      <c r="AN145" t="s">
        <v>299</v>
      </c>
      <c r="AW145" t="s">
        <v>201</v>
      </c>
      <c r="AX145" t="s">
        <v>222</v>
      </c>
      <c r="AY145">
        <v>14</v>
      </c>
      <c r="AZ145" t="s">
        <v>202</v>
      </c>
      <c r="BA145" t="s">
        <v>433</v>
      </c>
      <c r="BB145" t="s">
        <v>204</v>
      </c>
      <c r="BC145" t="s">
        <v>205</v>
      </c>
      <c r="BD145" t="s">
        <v>206</v>
      </c>
      <c r="BE145" t="s">
        <v>204</v>
      </c>
      <c r="BF145" t="s">
        <v>222</v>
      </c>
      <c r="BG145" t="s">
        <v>201</v>
      </c>
      <c r="BH145" t="s">
        <v>434</v>
      </c>
    </row>
    <row r="146" spans="33:60" x14ac:dyDescent="0.25">
      <c r="AH146" s="49"/>
      <c r="AI146" s="49"/>
      <c r="AK146" s="32" t="s">
        <v>50</v>
      </c>
      <c r="AL146" t="s">
        <v>68</v>
      </c>
      <c r="AM146" t="s">
        <v>305</v>
      </c>
      <c r="AN146" t="s">
        <v>306</v>
      </c>
      <c r="AW146" t="s">
        <v>213</v>
      </c>
      <c r="AX146" t="s">
        <v>222</v>
      </c>
      <c r="AY146">
        <v>18</v>
      </c>
      <c r="AZ146" t="s">
        <v>214</v>
      </c>
      <c r="BA146" t="s">
        <v>435</v>
      </c>
      <c r="BB146" t="s">
        <v>216</v>
      </c>
      <c r="BC146" t="s">
        <v>217</v>
      </c>
      <c r="BD146" t="s">
        <v>218</v>
      </c>
      <c r="BE146" t="s">
        <v>216</v>
      </c>
      <c r="BF146" t="s">
        <v>222</v>
      </c>
      <c r="BG146" t="s">
        <v>213</v>
      </c>
      <c r="BH146" t="s">
        <v>436</v>
      </c>
    </row>
    <row r="147" spans="33:60" x14ac:dyDescent="0.25">
      <c r="AH147" s="49"/>
      <c r="AI147" s="49"/>
      <c r="AK147" s="32" t="s">
        <v>50</v>
      </c>
      <c r="AL147" t="s">
        <v>68</v>
      </c>
      <c r="AM147" t="s">
        <v>309</v>
      </c>
      <c r="AN147" t="s">
        <v>310</v>
      </c>
      <c r="AW147" s="54" t="s">
        <v>53</v>
      </c>
      <c r="AX147" t="s">
        <v>231</v>
      </c>
      <c r="AY147">
        <v>3</v>
      </c>
      <c r="AZ147" t="s">
        <v>55</v>
      </c>
      <c r="BA147" t="s">
        <v>414</v>
      </c>
      <c r="BB147" t="s">
        <v>57</v>
      </c>
      <c r="BC147" t="s">
        <v>58</v>
      </c>
      <c r="BD147" t="s">
        <v>59</v>
      </c>
      <c r="BE147" t="s">
        <v>57</v>
      </c>
      <c r="BF147" t="s">
        <v>231</v>
      </c>
      <c r="BG147" t="s">
        <v>53</v>
      </c>
      <c r="BH147" t="s">
        <v>415</v>
      </c>
    </row>
    <row r="148" spans="33:60" x14ac:dyDescent="0.25">
      <c r="AG148" t="s">
        <v>238</v>
      </c>
      <c r="AH148" t="s">
        <v>103</v>
      </c>
      <c r="AI148">
        <v>2429</v>
      </c>
      <c r="AK148" s="32" t="s">
        <v>50</v>
      </c>
      <c r="AL148" t="s">
        <v>68</v>
      </c>
      <c r="AM148" t="s">
        <v>312</v>
      </c>
      <c r="AN148" t="s">
        <v>313</v>
      </c>
      <c r="AW148" s="54" t="s">
        <v>82</v>
      </c>
      <c r="AX148" t="s">
        <v>231</v>
      </c>
      <c r="AY148">
        <v>4</v>
      </c>
      <c r="AZ148" t="s">
        <v>83</v>
      </c>
      <c r="BA148" t="s">
        <v>416</v>
      </c>
      <c r="BB148" t="s">
        <v>85</v>
      </c>
      <c r="BC148" t="s">
        <v>86</v>
      </c>
      <c r="BD148" t="s">
        <v>87</v>
      </c>
      <c r="BE148" t="s">
        <v>85</v>
      </c>
      <c r="BF148" t="s">
        <v>231</v>
      </c>
      <c r="BG148" t="s">
        <v>82</v>
      </c>
      <c r="BH148" t="s">
        <v>417</v>
      </c>
    </row>
    <row r="149" spans="33:60" x14ac:dyDescent="0.25">
      <c r="AH149" s="49"/>
      <c r="AI149" s="49"/>
      <c r="AK149" s="32" t="s">
        <v>50</v>
      </c>
      <c r="AL149" t="s">
        <v>68</v>
      </c>
      <c r="AM149" t="s">
        <v>315</v>
      </c>
      <c r="AN149" t="s">
        <v>316</v>
      </c>
      <c r="AW149" s="54" t="s">
        <v>106</v>
      </c>
      <c r="AX149" t="s">
        <v>231</v>
      </c>
      <c r="AY149">
        <v>5</v>
      </c>
      <c r="AZ149" t="s">
        <v>107</v>
      </c>
      <c r="BA149" t="s">
        <v>418</v>
      </c>
      <c r="BB149" t="s">
        <v>109</v>
      </c>
      <c r="BC149" t="s">
        <v>110</v>
      </c>
      <c r="BD149" t="s">
        <v>111</v>
      </c>
      <c r="BE149" t="s">
        <v>109</v>
      </c>
      <c r="BF149" t="s">
        <v>231</v>
      </c>
      <c r="BG149" t="s">
        <v>106</v>
      </c>
      <c r="BH149" t="s">
        <v>419</v>
      </c>
    </row>
    <row r="150" spans="33:60" x14ac:dyDescent="0.25">
      <c r="AH150" s="49"/>
      <c r="AI150" s="49"/>
      <c r="AK150" s="32" t="s">
        <v>50</v>
      </c>
      <c r="AL150" t="s">
        <v>68</v>
      </c>
      <c r="AM150" t="s">
        <v>319</v>
      </c>
      <c r="AN150" t="s">
        <v>320</v>
      </c>
      <c r="AW150" s="54" t="s">
        <v>121</v>
      </c>
      <c r="AX150" t="s">
        <v>231</v>
      </c>
      <c r="AY150">
        <v>6</v>
      </c>
      <c r="AZ150" t="s">
        <v>122</v>
      </c>
      <c r="BA150" t="s">
        <v>420</v>
      </c>
      <c r="BB150" t="s">
        <v>124</v>
      </c>
      <c r="BC150" t="s">
        <v>125</v>
      </c>
      <c r="BD150" t="s">
        <v>126</v>
      </c>
      <c r="BE150" t="s">
        <v>124</v>
      </c>
      <c r="BF150" t="s">
        <v>231</v>
      </c>
      <c r="BG150" t="s">
        <v>121</v>
      </c>
      <c r="BH150" t="s">
        <v>421</v>
      </c>
    </row>
    <row r="151" spans="33:60" x14ac:dyDescent="0.25">
      <c r="AG151" t="s">
        <v>238</v>
      </c>
      <c r="AH151" t="s">
        <v>117</v>
      </c>
      <c r="AI151" t="s">
        <v>424</v>
      </c>
      <c r="AK151" s="32" t="s">
        <v>50</v>
      </c>
      <c r="AL151" t="s">
        <v>68</v>
      </c>
      <c r="AM151" t="s">
        <v>323</v>
      </c>
      <c r="AN151" t="s">
        <v>324</v>
      </c>
      <c r="AW151" s="54" t="s">
        <v>139</v>
      </c>
      <c r="AX151" t="s">
        <v>231</v>
      </c>
      <c r="AY151">
        <v>7</v>
      </c>
      <c r="AZ151" t="s">
        <v>140</v>
      </c>
      <c r="BA151" t="s">
        <v>422</v>
      </c>
      <c r="BB151" t="s">
        <v>142</v>
      </c>
      <c r="BC151" t="s">
        <v>143</v>
      </c>
      <c r="BD151" t="s">
        <v>144</v>
      </c>
      <c r="BE151" t="s">
        <v>142</v>
      </c>
      <c r="BF151" t="s">
        <v>231</v>
      </c>
      <c r="BG151" t="s">
        <v>139</v>
      </c>
      <c r="BH151" t="s">
        <v>423</v>
      </c>
    </row>
    <row r="152" spans="33:60" x14ac:dyDescent="0.25">
      <c r="AG152" t="s">
        <v>238</v>
      </c>
      <c r="AH152" t="s">
        <v>135</v>
      </c>
      <c r="AI152" t="s">
        <v>136</v>
      </c>
      <c r="AK152" s="32" t="s">
        <v>50</v>
      </c>
      <c r="AL152" t="s">
        <v>68</v>
      </c>
      <c r="AM152" t="s">
        <v>326</v>
      </c>
      <c r="AN152" t="s">
        <v>327</v>
      </c>
      <c r="AW152" s="54" t="s">
        <v>151</v>
      </c>
      <c r="AX152" t="s">
        <v>231</v>
      </c>
      <c r="AY152">
        <v>8</v>
      </c>
      <c r="AZ152" t="s">
        <v>152</v>
      </c>
      <c r="BA152" t="s">
        <v>425</v>
      </c>
      <c r="BB152" t="s">
        <v>154</v>
      </c>
      <c r="BC152" t="s">
        <v>155</v>
      </c>
      <c r="BD152" t="s">
        <v>156</v>
      </c>
      <c r="BE152" t="s">
        <v>154</v>
      </c>
      <c r="BF152" t="s">
        <v>231</v>
      </c>
      <c r="BG152" t="s">
        <v>151</v>
      </c>
      <c r="BH152" t="s">
        <v>426</v>
      </c>
    </row>
    <row r="153" spans="33:60" x14ac:dyDescent="0.25">
      <c r="AG153" t="s">
        <v>245</v>
      </c>
      <c r="AH153" t="s">
        <v>39</v>
      </c>
      <c r="AI153">
        <v>2429</v>
      </c>
      <c r="AK153" s="32" t="s">
        <v>50</v>
      </c>
      <c r="AL153" t="s">
        <v>68</v>
      </c>
      <c r="AM153" t="s">
        <v>330</v>
      </c>
      <c r="AN153" t="s">
        <v>331</v>
      </c>
      <c r="AW153" s="54" t="s">
        <v>164</v>
      </c>
      <c r="AX153" t="s">
        <v>231</v>
      </c>
      <c r="AY153">
        <v>9</v>
      </c>
      <c r="AZ153" t="s">
        <v>165</v>
      </c>
      <c r="BA153" t="s">
        <v>427</v>
      </c>
      <c r="BB153" t="s">
        <v>167</v>
      </c>
      <c r="BC153" t="s">
        <v>168</v>
      </c>
      <c r="BD153" t="s">
        <v>169</v>
      </c>
      <c r="BE153" t="s">
        <v>167</v>
      </c>
      <c r="BF153" t="s">
        <v>231</v>
      </c>
      <c r="BG153" t="s">
        <v>164</v>
      </c>
      <c r="BH153" t="s">
        <v>428</v>
      </c>
    </row>
    <row r="154" spans="33:60" x14ac:dyDescent="0.25">
      <c r="AG154" t="s">
        <v>245</v>
      </c>
      <c r="AH154" s="49" t="s">
        <v>78</v>
      </c>
      <c r="AI154" s="49" t="s">
        <v>79</v>
      </c>
      <c r="AK154" s="32" t="s">
        <v>50</v>
      </c>
      <c r="AL154" t="s">
        <v>68</v>
      </c>
      <c r="AM154" t="s">
        <v>335</v>
      </c>
      <c r="AN154" t="s">
        <v>336</v>
      </c>
      <c r="AW154" s="54" t="s">
        <v>176</v>
      </c>
      <c r="AX154" t="s">
        <v>231</v>
      </c>
      <c r="AY154">
        <v>10</v>
      </c>
      <c r="AZ154" t="s">
        <v>177</v>
      </c>
      <c r="BA154" t="s">
        <v>429</v>
      </c>
      <c r="BB154" t="s">
        <v>179</v>
      </c>
      <c r="BC154" t="s">
        <v>180</v>
      </c>
      <c r="BD154" t="s">
        <v>181</v>
      </c>
      <c r="BE154" t="s">
        <v>179</v>
      </c>
      <c r="BF154" t="s">
        <v>231</v>
      </c>
      <c r="BG154" t="s">
        <v>176</v>
      </c>
      <c r="BH154" t="s">
        <v>430</v>
      </c>
    </row>
    <row r="155" spans="33:60" x14ac:dyDescent="0.25">
      <c r="AH155" s="49"/>
      <c r="AI155" s="49"/>
      <c r="AK155" s="32" t="s">
        <v>50</v>
      </c>
      <c r="AL155" t="s">
        <v>68</v>
      </c>
      <c r="AM155" t="s">
        <v>340</v>
      </c>
      <c r="AN155" t="s">
        <v>341</v>
      </c>
      <c r="AW155" s="54" t="s">
        <v>189</v>
      </c>
      <c r="AX155" t="s">
        <v>231</v>
      </c>
      <c r="AY155">
        <v>11</v>
      </c>
      <c r="AZ155" t="s">
        <v>190</v>
      </c>
      <c r="BA155" t="s">
        <v>431</v>
      </c>
      <c r="BB155" t="s">
        <v>192</v>
      </c>
      <c r="BC155" t="s">
        <v>193</v>
      </c>
      <c r="BD155" t="s">
        <v>194</v>
      </c>
      <c r="BE155" t="s">
        <v>192</v>
      </c>
      <c r="BF155" t="s">
        <v>231</v>
      </c>
      <c r="BG155" t="s">
        <v>189</v>
      </c>
      <c r="BH155" t="s">
        <v>432</v>
      </c>
    </row>
    <row r="156" spans="33:60" x14ac:dyDescent="0.25">
      <c r="AH156" s="49"/>
      <c r="AI156" s="49"/>
      <c r="AK156" s="32" t="s">
        <v>50</v>
      </c>
      <c r="AL156" t="s">
        <v>68</v>
      </c>
      <c r="AM156" t="s">
        <v>344</v>
      </c>
      <c r="AN156" t="s">
        <v>345</v>
      </c>
      <c r="AW156" s="54" t="s">
        <v>201</v>
      </c>
      <c r="AX156" t="s">
        <v>231</v>
      </c>
      <c r="AY156">
        <v>14</v>
      </c>
      <c r="AZ156" t="s">
        <v>202</v>
      </c>
      <c r="BA156" t="s">
        <v>433</v>
      </c>
      <c r="BB156" t="s">
        <v>204</v>
      </c>
      <c r="BC156" t="s">
        <v>205</v>
      </c>
      <c r="BD156" t="s">
        <v>206</v>
      </c>
      <c r="BE156" t="s">
        <v>204</v>
      </c>
      <c r="BF156" t="s">
        <v>231</v>
      </c>
      <c r="BG156" t="s">
        <v>201</v>
      </c>
      <c r="BH156" t="s">
        <v>434</v>
      </c>
    </row>
    <row r="157" spans="33:60" x14ac:dyDescent="0.25">
      <c r="AH157" s="49"/>
      <c r="AI157" s="49"/>
      <c r="AK157" s="32" t="s">
        <v>50</v>
      </c>
      <c r="AL157" t="s">
        <v>68</v>
      </c>
      <c r="AM157" t="s">
        <v>348</v>
      </c>
      <c r="AN157" t="s">
        <v>349</v>
      </c>
      <c r="AW157" s="54" t="s">
        <v>213</v>
      </c>
      <c r="AX157" t="s">
        <v>231</v>
      </c>
      <c r="AY157">
        <v>18</v>
      </c>
      <c r="AZ157" t="s">
        <v>214</v>
      </c>
      <c r="BA157" t="s">
        <v>435</v>
      </c>
      <c r="BB157" t="s">
        <v>216</v>
      </c>
      <c r="BC157" t="s">
        <v>217</v>
      </c>
      <c r="BD157" t="s">
        <v>218</v>
      </c>
      <c r="BE157" t="s">
        <v>216</v>
      </c>
      <c r="BF157" t="s">
        <v>231</v>
      </c>
      <c r="BG157" t="s">
        <v>213</v>
      </c>
      <c r="BH157" t="s">
        <v>436</v>
      </c>
    </row>
    <row r="158" spans="33:60" x14ac:dyDescent="0.25">
      <c r="AG158" t="s">
        <v>245</v>
      </c>
      <c r="AH158" t="s">
        <v>103</v>
      </c>
      <c r="AI158">
        <v>2429</v>
      </c>
      <c r="AK158" s="32" t="s">
        <v>50</v>
      </c>
      <c r="AL158" t="s">
        <v>68</v>
      </c>
      <c r="AM158" t="s">
        <v>352</v>
      </c>
      <c r="AN158" t="s">
        <v>353</v>
      </c>
      <c r="AW158" t="s">
        <v>53</v>
      </c>
      <c r="AX158" s="54" t="s">
        <v>238</v>
      </c>
      <c r="AY158" s="54">
        <v>3</v>
      </c>
      <c r="AZ158" s="54" t="s">
        <v>55</v>
      </c>
      <c r="BA158" s="54" t="s">
        <v>414</v>
      </c>
      <c r="BB158" s="54" t="s">
        <v>57</v>
      </c>
      <c r="BC158" s="54" t="s">
        <v>58</v>
      </c>
      <c r="BD158" s="54" t="s">
        <v>59</v>
      </c>
      <c r="BE158" s="54" t="s">
        <v>57</v>
      </c>
      <c r="BF158" s="54" t="s">
        <v>238</v>
      </c>
      <c r="BG158" s="54" t="s">
        <v>53</v>
      </c>
      <c r="BH158" s="54" t="s">
        <v>415</v>
      </c>
    </row>
    <row r="159" spans="33:60" x14ac:dyDescent="0.25">
      <c r="AH159" s="49"/>
      <c r="AI159" s="49"/>
      <c r="AK159" s="32" t="s">
        <v>50</v>
      </c>
      <c r="AL159" t="s">
        <v>68</v>
      </c>
      <c r="AM159" t="s">
        <v>356</v>
      </c>
      <c r="AN159" t="s">
        <v>357</v>
      </c>
      <c r="AW159" t="s">
        <v>82</v>
      </c>
      <c r="AX159" s="54" t="s">
        <v>238</v>
      </c>
      <c r="AY159" s="54">
        <v>4</v>
      </c>
      <c r="AZ159" s="54" t="s">
        <v>83</v>
      </c>
      <c r="BA159" s="54" t="s">
        <v>416</v>
      </c>
      <c r="BB159" s="54" t="s">
        <v>85</v>
      </c>
      <c r="BC159" s="54" t="s">
        <v>86</v>
      </c>
      <c r="BD159" s="54" t="s">
        <v>87</v>
      </c>
      <c r="BE159" s="54" t="s">
        <v>85</v>
      </c>
      <c r="BF159" s="54" t="s">
        <v>238</v>
      </c>
      <c r="BG159" s="54" t="s">
        <v>82</v>
      </c>
      <c r="BH159" s="54" t="s">
        <v>417</v>
      </c>
    </row>
    <row r="160" spans="33:60" x14ac:dyDescent="0.25">
      <c r="AH160" s="49"/>
      <c r="AI160" s="49"/>
      <c r="AK160" s="32" t="s">
        <v>50</v>
      </c>
      <c r="AL160" t="s">
        <v>68</v>
      </c>
      <c r="AM160" t="s">
        <v>359</v>
      </c>
      <c r="AN160" t="s">
        <v>360</v>
      </c>
      <c r="AW160" t="s">
        <v>106</v>
      </c>
      <c r="AX160" s="54" t="s">
        <v>238</v>
      </c>
      <c r="AY160" s="54">
        <v>5</v>
      </c>
      <c r="AZ160" s="54" t="s">
        <v>107</v>
      </c>
      <c r="BA160" s="54" t="s">
        <v>418</v>
      </c>
      <c r="BB160" s="54" t="s">
        <v>109</v>
      </c>
      <c r="BC160" s="54" t="s">
        <v>110</v>
      </c>
      <c r="BD160" s="54" t="s">
        <v>111</v>
      </c>
      <c r="BE160" s="54" t="s">
        <v>109</v>
      </c>
      <c r="BF160" s="54" t="s">
        <v>238</v>
      </c>
      <c r="BG160" s="54" t="s">
        <v>106</v>
      </c>
      <c r="BH160" s="54" t="s">
        <v>419</v>
      </c>
    </row>
    <row r="161" spans="33:60" x14ac:dyDescent="0.25">
      <c r="AG161" t="s">
        <v>245</v>
      </c>
      <c r="AH161" t="s">
        <v>117</v>
      </c>
      <c r="AI161" t="s">
        <v>118</v>
      </c>
      <c r="AK161" s="32" t="s">
        <v>50</v>
      </c>
      <c r="AL161" t="s">
        <v>68</v>
      </c>
      <c r="AM161" t="s">
        <v>362</v>
      </c>
      <c r="AN161" t="s">
        <v>363</v>
      </c>
      <c r="AW161" t="s">
        <v>121</v>
      </c>
      <c r="AX161" s="54" t="s">
        <v>238</v>
      </c>
      <c r="AY161" s="54">
        <v>6</v>
      </c>
      <c r="AZ161" s="54" t="s">
        <v>122</v>
      </c>
      <c r="BA161" s="54" t="s">
        <v>420</v>
      </c>
      <c r="BB161" s="54" t="s">
        <v>124</v>
      </c>
      <c r="BC161" s="54" t="s">
        <v>125</v>
      </c>
      <c r="BD161" s="54" t="s">
        <v>126</v>
      </c>
      <c r="BE161" s="54" t="s">
        <v>124</v>
      </c>
      <c r="BF161" s="54" t="s">
        <v>238</v>
      </c>
      <c r="BG161" s="54" t="s">
        <v>121</v>
      </c>
      <c r="BH161" s="54" t="s">
        <v>421</v>
      </c>
    </row>
    <row r="162" spans="33:60" x14ac:dyDescent="0.25">
      <c r="AG162" t="s">
        <v>245</v>
      </c>
      <c r="AH162" t="s">
        <v>135</v>
      </c>
      <c r="AI162" t="s">
        <v>136</v>
      </c>
      <c r="AK162" s="32" t="s">
        <v>50</v>
      </c>
      <c r="AL162" t="s">
        <v>68</v>
      </c>
      <c r="AM162" t="s">
        <v>365</v>
      </c>
      <c r="AN162" t="s">
        <v>366</v>
      </c>
      <c r="AW162" t="s">
        <v>139</v>
      </c>
      <c r="AX162" s="54" t="s">
        <v>238</v>
      </c>
      <c r="AY162" s="54">
        <v>7</v>
      </c>
      <c r="AZ162" s="54" t="s">
        <v>140</v>
      </c>
      <c r="BA162" s="54" t="s">
        <v>422</v>
      </c>
      <c r="BB162" s="54" t="s">
        <v>142</v>
      </c>
      <c r="BC162" s="54" t="s">
        <v>143</v>
      </c>
      <c r="BD162" s="54" t="s">
        <v>144</v>
      </c>
      <c r="BE162" s="54" t="s">
        <v>142</v>
      </c>
      <c r="BF162" s="54" t="s">
        <v>238</v>
      </c>
      <c r="BG162" s="54" t="s">
        <v>139</v>
      </c>
      <c r="BH162" s="54" t="s">
        <v>423</v>
      </c>
    </row>
    <row r="163" spans="33:60" x14ac:dyDescent="0.25">
      <c r="AG163" t="s">
        <v>253</v>
      </c>
      <c r="AH163" t="s">
        <v>39</v>
      </c>
      <c r="AI163">
        <v>2429</v>
      </c>
      <c r="AK163" s="32" t="s">
        <v>50</v>
      </c>
      <c r="AL163" t="s">
        <v>68</v>
      </c>
      <c r="AM163" t="s">
        <v>367</v>
      </c>
      <c r="AN163" t="s">
        <v>368</v>
      </c>
      <c r="AW163" t="s">
        <v>151</v>
      </c>
      <c r="AX163" s="54" t="s">
        <v>238</v>
      </c>
      <c r="AY163" s="54">
        <v>8</v>
      </c>
      <c r="AZ163" s="54" t="s">
        <v>152</v>
      </c>
      <c r="BA163" s="54" t="s">
        <v>425</v>
      </c>
      <c r="BB163" s="54" t="s">
        <v>154</v>
      </c>
      <c r="BC163" s="54" t="s">
        <v>155</v>
      </c>
      <c r="BD163" s="54" t="s">
        <v>156</v>
      </c>
      <c r="BE163" s="54" t="s">
        <v>154</v>
      </c>
      <c r="BF163" s="54" t="s">
        <v>238</v>
      </c>
      <c r="BG163" s="54" t="s">
        <v>151</v>
      </c>
      <c r="BH163" s="54" t="s">
        <v>426</v>
      </c>
    </row>
    <row r="164" spans="33:60" x14ac:dyDescent="0.25">
      <c r="AG164" t="s">
        <v>253</v>
      </c>
      <c r="AH164" s="49" t="s">
        <v>78</v>
      </c>
      <c r="AI164" s="49" t="s">
        <v>79</v>
      </c>
      <c r="AK164" s="32" t="s">
        <v>50</v>
      </c>
      <c r="AL164" t="s">
        <v>68</v>
      </c>
      <c r="AM164" t="s">
        <v>369</v>
      </c>
      <c r="AN164" t="s">
        <v>370</v>
      </c>
      <c r="AW164" t="s">
        <v>164</v>
      </c>
      <c r="AX164" s="54" t="s">
        <v>238</v>
      </c>
      <c r="AY164" s="54">
        <v>9</v>
      </c>
      <c r="AZ164" s="54" t="s">
        <v>165</v>
      </c>
      <c r="BA164" s="54" t="s">
        <v>427</v>
      </c>
      <c r="BB164" s="54" t="s">
        <v>167</v>
      </c>
      <c r="BC164" s="54" t="s">
        <v>168</v>
      </c>
      <c r="BD164" s="54" t="s">
        <v>169</v>
      </c>
      <c r="BE164" s="54" t="s">
        <v>167</v>
      </c>
      <c r="BF164" s="54" t="s">
        <v>238</v>
      </c>
      <c r="BG164" s="54" t="s">
        <v>164</v>
      </c>
      <c r="BH164" s="54" t="s">
        <v>428</v>
      </c>
    </row>
    <row r="165" spans="33:60" x14ac:dyDescent="0.25">
      <c r="AH165" s="49"/>
      <c r="AI165" s="49"/>
      <c r="AK165" s="32" t="s">
        <v>50</v>
      </c>
      <c r="AL165" t="s">
        <v>68</v>
      </c>
      <c r="AM165" t="s">
        <v>371</v>
      </c>
      <c r="AN165" t="s">
        <v>372</v>
      </c>
      <c r="AW165" t="s">
        <v>176</v>
      </c>
      <c r="AX165" s="54" t="s">
        <v>238</v>
      </c>
      <c r="AY165" s="54">
        <v>10</v>
      </c>
      <c r="AZ165" s="54" t="s">
        <v>177</v>
      </c>
      <c r="BA165" s="54" t="s">
        <v>429</v>
      </c>
      <c r="BB165" s="54" t="s">
        <v>179</v>
      </c>
      <c r="BC165" s="54" t="s">
        <v>180</v>
      </c>
      <c r="BD165" s="54" t="s">
        <v>181</v>
      </c>
      <c r="BE165" s="54" t="s">
        <v>179</v>
      </c>
      <c r="BF165" s="54" t="s">
        <v>238</v>
      </c>
      <c r="BG165" s="54" t="s">
        <v>176</v>
      </c>
      <c r="BH165" s="54" t="s">
        <v>430</v>
      </c>
    </row>
    <row r="166" spans="33:60" x14ac:dyDescent="0.25">
      <c r="AH166" s="49"/>
      <c r="AI166" s="49"/>
      <c r="AK166" s="32" t="s">
        <v>50</v>
      </c>
      <c r="AL166" t="s">
        <v>68</v>
      </c>
      <c r="AM166" t="s">
        <v>374</v>
      </c>
      <c r="AN166" t="s">
        <v>375</v>
      </c>
      <c r="AW166" t="s">
        <v>189</v>
      </c>
      <c r="AX166" s="54" t="s">
        <v>238</v>
      </c>
      <c r="AY166" s="54">
        <v>11</v>
      </c>
      <c r="AZ166" s="54" t="s">
        <v>190</v>
      </c>
      <c r="BA166" s="54" t="s">
        <v>431</v>
      </c>
      <c r="BB166" s="54" t="s">
        <v>192</v>
      </c>
      <c r="BC166" s="54" t="s">
        <v>193</v>
      </c>
      <c r="BD166" s="54" t="s">
        <v>194</v>
      </c>
      <c r="BE166" s="54" t="s">
        <v>192</v>
      </c>
      <c r="BF166" s="54" t="s">
        <v>238</v>
      </c>
      <c r="BG166" s="54" t="s">
        <v>189</v>
      </c>
      <c r="BH166" s="54" t="s">
        <v>432</v>
      </c>
    </row>
    <row r="167" spans="33:60" x14ac:dyDescent="0.25">
      <c r="AH167" s="49"/>
      <c r="AI167" s="49"/>
      <c r="AK167" s="32" t="s">
        <v>50</v>
      </c>
      <c r="AL167" t="s">
        <v>68</v>
      </c>
      <c r="AM167" t="s">
        <v>376</v>
      </c>
      <c r="AN167" t="s">
        <v>377</v>
      </c>
      <c r="AW167" t="s">
        <v>201</v>
      </c>
      <c r="AX167" s="54" t="s">
        <v>238</v>
      </c>
      <c r="AY167" s="54">
        <v>14</v>
      </c>
      <c r="AZ167" s="54" t="s">
        <v>202</v>
      </c>
      <c r="BA167" s="54" t="s">
        <v>433</v>
      </c>
      <c r="BB167" s="54" t="s">
        <v>204</v>
      </c>
      <c r="BC167" s="54" t="s">
        <v>205</v>
      </c>
      <c r="BD167" s="54" t="s">
        <v>206</v>
      </c>
      <c r="BE167" s="54" t="s">
        <v>204</v>
      </c>
      <c r="BF167" s="54" t="s">
        <v>238</v>
      </c>
      <c r="BG167" s="54" t="s">
        <v>201</v>
      </c>
      <c r="BH167" s="54" t="s">
        <v>434</v>
      </c>
    </row>
    <row r="168" spans="33:60" x14ac:dyDescent="0.25">
      <c r="AG168" t="s">
        <v>253</v>
      </c>
      <c r="AH168" t="s">
        <v>103</v>
      </c>
      <c r="AI168">
        <v>2429</v>
      </c>
      <c r="AK168" s="32" t="s">
        <v>50</v>
      </c>
      <c r="AL168" t="s">
        <v>68</v>
      </c>
      <c r="AM168" t="s">
        <v>379</v>
      </c>
      <c r="AN168" t="s">
        <v>380</v>
      </c>
      <c r="AW168" t="s">
        <v>213</v>
      </c>
      <c r="AX168" s="54" t="s">
        <v>238</v>
      </c>
      <c r="AY168" s="54">
        <v>18</v>
      </c>
      <c r="AZ168" s="54" t="s">
        <v>214</v>
      </c>
      <c r="BA168" s="54" t="s">
        <v>435</v>
      </c>
      <c r="BB168" s="54" t="s">
        <v>216</v>
      </c>
      <c r="BC168" s="54" t="s">
        <v>217</v>
      </c>
      <c r="BD168" s="54" t="s">
        <v>218</v>
      </c>
      <c r="BE168" s="54" t="s">
        <v>216</v>
      </c>
      <c r="BF168" s="54" t="s">
        <v>238</v>
      </c>
      <c r="BG168" s="54" t="s">
        <v>213</v>
      </c>
      <c r="BH168" s="54" t="s">
        <v>436</v>
      </c>
    </row>
    <row r="169" spans="33:60" x14ac:dyDescent="0.25">
      <c r="AH169" s="49"/>
      <c r="AI169" s="49"/>
      <c r="AK169" s="32" t="s">
        <v>50</v>
      </c>
      <c r="AL169" t="s">
        <v>68</v>
      </c>
      <c r="AM169" t="s">
        <v>381</v>
      </c>
      <c r="AN169" t="s">
        <v>382</v>
      </c>
      <c r="AW169" t="s">
        <v>53</v>
      </c>
      <c r="AX169" t="s">
        <v>245</v>
      </c>
      <c r="AY169">
        <v>3</v>
      </c>
      <c r="AZ169" t="s">
        <v>55</v>
      </c>
      <c r="BA169" t="s">
        <v>414</v>
      </c>
      <c r="BB169" t="s">
        <v>57</v>
      </c>
      <c r="BC169" t="s">
        <v>58</v>
      </c>
      <c r="BD169" t="s">
        <v>59</v>
      </c>
      <c r="BE169" t="s">
        <v>57</v>
      </c>
      <c r="BF169" t="s">
        <v>245</v>
      </c>
      <c r="BG169" t="s">
        <v>53</v>
      </c>
      <c r="BH169" t="s">
        <v>415</v>
      </c>
    </row>
    <row r="170" spans="33:60" x14ac:dyDescent="0.25">
      <c r="AH170" s="49"/>
      <c r="AI170" s="49"/>
      <c r="AK170" s="32" t="s">
        <v>50</v>
      </c>
      <c r="AL170" t="s">
        <v>68</v>
      </c>
      <c r="AM170" t="s">
        <v>383</v>
      </c>
      <c r="AN170" t="s">
        <v>384</v>
      </c>
      <c r="AW170" t="s">
        <v>82</v>
      </c>
      <c r="AX170" t="s">
        <v>245</v>
      </c>
      <c r="AY170">
        <v>4</v>
      </c>
      <c r="AZ170" t="s">
        <v>83</v>
      </c>
      <c r="BA170" t="s">
        <v>416</v>
      </c>
      <c r="BB170" t="s">
        <v>85</v>
      </c>
      <c r="BC170" t="s">
        <v>86</v>
      </c>
      <c r="BD170" t="s">
        <v>87</v>
      </c>
      <c r="BE170" t="s">
        <v>85</v>
      </c>
      <c r="BF170" t="s">
        <v>245</v>
      </c>
      <c r="BG170" t="s">
        <v>82</v>
      </c>
      <c r="BH170" t="s">
        <v>417</v>
      </c>
    </row>
    <row r="171" spans="33:60" x14ac:dyDescent="0.25">
      <c r="AG171" t="s">
        <v>253</v>
      </c>
      <c r="AH171" t="s">
        <v>117</v>
      </c>
      <c r="AI171" t="s">
        <v>118</v>
      </c>
      <c r="AK171" s="32" t="s">
        <v>50</v>
      </c>
      <c r="AL171" t="s">
        <v>68</v>
      </c>
      <c r="AM171" t="s">
        <v>385</v>
      </c>
      <c r="AN171" t="s">
        <v>386</v>
      </c>
      <c r="AW171" t="s">
        <v>106</v>
      </c>
      <c r="AX171" t="s">
        <v>245</v>
      </c>
      <c r="AY171">
        <v>5</v>
      </c>
      <c r="AZ171" t="s">
        <v>107</v>
      </c>
      <c r="BA171" t="s">
        <v>418</v>
      </c>
      <c r="BB171" t="s">
        <v>109</v>
      </c>
      <c r="BC171" t="s">
        <v>110</v>
      </c>
      <c r="BD171" t="s">
        <v>111</v>
      </c>
      <c r="BE171" t="s">
        <v>109</v>
      </c>
      <c r="BF171" t="s">
        <v>245</v>
      </c>
      <c r="BG171" t="s">
        <v>106</v>
      </c>
      <c r="BH171" t="s">
        <v>419</v>
      </c>
    </row>
    <row r="172" spans="33:60" x14ac:dyDescent="0.25">
      <c r="AG172" t="s">
        <v>253</v>
      </c>
      <c r="AH172" t="s">
        <v>135</v>
      </c>
      <c r="AI172" t="s">
        <v>136</v>
      </c>
      <c r="AK172" s="32" t="s">
        <v>50</v>
      </c>
      <c r="AL172" t="s">
        <v>68</v>
      </c>
      <c r="AM172" t="s">
        <v>387</v>
      </c>
      <c r="AN172" t="s">
        <v>388</v>
      </c>
      <c r="AW172" t="s">
        <v>121</v>
      </c>
      <c r="AX172" t="s">
        <v>245</v>
      </c>
      <c r="AY172">
        <v>6</v>
      </c>
      <c r="AZ172" t="s">
        <v>122</v>
      </c>
      <c r="BA172" t="s">
        <v>420</v>
      </c>
      <c r="BB172" t="s">
        <v>124</v>
      </c>
      <c r="BC172" t="s">
        <v>125</v>
      </c>
      <c r="BD172" t="s">
        <v>126</v>
      </c>
      <c r="BE172" t="s">
        <v>124</v>
      </c>
      <c r="BF172" t="s">
        <v>245</v>
      </c>
      <c r="BG172" t="s">
        <v>121</v>
      </c>
      <c r="BH172" t="s">
        <v>421</v>
      </c>
    </row>
    <row r="173" spans="33:60" x14ac:dyDescent="0.25">
      <c r="AG173" t="s">
        <v>261</v>
      </c>
      <c r="AH173" t="s">
        <v>39</v>
      </c>
      <c r="AI173">
        <v>2429</v>
      </c>
      <c r="AK173" s="32" t="s">
        <v>50</v>
      </c>
      <c r="AL173" t="s">
        <v>68</v>
      </c>
      <c r="AM173" t="s">
        <v>389</v>
      </c>
      <c r="AN173" t="s">
        <v>390</v>
      </c>
      <c r="AW173" t="s">
        <v>139</v>
      </c>
      <c r="AX173" t="s">
        <v>245</v>
      </c>
      <c r="AY173">
        <v>7</v>
      </c>
      <c r="AZ173" t="s">
        <v>140</v>
      </c>
      <c r="BA173" t="s">
        <v>422</v>
      </c>
      <c r="BB173" t="s">
        <v>142</v>
      </c>
      <c r="BC173" t="s">
        <v>143</v>
      </c>
      <c r="BD173" t="s">
        <v>144</v>
      </c>
      <c r="BE173" t="s">
        <v>142</v>
      </c>
      <c r="BF173" t="s">
        <v>245</v>
      </c>
      <c r="BG173" t="s">
        <v>139</v>
      </c>
      <c r="BH173" t="s">
        <v>423</v>
      </c>
    </row>
    <row r="174" spans="33:60" x14ac:dyDescent="0.25">
      <c r="AG174" t="s">
        <v>261</v>
      </c>
      <c r="AH174" s="49" t="s">
        <v>78</v>
      </c>
      <c r="AI174" s="49" t="s">
        <v>79</v>
      </c>
      <c r="AK174" s="32" t="s">
        <v>50</v>
      </c>
      <c r="AL174" t="s">
        <v>68</v>
      </c>
      <c r="AM174" t="s">
        <v>391</v>
      </c>
      <c r="AN174" t="s">
        <v>392</v>
      </c>
      <c r="AW174" t="s">
        <v>151</v>
      </c>
      <c r="AX174" t="s">
        <v>245</v>
      </c>
      <c r="AY174">
        <v>8</v>
      </c>
      <c r="AZ174" t="s">
        <v>152</v>
      </c>
      <c r="BA174" t="s">
        <v>425</v>
      </c>
      <c r="BB174" t="s">
        <v>154</v>
      </c>
      <c r="BC174" t="s">
        <v>155</v>
      </c>
      <c r="BD174" t="s">
        <v>156</v>
      </c>
      <c r="BE174" t="s">
        <v>154</v>
      </c>
      <c r="BF174" t="s">
        <v>245</v>
      </c>
      <c r="BG174" t="s">
        <v>151</v>
      </c>
      <c r="BH174" t="s">
        <v>426</v>
      </c>
    </row>
    <row r="175" spans="33:60" x14ac:dyDescent="0.25">
      <c r="AH175" s="49"/>
      <c r="AI175" s="49"/>
      <c r="AK175" s="32" t="s">
        <v>50</v>
      </c>
      <c r="AL175" t="s">
        <v>68</v>
      </c>
      <c r="AM175" t="s">
        <v>393</v>
      </c>
      <c r="AN175" t="s">
        <v>394</v>
      </c>
      <c r="AW175" t="s">
        <v>164</v>
      </c>
      <c r="AX175" t="s">
        <v>245</v>
      </c>
      <c r="AY175">
        <v>9</v>
      </c>
      <c r="AZ175" t="s">
        <v>165</v>
      </c>
      <c r="BA175" t="s">
        <v>427</v>
      </c>
      <c r="BB175" t="s">
        <v>167</v>
      </c>
      <c r="BC175" t="s">
        <v>168</v>
      </c>
      <c r="BD175" t="s">
        <v>169</v>
      </c>
      <c r="BE175" t="s">
        <v>167</v>
      </c>
      <c r="BF175" t="s">
        <v>245</v>
      </c>
      <c r="BG175" t="s">
        <v>164</v>
      </c>
      <c r="BH175" t="s">
        <v>428</v>
      </c>
    </row>
    <row r="176" spans="33:60" x14ac:dyDescent="0.25">
      <c r="AH176" s="49"/>
      <c r="AI176" s="49"/>
      <c r="AK176" s="32" t="s">
        <v>50</v>
      </c>
      <c r="AL176" t="s">
        <v>68</v>
      </c>
      <c r="AM176" t="s">
        <v>395</v>
      </c>
      <c r="AN176" t="s">
        <v>396</v>
      </c>
      <c r="AW176" t="s">
        <v>176</v>
      </c>
      <c r="AX176" t="s">
        <v>245</v>
      </c>
      <c r="AY176">
        <v>10</v>
      </c>
      <c r="AZ176" t="s">
        <v>177</v>
      </c>
      <c r="BA176" t="s">
        <v>429</v>
      </c>
      <c r="BB176" t="s">
        <v>179</v>
      </c>
      <c r="BC176" t="s">
        <v>180</v>
      </c>
      <c r="BD176" t="s">
        <v>181</v>
      </c>
      <c r="BE176" t="s">
        <v>179</v>
      </c>
      <c r="BF176" t="s">
        <v>245</v>
      </c>
      <c r="BG176" t="s">
        <v>176</v>
      </c>
      <c r="BH176" t="s">
        <v>430</v>
      </c>
    </row>
    <row r="177" spans="33:60" x14ac:dyDescent="0.25">
      <c r="AH177" s="49"/>
      <c r="AI177" s="49"/>
      <c r="AK177" s="32" t="s">
        <v>50</v>
      </c>
      <c r="AL177" t="s">
        <v>68</v>
      </c>
      <c r="AM177" t="s">
        <v>397</v>
      </c>
      <c r="AN177" t="s">
        <v>398</v>
      </c>
      <c r="AW177" t="s">
        <v>189</v>
      </c>
      <c r="AX177" t="s">
        <v>245</v>
      </c>
      <c r="AY177">
        <v>11</v>
      </c>
      <c r="AZ177" t="s">
        <v>190</v>
      </c>
      <c r="BA177" t="s">
        <v>431</v>
      </c>
      <c r="BB177" t="s">
        <v>192</v>
      </c>
      <c r="BC177" t="s">
        <v>193</v>
      </c>
      <c r="BD177" t="s">
        <v>194</v>
      </c>
      <c r="BE177" t="s">
        <v>192</v>
      </c>
      <c r="BF177" t="s">
        <v>245</v>
      </c>
      <c r="BG177" t="s">
        <v>189</v>
      </c>
      <c r="BH177" t="s">
        <v>432</v>
      </c>
    </row>
    <row r="178" spans="33:60" x14ac:dyDescent="0.25">
      <c r="AG178" t="s">
        <v>261</v>
      </c>
      <c r="AH178" t="s">
        <v>103</v>
      </c>
      <c r="AI178">
        <v>2429</v>
      </c>
      <c r="AK178" s="32" t="s">
        <v>50</v>
      </c>
      <c r="AL178" t="s">
        <v>68</v>
      </c>
      <c r="AM178" t="s">
        <v>399</v>
      </c>
      <c r="AN178" t="s">
        <v>400</v>
      </c>
      <c r="AW178" t="s">
        <v>201</v>
      </c>
      <c r="AX178" t="s">
        <v>245</v>
      </c>
      <c r="AY178">
        <v>14</v>
      </c>
      <c r="AZ178" t="s">
        <v>202</v>
      </c>
      <c r="BA178" t="s">
        <v>433</v>
      </c>
      <c r="BB178" t="s">
        <v>204</v>
      </c>
      <c r="BC178" t="s">
        <v>205</v>
      </c>
      <c r="BD178" t="s">
        <v>206</v>
      </c>
      <c r="BE178" t="s">
        <v>204</v>
      </c>
      <c r="BF178" t="s">
        <v>245</v>
      </c>
      <c r="BG178" t="s">
        <v>201</v>
      </c>
      <c r="BH178" t="s">
        <v>434</v>
      </c>
    </row>
    <row r="179" spans="33:60" x14ac:dyDescent="0.25">
      <c r="AH179" s="49"/>
      <c r="AI179" s="49"/>
      <c r="AK179" s="32" t="s">
        <v>50</v>
      </c>
      <c r="AL179" t="s">
        <v>68</v>
      </c>
      <c r="AM179" t="s">
        <v>401</v>
      </c>
      <c r="AN179" t="s">
        <v>402</v>
      </c>
      <c r="AW179" t="s">
        <v>213</v>
      </c>
      <c r="AX179" t="s">
        <v>245</v>
      </c>
      <c r="AY179">
        <v>18</v>
      </c>
      <c r="AZ179" t="s">
        <v>214</v>
      </c>
      <c r="BA179" t="s">
        <v>435</v>
      </c>
      <c r="BB179" t="s">
        <v>216</v>
      </c>
      <c r="BC179" t="s">
        <v>217</v>
      </c>
      <c r="BD179" t="s">
        <v>218</v>
      </c>
      <c r="BE179" t="s">
        <v>216</v>
      </c>
      <c r="BF179" t="s">
        <v>245</v>
      </c>
      <c r="BG179" t="s">
        <v>213</v>
      </c>
      <c r="BH179" t="s">
        <v>436</v>
      </c>
    </row>
    <row r="180" spans="33:60" x14ac:dyDescent="0.25">
      <c r="AH180" s="49"/>
      <c r="AI180" s="49"/>
      <c r="AK180" s="32" t="s">
        <v>50</v>
      </c>
      <c r="AL180" t="s">
        <v>68</v>
      </c>
      <c r="AM180" t="s">
        <v>403</v>
      </c>
      <c r="AN180" t="s">
        <v>404</v>
      </c>
      <c r="AW180" t="s">
        <v>53</v>
      </c>
      <c r="AX180" t="s">
        <v>253</v>
      </c>
      <c r="AY180">
        <v>3</v>
      </c>
      <c r="AZ180" t="s">
        <v>55</v>
      </c>
      <c r="BA180" t="s">
        <v>414</v>
      </c>
      <c r="BB180" t="s">
        <v>57</v>
      </c>
      <c r="BC180" t="s">
        <v>58</v>
      </c>
      <c r="BD180" t="s">
        <v>59</v>
      </c>
      <c r="BE180" t="s">
        <v>57</v>
      </c>
      <c r="BF180" t="s">
        <v>253</v>
      </c>
      <c r="BG180" t="s">
        <v>53</v>
      </c>
      <c r="BH180" t="s">
        <v>415</v>
      </c>
    </row>
    <row r="181" spans="33:60" x14ac:dyDescent="0.25">
      <c r="AG181" t="s">
        <v>261</v>
      </c>
      <c r="AH181" t="s">
        <v>117</v>
      </c>
      <c r="AI181" t="s">
        <v>118</v>
      </c>
      <c r="AK181" s="32" t="s">
        <v>50</v>
      </c>
      <c r="AL181" t="s">
        <v>68</v>
      </c>
      <c r="AM181" t="s">
        <v>405</v>
      </c>
      <c r="AN181" t="s">
        <v>406</v>
      </c>
      <c r="AW181" t="s">
        <v>82</v>
      </c>
      <c r="AX181" t="s">
        <v>253</v>
      </c>
      <c r="AY181">
        <v>4</v>
      </c>
      <c r="AZ181" t="s">
        <v>83</v>
      </c>
      <c r="BA181" t="s">
        <v>416</v>
      </c>
      <c r="BB181" t="s">
        <v>85</v>
      </c>
      <c r="BC181" t="s">
        <v>86</v>
      </c>
      <c r="BD181" t="s">
        <v>87</v>
      </c>
      <c r="BE181" t="s">
        <v>85</v>
      </c>
      <c r="BF181" t="s">
        <v>253</v>
      </c>
      <c r="BG181" t="s">
        <v>82</v>
      </c>
      <c r="BH181" t="s">
        <v>417</v>
      </c>
    </row>
    <row r="182" spans="33:60" x14ac:dyDescent="0.25">
      <c r="AG182" t="s">
        <v>261</v>
      </c>
      <c r="AH182" t="s">
        <v>135</v>
      </c>
      <c r="AI182" t="s">
        <v>136</v>
      </c>
      <c r="AK182" s="32" t="s">
        <v>50</v>
      </c>
      <c r="AL182" t="s">
        <v>68</v>
      </c>
      <c r="AM182" t="s">
        <v>407</v>
      </c>
      <c r="AN182" t="s">
        <v>408</v>
      </c>
      <c r="AW182" t="s">
        <v>106</v>
      </c>
      <c r="AX182" t="s">
        <v>253</v>
      </c>
      <c r="AY182">
        <v>5</v>
      </c>
      <c r="AZ182" t="s">
        <v>107</v>
      </c>
      <c r="BA182" t="s">
        <v>418</v>
      </c>
      <c r="BB182" t="s">
        <v>109</v>
      </c>
      <c r="BC182" t="s">
        <v>110</v>
      </c>
      <c r="BD182" t="s">
        <v>111</v>
      </c>
      <c r="BE182" t="s">
        <v>109</v>
      </c>
      <c r="BF182" t="s">
        <v>253</v>
      </c>
      <c r="BG182" t="s">
        <v>106</v>
      </c>
      <c r="BH182" t="s">
        <v>419</v>
      </c>
    </row>
    <row r="183" spans="33:60" x14ac:dyDescent="0.25">
      <c r="AG183" t="s">
        <v>269</v>
      </c>
      <c r="AH183" t="s">
        <v>39</v>
      </c>
      <c r="AI183">
        <v>2429</v>
      </c>
      <c r="AK183" s="32" t="s">
        <v>50</v>
      </c>
      <c r="AL183" t="s">
        <v>68</v>
      </c>
      <c r="AM183" t="s">
        <v>409</v>
      </c>
      <c r="AN183" t="s">
        <v>410</v>
      </c>
      <c r="AW183" t="s">
        <v>121</v>
      </c>
      <c r="AX183" t="s">
        <v>253</v>
      </c>
      <c r="AY183">
        <v>6</v>
      </c>
      <c r="AZ183" t="s">
        <v>122</v>
      </c>
      <c r="BA183" t="s">
        <v>420</v>
      </c>
      <c r="BB183" t="s">
        <v>124</v>
      </c>
      <c r="BC183" t="s">
        <v>125</v>
      </c>
      <c r="BD183" t="s">
        <v>126</v>
      </c>
      <c r="BE183" t="s">
        <v>124</v>
      </c>
      <c r="BF183" t="s">
        <v>253</v>
      </c>
      <c r="BG183" t="s">
        <v>121</v>
      </c>
      <c r="BH183" t="s">
        <v>421</v>
      </c>
    </row>
    <row r="184" spans="33:60" x14ac:dyDescent="0.25">
      <c r="AG184" t="s">
        <v>269</v>
      </c>
      <c r="AH184" s="49" t="s">
        <v>78</v>
      </c>
      <c r="AI184" s="49" t="s">
        <v>79</v>
      </c>
      <c r="AW184" t="s">
        <v>139</v>
      </c>
      <c r="AX184" t="s">
        <v>253</v>
      </c>
      <c r="AY184">
        <v>7</v>
      </c>
      <c r="AZ184" t="s">
        <v>140</v>
      </c>
      <c r="BA184" t="s">
        <v>422</v>
      </c>
      <c r="BB184" t="s">
        <v>142</v>
      </c>
      <c r="BC184" t="s">
        <v>143</v>
      </c>
      <c r="BD184" t="s">
        <v>144</v>
      </c>
      <c r="BE184" t="s">
        <v>142</v>
      </c>
      <c r="BF184" t="s">
        <v>253</v>
      </c>
      <c r="BG184" t="s">
        <v>139</v>
      </c>
      <c r="BH184" t="s">
        <v>423</v>
      </c>
    </row>
    <row r="185" spans="33:60" x14ac:dyDescent="0.25">
      <c r="AH185" s="49"/>
      <c r="AI185" s="49"/>
      <c r="AK185" s="32" t="s">
        <v>50</v>
      </c>
      <c r="AL185" t="s">
        <v>95</v>
      </c>
      <c r="AM185" t="s">
        <v>51</v>
      </c>
      <c r="AN185" t="s">
        <v>52</v>
      </c>
      <c r="AW185" t="s">
        <v>151</v>
      </c>
      <c r="AX185" t="s">
        <v>253</v>
      </c>
      <c r="AY185">
        <v>8</v>
      </c>
      <c r="AZ185" t="s">
        <v>152</v>
      </c>
      <c r="BA185" t="s">
        <v>425</v>
      </c>
      <c r="BB185" t="s">
        <v>154</v>
      </c>
      <c r="BC185" t="s">
        <v>155</v>
      </c>
      <c r="BD185" t="s">
        <v>156</v>
      </c>
      <c r="BE185" t="s">
        <v>154</v>
      </c>
      <c r="BF185" t="s">
        <v>253</v>
      </c>
      <c r="BG185" t="s">
        <v>151</v>
      </c>
      <c r="BH185" t="s">
        <v>426</v>
      </c>
    </row>
    <row r="186" spans="33:60" x14ac:dyDescent="0.25">
      <c r="AH186" s="49"/>
      <c r="AI186" s="49"/>
      <c r="AK186" s="32" t="s">
        <v>50</v>
      </c>
      <c r="AL186" t="s">
        <v>95</v>
      </c>
      <c r="AM186" t="s">
        <v>80</v>
      </c>
      <c r="AN186" t="s">
        <v>81</v>
      </c>
      <c r="AW186" t="s">
        <v>164</v>
      </c>
      <c r="AX186" t="s">
        <v>253</v>
      </c>
      <c r="AY186">
        <v>9</v>
      </c>
      <c r="AZ186" t="s">
        <v>165</v>
      </c>
      <c r="BA186" t="s">
        <v>427</v>
      </c>
      <c r="BB186" t="s">
        <v>167</v>
      </c>
      <c r="BC186" t="s">
        <v>168</v>
      </c>
      <c r="BD186" t="s">
        <v>169</v>
      </c>
      <c r="BE186" t="s">
        <v>167</v>
      </c>
      <c r="BF186" t="s">
        <v>253</v>
      </c>
      <c r="BG186" t="s">
        <v>164</v>
      </c>
      <c r="BH186" t="s">
        <v>428</v>
      </c>
    </row>
    <row r="187" spans="33:60" x14ac:dyDescent="0.25">
      <c r="AH187" s="49"/>
      <c r="AI187" s="49"/>
      <c r="AK187" s="32" t="s">
        <v>50</v>
      </c>
      <c r="AL187" t="s">
        <v>95</v>
      </c>
      <c r="AM187" t="s">
        <v>104</v>
      </c>
      <c r="AN187" t="s">
        <v>105</v>
      </c>
      <c r="AW187" t="s">
        <v>176</v>
      </c>
      <c r="AX187" t="s">
        <v>253</v>
      </c>
      <c r="AY187">
        <v>10</v>
      </c>
      <c r="AZ187" t="s">
        <v>177</v>
      </c>
      <c r="BA187" t="s">
        <v>429</v>
      </c>
      <c r="BB187" t="s">
        <v>179</v>
      </c>
      <c r="BC187" t="s">
        <v>180</v>
      </c>
      <c r="BD187" t="s">
        <v>181</v>
      </c>
      <c r="BE187" t="s">
        <v>179</v>
      </c>
      <c r="BF187" t="s">
        <v>253</v>
      </c>
      <c r="BG187" t="s">
        <v>176</v>
      </c>
      <c r="BH187" t="s">
        <v>430</v>
      </c>
    </row>
    <row r="188" spans="33:60" x14ac:dyDescent="0.25">
      <c r="AG188" t="s">
        <v>269</v>
      </c>
      <c r="AH188" t="s">
        <v>103</v>
      </c>
      <c r="AI188">
        <v>2429</v>
      </c>
      <c r="AK188" s="32" t="s">
        <v>50</v>
      </c>
      <c r="AL188" t="s">
        <v>95</v>
      </c>
      <c r="AM188" t="s">
        <v>119</v>
      </c>
      <c r="AN188" t="s">
        <v>120</v>
      </c>
      <c r="AW188" t="s">
        <v>189</v>
      </c>
      <c r="AX188" t="s">
        <v>253</v>
      </c>
      <c r="AY188">
        <v>11</v>
      </c>
      <c r="AZ188" t="s">
        <v>190</v>
      </c>
      <c r="BA188" t="s">
        <v>431</v>
      </c>
      <c r="BB188" t="s">
        <v>192</v>
      </c>
      <c r="BC188" t="s">
        <v>193</v>
      </c>
      <c r="BD188" t="s">
        <v>194</v>
      </c>
      <c r="BE188" t="s">
        <v>192</v>
      </c>
      <c r="BF188" t="s">
        <v>253</v>
      </c>
      <c r="BG188" t="s">
        <v>189</v>
      </c>
      <c r="BH188" t="s">
        <v>432</v>
      </c>
    </row>
    <row r="189" spans="33:60" x14ac:dyDescent="0.25">
      <c r="AH189" s="49"/>
      <c r="AI189" s="49"/>
      <c r="AK189" s="32" t="s">
        <v>50</v>
      </c>
      <c r="AL189" t="s">
        <v>95</v>
      </c>
      <c r="AM189" t="s">
        <v>137</v>
      </c>
      <c r="AN189" t="s">
        <v>138</v>
      </c>
      <c r="AW189" t="s">
        <v>201</v>
      </c>
      <c r="AX189" t="s">
        <v>253</v>
      </c>
      <c r="AY189">
        <v>14</v>
      </c>
      <c r="AZ189" t="s">
        <v>202</v>
      </c>
      <c r="BA189" t="s">
        <v>433</v>
      </c>
      <c r="BB189" t="s">
        <v>204</v>
      </c>
      <c r="BC189" t="s">
        <v>205</v>
      </c>
      <c r="BD189" t="s">
        <v>206</v>
      </c>
      <c r="BE189" t="s">
        <v>204</v>
      </c>
      <c r="BF189" t="s">
        <v>253</v>
      </c>
      <c r="BG189" t="s">
        <v>201</v>
      </c>
      <c r="BH189" t="s">
        <v>434</v>
      </c>
    </row>
    <row r="190" spans="33:60" x14ac:dyDescent="0.25">
      <c r="AH190" s="49"/>
      <c r="AI190" s="49"/>
      <c r="AK190" s="32" t="s">
        <v>50</v>
      </c>
      <c r="AL190" t="s">
        <v>95</v>
      </c>
      <c r="AM190" t="s">
        <v>149</v>
      </c>
      <c r="AN190" t="s">
        <v>150</v>
      </c>
      <c r="AW190" t="s">
        <v>213</v>
      </c>
      <c r="AX190" t="s">
        <v>253</v>
      </c>
      <c r="AY190">
        <v>18</v>
      </c>
      <c r="AZ190" t="s">
        <v>214</v>
      </c>
      <c r="BA190" t="s">
        <v>435</v>
      </c>
      <c r="BB190" t="s">
        <v>216</v>
      </c>
      <c r="BC190" t="s">
        <v>217</v>
      </c>
      <c r="BD190" t="s">
        <v>218</v>
      </c>
      <c r="BE190" t="s">
        <v>216</v>
      </c>
      <c r="BF190" t="s">
        <v>253</v>
      </c>
      <c r="BG190" t="s">
        <v>213</v>
      </c>
      <c r="BH190" t="s">
        <v>436</v>
      </c>
    </row>
    <row r="191" spans="33:60" x14ac:dyDescent="0.25">
      <c r="AG191" t="s">
        <v>269</v>
      </c>
      <c r="AH191" t="s">
        <v>117</v>
      </c>
      <c r="AI191" t="s">
        <v>118</v>
      </c>
      <c r="AK191" s="32" t="s">
        <v>50</v>
      </c>
      <c r="AL191" t="s">
        <v>95</v>
      </c>
      <c r="AM191" t="s">
        <v>162</v>
      </c>
      <c r="AN191" t="s">
        <v>163</v>
      </c>
      <c r="AW191" t="s">
        <v>53</v>
      </c>
      <c r="AX191" s="54" t="s">
        <v>261</v>
      </c>
      <c r="AY191">
        <v>3</v>
      </c>
      <c r="AZ191" t="s">
        <v>55</v>
      </c>
      <c r="BA191" t="s">
        <v>414</v>
      </c>
      <c r="BB191" t="s">
        <v>57</v>
      </c>
      <c r="BC191" t="s">
        <v>58</v>
      </c>
      <c r="BD191" t="s">
        <v>59</v>
      </c>
      <c r="BE191" t="s">
        <v>57</v>
      </c>
      <c r="BF191" s="54" t="s">
        <v>261</v>
      </c>
      <c r="BG191" t="s">
        <v>53</v>
      </c>
      <c r="BH191" t="s">
        <v>415</v>
      </c>
    </row>
    <row r="192" spans="33:60" x14ac:dyDescent="0.25">
      <c r="AG192" t="s">
        <v>269</v>
      </c>
      <c r="AH192" t="s">
        <v>135</v>
      </c>
      <c r="AI192" t="s">
        <v>136</v>
      </c>
      <c r="AK192" s="32" t="s">
        <v>50</v>
      </c>
      <c r="AL192" t="s">
        <v>95</v>
      </c>
      <c r="AM192" t="s">
        <v>174</v>
      </c>
      <c r="AN192" t="s">
        <v>175</v>
      </c>
      <c r="AW192" t="s">
        <v>82</v>
      </c>
      <c r="AX192" s="54" t="s">
        <v>261</v>
      </c>
      <c r="AY192">
        <v>4</v>
      </c>
      <c r="AZ192" t="s">
        <v>83</v>
      </c>
      <c r="BA192" t="s">
        <v>416</v>
      </c>
      <c r="BB192" t="s">
        <v>85</v>
      </c>
      <c r="BC192" t="s">
        <v>86</v>
      </c>
      <c r="BD192" t="s">
        <v>87</v>
      </c>
      <c r="BE192" t="s">
        <v>85</v>
      </c>
      <c r="BF192" s="54" t="s">
        <v>261</v>
      </c>
      <c r="BG192" t="s">
        <v>82</v>
      </c>
      <c r="BH192" t="s">
        <v>417</v>
      </c>
    </row>
    <row r="193" spans="33:60" x14ac:dyDescent="0.25">
      <c r="AG193" t="s">
        <v>276</v>
      </c>
      <c r="AH193" t="s">
        <v>39</v>
      </c>
      <c r="AI193">
        <v>2429</v>
      </c>
      <c r="AK193" s="32" t="s">
        <v>50</v>
      </c>
      <c r="AL193" t="s">
        <v>95</v>
      </c>
      <c r="AM193" t="s">
        <v>187</v>
      </c>
      <c r="AN193" t="s">
        <v>188</v>
      </c>
      <c r="AW193" t="s">
        <v>106</v>
      </c>
      <c r="AX193" s="54" t="s">
        <v>261</v>
      </c>
      <c r="AY193">
        <v>5</v>
      </c>
      <c r="AZ193" t="s">
        <v>107</v>
      </c>
      <c r="BA193" t="s">
        <v>418</v>
      </c>
      <c r="BB193" t="s">
        <v>109</v>
      </c>
      <c r="BC193" t="s">
        <v>110</v>
      </c>
      <c r="BD193" t="s">
        <v>111</v>
      </c>
      <c r="BE193" t="s">
        <v>109</v>
      </c>
      <c r="BF193" s="54" t="s">
        <v>261</v>
      </c>
      <c r="BG193" t="s">
        <v>106</v>
      </c>
      <c r="BH193" t="s">
        <v>419</v>
      </c>
    </row>
    <row r="194" spans="33:60" x14ac:dyDescent="0.25">
      <c r="AG194" t="s">
        <v>276</v>
      </c>
      <c r="AH194" s="49" t="s">
        <v>78</v>
      </c>
      <c r="AI194" s="49" t="s">
        <v>79</v>
      </c>
      <c r="AK194" s="32" t="s">
        <v>50</v>
      </c>
      <c r="AL194" t="s">
        <v>95</v>
      </c>
      <c r="AM194" t="s">
        <v>199</v>
      </c>
      <c r="AN194" t="s">
        <v>200</v>
      </c>
      <c r="AW194" t="s">
        <v>121</v>
      </c>
      <c r="AX194" s="54" t="s">
        <v>261</v>
      </c>
      <c r="AY194">
        <v>6</v>
      </c>
      <c r="AZ194" t="s">
        <v>122</v>
      </c>
      <c r="BA194" t="s">
        <v>420</v>
      </c>
      <c r="BB194" t="s">
        <v>124</v>
      </c>
      <c r="BC194" t="s">
        <v>125</v>
      </c>
      <c r="BD194" t="s">
        <v>126</v>
      </c>
      <c r="BE194" t="s">
        <v>124</v>
      </c>
      <c r="BF194" s="54" t="s">
        <v>261</v>
      </c>
      <c r="BG194" t="s">
        <v>121</v>
      </c>
      <c r="BH194" t="s">
        <v>421</v>
      </c>
    </row>
    <row r="195" spans="33:60" x14ac:dyDescent="0.25">
      <c r="AH195" s="49"/>
      <c r="AI195" s="49"/>
      <c r="AK195" s="32" t="s">
        <v>50</v>
      </c>
      <c r="AL195" t="s">
        <v>95</v>
      </c>
      <c r="AM195" t="s">
        <v>211</v>
      </c>
      <c r="AN195" t="s">
        <v>212</v>
      </c>
      <c r="AW195" t="s">
        <v>139</v>
      </c>
      <c r="AX195" s="54" t="s">
        <v>261</v>
      </c>
      <c r="AY195">
        <v>7</v>
      </c>
      <c r="AZ195" t="s">
        <v>140</v>
      </c>
      <c r="BA195" t="s">
        <v>422</v>
      </c>
      <c r="BB195" t="s">
        <v>142</v>
      </c>
      <c r="BC195" t="s">
        <v>143</v>
      </c>
      <c r="BD195" t="s">
        <v>144</v>
      </c>
      <c r="BE195" t="s">
        <v>142</v>
      </c>
      <c r="BF195" s="54" t="s">
        <v>261</v>
      </c>
      <c r="BG195" t="s">
        <v>139</v>
      </c>
      <c r="BH195" t="s">
        <v>423</v>
      </c>
    </row>
    <row r="196" spans="33:60" x14ac:dyDescent="0.25">
      <c r="AH196" s="49"/>
      <c r="AI196" s="49"/>
      <c r="AK196" s="32" t="s">
        <v>50</v>
      </c>
      <c r="AL196" t="s">
        <v>95</v>
      </c>
      <c r="AM196" t="s">
        <v>223</v>
      </c>
      <c r="AN196" t="s">
        <v>224</v>
      </c>
      <c r="AW196" t="s">
        <v>151</v>
      </c>
      <c r="AX196" s="54" t="s">
        <v>261</v>
      </c>
      <c r="AY196">
        <v>8</v>
      </c>
      <c r="AZ196" t="s">
        <v>152</v>
      </c>
      <c r="BA196" t="s">
        <v>425</v>
      </c>
      <c r="BB196" t="s">
        <v>154</v>
      </c>
      <c r="BC196" t="s">
        <v>155</v>
      </c>
      <c r="BD196" t="s">
        <v>156</v>
      </c>
      <c r="BE196" t="s">
        <v>154</v>
      </c>
      <c r="BF196" s="54" t="s">
        <v>261</v>
      </c>
      <c r="BG196" t="s">
        <v>151</v>
      </c>
      <c r="BH196" t="s">
        <v>426</v>
      </c>
    </row>
    <row r="197" spans="33:60" x14ac:dyDescent="0.25">
      <c r="AH197" s="49"/>
      <c r="AI197" s="49"/>
      <c r="AK197" s="32" t="s">
        <v>50</v>
      </c>
      <c r="AL197" t="s">
        <v>95</v>
      </c>
      <c r="AM197" t="s">
        <v>232</v>
      </c>
      <c r="AN197" t="s">
        <v>233</v>
      </c>
      <c r="AW197" t="s">
        <v>164</v>
      </c>
      <c r="AX197" s="54" t="s">
        <v>261</v>
      </c>
      <c r="AY197">
        <v>9</v>
      </c>
      <c r="AZ197" t="s">
        <v>165</v>
      </c>
      <c r="BA197" t="s">
        <v>427</v>
      </c>
      <c r="BB197" t="s">
        <v>167</v>
      </c>
      <c r="BC197" t="s">
        <v>168</v>
      </c>
      <c r="BD197" t="s">
        <v>169</v>
      </c>
      <c r="BE197" t="s">
        <v>167</v>
      </c>
      <c r="BF197" s="54" t="s">
        <v>261</v>
      </c>
      <c r="BG197" t="s">
        <v>164</v>
      </c>
      <c r="BH197" t="s">
        <v>428</v>
      </c>
    </row>
    <row r="198" spans="33:60" x14ac:dyDescent="0.25">
      <c r="AG198" t="s">
        <v>276</v>
      </c>
      <c r="AH198" t="s">
        <v>103</v>
      </c>
      <c r="AI198">
        <v>2429</v>
      </c>
      <c r="AK198" s="32" t="s">
        <v>50</v>
      </c>
      <c r="AL198" t="s">
        <v>95</v>
      </c>
      <c r="AM198" t="s">
        <v>239</v>
      </c>
      <c r="AN198" t="s">
        <v>240</v>
      </c>
      <c r="AW198" t="s">
        <v>176</v>
      </c>
      <c r="AX198" s="54" t="s">
        <v>261</v>
      </c>
      <c r="AY198">
        <v>10</v>
      </c>
      <c r="AZ198" t="s">
        <v>177</v>
      </c>
      <c r="BA198" t="s">
        <v>429</v>
      </c>
      <c r="BB198" t="s">
        <v>179</v>
      </c>
      <c r="BC198" t="s">
        <v>180</v>
      </c>
      <c r="BD198" t="s">
        <v>181</v>
      </c>
      <c r="BE198" t="s">
        <v>179</v>
      </c>
      <c r="BF198" s="54" t="s">
        <v>261</v>
      </c>
      <c r="BG198" t="s">
        <v>176</v>
      </c>
      <c r="BH198" t="s">
        <v>430</v>
      </c>
    </row>
    <row r="199" spans="33:60" x14ac:dyDescent="0.25">
      <c r="AH199" s="49"/>
      <c r="AI199" s="49"/>
      <c r="AK199" s="32" t="s">
        <v>50</v>
      </c>
      <c r="AL199" t="s">
        <v>95</v>
      </c>
      <c r="AM199" t="s">
        <v>246</v>
      </c>
      <c r="AN199" t="s">
        <v>247</v>
      </c>
      <c r="AW199" t="s">
        <v>189</v>
      </c>
      <c r="AX199" s="54" t="s">
        <v>261</v>
      </c>
      <c r="AY199">
        <v>11</v>
      </c>
      <c r="AZ199" t="s">
        <v>190</v>
      </c>
      <c r="BA199" t="s">
        <v>431</v>
      </c>
      <c r="BB199" t="s">
        <v>192</v>
      </c>
      <c r="BC199" t="s">
        <v>193</v>
      </c>
      <c r="BD199" t="s">
        <v>194</v>
      </c>
      <c r="BE199" t="s">
        <v>192</v>
      </c>
      <c r="BF199" s="54" t="s">
        <v>261</v>
      </c>
      <c r="BG199" t="s">
        <v>189</v>
      </c>
      <c r="BH199" t="s">
        <v>432</v>
      </c>
    </row>
    <row r="200" spans="33:60" x14ac:dyDescent="0.25">
      <c r="AH200" s="49"/>
      <c r="AI200" s="49"/>
      <c r="AK200" s="32" t="s">
        <v>50</v>
      </c>
      <c r="AL200" t="s">
        <v>95</v>
      </c>
      <c r="AM200" t="s">
        <v>254</v>
      </c>
      <c r="AN200" t="s">
        <v>255</v>
      </c>
      <c r="AW200" t="s">
        <v>201</v>
      </c>
      <c r="AX200" s="54" t="s">
        <v>261</v>
      </c>
      <c r="AY200">
        <v>14</v>
      </c>
      <c r="AZ200" t="s">
        <v>202</v>
      </c>
      <c r="BA200" t="s">
        <v>433</v>
      </c>
      <c r="BB200" t="s">
        <v>204</v>
      </c>
      <c r="BC200" t="s">
        <v>205</v>
      </c>
      <c r="BD200" t="s">
        <v>206</v>
      </c>
      <c r="BE200" t="s">
        <v>204</v>
      </c>
      <c r="BF200" s="54" t="s">
        <v>261</v>
      </c>
      <c r="BG200" t="s">
        <v>201</v>
      </c>
      <c r="BH200" t="s">
        <v>434</v>
      </c>
    </row>
    <row r="201" spans="33:60" x14ac:dyDescent="0.25">
      <c r="AG201" t="s">
        <v>276</v>
      </c>
      <c r="AH201" t="s">
        <v>117</v>
      </c>
      <c r="AI201" t="s">
        <v>118</v>
      </c>
      <c r="AK201" s="32" t="s">
        <v>50</v>
      </c>
      <c r="AL201" t="s">
        <v>95</v>
      </c>
      <c r="AM201" t="s">
        <v>262</v>
      </c>
      <c r="AN201" t="s">
        <v>263</v>
      </c>
      <c r="AW201" t="s">
        <v>213</v>
      </c>
      <c r="AX201" s="54" t="s">
        <v>261</v>
      </c>
      <c r="AY201">
        <v>18</v>
      </c>
      <c r="AZ201" t="s">
        <v>214</v>
      </c>
      <c r="BA201" t="s">
        <v>435</v>
      </c>
      <c r="BB201" t="s">
        <v>216</v>
      </c>
      <c r="BC201" t="s">
        <v>217</v>
      </c>
      <c r="BD201" t="s">
        <v>218</v>
      </c>
      <c r="BE201" t="s">
        <v>216</v>
      </c>
      <c r="BF201" s="54" t="s">
        <v>261</v>
      </c>
      <c r="BG201" t="s">
        <v>213</v>
      </c>
      <c r="BH201" t="s">
        <v>436</v>
      </c>
    </row>
    <row r="202" spans="33:60" x14ac:dyDescent="0.25">
      <c r="AG202" t="s">
        <v>276</v>
      </c>
      <c r="AH202" t="s">
        <v>135</v>
      </c>
      <c r="AI202" t="s">
        <v>136</v>
      </c>
      <c r="AK202" s="32" t="s">
        <v>50</v>
      </c>
      <c r="AL202" t="s">
        <v>95</v>
      </c>
      <c r="AM202" t="s">
        <v>270</v>
      </c>
      <c r="AN202" t="s">
        <v>271</v>
      </c>
      <c r="AW202" t="s">
        <v>53</v>
      </c>
      <c r="AX202" t="s">
        <v>269</v>
      </c>
      <c r="AY202">
        <v>3</v>
      </c>
      <c r="AZ202" t="s">
        <v>55</v>
      </c>
      <c r="BA202" t="s">
        <v>414</v>
      </c>
      <c r="BB202" t="s">
        <v>57</v>
      </c>
      <c r="BC202" t="s">
        <v>58</v>
      </c>
      <c r="BD202" t="s">
        <v>59</v>
      </c>
      <c r="BE202" t="s">
        <v>57</v>
      </c>
      <c r="BF202" t="s">
        <v>269</v>
      </c>
      <c r="BG202" t="s">
        <v>53</v>
      </c>
      <c r="BH202" t="s">
        <v>415</v>
      </c>
    </row>
    <row r="203" spans="33:60" x14ac:dyDescent="0.25">
      <c r="AG203" t="s">
        <v>283</v>
      </c>
      <c r="AH203" t="s">
        <v>39</v>
      </c>
      <c r="AI203">
        <v>2429</v>
      </c>
      <c r="AK203" s="32" t="s">
        <v>50</v>
      </c>
      <c r="AL203" t="s">
        <v>95</v>
      </c>
      <c r="AM203" t="s">
        <v>277</v>
      </c>
      <c r="AN203" t="s">
        <v>278</v>
      </c>
      <c r="AW203" t="s">
        <v>82</v>
      </c>
      <c r="AX203" t="s">
        <v>269</v>
      </c>
      <c r="AY203">
        <v>4</v>
      </c>
      <c r="AZ203" t="s">
        <v>83</v>
      </c>
      <c r="BA203" t="s">
        <v>416</v>
      </c>
      <c r="BB203" t="s">
        <v>85</v>
      </c>
      <c r="BC203" t="s">
        <v>86</v>
      </c>
      <c r="BD203" t="s">
        <v>87</v>
      </c>
      <c r="BE203" t="s">
        <v>85</v>
      </c>
      <c r="BF203" t="s">
        <v>269</v>
      </c>
      <c r="BG203" t="s">
        <v>82</v>
      </c>
      <c r="BH203" t="s">
        <v>417</v>
      </c>
    </row>
    <row r="204" spans="33:60" x14ac:dyDescent="0.25">
      <c r="AG204" t="s">
        <v>283</v>
      </c>
      <c r="AH204" s="49" t="s">
        <v>78</v>
      </c>
      <c r="AI204" s="49" t="s">
        <v>79</v>
      </c>
      <c r="AK204" s="32" t="s">
        <v>50</v>
      </c>
      <c r="AL204" t="s">
        <v>95</v>
      </c>
      <c r="AM204" t="s">
        <v>284</v>
      </c>
      <c r="AN204" t="s">
        <v>285</v>
      </c>
      <c r="AW204" t="s">
        <v>106</v>
      </c>
      <c r="AX204" t="s">
        <v>269</v>
      </c>
      <c r="AY204">
        <v>5</v>
      </c>
      <c r="AZ204" t="s">
        <v>107</v>
      </c>
      <c r="BA204" t="s">
        <v>418</v>
      </c>
      <c r="BB204" t="s">
        <v>109</v>
      </c>
      <c r="BC204" t="s">
        <v>110</v>
      </c>
      <c r="BD204" t="s">
        <v>111</v>
      </c>
      <c r="BE204" t="s">
        <v>109</v>
      </c>
      <c r="BF204" t="s">
        <v>269</v>
      </c>
      <c r="BG204" t="s">
        <v>106</v>
      </c>
      <c r="BH204" t="s">
        <v>419</v>
      </c>
    </row>
    <row r="205" spans="33:60" x14ac:dyDescent="0.25">
      <c r="AH205" s="49"/>
      <c r="AI205" s="49"/>
      <c r="AK205" s="32" t="s">
        <v>50</v>
      </c>
      <c r="AL205" t="s">
        <v>95</v>
      </c>
      <c r="AM205" t="s">
        <v>291</v>
      </c>
      <c r="AN205" t="s">
        <v>292</v>
      </c>
      <c r="AW205" t="s">
        <v>121</v>
      </c>
      <c r="AX205" t="s">
        <v>269</v>
      </c>
      <c r="AY205">
        <v>6</v>
      </c>
      <c r="AZ205" t="s">
        <v>122</v>
      </c>
      <c r="BA205" t="s">
        <v>420</v>
      </c>
      <c r="BB205" t="s">
        <v>124</v>
      </c>
      <c r="BC205" t="s">
        <v>125</v>
      </c>
      <c r="BD205" t="s">
        <v>126</v>
      </c>
      <c r="BE205" t="s">
        <v>124</v>
      </c>
      <c r="BF205" t="s">
        <v>269</v>
      </c>
      <c r="BG205" t="s">
        <v>121</v>
      </c>
      <c r="BH205" t="s">
        <v>421</v>
      </c>
    </row>
    <row r="206" spans="33:60" x14ac:dyDescent="0.25">
      <c r="AH206" s="49"/>
      <c r="AI206" s="49"/>
      <c r="AK206" s="32" t="s">
        <v>50</v>
      </c>
      <c r="AL206" t="s">
        <v>95</v>
      </c>
      <c r="AM206" t="s">
        <v>298</v>
      </c>
      <c r="AN206" t="s">
        <v>299</v>
      </c>
      <c r="AW206" t="s">
        <v>139</v>
      </c>
      <c r="AX206" t="s">
        <v>269</v>
      </c>
      <c r="AY206">
        <v>7</v>
      </c>
      <c r="AZ206" t="s">
        <v>140</v>
      </c>
      <c r="BA206" t="s">
        <v>422</v>
      </c>
      <c r="BB206" t="s">
        <v>142</v>
      </c>
      <c r="BC206" t="s">
        <v>143</v>
      </c>
      <c r="BD206" t="s">
        <v>144</v>
      </c>
      <c r="BE206" t="s">
        <v>142</v>
      </c>
      <c r="BF206" t="s">
        <v>269</v>
      </c>
      <c r="BG206" t="s">
        <v>139</v>
      </c>
      <c r="BH206" t="s">
        <v>423</v>
      </c>
    </row>
    <row r="207" spans="33:60" x14ac:dyDescent="0.25">
      <c r="AH207" s="49"/>
      <c r="AI207" s="49"/>
      <c r="AK207" s="32" t="s">
        <v>50</v>
      </c>
      <c r="AL207" t="s">
        <v>95</v>
      </c>
      <c r="AM207" t="s">
        <v>305</v>
      </c>
      <c r="AN207" t="s">
        <v>306</v>
      </c>
      <c r="AW207" t="s">
        <v>151</v>
      </c>
      <c r="AX207" t="s">
        <v>269</v>
      </c>
      <c r="AY207">
        <v>8</v>
      </c>
      <c r="AZ207" t="s">
        <v>152</v>
      </c>
      <c r="BA207" t="s">
        <v>425</v>
      </c>
      <c r="BB207" t="s">
        <v>154</v>
      </c>
      <c r="BC207" t="s">
        <v>155</v>
      </c>
      <c r="BD207" t="s">
        <v>156</v>
      </c>
      <c r="BE207" t="s">
        <v>154</v>
      </c>
      <c r="BF207" t="s">
        <v>269</v>
      </c>
      <c r="BG207" t="s">
        <v>151</v>
      </c>
      <c r="BH207" t="s">
        <v>426</v>
      </c>
    </row>
    <row r="208" spans="33:60" x14ac:dyDescent="0.25">
      <c r="AG208" t="s">
        <v>283</v>
      </c>
      <c r="AH208" t="s">
        <v>103</v>
      </c>
      <c r="AI208">
        <v>2429</v>
      </c>
      <c r="AK208" s="32" t="s">
        <v>50</v>
      </c>
      <c r="AL208" t="s">
        <v>95</v>
      </c>
      <c r="AM208" t="s">
        <v>309</v>
      </c>
      <c r="AN208" t="s">
        <v>310</v>
      </c>
      <c r="AW208" t="s">
        <v>164</v>
      </c>
      <c r="AX208" t="s">
        <v>269</v>
      </c>
      <c r="AY208">
        <v>9</v>
      </c>
      <c r="AZ208" t="s">
        <v>165</v>
      </c>
      <c r="BA208" t="s">
        <v>427</v>
      </c>
      <c r="BB208" t="s">
        <v>167</v>
      </c>
      <c r="BC208" t="s">
        <v>168</v>
      </c>
      <c r="BD208" t="s">
        <v>169</v>
      </c>
      <c r="BE208" t="s">
        <v>167</v>
      </c>
      <c r="BF208" t="s">
        <v>269</v>
      </c>
      <c r="BG208" t="s">
        <v>164</v>
      </c>
      <c r="BH208" t="s">
        <v>428</v>
      </c>
    </row>
    <row r="209" spans="33:60" x14ac:dyDescent="0.25">
      <c r="AH209" s="49"/>
      <c r="AI209" s="49"/>
      <c r="AK209" s="32" t="s">
        <v>50</v>
      </c>
      <c r="AL209" t="s">
        <v>95</v>
      </c>
      <c r="AM209" t="s">
        <v>312</v>
      </c>
      <c r="AN209" t="s">
        <v>313</v>
      </c>
      <c r="AW209" t="s">
        <v>176</v>
      </c>
      <c r="AX209" t="s">
        <v>269</v>
      </c>
      <c r="AY209">
        <v>10</v>
      </c>
      <c r="AZ209" t="s">
        <v>177</v>
      </c>
      <c r="BA209" t="s">
        <v>429</v>
      </c>
      <c r="BB209" t="s">
        <v>179</v>
      </c>
      <c r="BC209" t="s">
        <v>180</v>
      </c>
      <c r="BD209" t="s">
        <v>181</v>
      </c>
      <c r="BE209" t="s">
        <v>179</v>
      </c>
      <c r="BF209" t="s">
        <v>269</v>
      </c>
      <c r="BG209" t="s">
        <v>176</v>
      </c>
      <c r="BH209" t="s">
        <v>430</v>
      </c>
    </row>
    <row r="210" spans="33:60" x14ac:dyDescent="0.25">
      <c r="AH210" s="49"/>
      <c r="AI210" s="49"/>
      <c r="AK210" s="32" t="s">
        <v>50</v>
      </c>
      <c r="AL210" t="s">
        <v>95</v>
      </c>
      <c r="AM210" t="s">
        <v>315</v>
      </c>
      <c r="AN210" t="s">
        <v>316</v>
      </c>
      <c r="AW210" t="s">
        <v>189</v>
      </c>
      <c r="AX210" t="s">
        <v>269</v>
      </c>
      <c r="AY210">
        <v>11</v>
      </c>
      <c r="AZ210" t="s">
        <v>190</v>
      </c>
      <c r="BA210" t="s">
        <v>431</v>
      </c>
      <c r="BB210" t="s">
        <v>192</v>
      </c>
      <c r="BC210" t="s">
        <v>193</v>
      </c>
      <c r="BD210" t="s">
        <v>194</v>
      </c>
      <c r="BE210" t="s">
        <v>192</v>
      </c>
      <c r="BF210" t="s">
        <v>269</v>
      </c>
      <c r="BG210" t="s">
        <v>189</v>
      </c>
      <c r="BH210" t="s">
        <v>432</v>
      </c>
    </row>
    <row r="211" spans="33:60" x14ac:dyDescent="0.25">
      <c r="AG211" t="s">
        <v>283</v>
      </c>
      <c r="AH211" t="s">
        <v>117</v>
      </c>
      <c r="AI211" t="s">
        <v>118</v>
      </c>
      <c r="AK211" s="32" t="s">
        <v>50</v>
      </c>
      <c r="AL211" t="s">
        <v>95</v>
      </c>
      <c r="AM211" t="s">
        <v>319</v>
      </c>
      <c r="AN211" t="s">
        <v>320</v>
      </c>
      <c r="AW211" t="s">
        <v>201</v>
      </c>
      <c r="AX211" t="s">
        <v>269</v>
      </c>
      <c r="AY211">
        <v>14</v>
      </c>
      <c r="AZ211" t="s">
        <v>202</v>
      </c>
      <c r="BA211" t="s">
        <v>433</v>
      </c>
      <c r="BB211" t="s">
        <v>204</v>
      </c>
      <c r="BC211" t="s">
        <v>205</v>
      </c>
      <c r="BD211" t="s">
        <v>206</v>
      </c>
      <c r="BE211" t="s">
        <v>204</v>
      </c>
      <c r="BF211" t="s">
        <v>269</v>
      </c>
      <c r="BG211" t="s">
        <v>201</v>
      </c>
      <c r="BH211" t="s">
        <v>434</v>
      </c>
    </row>
    <row r="212" spans="33:60" x14ac:dyDescent="0.25">
      <c r="AG212" t="s">
        <v>283</v>
      </c>
      <c r="AH212" t="s">
        <v>135</v>
      </c>
      <c r="AI212" t="s">
        <v>136</v>
      </c>
      <c r="AK212" s="32" t="s">
        <v>50</v>
      </c>
      <c r="AL212" t="s">
        <v>95</v>
      </c>
      <c r="AM212" t="s">
        <v>323</v>
      </c>
      <c r="AN212" t="s">
        <v>324</v>
      </c>
      <c r="AW212" t="s">
        <v>213</v>
      </c>
      <c r="AX212" t="s">
        <v>269</v>
      </c>
      <c r="AY212">
        <v>18</v>
      </c>
      <c r="AZ212" t="s">
        <v>214</v>
      </c>
      <c r="BA212" t="s">
        <v>435</v>
      </c>
      <c r="BB212" t="s">
        <v>216</v>
      </c>
      <c r="BC212" t="s">
        <v>217</v>
      </c>
      <c r="BD212" t="s">
        <v>218</v>
      </c>
      <c r="BE212" t="s">
        <v>216</v>
      </c>
      <c r="BF212" t="s">
        <v>269</v>
      </c>
      <c r="BG212" t="s">
        <v>213</v>
      </c>
      <c r="BH212" t="s">
        <v>436</v>
      </c>
    </row>
    <row r="213" spans="33:60" x14ac:dyDescent="0.25">
      <c r="AG213" t="s">
        <v>290</v>
      </c>
      <c r="AH213" t="s">
        <v>39</v>
      </c>
      <c r="AI213">
        <v>2429</v>
      </c>
      <c r="AK213" s="32" t="s">
        <v>50</v>
      </c>
      <c r="AL213" t="s">
        <v>95</v>
      </c>
      <c r="AM213" t="s">
        <v>326</v>
      </c>
      <c r="AN213" t="s">
        <v>327</v>
      </c>
      <c r="AW213" t="s">
        <v>53</v>
      </c>
      <c r="AX213" t="s">
        <v>276</v>
      </c>
      <c r="AY213">
        <v>3</v>
      </c>
      <c r="AZ213" t="s">
        <v>55</v>
      </c>
      <c r="BA213" t="s">
        <v>414</v>
      </c>
      <c r="BB213" t="s">
        <v>57</v>
      </c>
      <c r="BC213" t="s">
        <v>58</v>
      </c>
      <c r="BD213" t="s">
        <v>59</v>
      </c>
      <c r="BE213" t="s">
        <v>57</v>
      </c>
      <c r="BF213" t="s">
        <v>276</v>
      </c>
      <c r="BG213" t="s">
        <v>53</v>
      </c>
      <c r="BH213" t="s">
        <v>415</v>
      </c>
    </row>
    <row r="214" spans="33:60" x14ac:dyDescent="0.25">
      <c r="AG214" t="s">
        <v>290</v>
      </c>
      <c r="AH214" s="49" t="s">
        <v>78</v>
      </c>
      <c r="AI214" s="49" t="s">
        <v>79</v>
      </c>
      <c r="AK214" s="32" t="s">
        <v>50</v>
      </c>
      <c r="AL214" t="s">
        <v>95</v>
      </c>
      <c r="AM214" t="s">
        <v>330</v>
      </c>
      <c r="AN214" t="s">
        <v>331</v>
      </c>
      <c r="AW214" t="s">
        <v>82</v>
      </c>
      <c r="AX214" t="s">
        <v>276</v>
      </c>
      <c r="AY214">
        <v>4</v>
      </c>
      <c r="AZ214" t="s">
        <v>83</v>
      </c>
      <c r="BA214" t="s">
        <v>416</v>
      </c>
      <c r="BB214" t="s">
        <v>85</v>
      </c>
      <c r="BC214" t="s">
        <v>86</v>
      </c>
      <c r="BD214" t="s">
        <v>87</v>
      </c>
      <c r="BE214" t="s">
        <v>85</v>
      </c>
      <c r="BF214" t="s">
        <v>276</v>
      </c>
      <c r="BG214" t="s">
        <v>82</v>
      </c>
      <c r="BH214" t="s">
        <v>417</v>
      </c>
    </row>
    <row r="215" spans="33:60" x14ac:dyDescent="0.25">
      <c r="AH215" s="49"/>
      <c r="AI215" s="49"/>
      <c r="AK215" s="32" t="s">
        <v>50</v>
      </c>
      <c r="AL215" t="s">
        <v>95</v>
      </c>
      <c r="AM215" t="s">
        <v>335</v>
      </c>
      <c r="AN215" t="s">
        <v>336</v>
      </c>
      <c r="AW215" t="s">
        <v>106</v>
      </c>
      <c r="AX215" t="s">
        <v>276</v>
      </c>
      <c r="AY215">
        <v>5</v>
      </c>
      <c r="AZ215" t="s">
        <v>107</v>
      </c>
      <c r="BA215" t="s">
        <v>418</v>
      </c>
      <c r="BB215" t="s">
        <v>109</v>
      </c>
      <c r="BC215" t="s">
        <v>110</v>
      </c>
      <c r="BD215" t="s">
        <v>111</v>
      </c>
      <c r="BE215" t="s">
        <v>109</v>
      </c>
      <c r="BF215" t="s">
        <v>276</v>
      </c>
      <c r="BG215" t="s">
        <v>106</v>
      </c>
      <c r="BH215" t="s">
        <v>419</v>
      </c>
    </row>
    <row r="216" spans="33:60" x14ac:dyDescent="0.25">
      <c r="AH216" s="49"/>
      <c r="AI216" s="49"/>
      <c r="AK216" s="32" t="s">
        <v>50</v>
      </c>
      <c r="AL216" t="s">
        <v>95</v>
      </c>
      <c r="AM216" t="s">
        <v>340</v>
      </c>
      <c r="AN216" t="s">
        <v>341</v>
      </c>
      <c r="AW216" t="s">
        <v>121</v>
      </c>
      <c r="AX216" t="s">
        <v>276</v>
      </c>
      <c r="AY216">
        <v>6</v>
      </c>
      <c r="AZ216" t="s">
        <v>122</v>
      </c>
      <c r="BA216" t="s">
        <v>420</v>
      </c>
      <c r="BB216" t="s">
        <v>124</v>
      </c>
      <c r="BC216" t="s">
        <v>125</v>
      </c>
      <c r="BD216" t="s">
        <v>126</v>
      </c>
      <c r="BE216" t="s">
        <v>124</v>
      </c>
      <c r="BF216" t="s">
        <v>276</v>
      </c>
      <c r="BG216" t="s">
        <v>121</v>
      </c>
      <c r="BH216" t="s">
        <v>421</v>
      </c>
    </row>
    <row r="217" spans="33:60" x14ac:dyDescent="0.25">
      <c r="AH217" s="49"/>
      <c r="AI217" s="49"/>
      <c r="AK217" s="32" t="s">
        <v>50</v>
      </c>
      <c r="AL217" t="s">
        <v>95</v>
      </c>
      <c r="AM217" t="s">
        <v>344</v>
      </c>
      <c r="AN217" t="s">
        <v>345</v>
      </c>
      <c r="AW217" t="s">
        <v>139</v>
      </c>
      <c r="AX217" t="s">
        <v>276</v>
      </c>
      <c r="AY217">
        <v>7</v>
      </c>
      <c r="AZ217" t="s">
        <v>140</v>
      </c>
      <c r="BA217" t="s">
        <v>422</v>
      </c>
      <c r="BB217" t="s">
        <v>142</v>
      </c>
      <c r="BC217" t="s">
        <v>143</v>
      </c>
      <c r="BD217" t="s">
        <v>144</v>
      </c>
      <c r="BE217" t="s">
        <v>142</v>
      </c>
      <c r="BF217" t="s">
        <v>276</v>
      </c>
      <c r="BG217" t="s">
        <v>139</v>
      </c>
      <c r="BH217" t="s">
        <v>423</v>
      </c>
    </row>
    <row r="218" spans="33:60" x14ac:dyDescent="0.25">
      <c r="AG218" t="s">
        <v>290</v>
      </c>
      <c r="AH218" t="s">
        <v>103</v>
      </c>
      <c r="AI218">
        <v>2429</v>
      </c>
      <c r="AK218" s="32" t="s">
        <v>50</v>
      </c>
      <c r="AL218" t="s">
        <v>95</v>
      </c>
      <c r="AM218" t="s">
        <v>348</v>
      </c>
      <c r="AN218" t="s">
        <v>349</v>
      </c>
      <c r="AW218" t="s">
        <v>151</v>
      </c>
      <c r="AX218" t="s">
        <v>276</v>
      </c>
      <c r="AY218">
        <v>8</v>
      </c>
      <c r="AZ218" t="s">
        <v>152</v>
      </c>
      <c r="BA218" t="s">
        <v>425</v>
      </c>
      <c r="BB218" t="s">
        <v>154</v>
      </c>
      <c r="BC218" t="s">
        <v>155</v>
      </c>
      <c r="BD218" t="s">
        <v>156</v>
      </c>
      <c r="BE218" t="s">
        <v>154</v>
      </c>
      <c r="BF218" t="s">
        <v>276</v>
      </c>
      <c r="BG218" t="s">
        <v>151</v>
      </c>
      <c r="BH218" t="s">
        <v>426</v>
      </c>
    </row>
    <row r="219" spans="33:60" x14ac:dyDescent="0.25">
      <c r="AH219" s="49"/>
      <c r="AI219" s="49"/>
      <c r="AK219" s="32" t="s">
        <v>50</v>
      </c>
      <c r="AL219" t="s">
        <v>95</v>
      </c>
      <c r="AM219" t="s">
        <v>352</v>
      </c>
      <c r="AN219" t="s">
        <v>353</v>
      </c>
      <c r="AW219" t="s">
        <v>164</v>
      </c>
      <c r="AX219" t="s">
        <v>276</v>
      </c>
      <c r="AY219">
        <v>9</v>
      </c>
      <c r="AZ219" t="s">
        <v>165</v>
      </c>
      <c r="BA219" t="s">
        <v>427</v>
      </c>
      <c r="BB219" t="s">
        <v>167</v>
      </c>
      <c r="BC219" t="s">
        <v>168</v>
      </c>
      <c r="BD219" t="s">
        <v>169</v>
      </c>
      <c r="BE219" t="s">
        <v>167</v>
      </c>
      <c r="BF219" t="s">
        <v>276</v>
      </c>
      <c r="BG219" t="s">
        <v>164</v>
      </c>
      <c r="BH219" t="s">
        <v>428</v>
      </c>
    </row>
    <row r="220" spans="33:60" x14ac:dyDescent="0.25">
      <c r="AH220" s="49"/>
      <c r="AI220" s="49"/>
      <c r="AK220" s="32" t="s">
        <v>50</v>
      </c>
      <c r="AL220" t="s">
        <v>95</v>
      </c>
      <c r="AM220" t="s">
        <v>356</v>
      </c>
      <c r="AN220" t="s">
        <v>357</v>
      </c>
      <c r="AW220" t="s">
        <v>176</v>
      </c>
      <c r="AX220" t="s">
        <v>276</v>
      </c>
      <c r="AY220">
        <v>10</v>
      </c>
      <c r="AZ220" t="s">
        <v>177</v>
      </c>
      <c r="BA220" t="s">
        <v>429</v>
      </c>
      <c r="BB220" t="s">
        <v>179</v>
      </c>
      <c r="BC220" t="s">
        <v>180</v>
      </c>
      <c r="BD220" t="s">
        <v>181</v>
      </c>
      <c r="BE220" t="s">
        <v>179</v>
      </c>
      <c r="BF220" t="s">
        <v>276</v>
      </c>
      <c r="BG220" t="s">
        <v>176</v>
      </c>
      <c r="BH220" t="s">
        <v>430</v>
      </c>
    </row>
    <row r="221" spans="33:60" x14ac:dyDescent="0.25">
      <c r="AG221" t="s">
        <v>290</v>
      </c>
      <c r="AH221" t="s">
        <v>117</v>
      </c>
      <c r="AI221" t="s">
        <v>118</v>
      </c>
      <c r="AK221" s="32" t="s">
        <v>50</v>
      </c>
      <c r="AL221" t="s">
        <v>95</v>
      </c>
      <c r="AM221" t="s">
        <v>359</v>
      </c>
      <c r="AN221" t="s">
        <v>360</v>
      </c>
      <c r="AW221" t="s">
        <v>189</v>
      </c>
      <c r="AX221" t="s">
        <v>276</v>
      </c>
      <c r="AY221">
        <v>11</v>
      </c>
      <c r="AZ221" t="s">
        <v>190</v>
      </c>
      <c r="BA221" t="s">
        <v>431</v>
      </c>
      <c r="BB221" t="s">
        <v>192</v>
      </c>
      <c r="BC221" t="s">
        <v>193</v>
      </c>
      <c r="BD221" t="s">
        <v>194</v>
      </c>
      <c r="BE221" t="s">
        <v>192</v>
      </c>
      <c r="BF221" t="s">
        <v>276</v>
      </c>
      <c r="BG221" t="s">
        <v>189</v>
      </c>
      <c r="BH221" t="s">
        <v>432</v>
      </c>
    </row>
    <row r="222" spans="33:60" x14ac:dyDescent="0.25">
      <c r="AG222" t="s">
        <v>290</v>
      </c>
      <c r="AH222" t="s">
        <v>135</v>
      </c>
      <c r="AI222" t="s">
        <v>136</v>
      </c>
      <c r="AK222" s="32" t="s">
        <v>50</v>
      </c>
      <c r="AL222" t="s">
        <v>95</v>
      </c>
      <c r="AM222" t="s">
        <v>362</v>
      </c>
      <c r="AN222" t="s">
        <v>363</v>
      </c>
      <c r="AW222" t="s">
        <v>201</v>
      </c>
      <c r="AX222" t="s">
        <v>276</v>
      </c>
      <c r="AY222">
        <v>14</v>
      </c>
      <c r="AZ222" t="s">
        <v>202</v>
      </c>
      <c r="BA222" t="s">
        <v>433</v>
      </c>
      <c r="BB222" t="s">
        <v>204</v>
      </c>
      <c r="BC222" t="s">
        <v>205</v>
      </c>
      <c r="BD222" t="s">
        <v>206</v>
      </c>
      <c r="BE222" t="s">
        <v>204</v>
      </c>
      <c r="BF222" t="s">
        <v>276</v>
      </c>
      <c r="BG222" t="s">
        <v>201</v>
      </c>
      <c r="BH222" t="s">
        <v>434</v>
      </c>
    </row>
    <row r="223" spans="33:60" x14ac:dyDescent="0.25">
      <c r="AG223" t="s">
        <v>297</v>
      </c>
      <c r="AH223" t="s">
        <v>39</v>
      </c>
      <c r="AI223">
        <v>15</v>
      </c>
      <c r="AK223" s="32" t="s">
        <v>50</v>
      </c>
      <c r="AL223" t="s">
        <v>95</v>
      </c>
      <c r="AM223" t="s">
        <v>365</v>
      </c>
      <c r="AN223" t="s">
        <v>366</v>
      </c>
      <c r="AW223" t="s">
        <v>213</v>
      </c>
      <c r="AX223" t="s">
        <v>276</v>
      </c>
      <c r="AY223">
        <v>18</v>
      </c>
      <c r="AZ223" t="s">
        <v>214</v>
      </c>
      <c r="BA223" t="s">
        <v>435</v>
      </c>
      <c r="BB223" t="s">
        <v>216</v>
      </c>
      <c r="BC223" t="s">
        <v>217</v>
      </c>
      <c r="BD223" t="s">
        <v>218</v>
      </c>
      <c r="BE223" t="s">
        <v>216</v>
      </c>
      <c r="BF223" t="s">
        <v>276</v>
      </c>
      <c r="BG223" t="s">
        <v>213</v>
      </c>
      <c r="BH223" t="s">
        <v>436</v>
      </c>
    </row>
    <row r="224" spans="33:60" x14ac:dyDescent="0.25">
      <c r="AG224" t="s">
        <v>297</v>
      </c>
      <c r="AH224" s="49" t="s">
        <v>78</v>
      </c>
      <c r="AI224" s="49" t="s">
        <v>437</v>
      </c>
      <c r="AK224" s="32" t="s">
        <v>50</v>
      </c>
      <c r="AL224" t="s">
        <v>95</v>
      </c>
      <c r="AM224" t="s">
        <v>367</v>
      </c>
      <c r="AN224" t="s">
        <v>368</v>
      </c>
      <c r="AW224" t="s">
        <v>53</v>
      </c>
      <c r="AX224" t="s">
        <v>283</v>
      </c>
      <c r="AY224">
        <v>3</v>
      </c>
      <c r="AZ224" t="s">
        <v>55</v>
      </c>
      <c r="BA224" t="s">
        <v>414</v>
      </c>
      <c r="BB224" t="s">
        <v>57</v>
      </c>
      <c r="BC224" t="s">
        <v>58</v>
      </c>
      <c r="BD224" t="s">
        <v>59</v>
      </c>
      <c r="BE224" t="s">
        <v>57</v>
      </c>
      <c r="BF224" t="s">
        <v>283</v>
      </c>
      <c r="BG224" t="s">
        <v>53</v>
      </c>
      <c r="BH224" t="s">
        <v>415</v>
      </c>
    </row>
    <row r="225" spans="33:60" x14ac:dyDescent="0.25">
      <c r="AH225" s="49"/>
      <c r="AI225" s="49"/>
      <c r="AK225" s="32" t="s">
        <v>50</v>
      </c>
      <c r="AL225" t="s">
        <v>95</v>
      </c>
      <c r="AM225" t="s">
        <v>369</v>
      </c>
      <c r="AN225" t="s">
        <v>370</v>
      </c>
      <c r="AW225" t="s">
        <v>82</v>
      </c>
      <c r="AX225" t="s">
        <v>283</v>
      </c>
      <c r="AY225">
        <v>4</v>
      </c>
      <c r="AZ225" t="s">
        <v>83</v>
      </c>
      <c r="BA225" t="s">
        <v>416</v>
      </c>
      <c r="BB225" t="s">
        <v>85</v>
      </c>
      <c r="BC225" t="s">
        <v>86</v>
      </c>
      <c r="BD225" t="s">
        <v>87</v>
      </c>
      <c r="BE225" t="s">
        <v>85</v>
      </c>
      <c r="BF225" t="s">
        <v>283</v>
      </c>
      <c r="BG225" t="s">
        <v>82</v>
      </c>
      <c r="BH225" t="s">
        <v>417</v>
      </c>
    </row>
    <row r="226" spans="33:60" x14ac:dyDescent="0.25">
      <c r="AH226" s="49"/>
      <c r="AI226" s="49"/>
      <c r="AK226" s="32" t="s">
        <v>50</v>
      </c>
      <c r="AL226" t="s">
        <v>95</v>
      </c>
      <c r="AM226" t="s">
        <v>371</v>
      </c>
      <c r="AN226" t="s">
        <v>372</v>
      </c>
      <c r="AW226" t="s">
        <v>106</v>
      </c>
      <c r="AX226" t="s">
        <v>283</v>
      </c>
      <c r="AY226">
        <v>5</v>
      </c>
      <c r="AZ226" t="s">
        <v>107</v>
      </c>
      <c r="BA226" t="s">
        <v>418</v>
      </c>
      <c r="BB226" t="s">
        <v>109</v>
      </c>
      <c r="BC226" t="s">
        <v>110</v>
      </c>
      <c r="BD226" t="s">
        <v>111</v>
      </c>
      <c r="BE226" t="s">
        <v>109</v>
      </c>
      <c r="BF226" t="s">
        <v>283</v>
      </c>
      <c r="BG226" t="s">
        <v>106</v>
      </c>
      <c r="BH226" t="s">
        <v>419</v>
      </c>
    </row>
    <row r="227" spans="33:60" x14ac:dyDescent="0.25">
      <c r="AH227" s="49"/>
      <c r="AI227" s="49"/>
      <c r="AK227" s="32" t="s">
        <v>50</v>
      </c>
      <c r="AL227" t="s">
        <v>95</v>
      </c>
      <c r="AM227" t="s">
        <v>374</v>
      </c>
      <c r="AN227" t="s">
        <v>375</v>
      </c>
      <c r="AW227" t="s">
        <v>121</v>
      </c>
      <c r="AX227" t="s">
        <v>283</v>
      </c>
      <c r="AY227">
        <v>6</v>
      </c>
      <c r="AZ227" t="s">
        <v>122</v>
      </c>
      <c r="BA227" t="s">
        <v>420</v>
      </c>
      <c r="BB227" t="s">
        <v>124</v>
      </c>
      <c r="BC227" t="s">
        <v>125</v>
      </c>
      <c r="BD227" t="s">
        <v>126</v>
      </c>
      <c r="BE227" t="s">
        <v>124</v>
      </c>
      <c r="BF227" t="s">
        <v>283</v>
      </c>
      <c r="BG227" t="s">
        <v>121</v>
      </c>
      <c r="BH227" t="s">
        <v>421</v>
      </c>
    </row>
    <row r="228" spans="33:60" x14ac:dyDescent="0.25">
      <c r="AH228" s="49"/>
      <c r="AI228" s="49"/>
      <c r="AK228" s="32" t="s">
        <v>50</v>
      </c>
      <c r="AL228" t="s">
        <v>95</v>
      </c>
      <c r="AM228" t="s">
        <v>376</v>
      </c>
      <c r="AN228" t="s">
        <v>377</v>
      </c>
      <c r="AW228" t="s">
        <v>139</v>
      </c>
      <c r="AX228" t="s">
        <v>283</v>
      </c>
      <c r="AY228">
        <v>7</v>
      </c>
      <c r="AZ228" t="s">
        <v>140</v>
      </c>
      <c r="BA228" t="s">
        <v>422</v>
      </c>
      <c r="BB228" t="s">
        <v>142</v>
      </c>
      <c r="BC228" t="s">
        <v>143</v>
      </c>
      <c r="BD228" t="s">
        <v>144</v>
      </c>
      <c r="BE228" t="s">
        <v>142</v>
      </c>
      <c r="BF228" t="s">
        <v>283</v>
      </c>
      <c r="BG228" t="s">
        <v>139</v>
      </c>
      <c r="BH228" t="s">
        <v>423</v>
      </c>
    </row>
    <row r="229" spans="33:60" x14ac:dyDescent="0.25">
      <c r="AG229" t="s">
        <v>297</v>
      </c>
      <c r="AH229" t="s">
        <v>103</v>
      </c>
      <c r="AI229">
        <v>15</v>
      </c>
      <c r="AK229" s="32" t="s">
        <v>50</v>
      </c>
      <c r="AL229" t="s">
        <v>95</v>
      </c>
      <c r="AM229" t="s">
        <v>379</v>
      </c>
      <c r="AN229" t="s">
        <v>380</v>
      </c>
      <c r="AW229" t="s">
        <v>151</v>
      </c>
      <c r="AX229" t="s">
        <v>283</v>
      </c>
      <c r="AY229">
        <v>8</v>
      </c>
      <c r="AZ229" t="s">
        <v>152</v>
      </c>
      <c r="BA229" t="s">
        <v>425</v>
      </c>
      <c r="BB229" t="s">
        <v>154</v>
      </c>
      <c r="BC229" t="s">
        <v>155</v>
      </c>
      <c r="BD229" t="s">
        <v>156</v>
      </c>
      <c r="BE229" t="s">
        <v>154</v>
      </c>
      <c r="BF229" t="s">
        <v>283</v>
      </c>
      <c r="BG229" t="s">
        <v>151</v>
      </c>
      <c r="BH229" t="s">
        <v>426</v>
      </c>
    </row>
    <row r="230" spans="33:60" x14ac:dyDescent="0.25">
      <c r="AK230" s="32" t="s">
        <v>50</v>
      </c>
      <c r="AL230" t="s">
        <v>95</v>
      </c>
      <c r="AM230" t="s">
        <v>381</v>
      </c>
      <c r="AN230" t="s">
        <v>382</v>
      </c>
      <c r="AW230" t="s">
        <v>164</v>
      </c>
      <c r="AX230" t="s">
        <v>283</v>
      </c>
      <c r="AY230">
        <v>9</v>
      </c>
      <c r="AZ230" t="s">
        <v>165</v>
      </c>
      <c r="BA230" t="s">
        <v>427</v>
      </c>
      <c r="BB230" t="s">
        <v>167</v>
      </c>
      <c r="BC230" t="s">
        <v>168</v>
      </c>
      <c r="BD230" t="s">
        <v>169</v>
      </c>
      <c r="BE230" t="s">
        <v>167</v>
      </c>
      <c r="BF230" t="s">
        <v>283</v>
      </c>
      <c r="BG230" t="s">
        <v>164</v>
      </c>
      <c r="BH230" t="s">
        <v>428</v>
      </c>
    </row>
    <row r="231" spans="33:60" x14ac:dyDescent="0.25">
      <c r="AG231" t="s">
        <v>297</v>
      </c>
      <c r="AH231" t="s">
        <v>117</v>
      </c>
      <c r="AI231">
        <v>13</v>
      </c>
      <c r="AK231" s="32" t="s">
        <v>50</v>
      </c>
      <c r="AL231" t="s">
        <v>95</v>
      </c>
      <c r="AM231" t="s">
        <v>383</v>
      </c>
      <c r="AN231" t="s">
        <v>384</v>
      </c>
      <c r="AW231" t="s">
        <v>176</v>
      </c>
      <c r="AX231" t="s">
        <v>283</v>
      </c>
      <c r="AY231">
        <v>10</v>
      </c>
      <c r="AZ231" t="s">
        <v>177</v>
      </c>
      <c r="BA231" t="s">
        <v>429</v>
      </c>
      <c r="BB231" t="s">
        <v>179</v>
      </c>
      <c r="BC231" t="s">
        <v>180</v>
      </c>
      <c r="BD231" t="s">
        <v>181</v>
      </c>
      <c r="BE231" t="s">
        <v>179</v>
      </c>
      <c r="BF231" t="s">
        <v>283</v>
      </c>
      <c r="BG231" t="s">
        <v>176</v>
      </c>
      <c r="BH231" t="s">
        <v>430</v>
      </c>
    </row>
    <row r="232" spans="33:60" x14ac:dyDescent="0.25">
      <c r="AG232" t="s">
        <v>297</v>
      </c>
      <c r="AH232" t="s">
        <v>135</v>
      </c>
      <c r="AI232">
        <v>15</v>
      </c>
      <c r="AK232" s="32" t="s">
        <v>50</v>
      </c>
      <c r="AL232" t="s">
        <v>95</v>
      </c>
      <c r="AM232" t="s">
        <v>385</v>
      </c>
      <c r="AN232" t="s">
        <v>386</v>
      </c>
      <c r="AW232" t="s">
        <v>189</v>
      </c>
      <c r="AX232" t="s">
        <v>283</v>
      </c>
      <c r="AY232">
        <v>11</v>
      </c>
      <c r="AZ232" t="s">
        <v>190</v>
      </c>
      <c r="BA232" t="s">
        <v>431</v>
      </c>
      <c r="BB232" t="s">
        <v>192</v>
      </c>
      <c r="BC232" t="s">
        <v>193</v>
      </c>
      <c r="BD232" t="s">
        <v>194</v>
      </c>
      <c r="BE232" t="s">
        <v>192</v>
      </c>
      <c r="BF232" t="s">
        <v>283</v>
      </c>
      <c r="BG232" t="s">
        <v>189</v>
      </c>
      <c r="BH232" t="s">
        <v>432</v>
      </c>
    </row>
    <row r="233" spans="33:60" x14ac:dyDescent="0.25">
      <c r="AG233" t="s">
        <v>304</v>
      </c>
      <c r="AH233" t="s">
        <v>39</v>
      </c>
      <c r="AI233">
        <v>1083</v>
      </c>
      <c r="AK233" s="32" t="s">
        <v>50</v>
      </c>
      <c r="AL233" t="s">
        <v>95</v>
      </c>
      <c r="AM233" t="s">
        <v>387</v>
      </c>
      <c r="AN233" t="s">
        <v>388</v>
      </c>
      <c r="AW233" t="s">
        <v>201</v>
      </c>
      <c r="AX233" t="s">
        <v>283</v>
      </c>
      <c r="AY233">
        <v>14</v>
      </c>
      <c r="AZ233" t="s">
        <v>202</v>
      </c>
      <c r="BA233" t="s">
        <v>433</v>
      </c>
      <c r="BB233" t="s">
        <v>204</v>
      </c>
      <c r="BC233" t="s">
        <v>205</v>
      </c>
      <c r="BD233" t="s">
        <v>206</v>
      </c>
      <c r="BE233" t="s">
        <v>204</v>
      </c>
      <c r="BF233" t="s">
        <v>283</v>
      </c>
      <c r="BG233" t="s">
        <v>201</v>
      </c>
      <c r="BH233" t="s">
        <v>434</v>
      </c>
    </row>
    <row r="234" spans="33:60" x14ac:dyDescent="0.25">
      <c r="AG234" t="s">
        <v>304</v>
      </c>
      <c r="AH234" t="s">
        <v>78</v>
      </c>
      <c r="AI234">
        <v>1080</v>
      </c>
      <c r="AK234" s="32" t="s">
        <v>50</v>
      </c>
      <c r="AL234" t="s">
        <v>95</v>
      </c>
      <c r="AM234" t="s">
        <v>389</v>
      </c>
      <c r="AN234" t="s">
        <v>390</v>
      </c>
      <c r="AW234" t="s">
        <v>213</v>
      </c>
      <c r="AX234" t="s">
        <v>283</v>
      </c>
      <c r="AY234">
        <v>18</v>
      </c>
      <c r="AZ234" t="s">
        <v>214</v>
      </c>
      <c r="BA234" t="s">
        <v>435</v>
      </c>
      <c r="BB234" t="s">
        <v>216</v>
      </c>
      <c r="BC234" t="s">
        <v>217</v>
      </c>
      <c r="BD234" t="s">
        <v>218</v>
      </c>
      <c r="BE234" t="s">
        <v>216</v>
      </c>
      <c r="BF234" t="s">
        <v>283</v>
      </c>
      <c r="BG234" t="s">
        <v>213</v>
      </c>
      <c r="BH234" t="s">
        <v>436</v>
      </c>
    </row>
    <row r="235" spans="33:60" x14ac:dyDescent="0.25">
      <c r="AG235" t="s">
        <v>304</v>
      </c>
      <c r="AH235" t="s">
        <v>103</v>
      </c>
      <c r="AI235">
        <v>1080</v>
      </c>
      <c r="AK235" s="32" t="s">
        <v>50</v>
      </c>
      <c r="AL235" t="s">
        <v>95</v>
      </c>
      <c r="AM235" t="s">
        <v>391</v>
      </c>
      <c r="AN235" t="s">
        <v>392</v>
      </c>
      <c r="AW235" t="s">
        <v>53</v>
      </c>
      <c r="AX235" t="s">
        <v>290</v>
      </c>
      <c r="AY235">
        <v>3</v>
      </c>
      <c r="AZ235" t="s">
        <v>55</v>
      </c>
      <c r="BA235" t="s">
        <v>414</v>
      </c>
      <c r="BB235" t="s">
        <v>57</v>
      </c>
      <c r="BC235" t="s">
        <v>58</v>
      </c>
      <c r="BD235" t="s">
        <v>59</v>
      </c>
      <c r="BE235" t="s">
        <v>57</v>
      </c>
      <c r="BF235" t="s">
        <v>290</v>
      </c>
      <c r="BG235" t="s">
        <v>53</v>
      </c>
      <c r="BH235" t="s">
        <v>415</v>
      </c>
    </row>
    <row r="236" spans="33:60" x14ac:dyDescent="0.25">
      <c r="AK236" s="32" t="s">
        <v>50</v>
      </c>
      <c r="AL236" t="s">
        <v>95</v>
      </c>
      <c r="AM236" t="s">
        <v>393</v>
      </c>
      <c r="AN236" t="s">
        <v>394</v>
      </c>
      <c r="AW236" t="s">
        <v>82</v>
      </c>
      <c r="AX236" t="s">
        <v>290</v>
      </c>
      <c r="AY236">
        <v>4</v>
      </c>
      <c r="AZ236" t="s">
        <v>83</v>
      </c>
      <c r="BA236" t="s">
        <v>416</v>
      </c>
      <c r="BB236" t="s">
        <v>85</v>
      </c>
      <c r="BC236" t="s">
        <v>86</v>
      </c>
      <c r="BD236" t="s">
        <v>87</v>
      </c>
      <c r="BE236" t="s">
        <v>85</v>
      </c>
      <c r="BF236" t="s">
        <v>290</v>
      </c>
      <c r="BG236" t="s">
        <v>82</v>
      </c>
      <c r="BH236" t="s">
        <v>417</v>
      </c>
    </row>
    <row r="237" spans="33:60" x14ac:dyDescent="0.25">
      <c r="AG237" t="s">
        <v>304</v>
      </c>
      <c r="AH237" t="s">
        <v>117</v>
      </c>
      <c r="AI237">
        <v>1088</v>
      </c>
      <c r="AK237" s="32" t="s">
        <v>50</v>
      </c>
      <c r="AL237" t="s">
        <v>95</v>
      </c>
      <c r="AM237" t="s">
        <v>395</v>
      </c>
      <c r="AN237" t="s">
        <v>396</v>
      </c>
      <c r="AW237" t="s">
        <v>106</v>
      </c>
      <c r="AX237" t="s">
        <v>290</v>
      </c>
      <c r="AY237">
        <v>5</v>
      </c>
      <c r="AZ237" t="s">
        <v>107</v>
      </c>
      <c r="BA237" t="s">
        <v>418</v>
      </c>
      <c r="BB237" t="s">
        <v>109</v>
      </c>
      <c r="BC237" t="s">
        <v>110</v>
      </c>
      <c r="BD237" t="s">
        <v>111</v>
      </c>
      <c r="BE237" t="s">
        <v>109</v>
      </c>
      <c r="BF237" t="s">
        <v>290</v>
      </c>
      <c r="BG237" t="s">
        <v>106</v>
      </c>
      <c r="BH237" t="s">
        <v>419</v>
      </c>
    </row>
    <row r="238" spans="33:60" x14ac:dyDescent="0.25">
      <c r="AG238" t="s">
        <v>304</v>
      </c>
      <c r="AH238" t="s">
        <v>135</v>
      </c>
      <c r="AI238">
        <v>1190</v>
      </c>
      <c r="AK238" s="32" t="s">
        <v>50</v>
      </c>
      <c r="AL238" t="s">
        <v>95</v>
      </c>
      <c r="AM238" t="s">
        <v>397</v>
      </c>
      <c r="AN238" t="s">
        <v>398</v>
      </c>
      <c r="AW238" t="s">
        <v>121</v>
      </c>
      <c r="AX238" t="s">
        <v>290</v>
      </c>
      <c r="AY238">
        <v>6</v>
      </c>
      <c r="AZ238" t="s">
        <v>122</v>
      </c>
      <c r="BA238" t="s">
        <v>420</v>
      </c>
      <c r="BB238" t="s">
        <v>124</v>
      </c>
      <c r="BC238" t="s">
        <v>125</v>
      </c>
      <c r="BD238" t="s">
        <v>126</v>
      </c>
      <c r="BE238" t="s">
        <v>124</v>
      </c>
      <c r="BF238" t="s">
        <v>290</v>
      </c>
      <c r="BG238" t="s">
        <v>121</v>
      </c>
      <c r="BH238" t="s">
        <v>421</v>
      </c>
    </row>
    <row r="239" spans="33:60" x14ac:dyDescent="0.25">
      <c r="AG239" t="s">
        <v>308</v>
      </c>
      <c r="AH239" t="s">
        <v>39</v>
      </c>
      <c r="AI239">
        <v>450</v>
      </c>
      <c r="AK239" s="32" t="s">
        <v>50</v>
      </c>
      <c r="AL239" t="s">
        <v>95</v>
      </c>
      <c r="AM239" t="s">
        <v>399</v>
      </c>
      <c r="AN239" t="s">
        <v>400</v>
      </c>
      <c r="AW239" t="s">
        <v>139</v>
      </c>
      <c r="AX239" t="s">
        <v>290</v>
      </c>
      <c r="AY239">
        <v>7</v>
      </c>
      <c r="AZ239" t="s">
        <v>140</v>
      </c>
      <c r="BA239" t="s">
        <v>422</v>
      </c>
      <c r="BB239" t="s">
        <v>142</v>
      </c>
      <c r="BC239" t="s">
        <v>143</v>
      </c>
      <c r="BD239" t="s">
        <v>144</v>
      </c>
      <c r="BE239" t="s">
        <v>142</v>
      </c>
      <c r="BF239" t="s">
        <v>290</v>
      </c>
      <c r="BG239" t="s">
        <v>139</v>
      </c>
      <c r="BH239" t="s">
        <v>423</v>
      </c>
    </row>
    <row r="240" spans="33:60" x14ac:dyDescent="0.25">
      <c r="AG240" t="s">
        <v>308</v>
      </c>
      <c r="AH240" t="s">
        <v>78</v>
      </c>
      <c r="AI240">
        <v>190</v>
      </c>
      <c r="AK240" s="32" t="s">
        <v>50</v>
      </c>
      <c r="AL240" t="s">
        <v>95</v>
      </c>
      <c r="AM240" t="s">
        <v>401</v>
      </c>
      <c r="AN240" t="s">
        <v>402</v>
      </c>
      <c r="AW240" t="s">
        <v>151</v>
      </c>
      <c r="AX240" t="s">
        <v>290</v>
      </c>
      <c r="AY240">
        <v>8</v>
      </c>
      <c r="AZ240" t="s">
        <v>152</v>
      </c>
      <c r="BA240" t="s">
        <v>425</v>
      </c>
      <c r="BB240" t="s">
        <v>154</v>
      </c>
      <c r="BC240" t="s">
        <v>155</v>
      </c>
      <c r="BD240" t="s">
        <v>156</v>
      </c>
      <c r="BE240" t="s">
        <v>154</v>
      </c>
      <c r="BF240" t="s">
        <v>290</v>
      </c>
      <c r="BG240" t="s">
        <v>151</v>
      </c>
      <c r="BH240" t="s">
        <v>426</v>
      </c>
    </row>
    <row r="241" spans="33:60" x14ac:dyDescent="0.25">
      <c r="AG241" t="s">
        <v>308</v>
      </c>
      <c r="AH241" t="s">
        <v>103</v>
      </c>
      <c r="AI241">
        <v>490</v>
      </c>
      <c r="AK241" s="32" t="s">
        <v>50</v>
      </c>
      <c r="AL241" t="s">
        <v>95</v>
      </c>
      <c r="AM241" t="s">
        <v>403</v>
      </c>
      <c r="AN241" t="s">
        <v>404</v>
      </c>
      <c r="AW241" t="s">
        <v>164</v>
      </c>
      <c r="AX241" t="s">
        <v>290</v>
      </c>
      <c r="AY241">
        <v>9</v>
      </c>
      <c r="AZ241" t="s">
        <v>165</v>
      </c>
      <c r="BA241" t="s">
        <v>427</v>
      </c>
      <c r="BB241" t="s">
        <v>167</v>
      </c>
      <c r="BC241" t="s">
        <v>168</v>
      </c>
      <c r="BD241" t="s">
        <v>169</v>
      </c>
      <c r="BE241" t="s">
        <v>167</v>
      </c>
      <c r="BF241" t="s">
        <v>290</v>
      </c>
      <c r="BG241" t="s">
        <v>164</v>
      </c>
      <c r="BH241" t="s">
        <v>428</v>
      </c>
    </row>
    <row r="242" spans="33:60" x14ac:dyDescent="0.25">
      <c r="AK242" s="32" t="s">
        <v>50</v>
      </c>
      <c r="AL242" t="s">
        <v>95</v>
      </c>
      <c r="AM242" t="s">
        <v>405</v>
      </c>
      <c r="AN242" t="s">
        <v>406</v>
      </c>
      <c r="AW242" t="s">
        <v>176</v>
      </c>
      <c r="AX242" t="s">
        <v>290</v>
      </c>
      <c r="AY242">
        <v>10</v>
      </c>
      <c r="AZ242" t="s">
        <v>177</v>
      </c>
      <c r="BA242" t="s">
        <v>429</v>
      </c>
      <c r="BB242" t="s">
        <v>179</v>
      </c>
      <c r="BC242" t="s">
        <v>180</v>
      </c>
      <c r="BD242" t="s">
        <v>181</v>
      </c>
      <c r="BE242" t="s">
        <v>179</v>
      </c>
      <c r="BF242" t="s">
        <v>290</v>
      </c>
      <c r="BG242" t="s">
        <v>176</v>
      </c>
      <c r="BH242" t="s">
        <v>430</v>
      </c>
    </row>
    <row r="243" spans="33:60" x14ac:dyDescent="0.25">
      <c r="AG243" t="s">
        <v>308</v>
      </c>
      <c r="AH243" t="s">
        <v>117</v>
      </c>
      <c r="AI243">
        <v>480</v>
      </c>
      <c r="AK243" s="32" t="s">
        <v>50</v>
      </c>
      <c r="AL243" t="s">
        <v>95</v>
      </c>
      <c r="AM243" t="s">
        <v>407</v>
      </c>
      <c r="AN243" t="s">
        <v>408</v>
      </c>
      <c r="AW243" t="s">
        <v>189</v>
      </c>
      <c r="AX243" t="s">
        <v>290</v>
      </c>
      <c r="AY243">
        <v>11</v>
      </c>
      <c r="AZ243" t="s">
        <v>190</v>
      </c>
      <c r="BA243" t="s">
        <v>431</v>
      </c>
      <c r="BB243" t="s">
        <v>192</v>
      </c>
      <c r="BC243" t="s">
        <v>193</v>
      </c>
      <c r="BD243" t="s">
        <v>194</v>
      </c>
      <c r="BE243" t="s">
        <v>192</v>
      </c>
      <c r="BF243" t="s">
        <v>290</v>
      </c>
      <c r="BG243" t="s">
        <v>189</v>
      </c>
      <c r="BH243" t="s">
        <v>432</v>
      </c>
    </row>
    <row r="244" spans="33:60" x14ac:dyDescent="0.25">
      <c r="AG244" t="s">
        <v>308</v>
      </c>
      <c r="AH244" t="s">
        <v>135</v>
      </c>
      <c r="AI244">
        <v>450</v>
      </c>
      <c r="AK244" s="32" t="s">
        <v>50</v>
      </c>
      <c r="AL244" t="s">
        <v>95</v>
      </c>
      <c r="AM244" t="s">
        <v>409</v>
      </c>
      <c r="AN244" t="s">
        <v>410</v>
      </c>
      <c r="AW244" t="s">
        <v>201</v>
      </c>
      <c r="AX244" t="s">
        <v>290</v>
      </c>
      <c r="AY244">
        <v>14</v>
      </c>
      <c r="AZ244" t="s">
        <v>202</v>
      </c>
      <c r="BA244" t="s">
        <v>433</v>
      </c>
      <c r="BB244" t="s">
        <v>204</v>
      </c>
      <c r="BC244" t="s">
        <v>205</v>
      </c>
      <c r="BD244" t="s">
        <v>206</v>
      </c>
      <c r="BE244" t="s">
        <v>204</v>
      </c>
      <c r="BF244" t="s">
        <v>290</v>
      </c>
      <c r="BG244" t="s">
        <v>201</v>
      </c>
      <c r="BH244" t="s">
        <v>434</v>
      </c>
    </row>
    <row r="245" spans="33:60" x14ac:dyDescent="0.25">
      <c r="AH245" s="49"/>
      <c r="AI245" s="53"/>
      <c r="AW245" t="s">
        <v>213</v>
      </c>
      <c r="AX245" t="s">
        <v>290</v>
      </c>
      <c r="AY245">
        <v>18</v>
      </c>
      <c r="AZ245" t="s">
        <v>214</v>
      </c>
      <c r="BA245" t="s">
        <v>435</v>
      </c>
      <c r="BB245" t="s">
        <v>216</v>
      </c>
      <c r="BC245" t="s">
        <v>217</v>
      </c>
      <c r="BD245" t="s">
        <v>218</v>
      </c>
      <c r="BE245" t="s">
        <v>216</v>
      </c>
      <c r="BF245" t="s">
        <v>290</v>
      </c>
      <c r="BG245" t="s">
        <v>213</v>
      </c>
      <c r="BH245" t="s">
        <v>436</v>
      </c>
    </row>
    <row r="246" spans="33:60" x14ac:dyDescent="0.25">
      <c r="AG246" t="s">
        <v>311</v>
      </c>
      <c r="AH246" s="49" t="s">
        <v>39</v>
      </c>
      <c r="AI246" s="53" t="s">
        <v>411</v>
      </c>
      <c r="AK246" s="32" t="s">
        <v>50</v>
      </c>
      <c r="AL246" t="s">
        <v>115</v>
      </c>
      <c r="AM246" t="s">
        <v>51</v>
      </c>
      <c r="AN246" t="s">
        <v>52</v>
      </c>
      <c r="AW246" t="s">
        <v>53</v>
      </c>
      <c r="AX246" s="54" t="s">
        <v>297</v>
      </c>
      <c r="AY246">
        <v>3</v>
      </c>
      <c r="AZ246" t="s">
        <v>55</v>
      </c>
      <c r="BA246" t="s">
        <v>56</v>
      </c>
      <c r="BB246" t="s">
        <v>57</v>
      </c>
      <c r="BC246" t="s">
        <v>58</v>
      </c>
      <c r="BD246" t="s">
        <v>59</v>
      </c>
      <c r="BE246" t="s">
        <v>57</v>
      </c>
      <c r="BF246" s="54" t="s">
        <v>297</v>
      </c>
      <c r="BG246" t="s">
        <v>53</v>
      </c>
      <c r="BH246" t="s">
        <v>60</v>
      </c>
    </row>
    <row r="247" spans="33:60" x14ac:dyDescent="0.25">
      <c r="AH247" s="49"/>
      <c r="AI247" s="53"/>
      <c r="AK247" s="32" t="s">
        <v>50</v>
      </c>
      <c r="AL247" t="s">
        <v>115</v>
      </c>
      <c r="AM247" t="s">
        <v>80</v>
      </c>
      <c r="AN247" t="s">
        <v>81</v>
      </c>
      <c r="AW247" t="s">
        <v>82</v>
      </c>
      <c r="AX247" s="54" t="s">
        <v>297</v>
      </c>
      <c r="AY247">
        <v>4</v>
      </c>
      <c r="AZ247" t="s">
        <v>83</v>
      </c>
      <c r="BA247" t="s">
        <v>84</v>
      </c>
      <c r="BB247" t="s">
        <v>85</v>
      </c>
      <c r="BC247" t="s">
        <v>86</v>
      </c>
      <c r="BD247" t="s">
        <v>87</v>
      </c>
      <c r="BE247" t="s">
        <v>85</v>
      </c>
      <c r="BF247" s="54" t="s">
        <v>297</v>
      </c>
      <c r="BG247" t="s">
        <v>82</v>
      </c>
      <c r="BH247" t="s">
        <v>88</v>
      </c>
    </row>
    <row r="248" spans="33:60" x14ac:dyDescent="0.25">
      <c r="AG248" t="s">
        <v>311</v>
      </c>
      <c r="AH248" s="49" t="s">
        <v>78</v>
      </c>
      <c r="AI248" s="53" t="s">
        <v>412</v>
      </c>
      <c r="AK248" s="32" t="s">
        <v>50</v>
      </c>
      <c r="AL248" t="s">
        <v>115</v>
      </c>
      <c r="AM248" t="s">
        <v>104</v>
      </c>
      <c r="AN248" t="s">
        <v>105</v>
      </c>
      <c r="AW248" t="s">
        <v>106</v>
      </c>
      <c r="AX248" s="54" t="s">
        <v>297</v>
      </c>
      <c r="AY248">
        <v>5</v>
      </c>
      <c r="AZ248" t="s">
        <v>107</v>
      </c>
      <c r="BA248" t="s">
        <v>108</v>
      </c>
      <c r="BB248" t="s">
        <v>109</v>
      </c>
      <c r="BC248" t="s">
        <v>110</v>
      </c>
      <c r="BD248" t="s">
        <v>111</v>
      </c>
      <c r="BE248" t="s">
        <v>109</v>
      </c>
      <c r="BF248" s="54" t="s">
        <v>297</v>
      </c>
      <c r="BG248" t="s">
        <v>106</v>
      </c>
      <c r="BH248" t="s">
        <v>65</v>
      </c>
    </row>
    <row r="249" spans="33:60" x14ac:dyDescent="0.25">
      <c r="AH249" s="49"/>
      <c r="AI249" s="53"/>
      <c r="AK249" s="32" t="s">
        <v>50</v>
      </c>
      <c r="AL249" t="s">
        <v>115</v>
      </c>
      <c r="AM249" t="s">
        <v>119</v>
      </c>
      <c r="AN249" t="s">
        <v>120</v>
      </c>
      <c r="AW249" t="s">
        <v>121</v>
      </c>
      <c r="AX249" s="54" t="s">
        <v>297</v>
      </c>
      <c r="AY249">
        <v>6</v>
      </c>
      <c r="AZ249" t="s">
        <v>122</v>
      </c>
      <c r="BA249" t="s">
        <v>123</v>
      </c>
      <c r="BB249" t="s">
        <v>124</v>
      </c>
      <c r="BC249" t="s">
        <v>125</v>
      </c>
      <c r="BD249" t="s">
        <v>126</v>
      </c>
      <c r="BE249" t="s">
        <v>124</v>
      </c>
      <c r="BF249" s="54" t="s">
        <v>297</v>
      </c>
      <c r="BG249" t="s">
        <v>121</v>
      </c>
      <c r="BH249" t="s">
        <v>127</v>
      </c>
    </row>
    <row r="250" spans="33:60" x14ac:dyDescent="0.25">
      <c r="AH250" s="49"/>
      <c r="AI250" s="53"/>
      <c r="AK250" s="32" t="s">
        <v>50</v>
      </c>
      <c r="AL250" t="s">
        <v>115</v>
      </c>
      <c r="AM250" t="s">
        <v>137</v>
      </c>
      <c r="AN250" t="s">
        <v>138</v>
      </c>
      <c r="AW250" t="s">
        <v>139</v>
      </c>
      <c r="AX250" s="54" t="s">
        <v>297</v>
      </c>
      <c r="AY250">
        <v>7</v>
      </c>
      <c r="AZ250" t="s">
        <v>140</v>
      </c>
      <c r="BA250" t="s">
        <v>141</v>
      </c>
      <c r="BB250" t="s">
        <v>142</v>
      </c>
      <c r="BC250" t="s">
        <v>143</v>
      </c>
      <c r="BD250" t="s">
        <v>144</v>
      </c>
      <c r="BE250" t="s">
        <v>142</v>
      </c>
      <c r="BF250" s="54" t="s">
        <v>297</v>
      </c>
      <c r="BG250" t="s">
        <v>139</v>
      </c>
      <c r="BH250" t="s">
        <v>145</v>
      </c>
    </row>
    <row r="251" spans="33:60" x14ac:dyDescent="0.25">
      <c r="AH251" s="49"/>
      <c r="AI251" s="53"/>
      <c r="AK251" s="32" t="s">
        <v>50</v>
      </c>
      <c r="AL251" t="s">
        <v>115</v>
      </c>
      <c r="AM251" t="s">
        <v>149</v>
      </c>
      <c r="AN251" t="s">
        <v>150</v>
      </c>
      <c r="AW251" t="s">
        <v>151</v>
      </c>
      <c r="AX251" s="54" t="s">
        <v>297</v>
      </c>
      <c r="AY251">
        <v>8</v>
      </c>
      <c r="AZ251" t="s">
        <v>152</v>
      </c>
      <c r="BA251" t="s">
        <v>153</v>
      </c>
      <c r="BB251" t="s">
        <v>154</v>
      </c>
      <c r="BC251" t="s">
        <v>155</v>
      </c>
      <c r="BD251" t="s">
        <v>156</v>
      </c>
      <c r="BE251" t="s">
        <v>154</v>
      </c>
      <c r="BF251" s="54" t="s">
        <v>297</v>
      </c>
      <c r="BG251" t="s">
        <v>151</v>
      </c>
      <c r="BH251" t="s">
        <v>157</v>
      </c>
    </row>
    <row r="252" spans="33:60" x14ac:dyDescent="0.25">
      <c r="AH252" s="49"/>
      <c r="AI252" s="53"/>
      <c r="AK252" s="32" t="s">
        <v>50</v>
      </c>
      <c r="AL252" t="s">
        <v>115</v>
      </c>
      <c r="AM252" t="s">
        <v>162</v>
      </c>
      <c r="AN252" t="s">
        <v>163</v>
      </c>
      <c r="AW252" t="s">
        <v>164</v>
      </c>
      <c r="AX252" s="54" t="s">
        <v>297</v>
      </c>
      <c r="AY252">
        <v>9</v>
      </c>
      <c r="AZ252" t="s">
        <v>165</v>
      </c>
      <c r="BA252" t="s">
        <v>166</v>
      </c>
      <c r="BB252" t="s">
        <v>167</v>
      </c>
      <c r="BC252" t="s">
        <v>168</v>
      </c>
      <c r="BD252" t="s">
        <v>169</v>
      </c>
      <c r="BE252" t="s">
        <v>167</v>
      </c>
      <c r="BF252" s="54" t="s">
        <v>297</v>
      </c>
      <c r="BG252" t="s">
        <v>164</v>
      </c>
      <c r="BH252" t="s">
        <v>91</v>
      </c>
    </row>
    <row r="253" spans="33:60" x14ac:dyDescent="0.25">
      <c r="AH253" s="49"/>
      <c r="AI253" s="53"/>
      <c r="AK253" s="32" t="s">
        <v>50</v>
      </c>
      <c r="AL253" t="s">
        <v>115</v>
      </c>
      <c r="AM253" t="s">
        <v>174</v>
      </c>
      <c r="AN253" t="s">
        <v>175</v>
      </c>
      <c r="AW253" t="s">
        <v>176</v>
      </c>
      <c r="AX253" s="54" t="s">
        <v>297</v>
      </c>
      <c r="AY253">
        <v>10</v>
      </c>
      <c r="AZ253" t="s">
        <v>177</v>
      </c>
      <c r="BA253" t="s">
        <v>178</v>
      </c>
      <c r="BB253" t="s">
        <v>179</v>
      </c>
      <c r="BC253" t="s">
        <v>180</v>
      </c>
      <c r="BD253" t="s">
        <v>181</v>
      </c>
      <c r="BE253" t="s">
        <v>179</v>
      </c>
      <c r="BF253" s="54" t="s">
        <v>297</v>
      </c>
      <c r="BG253" t="s">
        <v>176</v>
      </c>
      <c r="BH253" t="s">
        <v>182</v>
      </c>
    </row>
    <row r="254" spans="33:60" x14ac:dyDescent="0.25">
      <c r="AG254" t="s">
        <v>311</v>
      </c>
      <c r="AH254" s="49" t="s">
        <v>103</v>
      </c>
      <c r="AI254" s="53" t="s">
        <v>411</v>
      </c>
      <c r="AK254" s="32" t="s">
        <v>50</v>
      </c>
      <c r="AL254" t="s">
        <v>115</v>
      </c>
      <c r="AM254" t="s">
        <v>187</v>
      </c>
      <c r="AN254" t="s">
        <v>188</v>
      </c>
      <c r="AW254" t="s">
        <v>189</v>
      </c>
      <c r="AX254" s="54" t="s">
        <v>297</v>
      </c>
      <c r="AY254">
        <v>11</v>
      </c>
      <c r="AZ254" t="s">
        <v>190</v>
      </c>
      <c r="BA254" t="s">
        <v>191</v>
      </c>
      <c r="BB254" t="s">
        <v>192</v>
      </c>
      <c r="BC254" t="s">
        <v>193</v>
      </c>
      <c r="BD254" t="s">
        <v>194</v>
      </c>
      <c r="BE254" t="s">
        <v>192</v>
      </c>
      <c r="BF254" s="54" t="s">
        <v>297</v>
      </c>
      <c r="BG254" t="s">
        <v>189</v>
      </c>
      <c r="BH254" t="s">
        <v>195</v>
      </c>
    </row>
    <row r="255" spans="33:60" x14ac:dyDescent="0.25">
      <c r="AH255" s="49"/>
      <c r="AI255" s="53"/>
      <c r="AK255" s="32" t="s">
        <v>50</v>
      </c>
      <c r="AL255" t="s">
        <v>115</v>
      </c>
      <c r="AM255" t="s">
        <v>199</v>
      </c>
      <c r="AN255" t="s">
        <v>200</v>
      </c>
      <c r="AW255" t="s">
        <v>201</v>
      </c>
      <c r="AX255" s="54" t="s">
        <v>297</v>
      </c>
      <c r="AY255">
        <v>14</v>
      </c>
      <c r="AZ255" t="s">
        <v>202</v>
      </c>
      <c r="BA255" t="s">
        <v>203</v>
      </c>
      <c r="BB255" t="s">
        <v>204</v>
      </c>
      <c r="BC255" t="s">
        <v>205</v>
      </c>
      <c r="BD255" t="s">
        <v>206</v>
      </c>
      <c r="BE255" t="s">
        <v>204</v>
      </c>
      <c r="BF255" s="54" t="s">
        <v>297</v>
      </c>
      <c r="BG255" t="s">
        <v>201</v>
      </c>
      <c r="BH255" t="s">
        <v>207</v>
      </c>
    </row>
    <row r="256" spans="33:60" x14ac:dyDescent="0.25">
      <c r="AH256" s="49"/>
      <c r="AI256" s="53"/>
      <c r="AK256" s="32" t="s">
        <v>50</v>
      </c>
      <c r="AL256" t="s">
        <v>115</v>
      </c>
      <c r="AM256" t="s">
        <v>211</v>
      </c>
      <c r="AN256" t="s">
        <v>212</v>
      </c>
      <c r="AW256" t="s">
        <v>213</v>
      </c>
      <c r="AX256" s="54" t="s">
        <v>297</v>
      </c>
      <c r="AY256">
        <v>18</v>
      </c>
      <c r="AZ256" t="s">
        <v>214</v>
      </c>
      <c r="BA256" t="s">
        <v>215</v>
      </c>
      <c r="BB256" t="s">
        <v>216</v>
      </c>
      <c r="BC256" t="s">
        <v>217</v>
      </c>
      <c r="BD256" t="s">
        <v>218</v>
      </c>
      <c r="BE256" t="s">
        <v>216</v>
      </c>
      <c r="BF256" s="54" t="s">
        <v>297</v>
      </c>
      <c r="BG256" t="s">
        <v>213</v>
      </c>
      <c r="BH256" t="s">
        <v>219</v>
      </c>
    </row>
    <row r="257" spans="33:60" x14ac:dyDescent="0.25">
      <c r="AH257" s="49"/>
      <c r="AI257" s="53"/>
      <c r="AK257" s="32" t="s">
        <v>50</v>
      </c>
      <c r="AL257" t="s">
        <v>115</v>
      </c>
      <c r="AM257" t="s">
        <v>223</v>
      </c>
      <c r="AN257" t="s">
        <v>224</v>
      </c>
      <c r="AW257" t="s">
        <v>53</v>
      </c>
      <c r="AX257" t="s">
        <v>304</v>
      </c>
      <c r="AY257" s="54">
        <v>3</v>
      </c>
      <c r="AZ257" s="54" t="s">
        <v>56</v>
      </c>
      <c r="BA257" s="54" t="s">
        <v>438</v>
      </c>
      <c r="BB257" s="56"/>
      <c r="BC257" s="54" t="s">
        <v>58</v>
      </c>
      <c r="BD257" s="54" t="s">
        <v>439</v>
      </c>
      <c r="BE257" s="56"/>
      <c r="BF257" t="s">
        <v>304</v>
      </c>
      <c r="BG257" t="s">
        <v>53</v>
      </c>
      <c r="BH257" s="18"/>
    </row>
    <row r="258" spans="33:60" x14ac:dyDescent="0.25">
      <c r="AH258" s="49"/>
      <c r="AI258" s="53"/>
      <c r="AK258" s="32" t="s">
        <v>50</v>
      </c>
      <c r="AL258" t="s">
        <v>115</v>
      </c>
      <c r="AM258" t="s">
        <v>232</v>
      </c>
      <c r="AN258" t="s">
        <v>233</v>
      </c>
      <c r="AW258" t="s">
        <v>82</v>
      </c>
      <c r="AX258" t="s">
        <v>304</v>
      </c>
      <c r="AY258" s="54">
        <v>4</v>
      </c>
      <c r="AZ258" s="54" t="s">
        <v>84</v>
      </c>
      <c r="BA258" s="54" t="s">
        <v>440</v>
      </c>
      <c r="BB258" s="56"/>
      <c r="BC258" s="54" t="s">
        <v>86</v>
      </c>
      <c r="BD258" s="54" t="s">
        <v>441</v>
      </c>
      <c r="BE258" s="56"/>
      <c r="BF258" t="s">
        <v>304</v>
      </c>
      <c r="BG258" t="s">
        <v>82</v>
      </c>
      <c r="BH258" t="s">
        <v>442</v>
      </c>
    </row>
    <row r="259" spans="33:60" x14ac:dyDescent="0.25">
      <c r="AH259" s="49"/>
      <c r="AI259" s="53"/>
      <c r="AK259" s="32" t="s">
        <v>50</v>
      </c>
      <c r="AL259" t="s">
        <v>115</v>
      </c>
      <c r="AM259" t="s">
        <v>239</v>
      </c>
      <c r="AN259" t="s">
        <v>240</v>
      </c>
      <c r="AW259" t="s">
        <v>106</v>
      </c>
      <c r="AX259" t="s">
        <v>304</v>
      </c>
      <c r="AY259" s="54">
        <v>5</v>
      </c>
      <c r="AZ259" s="54" t="s">
        <v>108</v>
      </c>
      <c r="BA259" s="54" t="s">
        <v>443</v>
      </c>
      <c r="BB259" s="56"/>
      <c r="BC259" s="54" t="s">
        <v>110</v>
      </c>
      <c r="BD259" s="54" t="s">
        <v>444</v>
      </c>
      <c r="BE259" s="56"/>
      <c r="BF259" t="s">
        <v>304</v>
      </c>
      <c r="BG259" t="s">
        <v>106</v>
      </c>
      <c r="BH259" t="s">
        <v>445</v>
      </c>
    </row>
    <row r="260" spans="33:60" x14ac:dyDescent="0.25">
      <c r="AG260" t="s">
        <v>311</v>
      </c>
      <c r="AH260" s="49" t="s">
        <v>117</v>
      </c>
      <c r="AI260" s="53" t="s">
        <v>411</v>
      </c>
      <c r="AK260" s="32" t="s">
        <v>50</v>
      </c>
      <c r="AL260" t="s">
        <v>115</v>
      </c>
      <c r="AM260" t="s">
        <v>246</v>
      </c>
      <c r="AN260" t="s">
        <v>247</v>
      </c>
      <c r="AW260" t="s">
        <v>121</v>
      </c>
      <c r="AX260" t="s">
        <v>304</v>
      </c>
      <c r="AY260" s="54">
        <v>6</v>
      </c>
      <c r="AZ260" s="54" t="s">
        <v>123</v>
      </c>
      <c r="BA260" s="54" t="s">
        <v>446</v>
      </c>
      <c r="BB260" s="56"/>
      <c r="BC260" s="54" t="s">
        <v>125</v>
      </c>
      <c r="BD260" s="54" t="s">
        <v>447</v>
      </c>
      <c r="BE260" s="56"/>
      <c r="BF260" t="s">
        <v>304</v>
      </c>
      <c r="BG260" t="s">
        <v>121</v>
      </c>
      <c r="BH260" t="s">
        <v>448</v>
      </c>
    </row>
    <row r="261" spans="33:60" x14ac:dyDescent="0.25">
      <c r="AH261" s="49"/>
      <c r="AI261" s="53"/>
      <c r="AK261" s="32" t="s">
        <v>50</v>
      </c>
      <c r="AL261" t="s">
        <v>115</v>
      </c>
      <c r="AM261" t="s">
        <v>254</v>
      </c>
      <c r="AN261" t="s">
        <v>255</v>
      </c>
      <c r="AW261" t="s">
        <v>139</v>
      </c>
      <c r="AX261" t="s">
        <v>304</v>
      </c>
      <c r="AY261" s="54">
        <v>7</v>
      </c>
      <c r="AZ261" s="54" t="s">
        <v>141</v>
      </c>
      <c r="BA261" s="54" t="s">
        <v>449</v>
      </c>
      <c r="BB261" s="56"/>
      <c r="BC261" s="54" t="s">
        <v>143</v>
      </c>
      <c r="BD261" s="54" t="s">
        <v>450</v>
      </c>
      <c r="BE261" s="56"/>
      <c r="BF261" t="s">
        <v>304</v>
      </c>
      <c r="BG261" t="s">
        <v>139</v>
      </c>
      <c r="BH261" t="s">
        <v>451</v>
      </c>
    </row>
    <row r="262" spans="33:60" x14ac:dyDescent="0.25">
      <c r="AG262" t="s">
        <v>311</v>
      </c>
      <c r="AH262" s="49" t="s">
        <v>135</v>
      </c>
      <c r="AI262" s="53" t="s">
        <v>413</v>
      </c>
      <c r="AK262" s="32" t="s">
        <v>50</v>
      </c>
      <c r="AL262" t="s">
        <v>115</v>
      </c>
      <c r="AM262" t="s">
        <v>262</v>
      </c>
      <c r="AN262" t="s">
        <v>263</v>
      </c>
      <c r="AW262" t="s">
        <v>151</v>
      </c>
      <c r="AX262" t="s">
        <v>304</v>
      </c>
      <c r="AY262" s="54">
        <v>8</v>
      </c>
      <c r="AZ262" s="54" t="s">
        <v>153</v>
      </c>
      <c r="BA262" s="54" t="s">
        <v>452</v>
      </c>
      <c r="BB262" s="56"/>
      <c r="BC262" s="54" t="s">
        <v>155</v>
      </c>
      <c r="BD262" s="54" t="s">
        <v>453</v>
      </c>
      <c r="BE262" s="56"/>
      <c r="BF262" t="s">
        <v>304</v>
      </c>
      <c r="BG262" t="s">
        <v>151</v>
      </c>
      <c r="BH262" t="s">
        <v>454</v>
      </c>
    </row>
    <row r="263" spans="33:60" x14ac:dyDescent="0.25">
      <c r="AH263" s="49"/>
      <c r="AI263" s="53"/>
      <c r="AK263" s="32" t="s">
        <v>50</v>
      </c>
      <c r="AL263" t="s">
        <v>115</v>
      </c>
      <c r="AM263" t="s">
        <v>270</v>
      </c>
      <c r="AN263" t="s">
        <v>271</v>
      </c>
      <c r="AW263" t="s">
        <v>164</v>
      </c>
      <c r="AX263" t="s">
        <v>304</v>
      </c>
      <c r="AY263" s="54">
        <v>9</v>
      </c>
      <c r="AZ263" s="54" t="s">
        <v>166</v>
      </c>
      <c r="BA263" s="54" t="s">
        <v>455</v>
      </c>
      <c r="BB263" s="56"/>
      <c r="BC263" s="54" t="s">
        <v>168</v>
      </c>
      <c r="BD263" s="54" t="s">
        <v>456</v>
      </c>
      <c r="BE263" s="56"/>
      <c r="BF263" t="s">
        <v>304</v>
      </c>
      <c r="BG263" t="s">
        <v>164</v>
      </c>
      <c r="BH263" t="s">
        <v>457</v>
      </c>
    </row>
    <row r="264" spans="33:60" x14ac:dyDescent="0.25">
      <c r="AG264" t="s">
        <v>314</v>
      </c>
      <c r="AH264" t="s">
        <v>39</v>
      </c>
      <c r="AI264">
        <v>2429</v>
      </c>
      <c r="AK264" s="32" t="s">
        <v>50</v>
      </c>
      <c r="AL264" t="s">
        <v>115</v>
      </c>
      <c r="AM264" t="s">
        <v>277</v>
      </c>
      <c r="AN264" t="s">
        <v>278</v>
      </c>
      <c r="AW264" t="s">
        <v>176</v>
      </c>
      <c r="AX264" t="s">
        <v>304</v>
      </c>
      <c r="AY264" s="54">
        <v>10</v>
      </c>
      <c r="AZ264" s="54" t="s">
        <v>178</v>
      </c>
      <c r="BA264" s="54" t="s">
        <v>458</v>
      </c>
      <c r="BB264" s="56"/>
      <c r="BC264" s="54" t="s">
        <v>180</v>
      </c>
      <c r="BD264" s="54" t="s">
        <v>459</v>
      </c>
      <c r="BE264" s="56"/>
      <c r="BF264" t="s">
        <v>304</v>
      </c>
      <c r="BG264" t="s">
        <v>176</v>
      </c>
      <c r="BH264" t="s">
        <v>460</v>
      </c>
    </row>
    <row r="265" spans="33:60" x14ac:dyDescent="0.25">
      <c r="AG265" t="s">
        <v>314</v>
      </c>
      <c r="AH265" s="49" t="s">
        <v>78</v>
      </c>
      <c r="AI265" s="49" t="s">
        <v>79</v>
      </c>
      <c r="AK265" s="32" t="s">
        <v>50</v>
      </c>
      <c r="AL265" t="s">
        <v>115</v>
      </c>
      <c r="AM265" t="s">
        <v>284</v>
      </c>
      <c r="AN265" t="s">
        <v>285</v>
      </c>
      <c r="AW265" t="s">
        <v>189</v>
      </c>
      <c r="AX265" t="s">
        <v>304</v>
      </c>
      <c r="AY265" s="54">
        <v>11</v>
      </c>
      <c r="AZ265" s="54" t="s">
        <v>191</v>
      </c>
      <c r="BA265" s="54" t="s">
        <v>461</v>
      </c>
      <c r="BB265" s="56"/>
      <c r="BC265" s="54" t="s">
        <v>193</v>
      </c>
      <c r="BD265" s="54" t="s">
        <v>462</v>
      </c>
      <c r="BE265" s="56"/>
      <c r="BF265" t="s">
        <v>304</v>
      </c>
      <c r="BG265" t="s">
        <v>189</v>
      </c>
      <c r="BH265" t="s">
        <v>463</v>
      </c>
    </row>
    <row r="266" spans="33:60" x14ac:dyDescent="0.25">
      <c r="AH266" s="49"/>
      <c r="AI266" s="49"/>
      <c r="AK266" s="32" t="s">
        <v>50</v>
      </c>
      <c r="AL266" t="s">
        <v>115</v>
      </c>
      <c r="AM266" t="s">
        <v>291</v>
      </c>
      <c r="AN266" t="s">
        <v>292</v>
      </c>
      <c r="AW266" t="s">
        <v>201</v>
      </c>
      <c r="AX266" t="s">
        <v>304</v>
      </c>
      <c r="AY266" s="54">
        <v>14</v>
      </c>
      <c r="AZ266" s="54" t="s">
        <v>203</v>
      </c>
      <c r="BA266" s="54" t="s">
        <v>464</v>
      </c>
      <c r="BB266" s="56"/>
      <c r="BC266" s="54" t="s">
        <v>205</v>
      </c>
      <c r="BD266" s="54" t="s">
        <v>465</v>
      </c>
      <c r="BE266" s="56"/>
      <c r="BF266" t="s">
        <v>304</v>
      </c>
      <c r="BG266" t="s">
        <v>201</v>
      </c>
      <c r="BH266" t="s">
        <v>466</v>
      </c>
    </row>
    <row r="267" spans="33:60" x14ac:dyDescent="0.25">
      <c r="AH267" s="49"/>
      <c r="AI267" s="49"/>
      <c r="AK267" s="32" t="s">
        <v>50</v>
      </c>
      <c r="AL267" t="s">
        <v>115</v>
      </c>
      <c r="AM267" t="s">
        <v>298</v>
      </c>
      <c r="AN267" t="s">
        <v>299</v>
      </c>
      <c r="AW267" t="s">
        <v>213</v>
      </c>
      <c r="AX267" t="s">
        <v>304</v>
      </c>
      <c r="AY267" s="54">
        <v>18</v>
      </c>
      <c r="AZ267" s="54" t="s">
        <v>215</v>
      </c>
      <c r="BA267" s="54" t="s">
        <v>467</v>
      </c>
      <c r="BB267" s="56"/>
      <c r="BC267" s="54" t="s">
        <v>217</v>
      </c>
      <c r="BD267" s="54" t="s">
        <v>468</v>
      </c>
      <c r="BE267" s="56"/>
      <c r="BF267" t="s">
        <v>304</v>
      </c>
      <c r="BG267" t="s">
        <v>213</v>
      </c>
      <c r="BH267" t="s">
        <v>469</v>
      </c>
    </row>
    <row r="268" spans="33:60" x14ac:dyDescent="0.25">
      <c r="AH268" s="49"/>
      <c r="AI268" s="49"/>
      <c r="AK268" s="32" t="s">
        <v>50</v>
      </c>
      <c r="AL268" t="s">
        <v>115</v>
      </c>
      <c r="AM268" t="s">
        <v>305</v>
      </c>
      <c r="AN268" t="s">
        <v>306</v>
      </c>
      <c r="AW268" t="s">
        <v>53</v>
      </c>
      <c r="AX268" t="s">
        <v>308</v>
      </c>
      <c r="AY268">
        <v>3</v>
      </c>
      <c r="AZ268" t="s">
        <v>55</v>
      </c>
      <c r="BA268" t="s">
        <v>56</v>
      </c>
      <c r="BB268" t="s">
        <v>57</v>
      </c>
      <c r="BC268" t="s">
        <v>58</v>
      </c>
      <c r="BD268" t="s">
        <v>59</v>
      </c>
      <c r="BE268" t="s">
        <v>57</v>
      </c>
      <c r="BF268" t="s">
        <v>308</v>
      </c>
      <c r="BG268" t="s">
        <v>53</v>
      </c>
      <c r="BH268" t="s">
        <v>60</v>
      </c>
    </row>
    <row r="269" spans="33:60" x14ac:dyDescent="0.25">
      <c r="AG269" t="s">
        <v>314</v>
      </c>
      <c r="AH269" t="s">
        <v>103</v>
      </c>
      <c r="AI269">
        <v>2429</v>
      </c>
      <c r="AK269" s="32" t="s">
        <v>50</v>
      </c>
      <c r="AL269" t="s">
        <v>115</v>
      </c>
      <c r="AM269" t="s">
        <v>309</v>
      </c>
      <c r="AN269" t="s">
        <v>310</v>
      </c>
      <c r="AW269" t="s">
        <v>82</v>
      </c>
      <c r="AX269" t="s">
        <v>308</v>
      </c>
      <c r="AY269">
        <v>4</v>
      </c>
      <c r="AZ269" t="s">
        <v>83</v>
      </c>
      <c r="BA269" t="s">
        <v>84</v>
      </c>
      <c r="BB269" t="s">
        <v>85</v>
      </c>
      <c r="BC269" t="s">
        <v>86</v>
      </c>
      <c r="BD269" t="s">
        <v>87</v>
      </c>
      <c r="BE269" t="s">
        <v>85</v>
      </c>
      <c r="BF269" t="s">
        <v>308</v>
      </c>
      <c r="BG269" t="s">
        <v>82</v>
      </c>
      <c r="BH269" t="s">
        <v>88</v>
      </c>
    </row>
    <row r="270" spans="33:60" x14ac:dyDescent="0.25">
      <c r="AH270" s="49"/>
      <c r="AI270" s="49"/>
      <c r="AK270" s="32" t="s">
        <v>50</v>
      </c>
      <c r="AL270" t="s">
        <v>115</v>
      </c>
      <c r="AM270" t="s">
        <v>312</v>
      </c>
      <c r="AN270" t="s">
        <v>313</v>
      </c>
      <c r="AW270" t="s">
        <v>106</v>
      </c>
      <c r="AX270" t="s">
        <v>308</v>
      </c>
      <c r="AY270">
        <v>5</v>
      </c>
      <c r="AZ270" t="s">
        <v>107</v>
      </c>
      <c r="BA270" t="s">
        <v>108</v>
      </c>
      <c r="BB270" t="s">
        <v>109</v>
      </c>
      <c r="BC270" t="s">
        <v>110</v>
      </c>
      <c r="BD270" t="s">
        <v>111</v>
      </c>
      <c r="BE270" t="s">
        <v>109</v>
      </c>
      <c r="BF270" t="s">
        <v>308</v>
      </c>
      <c r="BG270" t="s">
        <v>106</v>
      </c>
      <c r="BH270" t="s">
        <v>65</v>
      </c>
    </row>
    <row r="271" spans="33:60" x14ac:dyDescent="0.25">
      <c r="AH271" s="49"/>
      <c r="AI271" s="49"/>
      <c r="AK271" s="32" t="s">
        <v>50</v>
      </c>
      <c r="AL271" t="s">
        <v>115</v>
      </c>
      <c r="AM271" t="s">
        <v>315</v>
      </c>
      <c r="AN271" t="s">
        <v>316</v>
      </c>
      <c r="AW271" t="s">
        <v>121</v>
      </c>
      <c r="AX271" t="s">
        <v>308</v>
      </c>
      <c r="AY271">
        <v>6</v>
      </c>
      <c r="AZ271" t="s">
        <v>122</v>
      </c>
      <c r="BA271" t="s">
        <v>123</v>
      </c>
      <c r="BB271" t="s">
        <v>124</v>
      </c>
      <c r="BC271" t="s">
        <v>125</v>
      </c>
      <c r="BD271" t="s">
        <v>126</v>
      </c>
      <c r="BE271" t="s">
        <v>124</v>
      </c>
      <c r="BF271" t="s">
        <v>308</v>
      </c>
      <c r="BG271" t="s">
        <v>121</v>
      </c>
      <c r="BH271" t="s">
        <v>127</v>
      </c>
    </row>
    <row r="272" spans="33:60" x14ac:dyDescent="0.25">
      <c r="AG272" t="s">
        <v>314</v>
      </c>
      <c r="AH272" t="s">
        <v>117</v>
      </c>
      <c r="AI272" t="s">
        <v>118</v>
      </c>
      <c r="AK272" s="32" t="s">
        <v>50</v>
      </c>
      <c r="AL272" t="s">
        <v>115</v>
      </c>
      <c r="AM272" t="s">
        <v>319</v>
      </c>
      <c r="AN272" t="s">
        <v>320</v>
      </c>
      <c r="AW272" t="s">
        <v>139</v>
      </c>
      <c r="AX272" t="s">
        <v>308</v>
      </c>
      <c r="AY272">
        <v>7</v>
      </c>
      <c r="AZ272" t="s">
        <v>140</v>
      </c>
      <c r="BA272" t="s">
        <v>141</v>
      </c>
      <c r="BB272" t="s">
        <v>142</v>
      </c>
      <c r="BC272" t="s">
        <v>143</v>
      </c>
      <c r="BD272" t="s">
        <v>144</v>
      </c>
      <c r="BE272" t="s">
        <v>142</v>
      </c>
      <c r="BF272" t="s">
        <v>308</v>
      </c>
      <c r="BG272" t="s">
        <v>139</v>
      </c>
      <c r="BH272" t="s">
        <v>145</v>
      </c>
    </row>
    <row r="273" spans="33:60" x14ac:dyDescent="0.25">
      <c r="AG273" t="s">
        <v>314</v>
      </c>
      <c r="AH273" t="s">
        <v>135</v>
      </c>
      <c r="AI273" t="s">
        <v>136</v>
      </c>
      <c r="AK273" s="32" t="s">
        <v>50</v>
      </c>
      <c r="AL273" t="s">
        <v>115</v>
      </c>
      <c r="AM273" t="s">
        <v>323</v>
      </c>
      <c r="AN273" t="s">
        <v>324</v>
      </c>
      <c r="AW273" t="s">
        <v>151</v>
      </c>
      <c r="AX273" t="s">
        <v>308</v>
      </c>
      <c r="AY273">
        <v>8</v>
      </c>
      <c r="AZ273" t="s">
        <v>152</v>
      </c>
      <c r="BA273" t="s">
        <v>153</v>
      </c>
      <c r="BB273" t="s">
        <v>154</v>
      </c>
      <c r="BC273" t="s">
        <v>155</v>
      </c>
      <c r="BD273" t="s">
        <v>156</v>
      </c>
      <c r="BE273" t="s">
        <v>154</v>
      </c>
      <c r="BF273" t="s">
        <v>308</v>
      </c>
      <c r="BG273" t="s">
        <v>151</v>
      </c>
      <c r="BH273" t="s">
        <v>157</v>
      </c>
    </row>
    <row r="274" spans="33:60" x14ac:dyDescent="0.25">
      <c r="AG274" t="s">
        <v>318</v>
      </c>
      <c r="AH274" t="s">
        <v>39</v>
      </c>
      <c r="AI274">
        <v>2429</v>
      </c>
      <c r="AK274" s="32" t="s">
        <v>50</v>
      </c>
      <c r="AL274" t="s">
        <v>115</v>
      </c>
      <c r="AM274" t="s">
        <v>326</v>
      </c>
      <c r="AN274" t="s">
        <v>327</v>
      </c>
      <c r="AW274" t="s">
        <v>164</v>
      </c>
      <c r="AX274" t="s">
        <v>308</v>
      </c>
      <c r="AY274">
        <v>9</v>
      </c>
      <c r="AZ274" t="s">
        <v>165</v>
      </c>
      <c r="BA274" t="s">
        <v>166</v>
      </c>
      <c r="BB274" t="s">
        <v>167</v>
      </c>
      <c r="BC274" t="s">
        <v>168</v>
      </c>
      <c r="BD274" t="s">
        <v>169</v>
      </c>
      <c r="BE274" t="s">
        <v>167</v>
      </c>
      <c r="BF274" t="s">
        <v>308</v>
      </c>
      <c r="BG274" t="s">
        <v>164</v>
      </c>
      <c r="BH274" t="s">
        <v>91</v>
      </c>
    </row>
    <row r="275" spans="33:60" x14ac:dyDescent="0.25">
      <c r="AG275" t="s">
        <v>318</v>
      </c>
      <c r="AH275" s="49" t="s">
        <v>78</v>
      </c>
      <c r="AI275" s="49" t="s">
        <v>79</v>
      </c>
      <c r="AK275" s="32" t="s">
        <v>50</v>
      </c>
      <c r="AL275" t="s">
        <v>115</v>
      </c>
      <c r="AM275" t="s">
        <v>330</v>
      </c>
      <c r="AN275" t="s">
        <v>331</v>
      </c>
      <c r="AW275" t="s">
        <v>176</v>
      </c>
      <c r="AX275" t="s">
        <v>308</v>
      </c>
      <c r="AY275">
        <v>10</v>
      </c>
      <c r="AZ275" t="s">
        <v>177</v>
      </c>
      <c r="BA275" t="s">
        <v>178</v>
      </c>
      <c r="BB275" t="s">
        <v>179</v>
      </c>
      <c r="BC275" t="s">
        <v>180</v>
      </c>
      <c r="BD275" t="s">
        <v>181</v>
      </c>
      <c r="BE275" t="s">
        <v>179</v>
      </c>
      <c r="BF275" t="s">
        <v>308</v>
      </c>
      <c r="BG275" t="s">
        <v>176</v>
      </c>
      <c r="BH275" t="s">
        <v>182</v>
      </c>
    </row>
    <row r="276" spans="33:60" x14ac:dyDescent="0.25">
      <c r="AH276" s="49"/>
      <c r="AI276" s="49"/>
      <c r="AK276" s="32" t="s">
        <v>50</v>
      </c>
      <c r="AL276" t="s">
        <v>115</v>
      </c>
      <c r="AM276" t="s">
        <v>335</v>
      </c>
      <c r="AN276" t="s">
        <v>336</v>
      </c>
      <c r="AW276" t="s">
        <v>189</v>
      </c>
      <c r="AX276" t="s">
        <v>308</v>
      </c>
      <c r="AY276">
        <v>11</v>
      </c>
      <c r="AZ276" t="s">
        <v>190</v>
      </c>
      <c r="BA276" t="s">
        <v>191</v>
      </c>
      <c r="BB276" t="s">
        <v>192</v>
      </c>
      <c r="BC276" t="s">
        <v>193</v>
      </c>
      <c r="BD276" t="s">
        <v>194</v>
      </c>
      <c r="BE276" t="s">
        <v>192</v>
      </c>
      <c r="BF276" t="s">
        <v>308</v>
      </c>
      <c r="BG276" t="s">
        <v>189</v>
      </c>
      <c r="BH276" t="s">
        <v>195</v>
      </c>
    </row>
    <row r="277" spans="33:60" x14ac:dyDescent="0.25">
      <c r="AH277" s="49"/>
      <c r="AI277" s="49"/>
      <c r="AK277" s="32" t="s">
        <v>50</v>
      </c>
      <c r="AL277" t="s">
        <v>115</v>
      </c>
      <c r="AM277" t="s">
        <v>340</v>
      </c>
      <c r="AN277" t="s">
        <v>341</v>
      </c>
      <c r="AW277" t="s">
        <v>201</v>
      </c>
      <c r="AX277" t="s">
        <v>308</v>
      </c>
      <c r="AY277">
        <v>14</v>
      </c>
      <c r="AZ277" t="s">
        <v>202</v>
      </c>
      <c r="BA277" t="s">
        <v>203</v>
      </c>
      <c r="BB277" t="s">
        <v>204</v>
      </c>
      <c r="BC277" t="s">
        <v>205</v>
      </c>
      <c r="BD277" t="s">
        <v>206</v>
      </c>
      <c r="BE277" t="s">
        <v>204</v>
      </c>
      <c r="BF277" t="s">
        <v>308</v>
      </c>
      <c r="BG277" t="s">
        <v>201</v>
      </c>
      <c r="BH277" t="s">
        <v>207</v>
      </c>
    </row>
    <row r="278" spans="33:60" x14ac:dyDescent="0.25">
      <c r="AH278" s="49"/>
      <c r="AI278" s="49"/>
      <c r="AK278" s="32" t="s">
        <v>50</v>
      </c>
      <c r="AL278" t="s">
        <v>115</v>
      </c>
      <c r="AM278" t="s">
        <v>344</v>
      </c>
      <c r="AN278" t="s">
        <v>345</v>
      </c>
      <c r="AW278" t="s">
        <v>213</v>
      </c>
      <c r="AX278" t="s">
        <v>308</v>
      </c>
      <c r="AY278">
        <v>18</v>
      </c>
      <c r="AZ278" t="s">
        <v>214</v>
      </c>
      <c r="BA278" t="s">
        <v>215</v>
      </c>
      <c r="BB278" t="s">
        <v>216</v>
      </c>
      <c r="BC278" t="s">
        <v>217</v>
      </c>
      <c r="BD278" t="s">
        <v>218</v>
      </c>
      <c r="BE278" t="s">
        <v>216</v>
      </c>
      <c r="BF278" t="s">
        <v>308</v>
      </c>
      <c r="BG278" t="s">
        <v>213</v>
      </c>
      <c r="BH278" t="s">
        <v>219</v>
      </c>
    </row>
    <row r="279" spans="33:60" x14ac:dyDescent="0.25">
      <c r="AG279" t="s">
        <v>318</v>
      </c>
      <c r="AH279" t="s">
        <v>103</v>
      </c>
      <c r="AI279">
        <v>2429</v>
      </c>
      <c r="AK279" s="32" t="s">
        <v>50</v>
      </c>
      <c r="AL279" t="s">
        <v>115</v>
      </c>
      <c r="AM279" t="s">
        <v>348</v>
      </c>
      <c r="AN279" t="s">
        <v>349</v>
      </c>
      <c r="AW279" t="s">
        <v>53</v>
      </c>
      <c r="AX279" t="s">
        <v>311</v>
      </c>
      <c r="AY279">
        <v>3</v>
      </c>
      <c r="AZ279" t="s">
        <v>56</v>
      </c>
      <c r="BA279" s="54">
        <v>380</v>
      </c>
      <c r="BB279" s="54">
        <v>300</v>
      </c>
      <c r="BC279" s="54" t="s">
        <v>58</v>
      </c>
      <c r="BD279" s="54" t="s">
        <v>470</v>
      </c>
      <c r="BE279" s="54" t="s">
        <v>471</v>
      </c>
      <c r="BF279" s="54" t="s">
        <v>311</v>
      </c>
      <c r="BG279" s="54" t="s">
        <v>53</v>
      </c>
      <c r="BH279" s="54" t="s">
        <v>472</v>
      </c>
    </row>
    <row r="280" spans="33:60" x14ac:dyDescent="0.25">
      <c r="AH280" s="49"/>
      <c r="AI280" s="49"/>
      <c r="AK280" s="32" t="s">
        <v>50</v>
      </c>
      <c r="AL280" t="s">
        <v>115</v>
      </c>
      <c r="AM280" t="s">
        <v>352</v>
      </c>
      <c r="AN280" t="s">
        <v>353</v>
      </c>
      <c r="AW280" t="s">
        <v>82</v>
      </c>
      <c r="AX280" t="s">
        <v>311</v>
      </c>
      <c r="AY280">
        <v>4</v>
      </c>
      <c r="AZ280" t="s">
        <v>84</v>
      </c>
      <c r="BA280" s="54">
        <v>480</v>
      </c>
      <c r="BB280" s="54">
        <v>400</v>
      </c>
      <c r="BC280" s="54" t="s">
        <v>86</v>
      </c>
      <c r="BD280" s="54" t="s">
        <v>473</v>
      </c>
      <c r="BE280" s="54" t="s">
        <v>474</v>
      </c>
      <c r="BF280" s="54" t="s">
        <v>311</v>
      </c>
      <c r="BG280" s="54" t="s">
        <v>82</v>
      </c>
      <c r="BH280" s="54" t="s">
        <v>475</v>
      </c>
    </row>
    <row r="281" spans="33:60" x14ac:dyDescent="0.25">
      <c r="AH281" s="49"/>
      <c r="AI281" s="49"/>
      <c r="AK281" s="32" t="s">
        <v>50</v>
      </c>
      <c r="AL281" t="s">
        <v>115</v>
      </c>
      <c r="AM281" t="s">
        <v>356</v>
      </c>
      <c r="AN281" t="s">
        <v>357</v>
      </c>
      <c r="AW281" t="s">
        <v>106</v>
      </c>
      <c r="AX281" t="s">
        <v>311</v>
      </c>
      <c r="AY281">
        <v>5</v>
      </c>
      <c r="AZ281" t="s">
        <v>108</v>
      </c>
      <c r="BA281" s="54">
        <v>580</v>
      </c>
      <c r="BB281" s="54">
        <v>500</v>
      </c>
      <c r="BC281" s="54" t="s">
        <v>110</v>
      </c>
      <c r="BD281" s="54" t="s">
        <v>476</v>
      </c>
      <c r="BE281" s="54" t="s">
        <v>477</v>
      </c>
      <c r="BF281" s="54" t="s">
        <v>311</v>
      </c>
      <c r="BG281" s="54" t="s">
        <v>106</v>
      </c>
      <c r="BH281" s="54" t="s">
        <v>478</v>
      </c>
    </row>
    <row r="282" spans="33:60" x14ac:dyDescent="0.25">
      <c r="AG282" t="s">
        <v>318</v>
      </c>
      <c r="AH282" t="s">
        <v>117</v>
      </c>
      <c r="AI282" t="s">
        <v>118</v>
      </c>
      <c r="AK282" s="32" t="s">
        <v>50</v>
      </c>
      <c r="AL282" t="s">
        <v>115</v>
      </c>
      <c r="AM282" t="s">
        <v>359</v>
      </c>
      <c r="AN282" t="s">
        <v>360</v>
      </c>
      <c r="AW282" t="s">
        <v>121</v>
      </c>
      <c r="AX282" t="s">
        <v>311</v>
      </c>
      <c r="AY282">
        <v>6</v>
      </c>
      <c r="AZ282" t="s">
        <v>123</v>
      </c>
      <c r="BA282" s="54">
        <v>680</v>
      </c>
      <c r="BB282" s="54">
        <v>600</v>
      </c>
      <c r="BC282" s="54" t="s">
        <v>125</v>
      </c>
      <c r="BD282" s="54" t="s">
        <v>479</v>
      </c>
      <c r="BE282" s="54" t="s">
        <v>480</v>
      </c>
      <c r="BF282" s="54" t="s">
        <v>311</v>
      </c>
      <c r="BG282" s="54" t="s">
        <v>121</v>
      </c>
      <c r="BH282" s="54" t="s">
        <v>481</v>
      </c>
    </row>
    <row r="283" spans="33:60" x14ac:dyDescent="0.25">
      <c r="AG283" t="s">
        <v>318</v>
      </c>
      <c r="AH283" t="s">
        <v>135</v>
      </c>
      <c r="AI283" t="s">
        <v>136</v>
      </c>
      <c r="AK283" s="32" t="s">
        <v>50</v>
      </c>
      <c r="AL283" t="s">
        <v>115</v>
      </c>
      <c r="AM283" t="s">
        <v>362</v>
      </c>
      <c r="AN283" t="s">
        <v>363</v>
      </c>
      <c r="AW283" t="s">
        <v>139</v>
      </c>
      <c r="AX283" t="s">
        <v>311</v>
      </c>
      <c r="AY283">
        <v>7</v>
      </c>
      <c r="AZ283" t="s">
        <v>141</v>
      </c>
      <c r="BA283" s="54">
        <v>780</v>
      </c>
      <c r="BB283" s="54">
        <v>700</v>
      </c>
      <c r="BC283" s="54" t="s">
        <v>143</v>
      </c>
      <c r="BD283" s="54" t="s">
        <v>482</v>
      </c>
      <c r="BE283" s="54" t="s">
        <v>483</v>
      </c>
      <c r="BF283" s="54" t="s">
        <v>311</v>
      </c>
      <c r="BG283" s="54" t="s">
        <v>139</v>
      </c>
      <c r="BH283" s="54" t="s">
        <v>484</v>
      </c>
    </row>
    <row r="284" spans="33:60" x14ac:dyDescent="0.25">
      <c r="AG284" t="s">
        <v>322</v>
      </c>
      <c r="AH284" t="s">
        <v>39</v>
      </c>
      <c r="AI284">
        <v>2429</v>
      </c>
      <c r="AK284" s="32" t="s">
        <v>50</v>
      </c>
      <c r="AL284" t="s">
        <v>115</v>
      </c>
      <c r="AM284" t="s">
        <v>365</v>
      </c>
      <c r="AN284" t="s">
        <v>366</v>
      </c>
      <c r="AW284" t="s">
        <v>151</v>
      </c>
      <c r="AX284" t="s">
        <v>311</v>
      </c>
      <c r="AY284">
        <v>8</v>
      </c>
      <c r="AZ284" t="s">
        <v>153</v>
      </c>
      <c r="BA284" s="54">
        <v>880</v>
      </c>
      <c r="BB284" s="54">
        <v>800</v>
      </c>
      <c r="BC284" s="54" t="s">
        <v>155</v>
      </c>
      <c r="BD284" s="54" t="s">
        <v>485</v>
      </c>
      <c r="BE284" s="54" t="s">
        <v>486</v>
      </c>
      <c r="BF284" s="54" t="s">
        <v>311</v>
      </c>
      <c r="BG284" s="54" t="s">
        <v>151</v>
      </c>
      <c r="BH284" s="54" t="s">
        <v>487</v>
      </c>
    </row>
    <row r="285" spans="33:60" x14ac:dyDescent="0.25">
      <c r="AG285" t="s">
        <v>322</v>
      </c>
      <c r="AH285" s="49" t="s">
        <v>78</v>
      </c>
      <c r="AI285" s="49" t="s">
        <v>79</v>
      </c>
      <c r="AK285" s="32" t="s">
        <v>50</v>
      </c>
      <c r="AL285" t="s">
        <v>115</v>
      </c>
      <c r="AM285" t="s">
        <v>367</v>
      </c>
      <c r="AN285" t="s">
        <v>368</v>
      </c>
      <c r="AW285" t="s">
        <v>164</v>
      </c>
      <c r="AX285" t="s">
        <v>311</v>
      </c>
      <c r="AY285">
        <v>9</v>
      </c>
      <c r="AZ285" t="s">
        <v>166</v>
      </c>
      <c r="BA285" s="54">
        <v>980</v>
      </c>
      <c r="BB285" s="54">
        <v>900</v>
      </c>
      <c r="BC285" s="54" t="s">
        <v>168</v>
      </c>
      <c r="BD285" s="54" t="s">
        <v>488</v>
      </c>
      <c r="BE285" s="54" t="s">
        <v>489</v>
      </c>
      <c r="BF285" s="54" t="s">
        <v>311</v>
      </c>
      <c r="BG285" s="54" t="s">
        <v>164</v>
      </c>
      <c r="BH285" s="54" t="s">
        <v>490</v>
      </c>
    </row>
    <row r="286" spans="33:60" x14ac:dyDescent="0.25">
      <c r="AH286" s="49"/>
      <c r="AI286" s="49"/>
      <c r="AK286" s="32" t="s">
        <v>50</v>
      </c>
      <c r="AL286" t="s">
        <v>115</v>
      </c>
      <c r="AM286" t="s">
        <v>369</v>
      </c>
      <c r="AN286" t="s">
        <v>370</v>
      </c>
      <c r="AW286" t="s">
        <v>176</v>
      </c>
      <c r="AX286" t="s">
        <v>311</v>
      </c>
      <c r="AY286">
        <v>10</v>
      </c>
      <c r="AZ286" t="s">
        <v>178</v>
      </c>
      <c r="BA286" s="54">
        <v>1080</v>
      </c>
      <c r="BB286" s="54">
        <v>1000</v>
      </c>
      <c r="BC286" s="54" t="s">
        <v>180</v>
      </c>
      <c r="BD286" s="54" t="s">
        <v>491</v>
      </c>
      <c r="BE286" s="54" t="s">
        <v>492</v>
      </c>
      <c r="BF286" s="54" t="s">
        <v>311</v>
      </c>
      <c r="BG286" s="54" t="s">
        <v>176</v>
      </c>
      <c r="BH286" s="54" t="s">
        <v>493</v>
      </c>
    </row>
    <row r="287" spans="33:60" x14ac:dyDescent="0.25">
      <c r="AH287" s="49"/>
      <c r="AI287" s="49"/>
      <c r="AK287" s="32" t="s">
        <v>50</v>
      </c>
      <c r="AL287" t="s">
        <v>115</v>
      </c>
      <c r="AM287" t="s">
        <v>371</v>
      </c>
      <c r="AN287" t="s">
        <v>372</v>
      </c>
      <c r="AW287" t="s">
        <v>189</v>
      </c>
      <c r="AX287" t="s">
        <v>311</v>
      </c>
      <c r="AY287">
        <v>11</v>
      </c>
      <c r="AZ287" t="s">
        <v>191</v>
      </c>
      <c r="BA287" s="54">
        <v>1180</v>
      </c>
      <c r="BB287" s="54">
        <v>1100</v>
      </c>
      <c r="BC287" s="54" t="s">
        <v>193</v>
      </c>
      <c r="BD287" s="54" t="s">
        <v>494</v>
      </c>
      <c r="BE287" s="54" t="s">
        <v>495</v>
      </c>
      <c r="BF287" s="54" t="s">
        <v>311</v>
      </c>
      <c r="BG287" s="54" t="s">
        <v>189</v>
      </c>
      <c r="BH287" s="54" t="s">
        <v>496</v>
      </c>
    </row>
    <row r="288" spans="33:60" x14ac:dyDescent="0.25">
      <c r="AH288" s="49"/>
      <c r="AI288" s="49"/>
      <c r="AK288" s="32" t="s">
        <v>50</v>
      </c>
      <c r="AL288" t="s">
        <v>115</v>
      </c>
      <c r="AM288" t="s">
        <v>374</v>
      </c>
      <c r="AN288" t="s">
        <v>375</v>
      </c>
      <c r="AW288" t="s">
        <v>201</v>
      </c>
      <c r="AX288" t="s">
        <v>311</v>
      </c>
      <c r="AY288">
        <v>14</v>
      </c>
      <c r="AZ288" t="s">
        <v>203</v>
      </c>
      <c r="BA288" s="54">
        <v>1480</v>
      </c>
      <c r="BB288" s="54">
        <v>1400</v>
      </c>
      <c r="BC288" s="54" t="s">
        <v>205</v>
      </c>
      <c r="BD288" s="54" t="s">
        <v>497</v>
      </c>
      <c r="BE288" s="54" t="s">
        <v>498</v>
      </c>
      <c r="BF288" s="54" t="s">
        <v>311</v>
      </c>
      <c r="BG288" s="54" t="s">
        <v>201</v>
      </c>
      <c r="BH288" s="54" t="s">
        <v>499</v>
      </c>
    </row>
    <row r="289" spans="33:60" x14ac:dyDescent="0.25">
      <c r="AG289" t="s">
        <v>322</v>
      </c>
      <c r="AH289" t="s">
        <v>103</v>
      </c>
      <c r="AI289">
        <v>2429</v>
      </c>
      <c r="AK289" s="32" t="s">
        <v>50</v>
      </c>
      <c r="AL289" t="s">
        <v>115</v>
      </c>
      <c r="AM289" t="s">
        <v>376</v>
      </c>
      <c r="AN289" t="s">
        <v>377</v>
      </c>
      <c r="AW289" t="s">
        <v>213</v>
      </c>
      <c r="AX289" t="s">
        <v>311</v>
      </c>
      <c r="AY289">
        <v>18</v>
      </c>
      <c r="AZ289" t="s">
        <v>215</v>
      </c>
      <c r="BA289" s="54">
        <v>1880</v>
      </c>
      <c r="BB289" s="54">
        <v>1800</v>
      </c>
      <c r="BC289" s="54" t="s">
        <v>217</v>
      </c>
      <c r="BD289" s="54" t="s">
        <v>500</v>
      </c>
      <c r="BE289" s="54" t="s">
        <v>501</v>
      </c>
      <c r="BF289" s="54" t="s">
        <v>311</v>
      </c>
      <c r="BG289" s="54" t="s">
        <v>213</v>
      </c>
      <c r="BH289" s="54" t="s">
        <v>502</v>
      </c>
    </row>
    <row r="290" spans="33:60" x14ac:dyDescent="0.25">
      <c r="AH290" s="49"/>
      <c r="AI290" s="49"/>
      <c r="AK290" s="32" t="s">
        <v>50</v>
      </c>
      <c r="AL290" t="s">
        <v>115</v>
      </c>
      <c r="AM290" t="s">
        <v>379</v>
      </c>
      <c r="AN290" t="s">
        <v>380</v>
      </c>
      <c r="AW290" t="s">
        <v>53</v>
      </c>
      <c r="AX290" s="54" t="s">
        <v>314</v>
      </c>
      <c r="AY290">
        <v>3</v>
      </c>
      <c r="AZ290" t="s">
        <v>55</v>
      </c>
      <c r="BA290" t="s">
        <v>414</v>
      </c>
      <c r="BB290" t="s">
        <v>57</v>
      </c>
      <c r="BC290" t="s">
        <v>58</v>
      </c>
      <c r="BD290" t="s">
        <v>59</v>
      </c>
      <c r="BE290" t="s">
        <v>57</v>
      </c>
      <c r="BF290" s="54" t="s">
        <v>314</v>
      </c>
      <c r="BG290" t="s">
        <v>53</v>
      </c>
      <c r="BH290" t="s">
        <v>415</v>
      </c>
    </row>
    <row r="291" spans="33:60" x14ac:dyDescent="0.25">
      <c r="AH291" s="49"/>
      <c r="AI291" s="49"/>
      <c r="AK291" s="32" t="s">
        <v>50</v>
      </c>
      <c r="AL291" t="s">
        <v>115</v>
      </c>
      <c r="AM291" t="s">
        <v>381</v>
      </c>
      <c r="AN291" t="s">
        <v>382</v>
      </c>
      <c r="AW291" t="s">
        <v>82</v>
      </c>
      <c r="AX291" s="54" t="s">
        <v>314</v>
      </c>
      <c r="AY291">
        <v>4</v>
      </c>
      <c r="AZ291" t="s">
        <v>83</v>
      </c>
      <c r="BA291" t="s">
        <v>416</v>
      </c>
      <c r="BB291" t="s">
        <v>85</v>
      </c>
      <c r="BC291" t="s">
        <v>86</v>
      </c>
      <c r="BD291" t="s">
        <v>87</v>
      </c>
      <c r="BE291" t="s">
        <v>85</v>
      </c>
      <c r="BF291" s="54" t="s">
        <v>314</v>
      </c>
      <c r="BG291" t="s">
        <v>82</v>
      </c>
      <c r="BH291" t="s">
        <v>417</v>
      </c>
    </row>
    <row r="292" spans="33:60" x14ac:dyDescent="0.25">
      <c r="AG292" t="s">
        <v>322</v>
      </c>
      <c r="AH292" t="s">
        <v>117</v>
      </c>
      <c r="AI292" t="s">
        <v>118</v>
      </c>
      <c r="AK292" s="32" t="s">
        <v>50</v>
      </c>
      <c r="AL292" t="s">
        <v>115</v>
      </c>
      <c r="AM292" t="s">
        <v>383</v>
      </c>
      <c r="AN292" t="s">
        <v>384</v>
      </c>
      <c r="AW292" t="s">
        <v>106</v>
      </c>
      <c r="AX292" s="54" t="s">
        <v>314</v>
      </c>
      <c r="AY292">
        <v>5</v>
      </c>
      <c r="AZ292" t="s">
        <v>107</v>
      </c>
      <c r="BA292" t="s">
        <v>418</v>
      </c>
      <c r="BB292" t="s">
        <v>109</v>
      </c>
      <c r="BC292" t="s">
        <v>110</v>
      </c>
      <c r="BD292" t="s">
        <v>111</v>
      </c>
      <c r="BE292" t="s">
        <v>109</v>
      </c>
      <c r="BF292" s="54" t="s">
        <v>314</v>
      </c>
      <c r="BG292" t="s">
        <v>106</v>
      </c>
      <c r="BH292" t="s">
        <v>419</v>
      </c>
    </row>
    <row r="293" spans="33:60" x14ac:dyDescent="0.25">
      <c r="AG293" t="s">
        <v>322</v>
      </c>
      <c r="AH293" t="s">
        <v>135</v>
      </c>
      <c r="AI293" t="s">
        <v>136</v>
      </c>
      <c r="AK293" s="32" t="s">
        <v>50</v>
      </c>
      <c r="AL293" t="s">
        <v>115</v>
      </c>
      <c r="AM293" t="s">
        <v>385</v>
      </c>
      <c r="AN293" t="s">
        <v>386</v>
      </c>
      <c r="AW293" t="s">
        <v>121</v>
      </c>
      <c r="AX293" s="54" t="s">
        <v>314</v>
      </c>
      <c r="AY293">
        <v>6</v>
      </c>
      <c r="AZ293" t="s">
        <v>122</v>
      </c>
      <c r="BA293" t="s">
        <v>420</v>
      </c>
      <c r="BB293" t="s">
        <v>124</v>
      </c>
      <c r="BC293" t="s">
        <v>125</v>
      </c>
      <c r="BD293" t="s">
        <v>126</v>
      </c>
      <c r="BE293" t="s">
        <v>124</v>
      </c>
      <c r="BF293" s="54" t="s">
        <v>314</v>
      </c>
      <c r="BG293" t="s">
        <v>121</v>
      </c>
      <c r="BH293" t="s">
        <v>421</v>
      </c>
    </row>
    <row r="294" spans="33:60" x14ac:dyDescent="0.25">
      <c r="AG294" t="s">
        <v>325</v>
      </c>
      <c r="AH294" t="s">
        <v>39</v>
      </c>
      <c r="AI294">
        <v>200</v>
      </c>
      <c r="AK294" s="32" t="s">
        <v>50</v>
      </c>
      <c r="AL294" t="s">
        <v>115</v>
      </c>
      <c r="AM294" t="s">
        <v>387</v>
      </c>
      <c r="AN294" t="s">
        <v>388</v>
      </c>
      <c r="AW294" t="s">
        <v>139</v>
      </c>
      <c r="AX294" s="54" t="s">
        <v>314</v>
      </c>
      <c r="AY294">
        <v>7</v>
      </c>
      <c r="AZ294" t="s">
        <v>140</v>
      </c>
      <c r="BA294" t="s">
        <v>422</v>
      </c>
      <c r="BB294" t="s">
        <v>142</v>
      </c>
      <c r="BC294" t="s">
        <v>143</v>
      </c>
      <c r="BD294" t="s">
        <v>144</v>
      </c>
      <c r="BE294" t="s">
        <v>142</v>
      </c>
      <c r="BF294" s="54" t="s">
        <v>314</v>
      </c>
      <c r="BG294" t="s">
        <v>139</v>
      </c>
      <c r="BH294" t="s">
        <v>423</v>
      </c>
    </row>
    <row r="295" spans="33:60" x14ac:dyDescent="0.25">
      <c r="AG295" t="s">
        <v>325</v>
      </c>
      <c r="AH295" s="49" t="s">
        <v>78</v>
      </c>
      <c r="AI295" s="49">
        <v>120</v>
      </c>
      <c r="AK295" s="32" t="s">
        <v>50</v>
      </c>
      <c r="AL295" t="s">
        <v>115</v>
      </c>
      <c r="AM295" t="s">
        <v>389</v>
      </c>
      <c r="AN295" t="s">
        <v>390</v>
      </c>
      <c r="AW295" t="s">
        <v>151</v>
      </c>
      <c r="AX295" s="54" t="s">
        <v>314</v>
      </c>
      <c r="AY295">
        <v>8</v>
      </c>
      <c r="AZ295" t="s">
        <v>152</v>
      </c>
      <c r="BA295" t="s">
        <v>425</v>
      </c>
      <c r="BB295" t="s">
        <v>154</v>
      </c>
      <c r="BC295" t="s">
        <v>155</v>
      </c>
      <c r="BD295" t="s">
        <v>156</v>
      </c>
      <c r="BE295" t="s">
        <v>154</v>
      </c>
      <c r="BF295" s="54" t="s">
        <v>314</v>
      </c>
      <c r="BG295" t="s">
        <v>151</v>
      </c>
      <c r="BH295" t="s">
        <v>426</v>
      </c>
    </row>
    <row r="296" spans="33:60" x14ac:dyDescent="0.25">
      <c r="AH296" s="49"/>
      <c r="AI296" s="49"/>
      <c r="AK296" s="32" t="s">
        <v>50</v>
      </c>
      <c r="AL296" t="s">
        <v>115</v>
      </c>
      <c r="AM296" t="s">
        <v>391</v>
      </c>
      <c r="AN296" t="s">
        <v>392</v>
      </c>
      <c r="AW296" t="s">
        <v>164</v>
      </c>
      <c r="AX296" s="54" t="s">
        <v>314</v>
      </c>
      <c r="AY296">
        <v>9</v>
      </c>
      <c r="AZ296" t="s">
        <v>165</v>
      </c>
      <c r="BA296" t="s">
        <v>427</v>
      </c>
      <c r="BB296" t="s">
        <v>167</v>
      </c>
      <c r="BC296" t="s">
        <v>168</v>
      </c>
      <c r="BD296" t="s">
        <v>169</v>
      </c>
      <c r="BE296" t="s">
        <v>167</v>
      </c>
      <c r="BF296" s="54" t="s">
        <v>314</v>
      </c>
      <c r="BG296" t="s">
        <v>164</v>
      </c>
      <c r="BH296" t="s">
        <v>428</v>
      </c>
    </row>
    <row r="297" spans="33:60" x14ac:dyDescent="0.25">
      <c r="AH297" s="49"/>
      <c r="AI297" s="49"/>
      <c r="AK297" s="32" t="s">
        <v>50</v>
      </c>
      <c r="AL297" t="s">
        <v>115</v>
      </c>
      <c r="AM297" t="s">
        <v>393</v>
      </c>
      <c r="AN297" t="s">
        <v>394</v>
      </c>
      <c r="AW297" t="s">
        <v>176</v>
      </c>
      <c r="AX297" s="54" t="s">
        <v>314</v>
      </c>
      <c r="AY297">
        <v>10</v>
      </c>
      <c r="AZ297" t="s">
        <v>177</v>
      </c>
      <c r="BA297" t="s">
        <v>429</v>
      </c>
      <c r="BB297" t="s">
        <v>179</v>
      </c>
      <c r="BC297" t="s">
        <v>180</v>
      </c>
      <c r="BD297" t="s">
        <v>181</v>
      </c>
      <c r="BE297" t="s">
        <v>179</v>
      </c>
      <c r="BF297" s="54" t="s">
        <v>314</v>
      </c>
      <c r="BG297" t="s">
        <v>176</v>
      </c>
      <c r="BH297" t="s">
        <v>430</v>
      </c>
    </row>
    <row r="298" spans="33:60" x14ac:dyDescent="0.25">
      <c r="AH298" s="49"/>
      <c r="AI298" s="49"/>
      <c r="AK298" s="32" t="s">
        <v>50</v>
      </c>
      <c r="AL298" t="s">
        <v>115</v>
      </c>
      <c r="AM298" t="s">
        <v>395</v>
      </c>
      <c r="AN298" t="s">
        <v>396</v>
      </c>
      <c r="AW298" t="s">
        <v>189</v>
      </c>
      <c r="AX298" s="54" t="s">
        <v>314</v>
      </c>
      <c r="AY298">
        <v>11</v>
      </c>
      <c r="AZ298" t="s">
        <v>190</v>
      </c>
      <c r="BA298" t="s">
        <v>431</v>
      </c>
      <c r="BB298" t="s">
        <v>192</v>
      </c>
      <c r="BC298" t="s">
        <v>193</v>
      </c>
      <c r="BD298" t="s">
        <v>194</v>
      </c>
      <c r="BE298" t="s">
        <v>192</v>
      </c>
      <c r="BF298" s="54" t="s">
        <v>314</v>
      </c>
      <c r="BG298" t="s">
        <v>189</v>
      </c>
      <c r="BH298" t="s">
        <v>432</v>
      </c>
    </row>
    <row r="299" spans="33:60" x14ac:dyDescent="0.25">
      <c r="AH299" s="49"/>
      <c r="AI299" s="49"/>
      <c r="AK299" s="32" t="s">
        <v>50</v>
      </c>
      <c r="AL299" t="s">
        <v>115</v>
      </c>
      <c r="AM299" t="s">
        <v>397</v>
      </c>
      <c r="AN299" t="s">
        <v>398</v>
      </c>
      <c r="AW299" t="s">
        <v>201</v>
      </c>
      <c r="AX299" s="54" t="s">
        <v>314</v>
      </c>
      <c r="AY299">
        <v>14</v>
      </c>
      <c r="AZ299" t="s">
        <v>202</v>
      </c>
      <c r="BA299" t="s">
        <v>433</v>
      </c>
      <c r="BB299" t="s">
        <v>204</v>
      </c>
      <c r="BC299" t="s">
        <v>205</v>
      </c>
      <c r="BD299" t="s">
        <v>206</v>
      </c>
      <c r="BE299" t="s">
        <v>204</v>
      </c>
      <c r="BF299" s="54" t="s">
        <v>314</v>
      </c>
      <c r="BG299" t="s">
        <v>201</v>
      </c>
      <c r="BH299" t="s">
        <v>434</v>
      </c>
    </row>
    <row r="300" spans="33:60" x14ac:dyDescent="0.25">
      <c r="AG300" t="s">
        <v>325</v>
      </c>
      <c r="AH300" t="s">
        <v>103</v>
      </c>
      <c r="AI300">
        <v>200</v>
      </c>
      <c r="AK300" s="32" t="s">
        <v>50</v>
      </c>
      <c r="AL300" t="s">
        <v>115</v>
      </c>
      <c r="AM300" t="s">
        <v>399</v>
      </c>
      <c r="AN300" t="s">
        <v>400</v>
      </c>
      <c r="AW300" t="s">
        <v>213</v>
      </c>
      <c r="AX300" s="54" t="s">
        <v>314</v>
      </c>
      <c r="AY300">
        <v>18</v>
      </c>
      <c r="AZ300" t="s">
        <v>214</v>
      </c>
      <c r="BA300" t="s">
        <v>435</v>
      </c>
      <c r="BB300" t="s">
        <v>216</v>
      </c>
      <c r="BC300" t="s">
        <v>217</v>
      </c>
      <c r="BD300" t="s">
        <v>218</v>
      </c>
      <c r="BE300" t="s">
        <v>216</v>
      </c>
      <c r="BF300" s="54" t="s">
        <v>314</v>
      </c>
      <c r="BG300" t="s">
        <v>213</v>
      </c>
      <c r="BH300" t="s">
        <v>436</v>
      </c>
    </row>
    <row r="301" spans="33:60" x14ac:dyDescent="0.25">
      <c r="AK301" s="32" t="s">
        <v>50</v>
      </c>
      <c r="AL301" t="s">
        <v>115</v>
      </c>
      <c r="AM301" t="s">
        <v>401</v>
      </c>
      <c r="AN301" t="s">
        <v>402</v>
      </c>
      <c r="AW301" t="s">
        <v>53</v>
      </c>
      <c r="AX301" t="s">
        <v>318</v>
      </c>
      <c r="AY301">
        <v>3</v>
      </c>
      <c r="AZ301" t="s">
        <v>55</v>
      </c>
      <c r="BA301" t="s">
        <v>414</v>
      </c>
      <c r="BB301" t="s">
        <v>57</v>
      </c>
      <c r="BC301" t="s">
        <v>58</v>
      </c>
      <c r="BD301" t="s">
        <v>59</v>
      </c>
      <c r="BE301" t="s">
        <v>57</v>
      </c>
      <c r="BF301" t="s">
        <v>318</v>
      </c>
      <c r="BG301" t="s">
        <v>53</v>
      </c>
      <c r="BH301" t="s">
        <v>415</v>
      </c>
    </row>
    <row r="302" spans="33:60" x14ac:dyDescent="0.25">
      <c r="AG302" t="s">
        <v>325</v>
      </c>
      <c r="AH302" t="s">
        <v>117</v>
      </c>
      <c r="AI302">
        <v>200</v>
      </c>
      <c r="AK302" s="32" t="s">
        <v>50</v>
      </c>
      <c r="AL302" t="s">
        <v>115</v>
      </c>
      <c r="AM302" t="s">
        <v>403</v>
      </c>
      <c r="AN302" t="s">
        <v>404</v>
      </c>
      <c r="AW302" t="s">
        <v>82</v>
      </c>
      <c r="AX302" t="s">
        <v>318</v>
      </c>
      <c r="AY302">
        <v>4</v>
      </c>
      <c r="AZ302" t="s">
        <v>83</v>
      </c>
      <c r="BA302" t="s">
        <v>416</v>
      </c>
      <c r="BB302" t="s">
        <v>85</v>
      </c>
      <c r="BC302" t="s">
        <v>86</v>
      </c>
      <c r="BD302" t="s">
        <v>87</v>
      </c>
      <c r="BE302" t="s">
        <v>85</v>
      </c>
      <c r="BF302" t="s">
        <v>318</v>
      </c>
      <c r="BG302" t="s">
        <v>82</v>
      </c>
      <c r="BH302" t="s">
        <v>417</v>
      </c>
    </row>
    <row r="303" spans="33:60" x14ac:dyDescent="0.25">
      <c r="AG303" t="s">
        <v>325</v>
      </c>
      <c r="AH303" t="s">
        <v>135</v>
      </c>
      <c r="AI303">
        <v>700</v>
      </c>
      <c r="AK303" s="32" t="s">
        <v>50</v>
      </c>
      <c r="AL303" t="s">
        <v>115</v>
      </c>
      <c r="AM303" t="s">
        <v>405</v>
      </c>
      <c r="AN303" t="s">
        <v>406</v>
      </c>
      <c r="AW303" t="s">
        <v>106</v>
      </c>
      <c r="AX303" t="s">
        <v>318</v>
      </c>
      <c r="AY303">
        <v>5</v>
      </c>
      <c r="AZ303" t="s">
        <v>107</v>
      </c>
      <c r="BA303" t="s">
        <v>418</v>
      </c>
      <c r="BB303" t="s">
        <v>109</v>
      </c>
      <c r="BC303" t="s">
        <v>110</v>
      </c>
      <c r="BD303" t="s">
        <v>111</v>
      </c>
      <c r="BE303" t="s">
        <v>109</v>
      </c>
      <c r="BF303" t="s">
        <v>318</v>
      </c>
      <c r="BG303" t="s">
        <v>106</v>
      </c>
      <c r="BH303" t="s">
        <v>419</v>
      </c>
    </row>
    <row r="304" spans="33:60" x14ac:dyDescent="0.25">
      <c r="AG304" t="s">
        <v>329</v>
      </c>
      <c r="AH304" t="s">
        <v>39</v>
      </c>
      <c r="AI304">
        <v>2429</v>
      </c>
      <c r="AK304" s="32" t="s">
        <v>50</v>
      </c>
      <c r="AL304" t="s">
        <v>115</v>
      </c>
      <c r="AM304" t="s">
        <v>407</v>
      </c>
      <c r="AN304" t="s">
        <v>408</v>
      </c>
      <c r="AW304" t="s">
        <v>121</v>
      </c>
      <c r="AX304" t="s">
        <v>318</v>
      </c>
      <c r="AY304">
        <v>6</v>
      </c>
      <c r="AZ304" t="s">
        <v>122</v>
      </c>
      <c r="BA304" t="s">
        <v>420</v>
      </c>
      <c r="BB304" t="s">
        <v>124</v>
      </c>
      <c r="BC304" t="s">
        <v>125</v>
      </c>
      <c r="BD304" t="s">
        <v>126</v>
      </c>
      <c r="BE304" t="s">
        <v>124</v>
      </c>
      <c r="BF304" t="s">
        <v>318</v>
      </c>
      <c r="BG304" t="s">
        <v>121</v>
      </c>
      <c r="BH304" t="s">
        <v>421</v>
      </c>
    </row>
    <row r="305" spans="33:60" x14ac:dyDescent="0.25">
      <c r="AG305" t="s">
        <v>329</v>
      </c>
      <c r="AH305" s="49" t="s">
        <v>78</v>
      </c>
      <c r="AI305" s="49" t="s">
        <v>79</v>
      </c>
      <c r="AK305" s="32" t="s">
        <v>50</v>
      </c>
      <c r="AL305" t="s">
        <v>115</v>
      </c>
      <c r="AM305" t="s">
        <v>409</v>
      </c>
      <c r="AN305" t="s">
        <v>410</v>
      </c>
      <c r="AW305" t="s">
        <v>139</v>
      </c>
      <c r="AX305" t="s">
        <v>318</v>
      </c>
      <c r="AY305">
        <v>7</v>
      </c>
      <c r="AZ305" t="s">
        <v>140</v>
      </c>
      <c r="BA305" t="s">
        <v>422</v>
      </c>
      <c r="BB305" t="s">
        <v>142</v>
      </c>
      <c r="BC305" t="s">
        <v>143</v>
      </c>
      <c r="BD305" t="s">
        <v>144</v>
      </c>
      <c r="BE305" t="s">
        <v>142</v>
      </c>
      <c r="BF305" t="s">
        <v>318</v>
      </c>
      <c r="BG305" t="s">
        <v>139</v>
      </c>
      <c r="BH305" t="s">
        <v>423</v>
      </c>
    </row>
    <row r="306" spans="33:60" x14ac:dyDescent="0.25">
      <c r="AH306" s="49"/>
      <c r="AI306" s="49"/>
      <c r="AW306" t="s">
        <v>151</v>
      </c>
      <c r="AX306" t="s">
        <v>318</v>
      </c>
      <c r="AY306">
        <v>8</v>
      </c>
      <c r="AZ306" t="s">
        <v>152</v>
      </c>
      <c r="BA306" t="s">
        <v>425</v>
      </c>
      <c r="BB306" t="s">
        <v>154</v>
      </c>
      <c r="BC306" t="s">
        <v>155</v>
      </c>
      <c r="BD306" t="s">
        <v>156</v>
      </c>
      <c r="BE306" t="s">
        <v>154</v>
      </c>
      <c r="BF306" t="s">
        <v>318</v>
      </c>
      <c r="BG306" t="s">
        <v>151</v>
      </c>
      <c r="BH306" t="s">
        <v>426</v>
      </c>
    </row>
    <row r="307" spans="33:60" x14ac:dyDescent="0.25">
      <c r="AH307" s="49"/>
      <c r="AI307" s="49"/>
      <c r="AK307" s="32" t="s">
        <v>50</v>
      </c>
      <c r="AL307" s="54" t="s">
        <v>133</v>
      </c>
      <c r="AM307" s="54" t="s">
        <v>51</v>
      </c>
      <c r="AN307" s="54" t="s">
        <v>52</v>
      </c>
      <c r="AW307" t="s">
        <v>164</v>
      </c>
      <c r="AX307" t="s">
        <v>318</v>
      </c>
      <c r="AY307">
        <v>9</v>
      </c>
      <c r="AZ307" t="s">
        <v>165</v>
      </c>
      <c r="BA307" t="s">
        <v>427</v>
      </c>
      <c r="BB307" t="s">
        <v>167</v>
      </c>
      <c r="BC307" t="s">
        <v>168</v>
      </c>
      <c r="BD307" t="s">
        <v>169</v>
      </c>
      <c r="BE307" t="s">
        <v>167</v>
      </c>
      <c r="BF307" t="s">
        <v>318</v>
      </c>
      <c r="BG307" t="s">
        <v>164</v>
      </c>
      <c r="BH307" t="s">
        <v>428</v>
      </c>
    </row>
    <row r="308" spans="33:60" x14ac:dyDescent="0.25">
      <c r="AH308" s="49"/>
      <c r="AI308" s="49"/>
      <c r="AK308" s="32" t="s">
        <v>50</v>
      </c>
      <c r="AL308" s="54" t="s">
        <v>133</v>
      </c>
      <c r="AM308" s="54" t="s">
        <v>80</v>
      </c>
      <c r="AN308" s="54" t="s">
        <v>81</v>
      </c>
      <c r="AW308" t="s">
        <v>176</v>
      </c>
      <c r="AX308" t="s">
        <v>318</v>
      </c>
      <c r="AY308">
        <v>10</v>
      </c>
      <c r="AZ308" t="s">
        <v>177</v>
      </c>
      <c r="BA308" t="s">
        <v>429</v>
      </c>
      <c r="BB308" t="s">
        <v>179</v>
      </c>
      <c r="BC308" t="s">
        <v>180</v>
      </c>
      <c r="BD308" t="s">
        <v>181</v>
      </c>
      <c r="BE308" t="s">
        <v>179</v>
      </c>
      <c r="BF308" t="s">
        <v>318</v>
      </c>
      <c r="BG308" t="s">
        <v>176</v>
      </c>
      <c r="BH308" t="s">
        <v>430</v>
      </c>
    </row>
    <row r="309" spans="33:60" x14ac:dyDescent="0.25">
      <c r="AG309" t="s">
        <v>329</v>
      </c>
      <c r="AH309" t="s">
        <v>103</v>
      </c>
      <c r="AI309">
        <v>2429</v>
      </c>
      <c r="AK309" s="32" t="s">
        <v>50</v>
      </c>
      <c r="AL309" s="54" t="s">
        <v>133</v>
      </c>
      <c r="AM309" s="54" t="s">
        <v>104</v>
      </c>
      <c r="AN309" s="54" t="s">
        <v>105</v>
      </c>
      <c r="AW309" t="s">
        <v>189</v>
      </c>
      <c r="AX309" t="s">
        <v>318</v>
      </c>
      <c r="AY309">
        <v>11</v>
      </c>
      <c r="AZ309" t="s">
        <v>190</v>
      </c>
      <c r="BA309" t="s">
        <v>431</v>
      </c>
      <c r="BB309" t="s">
        <v>192</v>
      </c>
      <c r="BC309" t="s">
        <v>193</v>
      </c>
      <c r="BD309" t="s">
        <v>194</v>
      </c>
      <c r="BE309" t="s">
        <v>192</v>
      </c>
      <c r="BF309" t="s">
        <v>318</v>
      </c>
      <c r="BG309" t="s">
        <v>189</v>
      </c>
      <c r="BH309" t="s">
        <v>432</v>
      </c>
    </row>
    <row r="310" spans="33:60" x14ac:dyDescent="0.25">
      <c r="AH310" s="49"/>
      <c r="AI310" s="49"/>
      <c r="AK310" s="32" t="s">
        <v>50</v>
      </c>
      <c r="AL310" s="54" t="s">
        <v>133</v>
      </c>
      <c r="AM310" s="54" t="s">
        <v>119</v>
      </c>
      <c r="AN310" s="54" t="s">
        <v>120</v>
      </c>
      <c r="AW310" t="s">
        <v>201</v>
      </c>
      <c r="AX310" t="s">
        <v>318</v>
      </c>
      <c r="AY310">
        <v>14</v>
      </c>
      <c r="AZ310" t="s">
        <v>202</v>
      </c>
      <c r="BA310" t="s">
        <v>433</v>
      </c>
      <c r="BB310" t="s">
        <v>204</v>
      </c>
      <c r="BC310" t="s">
        <v>205</v>
      </c>
      <c r="BD310" t="s">
        <v>206</v>
      </c>
      <c r="BE310" t="s">
        <v>204</v>
      </c>
      <c r="BF310" t="s">
        <v>318</v>
      </c>
      <c r="BG310" t="s">
        <v>201</v>
      </c>
      <c r="BH310" t="s">
        <v>434</v>
      </c>
    </row>
    <row r="311" spans="33:60" x14ac:dyDescent="0.25">
      <c r="AH311" s="49"/>
      <c r="AI311" s="49"/>
      <c r="AK311" s="32" t="s">
        <v>50</v>
      </c>
      <c r="AL311" s="54" t="s">
        <v>133</v>
      </c>
      <c r="AM311" s="54" t="s">
        <v>137</v>
      </c>
      <c r="AN311" s="54" t="s">
        <v>138</v>
      </c>
      <c r="AW311" t="s">
        <v>213</v>
      </c>
      <c r="AX311" t="s">
        <v>318</v>
      </c>
      <c r="AY311">
        <v>18</v>
      </c>
      <c r="AZ311" t="s">
        <v>214</v>
      </c>
      <c r="BA311" t="s">
        <v>435</v>
      </c>
      <c r="BB311" t="s">
        <v>216</v>
      </c>
      <c r="BC311" t="s">
        <v>217</v>
      </c>
      <c r="BD311" t="s">
        <v>218</v>
      </c>
      <c r="BE311" t="s">
        <v>216</v>
      </c>
      <c r="BF311" t="s">
        <v>318</v>
      </c>
      <c r="BG311" t="s">
        <v>213</v>
      </c>
      <c r="BH311" t="s">
        <v>436</v>
      </c>
    </row>
    <row r="312" spans="33:60" x14ac:dyDescent="0.25">
      <c r="AG312" t="s">
        <v>329</v>
      </c>
      <c r="AH312" t="s">
        <v>117</v>
      </c>
      <c r="AI312" t="s">
        <v>118</v>
      </c>
      <c r="AK312" s="32" t="s">
        <v>50</v>
      </c>
      <c r="AL312" s="54" t="s">
        <v>133</v>
      </c>
      <c r="AM312" s="54" t="s">
        <v>149</v>
      </c>
      <c r="AN312" s="54" t="s">
        <v>150</v>
      </c>
      <c r="AW312" t="s">
        <v>53</v>
      </c>
      <c r="AX312" s="54" t="s">
        <v>322</v>
      </c>
      <c r="AY312">
        <v>3</v>
      </c>
      <c r="AZ312" t="s">
        <v>55</v>
      </c>
      <c r="BA312" t="s">
        <v>414</v>
      </c>
      <c r="BB312" t="s">
        <v>57</v>
      </c>
      <c r="BC312" t="s">
        <v>58</v>
      </c>
      <c r="BD312" t="s">
        <v>59</v>
      </c>
      <c r="BE312" t="s">
        <v>57</v>
      </c>
      <c r="BF312" s="54" t="s">
        <v>322</v>
      </c>
      <c r="BG312" t="s">
        <v>53</v>
      </c>
      <c r="BH312" t="s">
        <v>415</v>
      </c>
    </row>
    <row r="313" spans="33:60" x14ac:dyDescent="0.25">
      <c r="AG313" t="s">
        <v>329</v>
      </c>
      <c r="AH313" t="s">
        <v>135</v>
      </c>
      <c r="AI313" t="s">
        <v>136</v>
      </c>
      <c r="AK313" s="32" t="s">
        <v>50</v>
      </c>
      <c r="AL313" s="54" t="s">
        <v>133</v>
      </c>
      <c r="AM313" s="54" t="s">
        <v>162</v>
      </c>
      <c r="AN313" s="54" t="s">
        <v>163</v>
      </c>
      <c r="AW313" t="s">
        <v>82</v>
      </c>
      <c r="AX313" s="54" t="s">
        <v>322</v>
      </c>
      <c r="AY313">
        <v>4</v>
      </c>
      <c r="AZ313" t="s">
        <v>83</v>
      </c>
      <c r="BA313" t="s">
        <v>416</v>
      </c>
      <c r="BB313" t="s">
        <v>85</v>
      </c>
      <c r="BC313" t="s">
        <v>86</v>
      </c>
      <c r="BD313" t="s">
        <v>87</v>
      </c>
      <c r="BE313" t="s">
        <v>85</v>
      </c>
      <c r="BF313" s="54" t="s">
        <v>322</v>
      </c>
      <c r="BG313" t="s">
        <v>82</v>
      </c>
      <c r="BH313" t="s">
        <v>417</v>
      </c>
    </row>
    <row r="314" spans="33:60" x14ac:dyDescent="0.25">
      <c r="AG314" t="s">
        <v>334</v>
      </c>
      <c r="AH314" t="s">
        <v>39</v>
      </c>
      <c r="AI314">
        <v>2429</v>
      </c>
      <c r="AK314" s="32" t="s">
        <v>50</v>
      </c>
      <c r="AL314" s="54" t="s">
        <v>133</v>
      </c>
      <c r="AM314" s="54" t="s">
        <v>174</v>
      </c>
      <c r="AN314" s="54" t="s">
        <v>175</v>
      </c>
      <c r="AW314" t="s">
        <v>106</v>
      </c>
      <c r="AX314" s="54" t="s">
        <v>322</v>
      </c>
      <c r="AY314">
        <v>5</v>
      </c>
      <c r="AZ314" t="s">
        <v>107</v>
      </c>
      <c r="BA314" t="s">
        <v>418</v>
      </c>
      <c r="BB314" t="s">
        <v>109</v>
      </c>
      <c r="BC314" t="s">
        <v>110</v>
      </c>
      <c r="BD314" t="s">
        <v>111</v>
      </c>
      <c r="BE314" t="s">
        <v>109</v>
      </c>
      <c r="BF314" s="54" t="s">
        <v>322</v>
      </c>
      <c r="BG314" t="s">
        <v>106</v>
      </c>
      <c r="BH314" t="s">
        <v>419</v>
      </c>
    </row>
    <row r="315" spans="33:60" x14ac:dyDescent="0.25">
      <c r="AG315" t="s">
        <v>334</v>
      </c>
      <c r="AH315" s="49" t="s">
        <v>78</v>
      </c>
      <c r="AI315" s="49" t="s">
        <v>79</v>
      </c>
      <c r="AK315" s="32" t="s">
        <v>50</v>
      </c>
      <c r="AL315" s="54" t="s">
        <v>133</v>
      </c>
      <c r="AM315" s="54" t="s">
        <v>187</v>
      </c>
      <c r="AN315" s="54" t="s">
        <v>188</v>
      </c>
      <c r="AW315" t="s">
        <v>121</v>
      </c>
      <c r="AX315" s="54" t="s">
        <v>322</v>
      </c>
      <c r="AY315">
        <v>6</v>
      </c>
      <c r="AZ315" t="s">
        <v>122</v>
      </c>
      <c r="BA315" t="s">
        <v>420</v>
      </c>
      <c r="BB315" t="s">
        <v>124</v>
      </c>
      <c r="BC315" t="s">
        <v>125</v>
      </c>
      <c r="BD315" t="s">
        <v>126</v>
      </c>
      <c r="BE315" t="s">
        <v>124</v>
      </c>
      <c r="BF315" s="54" t="s">
        <v>322</v>
      </c>
      <c r="BG315" t="s">
        <v>121</v>
      </c>
      <c r="BH315" t="s">
        <v>421</v>
      </c>
    </row>
    <row r="316" spans="33:60" x14ac:dyDescent="0.25">
      <c r="AH316" s="49"/>
      <c r="AI316" s="49"/>
      <c r="AK316" s="32" t="s">
        <v>50</v>
      </c>
      <c r="AL316" s="54" t="s">
        <v>133</v>
      </c>
      <c r="AM316" s="54" t="s">
        <v>199</v>
      </c>
      <c r="AN316" s="54" t="s">
        <v>200</v>
      </c>
      <c r="AW316" t="s">
        <v>139</v>
      </c>
      <c r="AX316" s="54" t="s">
        <v>322</v>
      </c>
      <c r="AY316">
        <v>7</v>
      </c>
      <c r="AZ316" t="s">
        <v>140</v>
      </c>
      <c r="BA316" t="s">
        <v>422</v>
      </c>
      <c r="BB316" t="s">
        <v>142</v>
      </c>
      <c r="BC316" t="s">
        <v>143</v>
      </c>
      <c r="BD316" t="s">
        <v>144</v>
      </c>
      <c r="BE316" t="s">
        <v>142</v>
      </c>
      <c r="BF316" s="54" t="s">
        <v>322</v>
      </c>
      <c r="BG316" t="s">
        <v>139</v>
      </c>
      <c r="BH316" t="s">
        <v>423</v>
      </c>
    </row>
    <row r="317" spans="33:60" x14ac:dyDescent="0.25">
      <c r="AH317" s="49"/>
      <c r="AI317" s="49"/>
      <c r="AK317" s="32" t="s">
        <v>50</v>
      </c>
      <c r="AL317" s="54" t="s">
        <v>133</v>
      </c>
      <c r="AM317" s="54" t="s">
        <v>211</v>
      </c>
      <c r="AN317" s="54" t="s">
        <v>212</v>
      </c>
      <c r="AW317" t="s">
        <v>151</v>
      </c>
      <c r="AX317" s="54" t="s">
        <v>322</v>
      </c>
      <c r="AY317">
        <v>8</v>
      </c>
      <c r="AZ317" t="s">
        <v>152</v>
      </c>
      <c r="BA317" t="s">
        <v>425</v>
      </c>
      <c r="BB317" t="s">
        <v>154</v>
      </c>
      <c r="BC317" t="s">
        <v>155</v>
      </c>
      <c r="BD317" t="s">
        <v>156</v>
      </c>
      <c r="BE317" t="s">
        <v>154</v>
      </c>
      <c r="BF317" s="54" t="s">
        <v>322</v>
      </c>
      <c r="BG317" t="s">
        <v>151</v>
      </c>
      <c r="BH317" t="s">
        <v>426</v>
      </c>
    </row>
    <row r="318" spans="33:60" x14ac:dyDescent="0.25">
      <c r="AH318" s="49"/>
      <c r="AI318" s="49"/>
      <c r="AK318" s="32" t="s">
        <v>50</v>
      </c>
      <c r="AL318" s="54" t="s">
        <v>133</v>
      </c>
      <c r="AM318" s="54" t="s">
        <v>223</v>
      </c>
      <c r="AN318" s="54" t="s">
        <v>224</v>
      </c>
      <c r="AW318" t="s">
        <v>164</v>
      </c>
      <c r="AX318" s="54" t="s">
        <v>322</v>
      </c>
      <c r="AY318">
        <v>9</v>
      </c>
      <c r="AZ318" t="s">
        <v>165</v>
      </c>
      <c r="BA318" t="s">
        <v>427</v>
      </c>
      <c r="BB318" t="s">
        <v>167</v>
      </c>
      <c r="BC318" t="s">
        <v>168</v>
      </c>
      <c r="BD318" t="s">
        <v>169</v>
      </c>
      <c r="BE318" t="s">
        <v>167</v>
      </c>
      <c r="BF318" s="54" t="s">
        <v>322</v>
      </c>
      <c r="BG318" t="s">
        <v>164</v>
      </c>
      <c r="BH318" t="s">
        <v>428</v>
      </c>
    </row>
    <row r="319" spans="33:60" x14ac:dyDescent="0.25">
      <c r="AG319" t="s">
        <v>334</v>
      </c>
      <c r="AH319" t="s">
        <v>103</v>
      </c>
      <c r="AI319">
        <v>2429</v>
      </c>
      <c r="AK319" s="32" t="s">
        <v>50</v>
      </c>
      <c r="AL319" s="54" t="s">
        <v>133</v>
      </c>
      <c r="AM319" s="54" t="s">
        <v>232</v>
      </c>
      <c r="AN319" s="54" t="s">
        <v>233</v>
      </c>
      <c r="AW319" t="s">
        <v>176</v>
      </c>
      <c r="AX319" s="54" t="s">
        <v>322</v>
      </c>
      <c r="AY319">
        <v>10</v>
      </c>
      <c r="AZ319" t="s">
        <v>177</v>
      </c>
      <c r="BA319" t="s">
        <v>429</v>
      </c>
      <c r="BB319" t="s">
        <v>179</v>
      </c>
      <c r="BC319" t="s">
        <v>180</v>
      </c>
      <c r="BD319" t="s">
        <v>181</v>
      </c>
      <c r="BE319" t="s">
        <v>179</v>
      </c>
      <c r="BF319" s="54" t="s">
        <v>322</v>
      </c>
      <c r="BG319" t="s">
        <v>176</v>
      </c>
      <c r="BH319" t="s">
        <v>430</v>
      </c>
    </row>
    <row r="320" spans="33:60" x14ac:dyDescent="0.25">
      <c r="AH320" s="49"/>
      <c r="AI320" s="49"/>
      <c r="AK320" s="32" t="s">
        <v>50</v>
      </c>
      <c r="AL320" s="54" t="s">
        <v>133</v>
      </c>
      <c r="AM320" s="54" t="s">
        <v>239</v>
      </c>
      <c r="AN320" s="54" t="s">
        <v>240</v>
      </c>
      <c r="AW320" t="s">
        <v>189</v>
      </c>
      <c r="AX320" s="54" t="s">
        <v>322</v>
      </c>
      <c r="AY320">
        <v>11</v>
      </c>
      <c r="AZ320" t="s">
        <v>190</v>
      </c>
      <c r="BA320" t="s">
        <v>431</v>
      </c>
      <c r="BB320" t="s">
        <v>192</v>
      </c>
      <c r="BC320" t="s">
        <v>193</v>
      </c>
      <c r="BD320" t="s">
        <v>194</v>
      </c>
      <c r="BE320" t="s">
        <v>192</v>
      </c>
      <c r="BF320" s="54" t="s">
        <v>322</v>
      </c>
      <c r="BG320" t="s">
        <v>189</v>
      </c>
      <c r="BH320" t="s">
        <v>432</v>
      </c>
    </row>
    <row r="321" spans="33:60" x14ac:dyDescent="0.25">
      <c r="AH321" s="49"/>
      <c r="AI321" s="49"/>
      <c r="AK321" s="32" t="s">
        <v>50</v>
      </c>
      <c r="AL321" s="54" t="s">
        <v>133</v>
      </c>
      <c r="AM321" s="54" t="s">
        <v>246</v>
      </c>
      <c r="AN321" s="54" t="s">
        <v>247</v>
      </c>
      <c r="AW321" t="s">
        <v>201</v>
      </c>
      <c r="AX321" s="54" t="s">
        <v>322</v>
      </c>
      <c r="AY321">
        <v>14</v>
      </c>
      <c r="AZ321" t="s">
        <v>202</v>
      </c>
      <c r="BA321" t="s">
        <v>433</v>
      </c>
      <c r="BB321" t="s">
        <v>204</v>
      </c>
      <c r="BC321" t="s">
        <v>205</v>
      </c>
      <c r="BD321" t="s">
        <v>206</v>
      </c>
      <c r="BE321" t="s">
        <v>204</v>
      </c>
      <c r="BF321" s="54" t="s">
        <v>322</v>
      </c>
      <c r="BG321" t="s">
        <v>201</v>
      </c>
      <c r="BH321" t="s">
        <v>434</v>
      </c>
    </row>
    <row r="322" spans="33:60" x14ac:dyDescent="0.25">
      <c r="AG322" t="s">
        <v>334</v>
      </c>
      <c r="AH322" t="s">
        <v>117</v>
      </c>
      <c r="AI322" t="s">
        <v>118</v>
      </c>
      <c r="AK322" s="32" t="s">
        <v>50</v>
      </c>
      <c r="AL322" s="54" t="s">
        <v>133</v>
      </c>
      <c r="AM322" s="54" t="s">
        <v>254</v>
      </c>
      <c r="AN322" s="54" t="s">
        <v>255</v>
      </c>
      <c r="AW322" t="s">
        <v>213</v>
      </c>
      <c r="AX322" s="54" t="s">
        <v>322</v>
      </c>
      <c r="AY322">
        <v>18</v>
      </c>
      <c r="AZ322" t="s">
        <v>214</v>
      </c>
      <c r="BA322" t="s">
        <v>435</v>
      </c>
      <c r="BB322" t="s">
        <v>216</v>
      </c>
      <c r="BC322" t="s">
        <v>217</v>
      </c>
      <c r="BD322" t="s">
        <v>218</v>
      </c>
      <c r="BE322" t="s">
        <v>216</v>
      </c>
      <c r="BF322" s="54" t="s">
        <v>322</v>
      </c>
      <c r="BG322" t="s">
        <v>213</v>
      </c>
      <c r="BH322" t="s">
        <v>436</v>
      </c>
    </row>
    <row r="323" spans="33:60" x14ac:dyDescent="0.25">
      <c r="AG323" t="s">
        <v>334</v>
      </c>
      <c r="AH323" t="s">
        <v>135</v>
      </c>
      <c r="AI323" t="s">
        <v>136</v>
      </c>
      <c r="AK323" s="32" t="s">
        <v>50</v>
      </c>
      <c r="AL323" s="54" t="s">
        <v>133</v>
      </c>
      <c r="AM323" s="54" t="s">
        <v>262</v>
      </c>
      <c r="AN323" s="54" t="s">
        <v>263</v>
      </c>
      <c r="AW323" t="s">
        <v>53</v>
      </c>
      <c r="AX323" t="s">
        <v>325</v>
      </c>
      <c r="AY323">
        <v>3</v>
      </c>
      <c r="AZ323" t="s">
        <v>55</v>
      </c>
      <c r="BA323" t="s">
        <v>56</v>
      </c>
      <c r="BB323" t="s">
        <v>57</v>
      </c>
      <c r="BC323" t="s">
        <v>58</v>
      </c>
      <c r="BD323" t="s">
        <v>59</v>
      </c>
      <c r="BE323" t="s">
        <v>57</v>
      </c>
      <c r="BF323" t="s">
        <v>325</v>
      </c>
      <c r="BG323" t="s">
        <v>53</v>
      </c>
      <c r="BH323" t="s">
        <v>60</v>
      </c>
    </row>
    <row r="324" spans="33:60" x14ac:dyDescent="0.25">
      <c r="AG324" t="s">
        <v>339</v>
      </c>
      <c r="AH324" t="s">
        <v>39</v>
      </c>
      <c r="AI324">
        <v>1083</v>
      </c>
      <c r="AK324" s="32" t="s">
        <v>50</v>
      </c>
      <c r="AL324" s="54" t="s">
        <v>133</v>
      </c>
      <c r="AM324" s="54" t="s">
        <v>270</v>
      </c>
      <c r="AN324" s="54" t="s">
        <v>271</v>
      </c>
      <c r="AW324" t="s">
        <v>82</v>
      </c>
      <c r="AX324" t="s">
        <v>325</v>
      </c>
      <c r="AY324">
        <v>4</v>
      </c>
      <c r="AZ324" t="s">
        <v>83</v>
      </c>
      <c r="BA324" t="s">
        <v>84</v>
      </c>
      <c r="BB324" t="s">
        <v>85</v>
      </c>
      <c r="BC324" t="s">
        <v>86</v>
      </c>
      <c r="BD324" t="s">
        <v>87</v>
      </c>
      <c r="BE324" t="s">
        <v>85</v>
      </c>
      <c r="BF324" t="s">
        <v>325</v>
      </c>
      <c r="BG324" t="s">
        <v>82</v>
      </c>
      <c r="BH324" t="s">
        <v>88</v>
      </c>
    </row>
    <row r="325" spans="33:60" x14ac:dyDescent="0.25">
      <c r="AG325" t="s">
        <v>339</v>
      </c>
      <c r="AH325" t="s">
        <v>78</v>
      </c>
      <c r="AI325">
        <v>1080</v>
      </c>
      <c r="AK325" s="32" t="s">
        <v>50</v>
      </c>
      <c r="AL325" s="54" t="s">
        <v>133</v>
      </c>
      <c r="AM325" s="54" t="s">
        <v>277</v>
      </c>
      <c r="AN325" s="54" t="s">
        <v>278</v>
      </c>
      <c r="AW325" t="s">
        <v>106</v>
      </c>
      <c r="AX325" t="s">
        <v>325</v>
      </c>
      <c r="AY325">
        <v>5</v>
      </c>
      <c r="AZ325" t="s">
        <v>107</v>
      </c>
      <c r="BA325" t="s">
        <v>108</v>
      </c>
      <c r="BB325" t="s">
        <v>109</v>
      </c>
      <c r="BC325" t="s">
        <v>110</v>
      </c>
      <c r="BD325" t="s">
        <v>111</v>
      </c>
      <c r="BE325" t="s">
        <v>109</v>
      </c>
      <c r="BF325" t="s">
        <v>325</v>
      </c>
      <c r="BG325" t="s">
        <v>106</v>
      </c>
      <c r="BH325" t="s">
        <v>65</v>
      </c>
    </row>
    <row r="326" spans="33:60" x14ac:dyDescent="0.25">
      <c r="AG326" t="s">
        <v>339</v>
      </c>
      <c r="AH326" t="s">
        <v>103</v>
      </c>
      <c r="AI326">
        <v>1080</v>
      </c>
      <c r="AK326" s="32" t="s">
        <v>50</v>
      </c>
      <c r="AL326" s="54" t="s">
        <v>133</v>
      </c>
      <c r="AM326" s="54" t="s">
        <v>284</v>
      </c>
      <c r="AN326" s="54" t="s">
        <v>285</v>
      </c>
      <c r="AW326" t="s">
        <v>121</v>
      </c>
      <c r="AX326" t="s">
        <v>325</v>
      </c>
      <c r="AY326">
        <v>6</v>
      </c>
      <c r="AZ326" t="s">
        <v>122</v>
      </c>
      <c r="BA326" t="s">
        <v>123</v>
      </c>
      <c r="BB326" t="s">
        <v>124</v>
      </c>
      <c r="BC326" t="s">
        <v>125</v>
      </c>
      <c r="BD326" t="s">
        <v>126</v>
      </c>
      <c r="BE326" t="s">
        <v>124</v>
      </c>
      <c r="BF326" t="s">
        <v>325</v>
      </c>
      <c r="BG326" t="s">
        <v>121</v>
      </c>
      <c r="BH326" t="s">
        <v>127</v>
      </c>
    </row>
    <row r="327" spans="33:60" x14ac:dyDescent="0.25">
      <c r="AK327" s="32" t="s">
        <v>50</v>
      </c>
      <c r="AL327" s="54" t="s">
        <v>133</v>
      </c>
      <c r="AM327" s="54" t="s">
        <v>291</v>
      </c>
      <c r="AN327" s="54" t="s">
        <v>292</v>
      </c>
      <c r="AW327" t="s">
        <v>139</v>
      </c>
      <c r="AX327" t="s">
        <v>325</v>
      </c>
      <c r="AY327">
        <v>7</v>
      </c>
      <c r="AZ327" t="s">
        <v>140</v>
      </c>
      <c r="BA327" t="s">
        <v>141</v>
      </c>
      <c r="BB327" t="s">
        <v>142</v>
      </c>
      <c r="BC327" t="s">
        <v>143</v>
      </c>
      <c r="BD327" t="s">
        <v>144</v>
      </c>
      <c r="BE327" t="s">
        <v>142</v>
      </c>
      <c r="BF327" t="s">
        <v>325</v>
      </c>
      <c r="BG327" t="s">
        <v>139</v>
      </c>
      <c r="BH327" t="s">
        <v>145</v>
      </c>
    </row>
    <row r="328" spans="33:60" x14ac:dyDescent="0.25">
      <c r="AG328" t="s">
        <v>339</v>
      </c>
      <c r="AH328" t="s">
        <v>117</v>
      </c>
      <c r="AI328">
        <v>1088</v>
      </c>
      <c r="AK328" s="32" t="s">
        <v>50</v>
      </c>
      <c r="AL328" s="54" t="s">
        <v>133</v>
      </c>
      <c r="AM328" s="54" t="s">
        <v>298</v>
      </c>
      <c r="AN328" s="54" t="s">
        <v>299</v>
      </c>
      <c r="AW328" t="s">
        <v>151</v>
      </c>
      <c r="AX328" t="s">
        <v>325</v>
      </c>
      <c r="AY328">
        <v>8</v>
      </c>
      <c r="AZ328" t="s">
        <v>152</v>
      </c>
      <c r="BA328" t="s">
        <v>153</v>
      </c>
      <c r="BB328" t="s">
        <v>154</v>
      </c>
      <c r="BC328" t="s">
        <v>155</v>
      </c>
      <c r="BD328" t="s">
        <v>156</v>
      </c>
      <c r="BE328" t="s">
        <v>154</v>
      </c>
      <c r="BF328" t="s">
        <v>325</v>
      </c>
      <c r="BG328" t="s">
        <v>151</v>
      </c>
      <c r="BH328" t="s">
        <v>157</v>
      </c>
    </row>
    <row r="329" spans="33:60" x14ac:dyDescent="0.25">
      <c r="AG329" t="s">
        <v>339</v>
      </c>
      <c r="AH329" t="s">
        <v>135</v>
      </c>
      <c r="AI329">
        <v>1190</v>
      </c>
      <c r="AK329" s="32" t="s">
        <v>50</v>
      </c>
      <c r="AL329" s="54" t="s">
        <v>133</v>
      </c>
      <c r="AM329" s="54" t="s">
        <v>305</v>
      </c>
      <c r="AN329" s="54" t="s">
        <v>306</v>
      </c>
      <c r="AW329" t="s">
        <v>164</v>
      </c>
      <c r="AX329" t="s">
        <v>325</v>
      </c>
      <c r="AY329">
        <v>9</v>
      </c>
      <c r="AZ329" t="s">
        <v>165</v>
      </c>
      <c r="BA329" t="s">
        <v>166</v>
      </c>
      <c r="BB329" t="s">
        <v>167</v>
      </c>
      <c r="BC329" t="s">
        <v>168</v>
      </c>
      <c r="BD329" t="s">
        <v>169</v>
      </c>
      <c r="BE329" t="s">
        <v>167</v>
      </c>
      <c r="BF329" t="s">
        <v>325</v>
      </c>
      <c r="BG329" t="s">
        <v>164</v>
      </c>
      <c r="BH329" t="s">
        <v>91</v>
      </c>
    </row>
    <row r="330" spans="33:60" x14ac:dyDescent="0.25">
      <c r="AG330" t="s">
        <v>343</v>
      </c>
      <c r="AH330" t="s">
        <v>39</v>
      </c>
      <c r="AI330">
        <v>15</v>
      </c>
      <c r="AK330" s="32" t="s">
        <v>50</v>
      </c>
      <c r="AL330" s="54" t="s">
        <v>133</v>
      </c>
      <c r="AM330" s="54" t="s">
        <v>309</v>
      </c>
      <c r="AN330" s="54" t="s">
        <v>310</v>
      </c>
      <c r="AW330" t="s">
        <v>176</v>
      </c>
      <c r="AX330" t="s">
        <v>325</v>
      </c>
      <c r="AY330">
        <v>10</v>
      </c>
      <c r="AZ330" t="s">
        <v>177</v>
      </c>
      <c r="BA330" t="s">
        <v>178</v>
      </c>
      <c r="BB330" t="s">
        <v>179</v>
      </c>
      <c r="BC330" t="s">
        <v>180</v>
      </c>
      <c r="BD330" t="s">
        <v>181</v>
      </c>
      <c r="BE330" t="s">
        <v>179</v>
      </c>
      <c r="BF330" t="s">
        <v>325</v>
      </c>
      <c r="BG330" t="s">
        <v>176</v>
      </c>
      <c r="BH330" t="s">
        <v>182</v>
      </c>
    </row>
    <row r="331" spans="33:60" x14ac:dyDescent="0.25">
      <c r="AG331" t="s">
        <v>343</v>
      </c>
      <c r="AH331" s="49" t="s">
        <v>78</v>
      </c>
      <c r="AI331" s="49" t="s">
        <v>437</v>
      </c>
      <c r="AK331" s="32" t="s">
        <v>50</v>
      </c>
      <c r="AL331" s="54" t="s">
        <v>133</v>
      </c>
      <c r="AM331" s="54" t="s">
        <v>312</v>
      </c>
      <c r="AN331" s="54" t="s">
        <v>313</v>
      </c>
      <c r="AW331" t="s">
        <v>189</v>
      </c>
      <c r="AX331" t="s">
        <v>325</v>
      </c>
      <c r="AY331">
        <v>11</v>
      </c>
      <c r="AZ331" t="s">
        <v>190</v>
      </c>
      <c r="BA331" t="s">
        <v>191</v>
      </c>
      <c r="BB331" t="s">
        <v>192</v>
      </c>
      <c r="BC331" t="s">
        <v>193</v>
      </c>
      <c r="BD331" t="s">
        <v>194</v>
      </c>
      <c r="BE331" t="s">
        <v>192</v>
      </c>
      <c r="BF331" t="s">
        <v>325</v>
      </c>
      <c r="BG331" t="s">
        <v>189</v>
      </c>
      <c r="BH331" t="s">
        <v>195</v>
      </c>
    </row>
    <row r="332" spans="33:60" x14ac:dyDescent="0.25">
      <c r="AH332" s="49"/>
      <c r="AI332" s="49"/>
      <c r="AK332" s="32" t="s">
        <v>50</v>
      </c>
      <c r="AL332" s="54" t="s">
        <v>133</v>
      </c>
      <c r="AM332" s="54" t="s">
        <v>315</v>
      </c>
      <c r="AN332" s="54" t="s">
        <v>316</v>
      </c>
      <c r="AW332" t="s">
        <v>201</v>
      </c>
      <c r="AX332" t="s">
        <v>325</v>
      </c>
      <c r="AY332">
        <v>14</v>
      </c>
      <c r="AZ332" t="s">
        <v>202</v>
      </c>
      <c r="BA332" t="s">
        <v>203</v>
      </c>
      <c r="BB332" t="s">
        <v>204</v>
      </c>
      <c r="BC332" t="s">
        <v>205</v>
      </c>
      <c r="BD332" t="s">
        <v>206</v>
      </c>
      <c r="BE332" t="s">
        <v>204</v>
      </c>
      <c r="BF332" t="s">
        <v>325</v>
      </c>
      <c r="BG332" t="s">
        <v>201</v>
      </c>
      <c r="BH332" t="s">
        <v>207</v>
      </c>
    </row>
    <row r="333" spans="33:60" x14ac:dyDescent="0.25">
      <c r="AH333" s="49"/>
      <c r="AI333" s="49"/>
      <c r="AK333" s="32" t="s">
        <v>50</v>
      </c>
      <c r="AL333" s="54" t="s">
        <v>133</v>
      </c>
      <c r="AM333" s="54" t="s">
        <v>319</v>
      </c>
      <c r="AN333" s="54" t="s">
        <v>320</v>
      </c>
      <c r="AW333" t="s">
        <v>213</v>
      </c>
      <c r="AX333" t="s">
        <v>325</v>
      </c>
      <c r="AY333">
        <v>18</v>
      </c>
      <c r="AZ333" t="s">
        <v>214</v>
      </c>
      <c r="BA333" t="s">
        <v>215</v>
      </c>
      <c r="BB333" t="s">
        <v>216</v>
      </c>
      <c r="BC333" t="s">
        <v>217</v>
      </c>
      <c r="BD333" t="s">
        <v>218</v>
      </c>
      <c r="BE333" t="s">
        <v>216</v>
      </c>
      <c r="BF333" t="s">
        <v>325</v>
      </c>
      <c r="BG333" t="s">
        <v>213</v>
      </c>
      <c r="BH333" t="s">
        <v>219</v>
      </c>
    </row>
    <row r="334" spans="33:60" x14ac:dyDescent="0.25">
      <c r="AH334" s="49"/>
      <c r="AI334" s="49"/>
      <c r="AK334" s="32" t="s">
        <v>50</v>
      </c>
      <c r="AL334" s="54" t="s">
        <v>133</v>
      </c>
      <c r="AM334" s="54" t="s">
        <v>323</v>
      </c>
      <c r="AN334" s="54" t="s">
        <v>324</v>
      </c>
      <c r="AW334" t="s">
        <v>53</v>
      </c>
      <c r="AX334" s="54" t="s">
        <v>329</v>
      </c>
      <c r="AY334">
        <v>3</v>
      </c>
      <c r="AZ334" t="s">
        <v>55</v>
      </c>
      <c r="BA334" t="s">
        <v>56</v>
      </c>
      <c r="BB334" t="s">
        <v>57</v>
      </c>
      <c r="BC334" t="s">
        <v>58</v>
      </c>
      <c r="BD334" t="s">
        <v>59</v>
      </c>
      <c r="BE334" t="s">
        <v>57</v>
      </c>
      <c r="BF334" s="54" t="s">
        <v>329</v>
      </c>
      <c r="BG334" t="s">
        <v>53</v>
      </c>
      <c r="BH334" t="s">
        <v>60</v>
      </c>
    </row>
    <row r="335" spans="33:60" x14ac:dyDescent="0.25">
      <c r="AH335" s="49"/>
      <c r="AI335" s="49"/>
      <c r="AK335" s="32" t="s">
        <v>50</v>
      </c>
      <c r="AL335" s="54" t="s">
        <v>133</v>
      </c>
      <c r="AM335" s="54" t="s">
        <v>326</v>
      </c>
      <c r="AN335" s="54" t="s">
        <v>327</v>
      </c>
      <c r="AW335" t="s">
        <v>82</v>
      </c>
      <c r="AX335" s="54" t="s">
        <v>329</v>
      </c>
      <c r="AY335">
        <v>4</v>
      </c>
      <c r="AZ335" t="s">
        <v>83</v>
      </c>
      <c r="BA335" t="s">
        <v>84</v>
      </c>
      <c r="BB335" t="s">
        <v>85</v>
      </c>
      <c r="BC335" t="s">
        <v>86</v>
      </c>
      <c r="BD335" t="s">
        <v>87</v>
      </c>
      <c r="BE335" t="s">
        <v>85</v>
      </c>
      <c r="BF335" s="54" t="s">
        <v>329</v>
      </c>
      <c r="BG335" t="s">
        <v>82</v>
      </c>
      <c r="BH335" t="s">
        <v>88</v>
      </c>
    </row>
    <row r="336" spans="33:60" x14ac:dyDescent="0.25">
      <c r="AG336" t="s">
        <v>343</v>
      </c>
      <c r="AH336" t="s">
        <v>103</v>
      </c>
      <c r="AI336">
        <v>15</v>
      </c>
      <c r="AK336" s="32" t="s">
        <v>50</v>
      </c>
      <c r="AL336" s="54" t="s">
        <v>133</v>
      </c>
      <c r="AM336" s="54" t="s">
        <v>330</v>
      </c>
      <c r="AN336" s="54" t="s">
        <v>331</v>
      </c>
      <c r="AW336" t="s">
        <v>106</v>
      </c>
      <c r="AX336" s="54" t="s">
        <v>329</v>
      </c>
      <c r="AY336">
        <v>5</v>
      </c>
      <c r="AZ336" t="s">
        <v>107</v>
      </c>
      <c r="BA336" t="s">
        <v>108</v>
      </c>
      <c r="BB336" t="s">
        <v>109</v>
      </c>
      <c r="BC336" t="s">
        <v>110</v>
      </c>
      <c r="BD336" t="s">
        <v>111</v>
      </c>
      <c r="BE336" t="s">
        <v>109</v>
      </c>
      <c r="BF336" s="54" t="s">
        <v>329</v>
      </c>
      <c r="BG336" t="s">
        <v>106</v>
      </c>
      <c r="BH336" t="s">
        <v>65</v>
      </c>
    </row>
    <row r="337" spans="33:60" x14ac:dyDescent="0.25">
      <c r="AK337" s="32" t="s">
        <v>50</v>
      </c>
      <c r="AL337" s="54" t="s">
        <v>133</v>
      </c>
      <c r="AM337" s="54" t="s">
        <v>335</v>
      </c>
      <c r="AN337" s="54" t="s">
        <v>336</v>
      </c>
      <c r="AW337" t="s">
        <v>121</v>
      </c>
      <c r="AX337" s="54" t="s">
        <v>329</v>
      </c>
      <c r="AY337">
        <v>6</v>
      </c>
      <c r="AZ337" t="s">
        <v>122</v>
      </c>
      <c r="BA337" t="s">
        <v>123</v>
      </c>
      <c r="BB337" t="s">
        <v>124</v>
      </c>
      <c r="BC337" t="s">
        <v>125</v>
      </c>
      <c r="BD337" t="s">
        <v>126</v>
      </c>
      <c r="BE337" t="s">
        <v>124</v>
      </c>
      <c r="BF337" s="54" t="s">
        <v>329</v>
      </c>
      <c r="BG337" t="s">
        <v>121</v>
      </c>
      <c r="BH337" t="s">
        <v>127</v>
      </c>
    </row>
    <row r="338" spans="33:60" x14ac:dyDescent="0.25">
      <c r="AG338" t="s">
        <v>343</v>
      </c>
      <c r="AH338" t="s">
        <v>117</v>
      </c>
      <c r="AI338">
        <v>13</v>
      </c>
      <c r="AK338" s="32" t="s">
        <v>50</v>
      </c>
      <c r="AL338" s="54" t="s">
        <v>133</v>
      </c>
      <c r="AM338" s="54" t="s">
        <v>340</v>
      </c>
      <c r="AN338" s="54" t="s">
        <v>341</v>
      </c>
      <c r="AW338" t="s">
        <v>139</v>
      </c>
      <c r="AX338" s="54" t="s">
        <v>329</v>
      </c>
      <c r="AY338">
        <v>7</v>
      </c>
      <c r="AZ338" t="s">
        <v>140</v>
      </c>
      <c r="BA338" t="s">
        <v>141</v>
      </c>
      <c r="BB338" t="s">
        <v>142</v>
      </c>
      <c r="BC338" t="s">
        <v>143</v>
      </c>
      <c r="BD338" t="s">
        <v>144</v>
      </c>
      <c r="BE338" t="s">
        <v>142</v>
      </c>
      <c r="BF338" s="54" t="s">
        <v>329</v>
      </c>
      <c r="BG338" t="s">
        <v>139</v>
      </c>
      <c r="BH338" t="s">
        <v>145</v>
      </c>
    </row>
    <row r="339" spans="33:60" x14ac:dyDescent="0.25">
      <c r="AG339" t="s">
        <v>343</v>
      </c>
      <c r="AH339" t="s">
        <v>135</v>
      </c>
      <c r="AI339">
        <v>15</v>
      </c>
      <c r="AK339" s="32" t="s">
        <v>50</v>
      </c>
      <c r="AL339" s="54" t="s">
        <v>133</v>
      </c>
      <c r="AM339" s="54" t="s">
        <v>344</v>
      </c>
      <c r="AN339" s="54" t="s">
        <v>345</v>
      </c>
      <c r="AW339" t="s">
        <v>151</v>
      </c>
      <c r="AX339" s="54" t="s">
        <v>329</v>
      </c>
      <c r="AY339">
        <v>8</v>
      </c>
      <c r="AZ339" t="s">
        <v>152</v>
      </c>
      <c r="BA339" t="s">
        <v>153</v>
      </c>
      <c r="BB339" t="s">
        <v>154</v>
      </c>
      <c r="BC339" t="s">
        <v>155</v>
      </c>
      <c r="BD339" t="s">
        <v>156</v>
      </c>
      <c r="BE339" t="s">
        <v>154</v>
      </c>
      <c r="BF339" s="54" t="s">
        <v>329</v>
      </c>
      <c r="BG339" t="s">
        <v>151</v>
      </c>
      <c r="BH339" t="s">
        <v>157</v>
      </c>
    </row>
    <row r="340" spans="33:60" x14ac:dyDescent="0.25">
      <c r="AG340" t="s">
        <v>347</v>
      </c>
      <c r="AH340" t="s">
        <v>39</v>
      </c>
      <c r="AI340">
        <v>2429</v>
      </c>
      <c r="AK340" s="32" t="s">
        <v>50</v>
      </c>
      <c r="AL340" s="54" t="s">
        <v>133</v>
      </c>
      <c r="AM340" s="54" t="s">
        <v>348</v>
      </c>
      <c r="AN340" s="54" t="s">
        <v>349</v>
      </c>
      <c r="AW340" t="s">
        <v>164</v>
      </c>
      <c r="AX340" s="54" t="s">
        <v>329</v>
      </c>
      <c r="AY340">
        <v>9</v>
      </c>
      <c r="AZ340" t="s">
        <v>165</v>
      </c>
      <c r="BA340" t="s">
        <v>166</v>
      </c>
      <c r="BB340" t="s">
        <v>167</v>
      </c>
      <c r="BC340" t="s">
        <v>168</v>
      </c>
      <c r="BD340" t="s">
        <v>169</v>
      </c>
      <c r="BE340" t="s">
        <v>167</v>
      </c>
      <c r="BF340" s="54" t="s">
        <v>329</v>
      </c>
      <c r="BG340" t="s">
        <v>164</v>
      </c>
      <c r="BH340" t="s">
        <v>91</v>
      </c>
    </row>
    <row r="341" spans="33:60" x14ac:dyDescent="0.25">
      <c r="AG341" t="s">
        <v>347</v>
      </c>
      <c r="AH341" s="49" t="s">
        <v>78</v>
      </c>
      <c r="AI341" s="49" t="s">
        <v>79</v>
      </c>
      <c r="AK341" s="32" t="s">
        <v>50</v>
      </c>
      <c r="AL341" s="54" t="s">
        <v>133</v>
      </c>
      <c r="AM341" s="54" t="s">
        <v>352</v>
      </c>
      <c r="AN341" s="54" t="s">
        <v>353</v>
      </c>
      <c r="AW341" t="s">
        <v>176</v>
      </c>
      <c r="AX341" s="54" t="s">
        <v>329</v>
      </c>
      <c r="AY341">
        <v>10</v>
      </c>
      <c r="AZ341" t="s">
        <v>177</v>
      </c>
      <c r="BA341" t="s">
        <v>178</v>
      </c>
      <c r="BB341" t="s">
        <v>179</v>
      </c>
      <c r="BC341" t="s">
        <v>180</v>
      </c>
      <c r="BD341" t="s">
        <v>181</v>
      </c>
      <c r="BE341" t="s">
        <v>179</v>
      </c>
      <c r="BF341" s="54" t="s">
        <v>329</v>
      </c>
      <c r="BG341" t="s">
        <v>176</v>
      </c>
      <c r="BH341" t="s">
        <v>182</v>
      </c>
    </row>
    <row r="342" spans="33:60" x14ac:dyDescent="0.25">
      <c r="AH342" s="49"/>
      <c r="AI342" s="49"/>
      <c r="AK342" s="32" t="s">
        <v>50</v>
      </c>
      <c r="AL342" s="54" t="s">
        <v>133</v>
      </c>
      <c r="AM342" s="54" t="s">
        <v>356</v>
      </c>
      <c r="AN342" s="54" t="s">
        <v>357</v>
      </c>
      <c r="AW342" t="s">
        <v>189</v>
      </c>
      <c r="AX342" s="54" t="s">
        <v>329</v>
      </c>
      <c r="AY342">
        <v>11</v>
      </c>
      <c r="AZ342" t="s">
        <v>190</v>
      </c>
      <c r="BA342" t="s">
        <v>191</v>
      </c>
      <c r="BB342" t="s">
        <v>192</v>
      </c>
      <c r="BC342" t="s">
        <v>193</v>
      </c>
      <c r="BD342" t="s">
        <v>194</v>
      </c>
      <c r="BE342" t="s">
        <v>192</v>
      </c>
      <c r="BF342" s="54" t="s">
        <v>329</v>
      </c>
      <c r="BG342" t="s">
        <v>189</v>
      </c>
      <c r="BH342" t="s">
        <v>195</v>
      </c>
    </row>
    <row r="343" spans="33:60" x14ac:dyDescent="0.25">
      <c r="AH343" s="49"/>
      <c r="AI343" s="49"/>
      <c r="AK343" s="32" t="s">
        <v>50</v>
      </c>
      <c r="AL343" s="54" t="s">
        <v>133</v>
      </c>
      <c r="AM343" s="54" t="s">
        <v>359</v>
      </c>
      <c r="AN343" s="54" t="s">
        <v>360</v>
      </c>
      <c r="AW343" t="s">
        <v>201</v>
      </c>
      <c r="AX343" s="54" t="s">
        <v>329</v>
      </c>
      <c r="AY343">
        <v>14</v>
      </c>
      <c r="AZ343" t="s">
        <v>202</v>
      </c>
      <c r="BA343" t="s">
        <v>203</v>
      </c>
      <c r="BB343" t="s">
        <v>204</v>
      </c>
      <c r="BC343" t="s">
        <v>205</v>
      </c>
      <c r="BD343" t="s">
        <v>206</v>
      </c>
      <c r="BE343" t="s">
        <v>204</v>
      </c>
      <c r="BF343" s="54" t="s">
        <v>329</v>
      </c>
      <c r="BG343" t="s">
        <v>201</v>
      </c>
      <c r="BH343" t="s">
        <v>207</v>
      </c>
    </row>
    <row r="344" spans="33:60" x14ac:dyDescent="0.25">
      <c r="AH344" s="49"/>
      <c r="AI344" s="49"/>
      <c r="AK344" s="32" t="s">
        <v>50</v>
      </c>
      <c r="AL344" s="54" t="s">
        <v>133</v>
      </c>
      <c r="AM344" t="s">
        <v>362</v>
      </c>
      <c r="AN344" t="s">
        <v>363</v>
      </c>
      <c r="AW344" t="s">
        <v>213</v>
      </c>
      <c r="AX344" s="54" t="s">
        <v>329</v>
      </c>
      <c r="AY344">
        <v>18</v>
      </c>
      <c r="AZ344" t="s">
        <v>214</v>
      </c>
      <c r="BA344" t="s">
        <v>215</v>
      </c>
      <c r="BB344" t="s">
        <v>216</v>
      </c>
      <c r="BC344" t="s">
        <v>217</v>
      </c>
      <c r="BD344" t="s">
        <v>218</v>
      </c>
      <c r="BE344" t="s">
        <v>216</v>
      </c>
      <c r="BF344" s="54" t="s">
        <v>329</v>
      </c>
      <c r="BG344" t="s">
        <v>213</v>
      </c>
      <c r="BH344" t="s">
        <v>219</v>
      </c>
    </row>
    <row r="345" spans="33:60" x14ac:dyDescent="0.25">
      <c r="AG345" t="s">
        <v>347</v>
      </c>
      <c r="AH345" t="s">
        <v>103</v>
      </c>
      <c r="AI345">
        <v>2429</v>
      </c>
      <c r="AK345" s="32" t="s">
        <v>50</v>
      </c>
      <c r="AL345" s="54" t="s">
        <v>133</v>
      </c>
      <c r="AM345" t="s">
        <v>365</v>
      </c>
      <c r="AN345" t="s">
        <v>366</v>
      </c>
      <c r="AW345" t="s">
        <v>53</v>
      </c>
      <c r="AX345" t="s">
        <v>334</v>
      </c>
      <c r="AY345">
        <v>3</v>
      </c>
      <c r="AZ345" t="s">
        <v>55</v>
      </c>
      <c r="BA345" t="s">
        <v>414</v>
      </c>
      <c r="BB345" t="s">
        <v>57</v>
      </c>
      <c r="BC345" t="s">
        <v>58</v>
      </c>
      <c r="BD345" t="s">
        <v>59</v>
      </c>
      <c r="BE345" t="s">
        <v>57</v>
      </c>
      <c r="BF345" t="s">
        <v>334</v>
      </c>
      <c r="BG345" t="s">
        <v>53</v>
      </c>
      <c r="BH345" t="s">
        <v>415</v>
      </c>
    </row>
    <row r="346" spans="33:60" x14ac:dyDescent="0.25">
      <c r="AH346" s="49"/>
      <c r="AI346" s="49"/>
      <c r="AK346" s="32" t="s">
        <v>50</v>
      </c>
      <c r="AL346" s="54" t="s">
        <v>133</v>
      </c>
      <c r="AM346" t="s">
        <v>367</v>
      </c>
      <c r="AN346" t="s">
        <v>368</v>
      </c>
      <c r="AW346" t="s">
        <v>82</v>
      </c>
      <c r="AX346" t="s">
        <v>334</v>
      </c>
      <c r="AY346">
        <v>4</v>
      </c>
      <c r="AZ346" t="s">
        <v>83</v>
      </c>
      <c r="BA346" t="s">
        <v>416</v>
      </c>
      <c r="BB346" t="s">
        <v>85</v>
      </c>
      <c r="BC346" t="s">
        <v>86</v>
      </c>
      <c r="BD346" t="s">
        <v>87</v>
      </c>
      <c r="BE346" t="s">
        <v>85</v>
      </c>
      <c r="BF346" t="s">
        <v>334</v>
      </c>
      <c r="BG346" t="s">
        <v>82</v>
      </c>
      <c r="BH346" t="s">
        <v>417</v>
      </c>
    </row>
    <row r="347" spans="33:60" x14ac:dyDescent="0.25">
      <c r="AH347" s="49"/>
      <c r="AI347" s="49"/>
      <c r="AK347" s="32" t="s">
        <v>50</v>
      </c>
      <c r="AL347" s="54" t="s">
        <v>133</v>
      </c>
      <c r="AM347" t="s">
        <v>369</v>
      </c>
      <c r="AN347" t="s">
        <v>370</v>
      </c>
      <c r="AW347" t="s">
        <v>106</v>
      </c>
      <c r="AX347" t="s">
        <v>334</v>
      </c>
      <c r="AY347">
        <v>5</v>
      </c>
      <c r="AZ347" t="s">
        <v>107</v>
      </c>
      <c r="BA347" t="s">
        <v>418</v>
      </c>
      <c r="BB347" t="s">
        <v>109</v>
      </c>
      <c r="BC347" t="s">
        <v>110</v>
      </c>
      <c r="BD347" t="s">
        <v>111</v>
      </c>
      <c r="BE347" t="s">
        <v>109</v>
      </c>
      <c r="BF347" t="s">
        <v>334</v>
      </c>
      <c r="BG347" t="s">
        <v>106</v>
      </c>
      <c r="BH347" t="s">
        <v>419</v>
      </c>
    </row>
    <row r="348" spans="33:60" x14ac:dyDescent="0.25">
      <c r="AG348" t="s">
        <v>347</v>
      </c>
      <c r="AH348" t="s">
        <v>117</v>
      </c>
      <c r="AI348" t="s">
        <v>118</v>
      </c>
      <c r="AK348" s="32" t="s">
        <v>50</v>
      </c>
      <c r="AL348" s="54" t="s">
        <v>133</v>
      </c>
      <c r="AM348" t="s">
        <v>371</v>
      </c>
      <c r="AN348" t="s">
        <v>372</v>
      </c>
      <c r="AW348" t="s">
        <v>121</v>
      </c>
      <c r="AX348" t="s">
        <v>334</v>
      </c>
      <c r="AY348">
        <v>6</v>
      </c>
      <c r="AZ348" t="s">
        <v>122</v>
      </c>
      <c r="BA348" t="s">
        <v>420</v>
      </c>
      <c r="BB348" t="s">
        <v>124</v>
      </c>
      <c r="BC348" t="s">
        <v>125</v>
      </c>
      <c r="BD348" t="s">
        <v>126</v>
      </c>
      <c r="BE348" t="s">
        <v>124</v>
      </c>
      <c r="BF348" t="s">
        <v>334</v>
      </c>
      <c r="BG348" t="s">
        <v>121</v>
      </c>
      <c r="BH348" t="s">
        <v>421</v>
      </c>
    </row>
    <row r="349" spans="33:60" x14ac:dyDescent="0.25">
      <c r="AG349" t="s">
        <v>347</v>
      </c>
      <c r="AH349" t="s">
        <v>135</v>
      </c>
      <c r="AI349" t="s">
        <v>136</v>
      </c>
      <c r="AK349" s="32" t="s">
        <v>50</v>
      </c>
      <c r="AL349" s="54" t="s">
        <v>133</v>
      </c>
      <c r="AM349" t="s">
        <v>374</v>
      </c>
      <c r="AN349" t="s">
        <v>375</v>
      </c>
      <c r="AW349" t="s">
        <v>139</v>
      </c>
      <c r="AX349" t="s">
        <v>334</v>
      </c>
      <c r="AY349">
        <v>7</v>
      </c>
      <c r="AZ349" t="s">
        <v>140</v>
      </c>
      <c r="BA349" t="s">
        <v>422</v>
      </c>
      <c r="BB349" t="s">
        <v>142</v>
      </c>
      <c r="BC349" t="s">
        <v>143</v>
      </c>
      <c r="BD349" t="s">
        <v>144</v>
      </c>
      <c r="BE349" t="s">
        <v>142</v>
      </c>
      <c r="BF349" t="s">
        <v>334</v>
      </c>
      <c r="BG349" t="s">
        <v>139</v>
      </c>
      <c r="BH349" t="s">
        <v>423</v>
      </c>
    </row>
    <row r="350" spans="33:60" x14ac:dyDescent="0.25">
      <c r="AG350" t="s">
        <v>351</v>
      </c>
      <c r="AH350" s="18" t="s">
        <v>39</v>
      </c>
      <c r="AI350">
        <v>130</v>
      </c>
      <c r="AK350" s="32" t="s">
        <v>50</v>
      </c>
      <c r="AL350" s="54" t="s">
        <v>133</v>
      </c>
      <c r="AM350" t="s">
        <v>376</v>
      </c>
      <c r="AN350" t="s">
        <v>377</v>
      </c>
      <c r="AW350" t="s">
        <v>151</v>
      </c>
      <c r="AX350" t="s">
        <v>334</v>
      </c>
      <c r="AY350">
        <v>8</v>
      </c>
      <c r="AZ350" t="s">
        <v>152</v>
      </c>
      <c r="BA350" t="s">
        <v>425</v>
      </c>
      <c r="BB350" t="s">
        <v>154</v>
      </c>
      <c r="BC350" t="s">
        <v>155</v>
      </c>
      <c r="BD350" t="s">
        <v>156</v>
      </c>
      <c r="BE350" t="s">
        <v>154</v>
      </c>
      <c r="BF350" t="s">
        <v>334</v>
      </c>
      <c r="BG350" t="s">
        <v>151</v>
      </c>
      <c r="BH350" t="s">
        <v>426</v>
      </c>
    </row>
    <row r="351" spans="33:60" x14ac:dyDescent="0.25">
      <c r="AH351" s="18"/>
      <c r="AK351" s="32" t="s">
        <v>50</v>
      </c>
      <c r="AL351" s="54" t="s">
        <v>133</v>
      </c>
      <c r="AM351" t="s">
        <v>379</v>
      </c>
      <c r="AN351" t="s">
        <v>380</v>
      </c>
      <c r="AW351" t="s">
        <v>164</v>
      </c>
      <c r="AX351" t="s">
        <v>334</v>
      </c>
      <c r="AY351">
        <v>9</v>
      </c>
      <c r="AZ351" t="s">
        <v>165</v>
      </c>
      <c r="BA351" t="s">
        <v>427</v>
      </c>
      <c r="BB351" t="s">
        <v>167</v>
      </c>
      <c r="BC351" t="s">
        <v>168</v>
      </c>
      <c r="BD351" t="s">
        <v>169</v>
      </c>
      <c r="BE351" t="s">
        <v>167</v>
      </c>
      <c r="BF351" t="s">
        <v>334</v>
      </c>
      <c r="BG351" t="s">
        <v>164</v>
      </c>
      <c r="BH351" t="s">
        <v>428</v>
      </c>
    </row>
    <row r="352" spans="33:60" x14ac:dyDescent="0.25">
      <c r="AG352" t="s">
        <v>351</v>
      </c>
      <c r="AH352" t="s">
        <v>78</v>
      </c>
      <c r="AI352">
        <v>114</v>
      </c>
      <c r="AK352" s="32" t="s">
        <v>50</v>
      </c>
      <c r="AL352" s="54" t="s">
        <v>133</v>
      </c>
      <c r="AM352" t="s">
        <v>381</v>
      </c>
      <c r="AN352" t="s">
        <v>382</v>
      </c>
      <c r="AW352" t="s">
        <v>176</v>
      </c>
      <c r="AX352" t="s">
        <v>334</v>
      </c>
      <c r="AY352">
        <v>10</v>
      </c>
      <c r="AZ352" t="s">
        <v>177</v>
      </c>
      <c r="BA352" t="s">
        <v>429</v>
      </c>
      <c r="BB352" t="s">
        <v>179</v>
      </c>
      <c r="BC352" t="s">
        <v>180</v>
      </c>
      <c r="BD352" t="s">
        <v>181</v>
      </c>
      <c r="BE352" t="s">
        <v>179</v>
      </c>
      <c r="BF352" t="s">
        <v>334</v>
      </c>
      <c r="BG352" t="s">
        <v>176</v>
      </c>
      <c r="BH352" t="s">
        <v>430</v>
      </c>
    </row>
    <row r="353" spans="33:60" x14ac:dyDescent="0.25">
      <c r="AG353" t="s">
        <v>351</v>
      </c>
      <c r="AH353" s="18" t="s">
        <v>103</v>
      </c>
      <c r="AI353">
        <v>130</v>
      </c>
      <c r="AK353" s="32" t="s">
        <v>50</v>
      </c>
      <c r="AL353" s="54" t="s">
        <v>133</v>
      </c>
      <c r="AM353" t="s">
        <v>383</v>
      </c>
      <c r="AN353" t="s">
        <v>384</v>
      </c>
      <c r="AW353" t="s">
        <v>189</v>
      </c>
      <c r="AX353" t="s">
        <v>334</v>
      </c>
      <c r="AY353">
        <v>11</v>
      </c>
      <c r="AZ353" t="s">
        <v>190</v>
      </c>
      <c r="BA353" t="s">
        <v>431</v>
      </c>
      <c r="BB353" t="s">
        <v>192</v>
      </c>
      <c r="BC353" t="s">
        <v>193</v>
      </c>
      <c r="BD353" t="s">
        <v>194</v>
      </c>
      <c r="BE353" t="s">
        <v>192</v>
      </c>
      <c r="BF353" t="s">
        <v>334</v>
      </c>
      <c r="BG353" t="s">
        <v>189</v>
      </c>
      <c r="BH353" t="s">
        <v>432</v>
      </c>
    </row>
    <row r="354" spans="33:60" x14ac:dyDescent="0.25">
      <c r="AH354" s="18"/>
      <c r="AK354" s="32" t="s">
        <v>50</v>
      </c>
      <c r="AL354" s="54" t="s">
        <v>133</v>
      </c>
      <c r="AM354" t="s">
        <v>385</v>
      </c>
      <c r="AN354" t="s">
        <v>386</v>
      </c>
      <c r="AW354" t="s">
        <v>201</v>
      </c>
      <c r="AX354" t="s">
        <v>334</v>
      </c>
      <c r="AY354">
        <v>14</v>
      </c>
      <c r="AZ354" t="s">
        <v>202</v>
      </c>
      <c r="BA354" t="s">
        <v>433</v>
      </c>
      <c r="BB354" t="s">
        <v>204</v>
      </c>
      <c r="BC354" t="s">
        <v>205</v>
      </c>
      <c r="BD354" t="s">
        <v>206</v>
      </c>
      <c r="BE354" t="s">
        <v>204</v>
      </c>
      <c r="BF354" t="s">
        <v>334</v>
      </c>
      <c r="BG354" t="s">
        <v>201</v>
      </c>
      <c r="BH354" t="s">
        <v>434</v>
      </c>
    </row>
    <row r="355" spans="33:60" x14ac:dyDescent="0.25">
      <c r="AH355" s="18"/>
      <c r="AK355" s="32" t="s">
        <v>50</v>
      </c>
      <c r="AL355" s="54" t="s">
        <v>133</v>
      </c>
      <c r="AM355" t="s">
        <v>387</v>
      </c>
      <c r="AN355" t="s">
        <v>388</v>
      </c>
      <c r="AW355" t="s">
        <v>213</v>
      </c>
      <c r="AX355" t="s">
        <v>334</v>
      </c>
      <c r="AY355">
        <v>18</v>
      </c>
      <c r="AZ355" t="s">
        <v>214</v>
      </c>
      <c r="BA355" t="s">
        <v>435</v>
      </c>
      <c r="BB355" t="s">
        <v>216</v>
      </c>
      <c r="BC355" t="s">
        <v>217</v>
      </c>
      <c r="BD355" t="s">
        <v>218</v>
      </c>
      <c r="BE355" t="s">
        <v>216</v>
      </c>
      <c r="BF355" t="s">
        <v>334</v>
      </c>
      <c r="BG355" t="s">
        <v>213</v>
      </c>
      <c r="BH355" t="s">
        <v>436</v>
      </c>
    </row>
    <row r="356" spans="33:60" x14ac:dyDescent="0.25">
      <c r="AH356" s="18"/>
      <c r="AK356" s="32" t="s">
        <v>50</v>
      </c>
      <c r="AL356" s="54" t="s">
        <v>133</v>
      </c>
      <c r="AM356" t="s">
        <v>389</v>
      </c>
      <c r="AN356" t="s">
        <v>390</v>
      </c>
      <c r="AW356" t="s">
        <v>53</v>
      </c>
      <c r="AX356" t="s">
        <v>339</v>
      </c>
      <c r="AY356" s="54">
        <v>3</v>
      </c>
      <c r="AZ356" s="54" t="s">
        <v>56</v>
      </c>
      <c r="BA356" s="54" t="s">
        <v>438</v>
      </c>
      <c r="BB356" s="56"/>
      <c r="BC356" s="54" t="s">
        <v>58</v>
      </c>
      <c r="BD356" s="54" t="s">
        <v>439</v>
      </c>
      <c r="BE356" s="56"/>
      <c r="BF356" t="s">
        <v>339</v>
      </c>
      <c r="BG356" t="s">
        <v>53</v>
      </c>
      <c r="BH356" s="18"/>
    </row>
    <row r="357" spans="33:60" x14ac:dyDescent="0.25">
      <c r="AG357" t="s">
        <v>351</v>
      </c>
      <c r="AH357" s="18" t="s">
        <v>117</v>
      </c>
      <c r="AI357">
        <v>130</v>
      </c>
      <c r="AK357" s="32" t="s">
        <v>50</v>
      </c>
      <c r="AL357" s="54" t="s">
        <v>133</v>
      </c>
      <c r="AM357" t="s">
        <v>391</v>
      </c>
      <c r="AN357" t="s">
        <v>392</v>
      </c>
      <c r="AW357" t="s">
        <v>82</v>
      </c>
      <c r="AX357" t="s">
        <v>339</v>
      </c>
      <c r="AY357" s="54">
        <v>4</v>
      </c>
      <c r="AZ357" s="54" t="s">
        <v>84</v>
      </c>
      <c r="BA357" s="54" t="s">
        <v>440</v>
      </c>
      <c r="BB357" s="56"/>
      <c r="BC357" s="54" t="s">
        <v>86</v>
      </c>
      <c r="BD357" s="54" t="s">
        <v>441</v>
      </c>
      <c r="BE357" s="56"/>
      <c r="BF357" t="s">
        <v>339</v>
      </c>
      <c r="BG357" t="s">
        <v>82</v>
      </c>
      <c r="BH357" t="s">
        <v>442</v>
      </c>
    </row>
    <row r="358" spans="33:60" x14ac:dyDescent="0.25">
      <c r="AH358" s="18"/>
      <c r="AK358" s="32" t="s">
        <v>50</v>
      </c>
      <c r="AL358" s="54" t="s">
        <v>133</v>
      </c>
      <c r="AM358" t="s">
        <v>393</v>
      </c>
      <c r="AN358" t="s">
        <v>394</v>
      </c>
      <c r="AW358" t="s">
        <v>106</v>
      </c>
      <c r="AX358" t="s">
        <v>339</v>
      </c>
      <c r="AY358" s="54">
        <v>5</v>
      </c>
      <c r="AZ358" s="54" t="s">
        <v>108</v>
      </c>
      <c r="BA358" s="54" t="s">
        <v>443</v>
      </c>
      <c r="BB358" s="56"/>
      <c r="BC358" s="54" t="s">
        <v>110</v>
      </c>
      <c r="BD358" s="54" t="s">
        <v>444</v>
      </c>
      <c r="BE358" s="56"/>
      <c r="BF358" t="s">
        <v>339</v>
      </c>
      <c r="BG358" t="s">
        <v>106</v>
      </c>
      <c r="BH358" t="s">
        <v>445</v>
      </c>
    </row>
    <row r="359" spans="33:60" x14ac:dyDescent="0.25">
      <c r="AG359" t="s">
        <v>351</v>
      </c>
      <c r="AH359" t="s">
        <v>135</v>
      </c>
      <c r="AI359">
        <v>170</v>
      </c>
      <c r="AK359" s="32" t="s">
        <v>50</v>
      </c>
      <c r="AL359" s="54" t="s">
        <v>133</v>
      </c>
      <c r="AM359" t="s">
        <v>395</v>
      </c>
      <c r="AN359" t="s">
        <v>396</v>
      </c>
      <c r="AW359" t="s">
        <v>121</v>
      </c>
      <c r="AX359" t="s">
        <v>339</v>
      </c>
      <c r="AY359" s="54">
        <v>6</v>
      </c>
      <c r="AZ359" s="54" t="s">
        <v>123</v>
      </c>
      <c r="BA359" s="54" t="s">
        <v>446</v>
      </c>
      <c r="BB359" s="56"/>
      <c r="BC359" s="54" t="s">
        <v>125</v>
      </c>
      <c r="BD359" s="54" t="s">
        <v>447</v>
      </c>
      <c r="BE359" s="56"/>
      <c r="BF359" t="s">
        <v>339</v>
      </c>
      <c r="BG359" t="s">
        <v>121</v>
      </c>
      <c r="BH359" t="s">
        <v>448</v>
      </c>
    </row>
    <row r="360" spans="33:60" x14ac:dyDescent="0.25">
      <c r="AG360" t="s">
        <v>355</v>
      </c>
      <c r="AH360" s="51" t="s">
        <v>39</v>
      </c>
      <c r="AI360" s="51">
        <v>2429</v>
      </c>
      <c r="AK360" s="32" t="s">
        <v>50</v>
      </c>
      <c r="AL360" s="54" t="s">
        <v>133</v>
      </c>
      <c r="AM360" t="s">
        <v>397</v>
      </c>
      <c r="AN360" t="s">
        <v>398</v>
      </c>
      <c r="AW360" t="s">
        <v>139</v>
      </c>
      <c r="AX360" t="s">
        <v>339</v>
      </c>
      <c r="AY360" s="54">
        <v>7</v>
      </c>
      <c r="AZ360" s="54" t="s">
        <v>141</v>
      </c>
      <c r="BA360" s="54" t="s">
        <v>449</v>
      </c>
      <c r="BB360" s="56"/>
      <c r="BC360" s="54" t="s">
        <v>143</v>
      </c>
      <c r="BD360" s="54" t="s">
        <v>450</v>
      </c>
      <c r="BE360" s="56"/>
      <c r="BF360" t="s">
        <v>339</v>
      </c>
      <c r="BG360" t="s">
        <v>139</v>
      </c>
      <c r="BH360" t="s">
        <v>451</v>
      </c>
    </row>
    <row r="361" spans="33:60" x14ac:dyDescent="0.25">
      <c r="AG361" t="s">
        <v>355</v>
      </c>
      <c r="AH361" s="51" t="s">
        <v>78</v>
      </c>
      <c r="AI361" s="50" t="s">
        <v>79</v>
      </c>
      <c r="AK361" s="32" t="s">
        <v>50</v>
      </c>
      <c r="AL361" s="54" t="s">
        <v>133</v>
      </c>
      <c r="AM361" t="s">
        <v>399</v>
      </c>
      <c r="AN361" t="s">
        <v>400</v>
      </c>
      <c r="AW361" t="s">
        <v>151</v>
      </c>
      <c r="AX361" t="s">
        <v>339</v>
      </c>
      <c r="AY361" s="54">
        <v>8</v>
      </c>
      <c r="AZ361" s="54" t="s">
        <v>153</v>
      </c>
      <c r="BA361" s="54" t="s">
        <v>452</v>
      </c>
      <c r="BB361" s="56"/>
      <c r="BC361" s="54" t="s">
        <v>155</v>
      </c>
      <c r="BD361" s="54" t="s">
        <v>453</v>
      </c>
      <c r="BE361" s="56"/>
      <c r="BF361" t="s">
        <v>339</v>
      </c>
      <c r="BG361" t="s">
        <v>151</v>
      </c>
      <c r="BH361" t="s">
        <v>454</v>
      </c>
    </row>
    <row r="362" spans="33:60" x14ac:dyDescent="0.25">
      <c r="AH362" s="51"/>
      <c r="AI362" s="50"/>
      <c r="AK362" s="32" t="s">
        <v>50</v>
      </c>
      <c r="AL362" s="54" t="s">
        <v>133</v>
      </c>
      <c r="AM362" t="s">
        <v>401</v>
      </c>
      <c r="AN362" t="s">
        <v>402</v>
      </c>
      <c r="AW362" t="s">
        <v>164</v>
      </c>
      <c r="AX362" t="s">
        <v>339</v>
      </c>
      <c r="AY362" s="54">
        <v>9</v>
      </c>
      <c r="AZ362" s="54" t="s">
        <v>166</v>
      </c>
      <c r="BA362" s="54" t="s">
        <v>455</v>
      </c>
      <c r="BB362" s="56"/>
      <c r="BC362" s="54" t="s">
        <v>168</v>
      </c>
      <c r="BD362" s="54" t="s">
        <v>456</v>
      </c>
      <c r="BE362" s="56"/>
      <c r="BF362" t="s">
        <v>339</v>
      </c>
      <c r="BG362" t="s">
        <v>164</v>
      </c>
      <c r="BH362" t="s">
        <v>457</v>
      </c>
    </row>
    <row r="363" spans="33:60" x14ac:dyDescent="0.25">
      <c r="AH363" s="51"/>
      <c r="AI363" s="50"/>
      <c r="AK363" s="32" t="s">
        <v>50</v>
      </c>
      <c r="AL363" s="54" t="s">
        <v>133</v>
      </c>
      <c r="AM363" t="s">
        <v>403</v>
      </c>
      <c r="AN363" t="s">
        <v>404</v>
      </c>
      <c r="AW363" t="s">
        <v>176</v>
      </c>
      <c r="AX363" t="s">
        <v>339</v>
      </c>
      <c r="AY363" s="54">
        <v>10</v>
      </c>
      <c r="AZ363" s="54" t="s">
        <v>178</v>
      </c>
      <c r="BA363" s="54" t="s">
        <v>458</v>
      </c>
      <c r="BB363" s="56"/>
      <c r="BC363" s="54" t="s">
        <v>180</v>
      </c>
      <c r="BD363" s="54" t="s">
        <v>459</v>
      </c>
      <c r="BE363" s="56"/>
      <c r="BF363" t="s">
        <v>339</v>
      </c>
      <c r="BG363" t="s">
        <v>176</v>
      </c>
      <c r="BH363" t="s">
        <v>460</v>
      </c>
    </row>
    <row r="364" spans="33:60" x14ac:dyDescent="0.25">
      <c r="AH364" s="51"/>
      <c r="AI364" s="50"/>
      <c r="AK364" s="32" t="s">
        <v>50</v>
      </c>
      <c r="AL364" s="54" t="s">
        <v>133</v>
      </c>
      <c r="AM364" t="s">
        <v>405</v>
      </c>
      <c r="AN364" t="s">
        <v>406</v>
      </c>
      <c r="AW364" t="s">
        <v>189</v>
      </c>
      <c r="AX364" t="s">
        <v>339</v>
      </c>
      <c r="AY364" s="54">
        <v>11</v>
      </c>
      <c r="AZ364" s="54" t="s">
        <v>191</v>
      </c>
      <c r="BA364" s="54" t="s">
        <v>461</v>
      </c>
      <c r="BB364" s="56"/>
      <c r="BC364" s="54" t="s">
        <v>193</v>
      </c>
      <c r="BD364" s="54" t="s">
        <v>462</v>
      </c>
      <c r="BE364" s="56"/>
      <c r="BF364" t="s">
        <v>339</v>
      </c>
      <c r="BG364" t="s">
        <v>189</v>
      </c>
      <c r="BH364" t="s">
        <v>463</v>
      </c>
    </row>
    <row r="365" spans="33:60" x14ac:dyDescent="0.25">
      <c r="AG365" t="s">
        <v>355</v>
      </c>
      <c r="AH365" s="51" t="s">
        <v>103</v>
      </c>
      <c r="AI365" s="51">
        <v>2429</v>
      </c>
      <c r="AK365" s="32" t="s">
        <v>50</v>
      </c>
      <c r="AL365" s="54" t="s">
        <v>133</v>
      </c>
      <c r="AM365" t="s">
        <v>407</v>
      </c>
      <c r="AN365" t="s">
        <v>408</v>
      </c>
      <c r="AW365" t="s">
        <v>201</v>
      </c>
      <c r="AX365" t="s">
        <v>339</v>
      </c>
      <c r="AY365" s="54">
        <v>14</v>
      </c>
      <c r="AZ365" s="54" t="s">
        <v>203</v>
      </c>
      <c r="BA365" s="54" t="s">
        <v>464</v>
      </c>
      <c r="BB365" s="56"/>
      <c r="BC365" s="54" t="s">
        <v>205</v>
      </c>
      <c r="BD365" s="54" t="s">
        <v>465</v>
      </c>
      <c r="BE365" s="56"/>
      <c r="BF365" t="s">
        <v>339</v>
      </c>
      <c r="BG365" t="s">
        <v>201</v>
      </c>
      <c r="BH365" t="s">
        <v>466</v>
      </c>
    </row>
    <row r="366" spans="33:60" x14ac:dyDescent="0.25">
      <c r="AH366" s="51"/>
      <c r="AI366" s="50"/>
      <c r="AK366" s="32" t="s">
        <v>50</v>
      </c>
      <c r="AL366" s="54" t="s">
        <v>133</v>
      </c>
      <c r="AM366" t="s">
        <v>409</v>
      </c>
      <c r="AN366" t="s">
        <v>410</v>
      </c>
      <c r="AW366" t="s">
        <v>213</v>
      </c>
      <c r="AX366" t="s">
        <v>339</v>
      </c>
      <c r="AY366" s="54">
        <v>18</v>
      </c>
      <c r="AZ366" s="54" t="s">
        <v>215</v>
      </c>
      <c r="BA366" s="54" t="s">
        <v>467</v>
      </c>
      <c r="BB366" s="56"/>
      <c r="BC366" s="54" t="s">
        <v>217</v>
      </c>
      <c r="BD366" s="54" t="s">
        <v>468</v>
      </c>
      <c r="BE366" s="56"/>
      <c r="BF366" t="s">
        <v>339</v>
      </c>
      <c r="BG366" t="s">
        <v>213</v>
      </c>
      <c r="BH366" t="s">
        <v>469</v>
      </c>
    </row>
    <row r="367" spans="33:60" x14ac:dyDescent="0.25">
      <c r="AH367" s="51"/>
      <c r="AI367" s="50"/>
      <c r="AW367" t="s">
        <v>53</v>
      </c>
      <c r="AX367" t="s">
        <v>343</v>
      </c>
      <c r="AY367">
        <v>3</v>
      </c>
      <c r="AZ367" t="s">
        <v>55</v>
      </c>
      <c r="BA367" t="s">
        <v>56</v>
      </c>
      <c r="BB367" t="s">
        <v>57</v>
      </c>
      <c r="BC367" t="s">
        <v>58</v>
      </c>
      <c r="BD367" t="s">
        <v>59</v>
      </c>
      <c r="BE367" t="s">
        <v>57</v>
      </c>
      <c r="BF367" t="s">
        <v>343</v>
      </c>
      <c r="BG367" t="s">
        <v>53</v>
      </c>
      <c r="BH367" t="s">
        <v>60</v>
      </c>
    </row>
    <row r="368" spans="33:60" x14ac:dyDescent="0.25">
      <c r="AG368" t="s">
        <v>355</v>
      </c>
      <c r="AH368" s="51" t="s">
        <v>117</v>
      </c>
      <c r="AI368" s="51" t="s">
        <v>118</v>
      </c>
      <c r="AK368" s="32" t="s">
        <v>50</v>
      </c>
      <c r="AL368" t="s">
        <v>148</v>
      </c>
      <c r="AM368" t="s">
        <v>51</v>
      </c>
      <c r="AN368" t="s">
        <v>52</v>
      </c>
      <c r="AW368" t="s">
        <v>82</v>
      </c>
      <c r="AX368" t="s">
        <v>343</v>
      </c>
      <c r="AY368">
        <v>4</v>
      </c>
      <c r="AZ368" t="s">
        <v>83</v>
      </c>
      <c r="BA368" t="s">
        <v>84</v>
      </c>
      <c r="BB368" t="s">
        <v>85</v>
      </c>
      <c r="BC368" t="s">
        <v>86</v>
      </c>
      <c r="BD368" t="s">
        <v>87</v>
      </c>
      <c r="BE368" t="s">
        <v>85</v>
      </c>
      <c r="BF368" t="s">
        <v>343</v>
      </c>
      <c r="BG368" t="s">
        <v>82</v>
      </c>
      <c r="BH368" t="s">
        <v>88</v>
      </c>
    </row>
    <row r="369" spans="33:60" x14ac:dyDescent="0.25">
      <c r="AG369" t="s">
        <v>355</v>
      </c>
      <c r="AH369" s="51" t="s">
        <v>135</v>
      </c>
      <c r="AI369" s="51" t="s">
        <v>136</v>
      </c>
      <c r="AK369" s="32" t="s">
        <v>50</v>
      </c>
      <c r="AL369" t="s">
        <v>148</v>
      </c>
      <c r="AM369" t="s">
        <v>80</v>
      </c>
      <c r="AN369" t="s">
        <v>81</v>
      </c>
      <c r="AW369" t="s">
        <v>106</v>
      </c>
      <c r="AX369" t="s">
        <v>343</v>
      </c>
      <c r="AY369">
        <v>5</v>
      </c>
      <c r="AZ369" t="s">
        <v>107</v>
      </c>
      <c r="BA369" t="s">
        <v>108</v>
      </c>
      <c r="BB369" t="s">
        <v>109</v>
      </c>
      <c r="BC369" t="s">
        <v>110</v>
      </c>
      <c r="BD369" t="s">
        <v>111</v>
      </c>
      <c r="BE369" t="s">
        <v>109</v>
      </c>
      <c r="BF369" t="s">
        <v>343</v>
      </c>
      <c r="BG369" t="s">
        <v>106</v>
      </c>
      <c r="BH369" t="s">
        <v>65</v>
      </c>
    </row>
    <row r="370" spans="33:60" x14ac:dyDescent="0.25">
      <c r="AG370" t="s">
        <v>358</v>
      </c>
      <c r="AH370" t="s">
        <v>39</v>
      </c>
      <c r="AI370">
        <v>15</v>
      </c>
      <c r="AK370" s="32" t="s">
        <v>50</v>
      </c>
      <c r="AL370" t="s">
        <v>148</v>
      </c>
      <c r="AM370" t="s">
        <v>104</v>
      </c>
      <c r="AN370" t="s">
        <v>105</v>
      </c>
      <c r="AW370" t="s">
        <v>121</v>
      </c>
      <c r="AX370" t="s">
        <v>343</v>
      </c>
      <c r="AY370">
        <v>6</v>
      </c>
      <c r="AZ370" t="s">
        <v>122</v>
      </c>
      <c r="BA370" t="s">
        <v>123</v>
      </c>
      <c r="BB370" t="s">
        <v>124</v>
      </c>
      <c r="BC370" t="s">
        <v>125</v>
      </c>
      <c r="BD370" t="s">
        <v>126</v>
      </c>
      <c r="BE370" t="s">
        <v>124</v>
      </c>
      <c r="BF370" t="s">
        <v>343</v>
      </c>
      <c r="BG370" t="s">
        <v>121</v>
      </c>
      <c r="BH370" t="s">
        <v>127</v>
      </c>
    </row>
    <row r="371" spans="33:60" x14ac:dyDescent="0.25">
      <c r="AG371" t="s">
        <v>358</v>
      </c>
      <c r="AH371" s="49" t="s">
        <v>78</v>
      </c>
      <c r="AI371" s="49" t="s">
        <v>437</v>
      </c>
      <c r="AK371" s="32" t="s">
        <v>50</v>
      </c>
      <c r="AL371" t="s">
        <v>148</v>
      </c>
      <c r="AM371" t="s">
        <v>119</v>
      </c>
      <c r="AN371" t="s">
        <v>120</v>
      </c>
      <c r="AW371" t="s">
        <v>139</v>
      </c>
      <c r="AX371" t="s">
        <v>343</v>
      </c>
      <c r="AY371">
        <v>7</v>
      </c>
      <c r="AZ371" t="s">
        <v>140</v>
      </c>
      <c r="BA371" t="s">
        <v>141</v>
      </c>
      <c r="BB371" t="s">
        <v>142</v>
      </c>
      <c r="BC371" t="s">
        <v>143</v>
      </c>
      <c r="BD371" t="s">
        <v>144</v>
      </c>
      <c r="BE371" t="s">
        <v>142</v>
      </c>
      <c r="BF371" t="s">
        <v>343</v>
      </c>
      <c r="BG371" t="s">
        <v>139</v>
      </c>
      <c r="BH371" t="s">
        <v>145</v>
      </c>
    </row>
    <row r="372" spans="33:60" x14ac:dyDescent="0.25">
      <c r="AH372" s="49"/>
      <c r="AI372" s="49"/>
      <c r="AK372" s="32" t="s">
        <v>50</v>
      </c>
      <c r="AL372" t="s">
        <v>148</v>
      </c>
      <c r="AM372" t="s">
        <v>137</v>
      </c>
      <c r="AN372" t="s">
        <v>138</v>
      </c>
      <c r="AW372" t="s">
        <v>151</v>
      </c>
      <c r="AX372" t="s">
        <v>343</v>
      </c>
      <c r="AY372">
        <v>8</v>
      </c>
      <c r="AZ372" t="s">
        <v>152</v>
      </c>
      <c r="BA372" t="s">
        <v>153</v>
      </c>
      <c r="BB372" t="s">
        <v>154</v>
      </c>
      <c r="BC372" t="s">
        <v>155</v>
      </c>
      <c r="BD372" t="s">
        <v>156</v>
      </c>
      <c r="BE372" t="s">
        <v>154</v>
      </c>
      <c r="BF372" t="s">
        <v>343</v>
      </c>
      <c r="BG372" t="s">
        <v>151</v>
      </c>
      <c r="BH372" t="s">
        <v>157</v>
      </c>
    </row>
    <row r="373" spans="33:60" x14ac:dyDescent="0.25">
      <c r="AH373" s="49"/>
      <c r="AI373" s="49"/>
      <c r="AK373" s="32" t="s">
        <v>50</v>
      </c>
      <c r="AL373" t="s">
        <v>148</v>
      </c>
      <c r="AM373" t="s">
        <v>149</v>
      </c>
      <c r="AN373" t="s">
        <v>150</v>
      </c>
      <c r="AW373" t="s">
        <v>164</v>
      </c>
      <c r="AX373" t="s">
        <v>343</v>
      </c>
      <c r="AY373">
        <v>9</v>
      </c>
      <c r="AZ373" t="s">
        <v>165</v>
      </c>
      <c r="BA373" t="s">
        <v>166</v>
      </c>
      <c r="BB373" t="s">
        <v>167</v>
      </c>
      <c r="BC373" t="s">
        <v>168</v>
      </c>
      <c r="BD373" t="s">
        <v>169</v>
      </c>
      <c r="BE373" t="s">
        <v>167</v>
      </c>
      <c r="BF373" t="s">
        <v>343</v>
      </c>
      <c r="BG373" t="s">
        <v>164</v>
      </c>
      <c r="BH373" t="s">
        <v>91</v>
      </c>
    </row>
    <row r="374" spans="33:60" x14ac:dyDescent="0.25">
      <c r="AH374" s="49"/>
      <c r="AI374" s="49"/>
      <c r="AK374" s="32" t="s">
        <v>50</v>
      </c>
      <c r="AL374" t="s">
        <v>148</v>
      </c>
      <c r="AM374" t="s">
        <v>162</v>
      </c>
      <c r="AN374" t="s">
        <v>163</v>
      </c>
      <c r="AW374" t="s">
        <v>176</v>
      </c>
      <c r="AX374" t="s">
        <v>343</v>
      </c>
      <c r="AY374">
        <v>10</v>
      </c>
      <c r="AZ374" t="s">
        <v>177</v>
      </c>
      <c r="BA374" t="s">
        <v>178</v>
      </c>
      <c r="BB374" t="s">
        <v>179</v>
      </c>
      <c r="BC374" t="s">
        <v>180</v>
      </c>
      <c r="BD374" t="s">
        <v>181</v>
      </c>
      <c r="BE374" t="s">
        <v>179</v>
      </c>
      <c r="BF374" t="s">
        <v>343</v>
      </c>
      <c r="BG374" t="s">
        <v>176</v>
      </c>
      <c r="BH374" t="s">
        <v>182</v>
      </c>
    </row>
    <row r="375" spans="33:60" x14ac:dyDescent="0.25">
      <c r="AH375" s="49"/>
      <c r="AI375" s="49"/>
      <c r="AK375" s="32" t="s">
        <v>50</v>
      </c>
      <c r="AL375" t="s">
        <v>148</v>
      </c>
      <c r="AM375" t="s">
        <v>174</v>
      </c>
      <c r="AN375" t="s">
        <v>175</v>
      </c>
      <c r="AW375" t="s">
        <v>189</v>
      </c>
      <c r="AX375" t="s">
        <v>343</v>
      </c>
      <c r="AY375">
        <v>11</v>
      </c>
      <c r="AZ375" t="s">
        <v>190</v>
      </c>
      <c r="BA375" t="s">
        <v>191</v>
      </c>
      <c r="BB375" t="s">
        <v>192</v>
      </c>
      <c r="BC375" t="s">
        <v>193</v>
      </c>
      <c r="BD375" t="s">
        <v>194</v>
      </c>
      <c r="BE375" t="s">
        <v>192</v>
      </c>
      <c r="BF375" t="s">
        <v>343</v>
      </c>
      <c r="BG375" t="s">
        <v>189</v>
      </c>
      <c r="BH375" t="s">
        <v>195</v>
      </c>
    </row>
    <row r="376" spans="33:60" x14ac:dyDescent="0.25">
      <c r="AG376" t="s">
        <v>358</v>
      </c>
      <c r="AH376" t="s">
        <v>103</v>
      </c>
      <c r="AI376">
        <v>15</v>
      </c>
      <c r="AK376" s="32" t="s">
        <v>50</v>
      </c>
      <c r="AL376" t="s">
        <v>148</v>
      </c>
      <c r="AM376" t="s">
        <v>187</v>
      </c>
      <c r="AN376" t="s">
        <v>188</v>
      </c>
      <c r="AW376" t="s">
        <v>201</v>
      </c>
      <c r="AX376" t="s">
        <v>343</v>
      </c>
      <c r="AY376">
        <v>14</v>
      </c>
      <c r="AZ376" t="s">
        <v>202</v>
      </c>
      <c r="BA376" t="s">
        <v>203</v>
      </c>
      <c r="BB376" t="s">
        <v>204</v>
      </c>
      <c r="BC376" t="s">
        <v>205</v>
      </c>
      <c r="BD376" t="s">
        <v>206</v>
      </c>
      <c r="BE376" t="s">
        <v>204</v>
      </c>
      <c r="BF376" t="s">
        <v>343</v>
      </c>
      <c r="BG376" t="s">
        <v>201</v>
      </c>
      <c r="BH376" t="s">
        <v>207</v>
      </c>
    </row>
    <row r="377" spans="33:60" x14ac:dyDescent="0.25">
      <c r="AK377" s="32" t="s">
        <v>50</v>
      </c>
      <c r="AL377" t="s">
        <v>148</v>
      </c>
      <c r="AM377" t="s">
        <v>199</v>
      </c>
      <c r="AN377" t="s">
        <v>200</v>
      </c>
      <c r="AW377" t="s">
        <v>213</v>
      </c>
      <c r="AX377" t="s">
        <v>343</v>
      </c>
      <c r="AY377">
        <v>18</v>
      </c>
      <c r="AZ377" t="s">
        <v>214</v>
      </c>
      <c r="BA377" t="s">
        <v>215</v>
      </c>
      <c r="BB377" t="s">
        <v>216</v>
      </c>
      <c r="BC377" t="s">
        <v>217</v>
      </c>
      <c r="BD377" t="s">
        <v>218</v>
      </c>
      <c r="BE377" t="s">
        <v>216</v>
      </c>
      <c r="BF377" t="s">
        <v>343</v>
      </c>
      <c r="BG377" t="s">
        <v>213</v>
      </c>
      <c r="BH377" t="s">
        <v>219</v>
      </c>
    </row>
    <row r="378" spans="33:60" x14ac:dyDescent="0.25">
      <c r="AG378" t="s">
        <v>358</v>
      </c>
      <c r="AH378" t="s">
        <v>117</v>
      </c>
      <c r="AI378">
        <v>13</v>
      </c>
      <c r="AK378" s="32" t="s">
        <v>50</v>
      </c>
      <c r="AL378" t="s">
        <v>148</v>
      </c>
      <c r="AM378" t="s">
        <v>211</v>
      </c>
      <c r="AN378" t="s">
        <v>212</v>
      </c>
      <c r="AW378" t="s">
        <v>53</v>
      </c>
      <c r="AX378" t="s">
        <v>347</v>
      </c>
      <c r="AY378">
        <v>3</v>
      </c>
      <c r="AZ378" t="s">
        <v>55</v>
      </c>
      <c r="BA378" t="s">
        <v>414</v>
      </c>
      <c r="BB378" t="s">
        <v>57</v>
      </c>
      <c r="BC378" t="s">
        <v>58</v>
      </c>
      <c r="BD378" t="s">
        <v>59</v>
      </c>
      <c r="BE378" t="s">
        <v>57</v>
      </c>
      <c r="BF378" t="s">
        <v>347</v>
      </c>
      <c r="BG378" t="s">
        <v>53</v>
      </c>
      <c r="BH378" t="s">
        <v>415</v>
      </c>
    </row>
    <row r="379" spans="33:60" x14ac:dyDescent="0.25">
      <c r="AG379" t="s">
        <v>358</v>
      </c>
      <c r="AH379" t="s">
        <v>135</v>
      </c>
      <c r="AI379">
        <v>15</v>
      </c>
      <c r="AK379" s="32" t="s">
        <v>50</v>
      </c>
      <c r="AL379" t="s">
        <v>148</v>
      </c>
      <c r="AM379" t="s">
        <v>223</v>
      </c>
      <c r="AN379" t="s">
        <v>224</v>
      </c>
      <c r="AW379" t="s">
        <v>82</v>
      </c>
      <c r="AX379" t="s">
        <v>347</v>
      </c>
      <c r="AY379">
        <v>4</v>
      </c>
      <c r="AZ379" t="s">
        <v>83</v>
      </c>
      <c r="BA379" t="s">
        <v>416</v>
      </c>
      <c r="BB379" t="s">
        <v>85</v>
      </c>
      <c r="BC379" t="s">
        <v>86</v>
      </c>
      <c r="BD379" t="s">
        <v>87</v>
      </c>
      <c r="BE379" t="s">
        <v>85</v>
      </c>
      <c r="BF379" t="s">
        <v>347</v>
      </c>
      <c r="BG379" t="s">
        <v>82</v>
      </c>
      <c r="BH379" t="s">
        <v>417</v>
      </c>
    </row>
    <row r="380" spans="33:60" x14ac:dyDescent="0.25">
      <c r="AG380" t="s">
        <v>364</v>
      </c>
      <c r="AH380" s="51" t="s">
        <v>39</v>
      </c>
      <c r="AI380" s="51">
        <v>2429</v>
      </c>
      <c r="AK380" s="32" t="s">
        <v>50</v>
      </c>
      <c r="AL380" t="s">
        <v>148</v>
      </c>
      <c r="AM380" t="s">
        <v>232</v>
      </c>
      <c r="AN380" t="s">
        <v>233</v>
      </c>
      <c r="AW380" t="s">
        <v>106</v>
      </c>
      <c r="AX380" t="s">
        <v>347</v>
      </c>
      <c r="AY380">
        <v>5</v>
      </c>
      <c r="AZ380" t="s">
        <v>107</v>
      </c>
      <c r="BA380" t="s">
        <v>418</v>
      </c>
      <c r="BB380" t="s">
        <v>109</v>
      </c>
      <c r="BC380" t="s">
        <v>110</v>
      </c>
      <c r="BD380" t="s">
        <v>111</v>
      </c>
      <c r="BE380" t="s">
        <v>109</v>
      </c>
      <c r="BF380" t="s">
        <v>347</v>
      </c>
      <c r="BG380" t="s">
        <v>106</v>
      </c>
      <c r="BH380" t="s">
        <v>419</v>
      </c>
    </row>
    <row r="381" spans="33:60" x14ac:dyDescent="0.25">
      <c r="AG381" t="s">
        <v>364</v>
      </c>
      <c r="AH381" s="51" t="s">
        <v>78</v>
      </c>
      <c r="AI381" s="50" t="s">
        <v>79</v>
      </c>
      <c r="AK381" s="32" t="s">
        <v>50</v>
      </c>
      <c r="AL381" t="s">
        <v>148</v>
      </c>
      <c r="AM381" t="s">
        <v>239</v>
      </c>
      <c r="AN381" t="s">
        <v>240</v>
      </c>
      <c r="AW381" t="s">
        <v>121</v>
      </c>
      <c r="AX381" t="s">
        <v>347</v>
      </c>
      <c r="AY381">
        <v>6</v>
      </c>
      <c r="AZ381" t="s">
        <v>122</v>
      </c>
      <c r="BA381" t="s">
        <v>420</v>
      </c>
      <c r="BB381" t="s">
        <v>124</v>
      </c>
      <c r="BC381" t="s">
        <v>125</v>
      </c>
      <c r="BD381" t="s">
        <v>126</v>
      </c>
      <c r="BE381" t="s">
        <v>124</v>
      </c>
      <c r="BF381" t="s">
        <v>347</v>
      </c>
      <c r="BG381" t="s">
        <v>121</v>
      </c>
      <c r="BH381" t="s">
        <v>421</v>
      </c>
    </row>
    <row r="382" spans="33:60" x14ac:dyDescent="0.25">
      <c r="AH382" s="51"/>
      <c r="AI382" s="50"/>
      <c r="AK382" s="32" t="s">
        <v>50</v>
      </c>
      <c r="AL382" t="s">
        <v>148</v>
      </c>
      <c r="AM382" t="s">
        <v>246</v>
      </c>
      <c r="AN382" t="s">
        <v>247</v>
      </c>
      <c r="AW382" t="s">
        <v>139</v>
      </c>
      <c r="AX382" t="s">
        <v>347</v>
      </c>
      <c r="AY382">
        <v>7</v>
      </c>
      <c r="AZ382" t="s">
        <v>140</v>
      </c>
      <c r="BA382" t="s">
        <v>422</v>
      </c>
      <c r="BB382" t="s">
        <v>142</v>
      </c>
      <c r="BC382" t="s">
        <v>143</v>
      </c>
      <c r="BD382" t="s">
        <v>144</v>
      </c>
      <c r="BE382" t="s">
        <v>142</v>
      </c>
      <c r="BF382" t="s">
        <v>347</v>
      </c>
      <c r="BG382" t="s">
        <v>139</v>
      </c>
      <c r="BH382" t="s">
        <v>423</v>
      </c>
    </row>
    <row r="383" spans="33:60" x14ac:dyDescent="0.25">
      <c r="AH383" s="51"/>
      <c r="AI383" s="50"/>
      <c r="AK383" s="32" t="s">
        <v>50</v>
      </c>
      <c r="AL383" t="s">
        <v>148</v>
      </c>
      <c r="AM383" t="s">
        <v>254</v>
      </c>
      <c r="AN383" t="s">
        <v>255</v>
      </c>
      <c r="AW383" t="s">
        <v>151</v>
      </c>
      <c r="AX383" t="s">
        <v>347</v>
      </c>
      <c r="AY383">
        <v>8</v>
      </c>
      <c r="AZ383" t="s">
        <v>152</v>
      </c>
      <c r="BA383" t="s">
        <v>425</v>
      </c>
      <c r="BB383" t="s">
        <v>154</v>
      </c>
      <c r="BC383" t="s">
        <v>155</v>
      </c>
      <c r="BD383" t="s">
        <v>156</v>
      </c>
      <c r="BE383" t="s">
        <v>154</v>
      </c>
      <c r="BF383" t="s">
        <v>347</v>
      </c>
      <c r="BG383" t="s">
        <v>151</v>
      </c>
      <c r="BH383" t="s">
        <v>426</v>
      </c>
    </row>
    <row r="384" spans="33:60" x14ac:dyDescent="0.25">
      <c r="AH384" s="51"/>
      <c r="AI384" s="50"/>
      <c r="AK384" s="32" t="s">
        <v>50</v>
      </c>
      <c r="AL384" t="s">
        <v>148</v>
      </c>
      <c r="AM384" t="s">
        <v>262</v>
      </c>
      <c r="AN384" t="s">
        <v>263</v>
      </c>
      <c r="AW384" t="s">
        <v>164</v>
      </c>
      <c r="AX384" t="s">
        <v>347</v>
      </c>
      <c r="AY384">
        <v>9</v>
      </c>
      <c r="AZ384" t="s">
        <v>165</v>
      </c>
      <c r="BA384" t="s">
        <v>427</v>
      </c>
      <c r="BB384" t="s">
        <v>167</v>
      </c>
      <c r="BC384" t="s">
        <v>168</v>
      </c>
      <c r="BD384" t="s">
        <v>169</v>
      </c>
      <c r="BE384" t="s">
        <v>167</v>
      </c>
      <c r="BF384" t="s">
        <v>347</v>
      </c>
      <c r="BG384" t="s">
        <v>164</v>
      </c>
      <c r="BH384" t="s">
        <v>428</v>
      </c>
    </row>
    <row r="385" spans="33:60" x14ac:dyDescent="0.25">
      <c r="AG385" t="s">
        <v>364</v>
      </c>
      <c r="AH385" s="51" t="s">
        <v>103</v>
      </c>
      <c r="AI385" s="51">
        <v>2429</v>
      </c>
      <c r="AK385" s="32" t="s">
        <v>50</v>
      </c>
      <c r="AL385" t="s">
        <v>148</v>
      </c>
      <c r="AM385" t="s">
        <v>270</v>
      </c>
      <c r="AN385" t="s">
        <v>271</v>
      </c>
      <c r="AW385" t="s">
        <v>176</v>
      </c>
      <c r="AX385" t="s">
        <v>347</v>
      </c>
      <c r="AY385">
        <v>10</v>
      </c>
      <c r="AZ385" t="s">
        <v>177</v>
      </c>
      <c r="BA385" t="s">
        <v>429</v>
      </c>
      <c r="BB385" t="s">
        <v>179</v>
      </c>
      <c r="BC385" t="s">
        <v>180</v>
      </c>
      <c r="BD385" t="s">
        <v>181</v>
      </c>
      <c r="BE385" t="s">
        <v>179</v>
      </c>
      <c r="BF385" t="s">
        <v>347</v>
      </c>
      <c r="BG385" t="s">
        <v>176</v>
      </c>
      <c r="BH385" t="s">
        <v>430</v>
      </c>
    </row>
    <row r="386" spans="33:60" x14ac:dyDescent="0.25">
      <c r="AH386" s="51"/>
      <c r="AI386" s="50"/>
      <c r="AK386" s="32" t="s">
        <v>50</v>
      </c>
      <c r="AL386" t="s">
        <v>148</v>
      </c>
      <c r="AM386" t="s">
        <v>277</v>
      </c>
      <c r="AN386" t="s">
        <v>278</v>
      </c>
      <c r="AW386" t="s">
        <v>189</v>
      </c>
      <c r="AX386" t="s">
        <v>347</v>
      </c>
      <c r="AY386">
        <v>11</v>
      </c>
      <c r="AZ386" t="s">
        <v>190</v>
      </c>
      <c r="BA386" t="s">
        <v>431</v>
      </c>
      <c r="BB386" t="s">
        <v>192</v>
      </c>
      <c r="BC386" t="s">
        <v>193</v>
      </c>
      <c r="BD386" t="s">
        <v>194</v>
      </c>
      <c r="BE386" t="s">
        <v>192</v>
      </c>
      <c r="BF386" t="s">
        <v>347</v>
      </c>
      <c r="BG386" t="s">
        <v>189</v>
      </c>
      <c r="BH386" t="s">
        <v>432</v>
      </c>
    </row>
    <row r="387" spans="33:60" x14ac:dyDescent="0.25">
      <c r="AH387" s="51"/>
      <c r="AI387" s="50"/>
      <c r="AK387" s="32" t="s">
        <v>50</v>
      </c>
      <c r="AL387" t="s">
        <v>148</v>
      </c>
      <c r="AM387" t="s">
        <v>284</v>
      </c>
      <c r="AN387" t="s">
        <v>285</v>
      </c>
      <c r="AW387" t="s">
        <v>201</v>
      </c>
      <c r="AX387" t="s">
        <v>347</v>
      </c>
      <c r="AY387">
        <v>14</v>
      </c>
      <c r="AZ387" t="s">
        <v>202</v>
      </c>
      <c r="BA387" t="s">
        <v>433</v>
      </c>
      <c r="BB387" t="s">
        <v>204</v>
      </c>
      <c r="BC387" t="s">
        <v>205</v>
      </c>
      <c r="BD387" t="s">
        <v>206</v>
      </c>
      <c r="BE387" t="s">
        <v>204</v>
      </c>
      <c r="BF387" t="s">
        <v>347</v>
      </c>
      <c r="BG387" t="s">
        <v>201</v>
      </c>
      <c r="BH387" t="s">
        <v>434</v>
      </c>
    </row>
    <row r="388" spans="33:60" x14ac:dyDescent="0.25">
      <c r="AG388" t="s">
        <v>364</v>
      </c>
      <c r="AH388" s="51" t="s">
        <v>117</v>
      </c>
      <c r="AI388" s="51" t="s">
        <v>118</v>
      </c>
      <c r="AK388" s="32" t="s">
        <v>50</v>
      </c>
      <c r="AL388" t="s">
        <v>148</v>
      </c>
      <c r="AM388" t="s">
        <v>291</v>
      </c>
      <c r="AN388" t="s">
        <v>292</v>
      </c>
      <c r="AW388" t="s">
        <v>213</v>
      </c>
      <c r="AX388" t="s">
        <v>347</v>
      </c>
      <c r="AY388">
        <v>18</v>
      </c>
      <c r="AZ388" t="s">
        <v>214</v>
      </c>
      <c r="BA388" t="s">
        <v>435</v>
      </c>
      <c r="BB388" t="s">
        <v>216</v>
      </c>
      <c r="BC388" t="s">
        <v>217</v>
      </c>
      <c r="BD388" t="s">
        <v>218</v>
      </c>
      <c r="BE388" t="s">
        <v>216</v>
      </c>
      <c r="BF388" t="s">
        <v>347</v>
      </c>
      <c r="BG388" t="s">
        <v>213</v>
      </c>
      <c r="BH388" t="s">
        <v>436</v>
      </c>
    </row>
    <row r="389" spans="33:60" x14ac:dyDescent="0.25">
      <c r="AG389" t="s">
        <v>364</v>
      </c>
      <c r="AH389" s="51" t="s">
        <v>135</v>
      </c>
      <c r="AI389" s="51" t="s">
        <v>136</v>
      </c>
      <c r="AK389" s="32" t="s">
        <v>50</v>
      </c>
      <c r="AL389" t="s">
        <v>148</v>
      </c>
      <c r="AM389" t="s">
        <v>298</v>
      </c>
      <c r="AN389" t="s">
        <v>299</v>
      </c>
      <c r="AW389" t="s">
        <v>53</v>
      </c>
      <c r="AX389" t="s">
        <v>351</v>
      </c>
      <c r="AY389">
        <v>3</v>
      </c>
      <c r="AZ389" t="s">
        <v>55</v>
      </c>
      <c r="BA389" t="s">
        <v>56</v>
      </c>
      <c r="BB389" t="s">
        <v>57</v>
      </c>
      <c r="BC389" t="s">
        <v>58</v>
      </c>
      <c r="BD389" t="s">
        <v>59</v>
      </c>
      <c r="BE389" t="s">
        <v>57</v>
      </c>
      <c r="BF389" t="s">
        <v>351</v>
      </c>
      <c r="BG389" t="s">
        <v>53</v>
      </c>
      <c r="BH389" t="s">
        <v>60</v>
      </c>
    </row>
    <row r="390" spans="33:60" x14ac:dyDescent="0.25">
      <c r="AG390" s="18"/>
      <c r="AH390" s="18"/>
      <c r="AI390" s="18"/>
      <c r="AK390" s="32" t="s">
        <v>50</v>
      </c>
      <c r="AL390" t="s">
        <v>148</v>
      </c>
      <c r="AM390" t="s">
        <v>305</v>
      </c>
      <c r="AN390" t="s">
        <v>306</v>
      </c>
      <c r="AW390" t="s">
        <v>82</v>
      </c>
      <c r="AX390" t="s">
        <v>351</v>
      </c>
      <c r="AY390">
        <v>4</v>
      </c>
      <c r="AZ390" t="s">
        <v>83</v>
      </c>
      <c r="BA390" t="s">
        <v>84</v>
      </c>
      <c r="BB390" t="s">
        <v>85</v>
      </c>
      <c r="BC390" t="s">
        <v>86</v>
      </c>
      <c r="BD390" t="s">
        <v>87</v>
      </c>
      <c r="BE390" t="s">
        <v>85</v>
      </c>
      <c r="BF390" t="s">
        <v>351</v>
      </c>
      <c r="BG390" t="s">
        <v>82</v>
      </c>
      <c r="BH390" t="s">
        <v>88</v>
      </c>
    </row>
    <row r="391" spans="33:60" x14ac:dyDescent="0.25">
      <c r="AG391" s="18"/>
      <c r="AH391" s="18"/>
      <c r="AI391" s="18"/>
      <c r="AK391" s="32" t="s">
        <v>50</v>
      </c>
      <c r="AL391" t="s">
        <v>148</v>
      </c>
      <c r="AM391" t="s">
        <v>309</v>
      </c>
      <c r="AN391" t="s">
        <v>310</v>
      </c>
      <c r="AW391" t="s">
        <v>106</v>
      </c>
      <c r="AX391" t="s">
        <v>351</v>
      </c>
      <c r="AY391">
        <v>5</v>
      </c>
      <c r="AZ391" t="s">
        <v>107</v>
      </c>
      <c r="BA391" t="s">
        <v>108</v>
      </c>
      <c r="BB391" t="s">
        <v>109</v>
      </c>
      <c r="BC391" t="s">
        <v>110</v>
      </c>
      <c r="BD391" t="s">
        <v>111</v>
      </c>
      <c r="BE391" t="s">
        <v>109</v>
      </c>
      <c r="BF391" t="s">
        <v>351</v>
      </c>
      <c r="BG391" t="s">
        <v>106</v>
      </c>
      <c r="BH391" t="s">
        <v>65</v>
      </c>
    </row>
    <row r="392" spans="33:60" x14ac:dyDescent="0.25">
      <c r="AG392" s="18"/>
      <c r="AH392" s="18"/>
      <c r="AI392" s="18"/>
      <c r="AK392" s="32" t="s">
        <v>50</v>
      </c>
      <c r="AL392" t="s">
        <v>148</v>
      </c>
      <c r="AM392" t="s">
        <v>312</v>
      </c>
      <c r="AN392" t="s">
        <v>313</v>
      </c>
      <c r="AW392" t="s">
        <v>121</v>
      </c>
      <c r="AX392" t="s">
        <v>351</v>
      </c>
      <c r="AY392">
        <v>6</v>
      </c>
      <c r="AZ392" t="s">
        <v>122</v>
      </c>
      <c r="BA392" t="s">
        <v>123</v>
      </c>
      <c r="BB392" t="s">
        <v>124</v>
      </c>
      <c r="BC392" t="s">
        <v>125</v>
      </c>
      <c r="BD392" t="s">
        <v>126</v>
      </c>
      <c r="BE392" t="s">
        <v>124</v>
      </c>
      <c r="BF392" t="s">
        <v>351</v>
      </c>
      <c r="BG392" t="s">
        <v>121</v>
      </c>
      <c r="BH392" t="s">
        <v>127</v>
      </c>
    </row>
    <row r="393" spans="33:60" x14ac:dyDescent="0.25">
      <c r="AG393" s="18"/>
      <c r="AH393" s="18"/>
      <c r="AI393" s="18"/>
      <c r="AK393" s="32" t="s">
        <v>50</v>
      </c>
      <c r="AL393" t="s">
        <v>148</v>
      </c>
      <c r="AM393" t="s">
        <v>315</v>
      </c>
      <c r="AN393" t="s">
        <v>316</v>
      </c>
      <c r="AW393" t="s">
        <v>139</v>
      </c>
      <c r="AX393" t="s">
        <v>351</v>
      </c>
      <c r="AY393">
        <v>7</v>
      </c>
      <c r="AZ393" t="s">
        <v>140</v>
      </c>
      <c r="BA393" t="s">
        <v>141</v>
      </c>
      <c r="BB393" t="s">
        <v>142</v>
      </c>
      <c r="BC393" t="s">
        <v>143</v>
      </c>
      <c r="BD393" t="s">
        <v>144</v>
      </c>
      <c r="BE393" t="s">
        <v>142</v>
      </c>
      <c r="BF393" t="s">
        <v>351</v>
      </c>
      <c r="BG393" t="s">
        <v>139</v>
      </c>
      <c r="BH393" t="s">
        <v>145</v>
      </c>
    </row>
    <row r="394" spans="33:60" x14ac:dyDescent="0.25">
      <c r="AG394" s="18"/>
      <c r="AH394" s="18"/>
      <c r="AI394" s="18"/>
      <c r="AK394" s="32" t="s">
        <v>50</v>
      </c>
      <c r="AL394" t="s">
        <v>148</v>
      </c>
      <c r="AM394" t="s">
        <v>319</v>
      </c>
      <c r="AN394" t="s">
        <v>320</v>
      </c>
      <c r="AW394" t="s">
        <v>151</v>
      </c>
      <c r="AX394" t="s">
        <v>351</v>
      </c>
      <c r="AY394">
        <v>8</v>
      </c>
      <c r="AZ394" t="s">
        <v>152</v>
      </c>
      <c r="BA394" t="s">
        <v>153</v>
      </c>
      <c r="BB394" t="s">
        <v>154</v>
      </c>
      <c r="BC394" t="s">
        <v>155</v>
      </c>
      <c r="BD394" t="s">
        <v>156</v>
      </c>
      <c r="BE394" t="s">
        <v>154</v>
      </c>
      <c r="BF394" t="s">
        <v>351</v>
      </c>
      <c r="BG394" t="s">
        <v>151</v>
      </c>
      <c r="BH394" t="s">
        <v>157</v>
      </c>
    </row>
    <row r="395" spans="33:60" x14ac:dyDescent="0.25">
      <c r="AG395" s="18"/>
      <c r="AH395" s="18"/>
      <c r="AI395" s="18"/>
      <c r="AK395" s="32" t="s">
        <v>50</v>
      </c>
      <c r="AL395" t="s">
        <v>148</v>
      </c>
      <c r="AM395" t="s">
        <v>323</v>
      </c>
      <c r="AN395" t="s">
        <v>324</v>
      </c>
      <c r="AW395" t="s">
        <v>164</v>
      </c>
      <c r="AX395" t="s">
        <v>351</v>
      </c>
      <c r="AY395">
        <v>9</v>
      </c>
      <c r="AZ395" t="s">
        <v>165</v>
      </c>
      <c r="BA395" t="s">
        <v>166</v>
      </c>
      <c r="BB395" t="s">
        <v>167</v>
      </c>
      <c r="BC395" t="s">
        <v>168</v>
      </c>
      <c r="BD395" t="s">
        <v>169</v>
      </c>
      <c r="BE395" t="s">
        <v>167</v>
      </c>
      <c r="BF395" t="s">
        <v>351</v>
      </c>
      <c r="BG395" t="s">
        <v>164</v>
      </c>
      <c r="BH395" t="s">
        <v>91</v>
      </c>
    </row>
    <row r="396" spans="33:60" x14ac:dyDescent="0.25">
      <c r="AG396" s="18"/>
      <c r="AH396" s="18"/>
      <c r="AI396" s="18"/>
      <c r="AK396" s="32" t="s">
        <v>50</v>
      </c>
      <c r="AL396" t="s">
        <v>148</v>
      </c>
      <c r="AM396" t="s">
        <v>326</v>
      </c>
      <c r="AN396" t="s">
        <v>327</v>
      </c>
      <c r="AW396" t="s">
        <v>176</v>
      </c>
      <c r="AX396" t="s">
        <v>351</v>
      </c>
      <c r="AY396">
        <v>10</v>
      </c>
      <c r="AZ396" t="s">
        <v>177</v>
      </c>
      <c r="BA396" t="s">
        <v>178</v>
      </c>
      <c r="BB396" t="s">
        <v>179</v>
      </c>
      <c r="BC396" t="s">
        <v>180</v>
      </c>
      <c r="BD396" t="s">
        <v>181</v>
      </c>
      <c r="BE396" t="s">
        <v>179</v>
      </c>
      <c r="BF396" t="s">
        <v>351</v>
      </c>
      <c r="BG396" t="s">
        <v>176</v>
      </c>
      <c r="BH396" t="s">
        <v>182</v>
      </c>
    </row>
    <row r="397" spans="33:60" x14ac:dyDescent="0.25">
      <c r="AG397" s="18"/>
      <c r="AH397" s="18"/>
      <c r="AI397" s="18"/>
      <c r="AK397" s="32" t="s">
        <v>50</v>
      </c>
      <c r="AL397" t="s">
        <v>148</v>
      </c>
      <c r="AM397" t="s">
        <v>330</v>
      </c>
      <c r="AN397" t="s">
        <v>331</v>
      </c>
      <c r="AW397" t="s">
        <v>189</v>
      </c>
      <c r="AX397" t="s">
        <v>351</v>
      </c>
      <c r="AY397">
        <v>11</v>
      </c>
      <c r="AZ397" t="s">
        <v>190</v>
      </c>
      <c r="BA397" t="s">
        <v>191</v>
      </c>
      <c r="BB397" t="s">
        <v>192</v>
      </c>
      <c r="BC397" t="s">
        <v>193</v>
      </c>
      <c r="BD397" t="s">
        <v>194</v>
      </c>
      <c r="BE397" t="s">
        <v>192</v>
      </c>
      <c r="BF397" t="s">
        <v>351</v>
      </c>
      <c r="BG397" t="s">
        <v>189</v>
      </c>
      <c r="BH397" t="s">
        <v>195</v>
      </c>
    </row>
    <row r="398" spans="33:60" x14ac:dyDescent="0.25">
      <c r="AG398" s="18"/>
      <c r="AH398" s="18"/>
      <c r="AI398" s="18"/>
      <c r="AK398" s="32" t="s">
        <v>50</v>
      </c>
      <c r="AL398" t="s">
        <v>148</v>
      </c>
      <c r="AM398" t="s">
        <v>335</v>
      </c>
      <c r="AN398" t="s">
        <v>336</v>
      </c>
      <c r="AW398" t="s">
        <v>201</v>
      </c>
      <c r="AX398" t="s">
        <v>351</v>
      </c>
      <c r="AY398">
        <v>14</v>
      </c>
      <c r="AZ398" t="s">
        <v>202</v>
      </c>
      <c r="BA398" t="s">
        <v>203</v>
      </c>
      <c r="BB398" t="s">
        <v>204</v>
      </c>
      <c r="BC398" t="s">
        <v>205</v>
      </c>
      <c r="BD398" t="s">
        <v>206</v>
      </c>
      <c r="BE398" t="s">
        <v>204</v>
      </c>
      <c r="BF398" t="s">
        <v>351</v>
      </c>
      <c r="BG398" t="s">
        <v>201</v>
      </c>
      <c r="BH398" t="s">
        <v>207</v>
      </c>
    </row>
    <row r="399" spans="33:60" x14ac:dyDescent="0.25">
      <c r="AG399" s="18"/>
      <c r="AH399" s="18"/>
      <c r="AI399" s="18"/>
      <c r="AK399" s="32" t="s">
        <v>50</v>
      </c>
      <c r="AL399" t="s">
        <v>148</v>
      </c>
      <c r="AM399" t="s">
        <v>340</v>
      </c>
      <c r="AN399" t="s">
        <v>341</v>
      </c>
      <c r="AW399" t="s">
        <v>213</v>
      </c>
      <c r="AX399" t="s">
        <v>351</v>
      </c>
      <c r="AY399">
        <v>18</v>
      </c>
      <c r="AZ399" t="s">
        <v>214</v>
      </c>
      <c r="BA399" t="s">
        <v>215</v>
      </c>
      <c r="BB399" t="s">
        <v>216</v>
      </c>
      <c r="BC399" t="s">
        <v>217</v>
      </c>
      <c r="BD399" t="s">
        <v>218</v>
      </c>
      <c r="BE399" t="s">
        <v>216</v>
      </c>
      <c r="BF399" t="s">
        <v>351</v>
      </c>
      <c r="BG399" t="s">
        <v>213</v>
      </c>
      <c r="BH399" t="s">
        <v>219</v>
      </c>
    </row>
    <row r="400" spans="33:60" x14ac:dyDescent="0.25">
      <c r="AG400" s="18"/>
      <c r="AH400" s="18"/>
      <c r="AI400" s="43"/>
      <c r="AK400" s="32" t="s">
        <v>50</v>
      </c>
      <c r="AL400" t="s">
        <v>148</v>
      </c>
      <c r="AM400" t="s">
        <v>344</v>
      </c>
      <c r="AN400" t="s">
        <v>345</v>
      </c>
      <c r="AW400" t="s">
        <v>53</v>
      </c>
      <c r="AX400" t="s">
        <v>355</v>
      </c>
      <c r="AY400">
        <v>3</v>
      </c>
      <c r="AZ400" t="s">
        <v>55</v>
      </c>
      <c r="BA400" t="s">
        <v>56</v>
      </c>
      <c r="BB400" t="s">
        <v>57</v>
      </c>
      <c r="BC400" t="s">
        <v>58</v>
      </c>
      <c r="BD400" t="s">
        <v>59</v>
      </c>
      <c r="BE400" t="s">
        <v>57</v>
      </c>
      <c r="BF400" t="s">
        <v>355</v>
      </c>
      <c r="BG400" t="s">
        <v>53</v>
      </c>
      <c r="BH400" t="s">
        <v>60</v>
      </c>
    </row>
    <row r="401" spans="33:60" x14ac:dyDescent="0.25">
      <c r="AG401" s="18"/>
      <c r="AH401" s="18"/>
      <c r="AI401" s="18"/>
      <c r="AK401" s="32" t="s">
        <v>50</v>
      </c>
      <c r="AL401" t="s">
        <v>148</v>
      </c>
      <c r="AM401" t="s">
        <v>348</v>
      </c>
      <c r="AN401" t="s">
        <v>349</v>
      </c>
      <c r="AW401" t="s">
        <v>82</v>
      </c>
      <c r="AX401" t="s">
        <v>355</v>
      </c>
      <c r="AY401">
        <v>4</v>
      </c>
      <c r="AZ401" t="s">
        <v>83</v>
      </c>
      <c r="BA401" t="s">
        <v>84</v>
      </c>
      <c r="BB401" t="s">
        <v>85</v>
      </c>
      <c r="BC401" t="s">
        <v>86</v>
      </c>
      <c r="BD401" t="s">
        <v>87</v>
      </c>
      <c r="BE401" t="s">
        <v>85</v>
      </c>
      <c r="BF401" t="s">
        <v>355</v>
      </c>
      <c r="BG401" t="s">
        <v>82</v>
      </c>
      <c r="BH401" t="s">
        <v>88</v>
      </c>
    </row>
    <row r="402" spans="33:60" x14ac:dyDescent="0.25">
      <c r="AG402" s="18"/>
      <c r="AH402" s="18"/>
      <c r="AI402" s="18"/>
      <c r="AK402" s="32" t="s">
        <v>50</v>
      </c>
      <c r="AL402" t="s">
        <v>148</v>
      </c>
      <c r="AM402" t="s">
        <v>352</v>
      </c>
      <c r="AN402" t="s">
        <v>353</v>
      </c>
      <c r="AW402" t="s">
        <v>106</v>
      </c>
      <c r="AX402" t="s">
        <v>355</v>
      </c>
      <c r="AY402">
        <v>5</v>
      </c>
      <c r="AZ402" t="s">
        <v>107</v>
      </c>
      <c r="BA402" t="s">
        <v>108</v>
      </c>
      <c r="BB402" t="s">
        <v>109</v>
      </c>
      <c r="BC402" t="s">
        <v>110</v>
      </c>
      <c r="BD402" t="s">
        <v>111</v>
      </c>
      <c r="BE402" t="s">
        <v>109</v>
      </c>
      <c r="BF402" t="s">
        <v>355</v>
      </c>
      <c r="BG402" t="s">
        <v>106</v>
      </c>
      <c r="BH402" t="s">
        <v>65</v>
      </c>
    </row>
    <row r="403" spans="33:60" x14ac:dyDescent="0.25">
      <c r="AG403" s="18"/>
      <c r="AH403" s="18"/>
      <c r="AI403" s="18"/>
      <c r="AK403" s="32" t="s">
        <v>50</v>
      </c>
      <c r="AL403" t="s">
        <v>148</v>
      </c>
      <c r="AM403" t="s">
        <v>356</v>
      </c>
      <c r="AN403" t="s">
        <v>357</v>
      </c>
      <c r="AW403" t="s">
        <v>121</v>
      </c>
      <c r="AX403" t="s">
        <v>355</v>
      </c>
      <c r="AY403">
        <v>6</v>
      </c>
      <c r="AZ403" t="s">
        <v>122</v>
      </c>
      <c r="BA403" t="s">
        <v>123</v>
      </c>
      <c r="BB403" t="s">
        <v>124</v>
      </c>
      <c r="BC403" t="s">
        <v>125</v>
      </c>
      <c r="BD403" t="s">
        <v>126</v>
      </c>
      <c r="BE403" t="s">
        <v>124</v>
      </c>
      <c r="BF403" t="s">
        <v>355</v>
      </c>
      <c r="BG403" t="s">
        <v>121</v>
      </c>
      <c r="BH403" t="s">
        <v>127</v>
      </c>
    </row>
    <row r="404" spans="33:60" x14ac:dyDescent="0.25">
      <c r="AG404" s="18"/>
      <c r="AH404" s="18"/>
      <c r="AI404" s="18"/>
      <c r="AK404" s="32" t="s">
        <v>50</v>
      </c>
      <c r="AL404" t="s">
        <v>148</v>
      </c>
      <c r="AM404" t="s">
        <v>359</v>
      </c>
      <c r="AN404" t="s">
        <v>360</v>
      </c>
      <c r="AW404" t="s">
        <v>139</v>
      </c>
      <c r="AX404" t="s">
        <v>355</v>
      </c>
      <c r="AY404">
        <v>7</v>
      </c>
      <c r="AZ404" t="s">
        <v>140</v>
      </c>
      <c r="BA404" t="s">
        <v>141</v>
      </c>
      <c r="BB404" t="s">
        <v>142</v>
      </c>
      <c r="BC404" t="s">
        <v>143</v>
      </c>
      <c r="BD404" t="s">
        <v>144</v>
      </c>
      <c r="BE404" t="s">
        <v>142</v>
      </c>
      <c r="BF404" t="s">
        <v>355</v>
      </c>
      <c r="BG404" t="s">
        <v>139</v>
      </c>
      <c r="BH404" t="s">
        <v>145</v>
      </c>
    </row>
    <row r="405" spans="33:60" x14ac:dyDescent="0.25">
      <c r="AG405" s="18"/>
      <c r="AH405" s="18"/>
      <c r="AI405" s="18"/>
      <c r="AK405" s="32" t="s">
        <v>50</v>
      </c>
      <c r="AL405" t="s">
        <v>148</v>
      </c>
      <c r="AM405" t="s">
        <v>362</v>
      </c>
      <c r="AN405" t="s">
        <v>363</v>
      </c>
      <c r="AW405" t="s">
        <v>151</v>
      </c>
      <c r="AX405" t="s">
        <v>355</v>
      </c>
      <c r="AY405">
        <v>8</v>
      </c>
      <c r="AZ405" t="s">
        <v>152</v>
      </c>
      <c r="BA405" t="s">
        <v>153</v>
      </c>
      <c r="BB405" t="s">
        <v>154</v>
      </c>
      <c r="BC405" t="s">
        <v>155</v>
      </c>
      <c r="BD405" t="s">
        <v>156</v>
      </c>
      <c r="BE405" t="s">
        <v>154</v>
      </c>
      <c r="BF405" t="s">
        <v>355</v>
      </c>
      <c r="BG405" t="s">
        <v>151</v>
      </c>
      <c r="BH405" t="s">
        <v>157</v>
      </c>
    </row>
    <row r="406" spans="33:60" x14ac:dyDescent="0.25">
      <c r="AG406" s="18"/>
      <c r="AH406" s="18"/>
      <c r="AI406" s="18"/>
      <c r="AK406" s="32" t="s">
        <v>50</v>
      </c>
      <c r="AL406" t="s">
        <v>148</v>
      </c>
      <c r="AM406" t="s">
        <v>365</v>
      </c>
      <c r="AN406" t="s">
        <v>366</v>
      </c>
      <c r="AW406" t="s">
        <v>164</v>
      </c>
      <c r="AX406" t="s">
        <v>355</v>
      </c>
      <c r="AY406">
        <v>9</v>
      </c>
      <c r="AZ406" t="s">
        <v>165</v>
      </c>
      <c r="BA406" t="s">
        <v>166</v>
      </c>
      <c r="BB406" t="s">
        <v>167</v>
      </c>
      <c r="BC406" t="s">
        <v>168</v>
      </c>
      <c r="BD406" t="s">
        <v>169</v>
      </c>
      <c r="BE406" t="s">
        <v>167</v>
      </c>
      <c r="BF406" t="s">
        <v>355</v>
      </c>
      <c r="BG406" t="s">
        <v>164</v>
      </c>
      <c r="BH406" t="s">
        <v>91</v>
      </c>
    </row>
    <row r="407" spans="33:60" x14ac:dyDescent="0.25">
      <c r="AG407" s="18"/>
      <c r="AH407" s="18"/>
      <c r="AI407" s="18"/>
      <c r="AK407" s="32" t="s">
        <v>50</v>
      </c>
      <c r="AL407" t="s">
        <v>148</v>
      </c>
      <c r="AM407" t="s">
        <v>367</v>
      </c>
      <c r="AN407" t="s">
        <v>368</v>
      </c>
      <c r="AW407" t="s">
        <v>176</v>
      </c>
      <c r="AX407" t="s">
        <v>355</v>
      </c>
      <c r="AY407">
        <v>10</v>
      </c>
      <c r="AZ407" t="s">
        <v>177</v>
      </c>
      <c r="BA407" t="s">
        <v>178</v>
      </c>
      <c r="BB407" t="s">
        <v>179</v>
      </c>
      <c r="BC407" t="s">
        <v>180</v>
      </c>
      <c r="BD407" t="s">
        <v>181</v>
      </c>
      <c r="BE407" t="s">
        <v>179</v>
      </c>
      <c r="BF407" t="s">
        <v>355</v>
      </c>
      <c r="BG407" t="s">
        <v>176</v>
      </c>
      <c r="BH407" t="s">
        <v>182</v>
      </c>
    </row>
    <row r="408" spans="33:60" x14ac:dyDescent="0.25">
      <c r="AG408" s="18"/>
      <c r="AH408" s="18"/>
      <c r="AI408" s="18"/>
      <c r="AK408" s="32" t="s">
        <v>50</v>
      </c>
      <c r="AL408" t="s">
        <v>148</v>
      </c>
      <c r="AM408" t="s">
        <v>369</v>
      </c>
      <c r="AN408" t="s">
        <v>370</v>
      </c>
      <c r="AW408" t="s">
        <v>189</v>
      </c>
      <c r="AX408" t="s">
        <v>355</v>
      </c>
      <c r="AY408">
        <v>11</v>
      </c>
      <c r="AZ408" t="s">
        <v>190</v>
      </c>
      <c r="BA408" t="s">
        <v>191</v>
      </c>
      <c r="BB408" t="s">
        <v>192</v>
      </c>
      <c r="BC408" t="s">
        <v>193</v>
      </c>
      <c r="BD408" t="s">
        <v>194</v>
      </c>
      <c r="BE408" t="s">
        <v>192</v>
      </c>
      <c r="BF408" t="s">
        <v>355</v>
      </c>
      <c r="BG408" t="s">
        <v>189</v>
      </c>
      <c r="BH408" t="s">
        <v>195</v>
      </c>
    </row>
    <row r="409" spans="33:60" x14ac:dyDescent="0.25">
      <c r="AG409" s="18"/>
      <c r="AH409" s="18"/>
      <c r="AI409" s="18"/>
      <c r="AK409" s="32" t="s">
        <v>50</v>
      </c>
      <c r="AL409" t="s">
        <v>148</v>
      </c>
      <c r="AM409" t="s">
        <v>371</v>
      </c>
      <c r="AN409" t="s">
        <v>372</v>
      </c>
      <c r="AW409" t="s">
        <v>201</v>
      </c>
      <c r="AX409" t="s">
        <v>355</v>
      </c>
      <c r="AY409">
        <v>14</v>
      </c>
      <c r="AZ409" t="s">
        <v>202</v>
      </c>
      <c r="BA409" t="s">
        <v>203</v>
      </c>
      <c r="BB409" t="s">
        <v>204</v>
      </c>
      <c r="BC409" t="s">
        <v>205</v>
      </c>
      <c r="BD409" t="s">
        <v>206</v>
      </c>
      <c r="BE409" t="s">
        <v>204</v>
      </c>
      <c r="BF409" t="s">
        <v>355</v>
      </c>
      <c r="BG409" t="s">
        <v>201</v>
      </c>
      <c r="BH409" t="s">
        <v>207</v>
      </c>
    </row>
    <row r="410" spans="33:60" x14ac:dyDescent="0.25">
      <c r="AG410" s="18"/>
      <c r="AH410" s="18"/>
      <c r="AI410" s="18"/>
      <c r="AK410" s="32" t="s">
        <v>50</v>
      </c>
      <c r="AL410" t="s">
        <v>148</v>
      </c>
      <c r="AM410" t="s">
        <v>374</v>
      </c>
      <c r="AN410" t="s">
        <v>375</v>
      </c>
      <c r="AW410" t="s">
        <v>213</v>
      </c>
      <c r="AX410" t="s">
        <v>355</v>
      </c>
      <c r="AY410">
        <v>18</v>
      </c>
      <c r="AZ410" t="s">
        <v>214</v>
      </c>
      <c r="BA410" t="s">
        <v>215</v>
      </c>
      <c r="BB410" t="s">
        <v>216</v>
      </c>
      <c r="BC410" t="s">
        <v>217</v>
      </c>
      <c r="BD410" t="s">
        <v>218</v>
      </c>
      <c r="BE410" t="s">
        <v>216</v>
      </c>
      <c r="BF410" t="s">
        <v>355</v>
      </c>
      <c r="BG410" t="s">
        <v>213</v>
      </c>
      <c r="BH410" t="s">
        <v>219</v>
      </c>
    </row>
    <row r="411" spans="33:60" x14ac:dyDescent="0.25">
      <c r="AG411" s="18"/>
      <c r="AH411" s="18"/>
      <c r="AI411" s="18"/>
      <c r="AK411" s="32" t="s">
        <v>50</v>
      </c>
      <c r="AL411" t="s">
        <v>148</v>
      </c>
      <c r="AM411" t="s">
        <v>376</v>
      </c>
      <c r="AN411" t="s">
        <v>377</v>
      </c>
      <c r="AW411" t="s">
        <v>53</v>
      </c>
      <c r="AX411" t="s">
        <v>358</v>
      </c>
      <c r="AY411">
        <v>3</v>
      </c>
      <c r="AZ411" t="s">
        <v>55</v>
      </c>
      <c r="BA411" t="s">
        <v>56</v>
      </c>
      <c r="BB411" t="s">
        <v>57</v>
      </c>
      <c r="BC411" t="s">
        <v>58</v>
      </c>
      <c r="BD411" t="s">
        <v>59</v>
      </c>
      <c r="BE411" t="s">
        <v>57</v>
      </c>
      <c r="BF411" t="s">
        <v>358</v>
      </c>
      <c r="BG411" t="s">
        <v>53</v>
      </c>
      <c r="BH411" t="s">
        <v>60</v>
      </c>
    </row>
    <row r="412" spans="33:60" x14ac:dyDescent="0.25">
      <c r="AG412" s="18"/>
      <c r="AH412" s="18"/>
      <c r="AI412" s="18"/>
      <c r="AK412" s="32" t="s">
        <v>50</v>
      </c>
      <c r="AL412" t="s">
        <v>148</v>
      </c>
      <c r="AM412" t="s">
        <v>379</v>
      </c>
      <c r="AN412" t="s">
        <v>380</v>
      </c>
      <c r="AW412" t="s">
        <v>82</v>
      </c>
      <c r="AX412" t="s">
        <v>358</v>
      </c>
      <c r="AY412">
        <v>4</v>
      </c>
      <c r="AZ412" t="s">
        <v>83</v>
      </c>
      <c r="BA412" t="s">
        <v>84</v>
      </c>
      <c r="BB412" t="s">
        <v>85</v>
      </c>
      <c r="BC412" t="s">
        <v>86</v>
      </c>
      <c r="BD412" t="s">
        <v>87</v>
      </c>
      <c r="BE412" t="s">
        <v>85</v>
      </c>
      <c r="BF412" t="s">
        <v>358</v>
      </c>
      <c r="BG412" t="s">
        <v>82</v>
      </c>
      <c r="BH412" t="s">
        <v>88</v>
      </c>
    </row>
    <row r="413" spans="33:60" x14ac:dyDescent="0.25">
      <c r="AG413" s="18"/>
      <c r="AH413" s="18"/>
      <c r="AI413" s="18"/>
      <c r="AK413" s="32" t="s">
        <v>50</v>
      </c>
      <c r="AL413" t="s">
        <v>148</v>
      </c>
      <c r="AM413" t="s">
        <v>381</v>
      </c>
      <c r="AN413" t="s">
        <v>382</v>
      </c>
      <c r="AW413" t="s">
        <v>106</v>
      </c>
      <c r="AX413" t="s">
        <v>358</v>
      </c>
      <c r="AY413">
        <v>5</v>
      </c>
      <c r="AZ413" t="s">
        <v>107</v>
      </c>
      <c r="BA413" t="s">
        <v>108</v>
      </c>
      <c r="BB413" t="s">
        <v>109</v>
      </c>
      <c r="BC413" t="s">
        <v>110</v>
      </c>
      <c r="BD413" t="s">
        <v>111</v>
      </c>
      <c r="BE413" t="s">
        <v>109</v>
      </c>
      <c r="BF413" t="s">
        <v>358</v>
      </c>
      <c r="BG413" t="s">
        <v>106</v>
      </c>
      <c r="BH413" t="s">
        <v>65</v>
      </c>
    </row>
    <row r="414" spans="33:60" x14ac:dyDescent="0.25">
      <c r="AG414" s="18"/>
      <c r="AH414" s="18"/>
      <c r="AI414" s="18"/>
      <c r="AK414" s="32" t="s">
        <v>50</v>
      </c>
      <c r="AL414" t="s">
        <v>148</v>
      </c>
      <c r="AM414" t="s">
        <v>383</v>
      </c>
      <c r="AN414" t="s">
        <v>384</v>
      </c>
      <c r="AW414" t="s">
        <v>121</v>
      </c>
      <c r="AX414" t="s">
        <v>358</v>
      </c>
      <c r="AY414">
        <v>6</v>
      </c>
      <c r="AZ414" t="s">
        <v>122</v>
      </c>
      <c r="BA414" t="s">
        <v>123</v>
      </c>
      <c r="BB414" t="s">
        <v>124</v>
      </c>
      <c r="BC414" t="s">
        <v>125</v>
      </c>
      <c r="BD414" t="s">
        <v>126</v>
      </c>
      <c r="BE414" t="s">
        <v>124</v>
      </c>
      <c r="BF414" t="s">
        <v>358</v>
      </c>
      <c r="BG414" t="s">
        <v>121</v>
      </c>
      <c r="BH414" t="s">
        <v>127</v>
      </c>
    </row>
    <row r="415" spans="33:60" x14ac:dyDescent="0.25">
      <c r="AK415" s="32" t="s">
        <v>50</v>
      </c>
      <c r="AL415" t="s">
        <v>148</v>
      </c>
      <c r="AM415" t="s">
        <v>385</v>
      </c>
      <c r="AN415" t="s">
        <v>386</v>
      </c>
      <c r="AW415" t="s">
        <v>139</v>
      </c>
      <c r="AX415" t="s">
        <v>358</v>
      </c>
      <c r="AY415">
        <v>7</v>
      </c>
      <c r="AZ415" t="s">
        <v>140</v>
      </c>
      <c r="BA415" t="s">
        <v>141</v>
      </c>
      <c r="BB415" t="s">
        <v>142</v>
      </c>
      <c r="BC415" t="s">
        <v>143</v>
      </c>
      <c r="BD415" t="s">
        <v>144</v>
      </c>
      <c r="BE415" t="s">
        <v>142</v>
      </c>
      <c r="BF415" t="s">
        <v>358</v>
      </c>
      <c r="BG415" t="s">
        <v>139</v>
      </c>
      <c r="BH415" t="s">
        <v>145</v>
      </c>
    </row>
    <row r="416" spans="33:60" x14ac:dyDescent="0.25">
      <c r="AK416" s="32" t="s">
        <v>50</v>
      </c>
      <c r="AL416" t="s">
        <v>148</v>
      </c>
      <c r="AM416" t="s">
        <v>387</v>
      </c>
      <c r="AN416" t="s">
        <v>388</v>
      </c>
      <c r="AW416" t="s">
        <v>151</v>
      </c>
      <c r="AX416" t="s">
        <v>358</v>
      </c>
      <c r="AY416">
        <v>8</v>
      </c>
      <c r="AZ416" t="s">
        <v>152</v>
      </c>
      <c r="BA416" t="s">
        <v>153</v>
      </c>
      <c r="BB416" t="s">
        <v>154</v>
      </c>
      <c r="BC416" t="s">
        <v>155</v>
      </c>
      <c r="BD416" t="s">
        <v>156</v>
      </c>
      <c r="BE416" t="s">
        <v>154</v>
      </c>
      <c r="BF416" t="s">
        <v>358</v>
      </c>
      <c r="BG416" t="s">
        <v>151</v>
      </c>
      <c r="BH416" t="s">
        <v>157</v>
      </c>
    </row>
    <row r="417" spans="37:60" x14ac:dyDescent="0.25">
      <c r="AK417" s="32" t="s">
        <v>50</v>
      </c>
      <c r="AL417" t="s">
        <v>148</v>
      </c>
      <c r="AM417" t="s">
        <v>389</v>
      </c>
      <c r="AN417" t="s">
        <v>390</v>
      </c>
      <c r="AW417" t="s">
        <v>164</v>
      </c>
      <c r="AX417" t="s">
        <v>358</v>
      </c>
      <c r="AY417">
        <v>9</v>
      </c>
      <c r="AZ417" t="s">
        <v>165</v>
      </c>
      <c r="BA417" t="s">
        <v>166</v>
      </c>
      <c r="BB417" t="s">
        <v>167</v>
      </c>
      <c r="BC417" t="s">
        <v>168</v>
      </c>
      <c r="BD417" t="s">
        <v>169</v>
      </c>
      <c r="BE417" t="s">
        <v>167</v>
      </c>
      <c r="BF417" t="s">
        <v>358</v>
      </c>
      <c r="BG417" t="s">
        <v>164</v>
      </c>
      <c r="BH417" t="s">
        <v>91</v>
      </c>
    </row>
    <row r="418" spans="37:60" x14ac:dyDescent="0.25">
      <c r="AK418" s="32" t="s">
        <v>50</v>
      </c>
      <c r="AL418" t="s">
        <v>148</v>
      </c>
      <c r="AM418" t="s">
        <v>391</v>
      </c>
      <c r="AN418" t="s">
        <v>392</v>
      </c>
      <c r="AW418" t="s">
        <v>176</v>
      </c>
      <c r="AX418" t="s">
        <v>358</v>
      </c>
      <c r="AY418">
        <v>10</v>
      </c>
      <c r="AZ418" t="s">
        <v>177</v>
      </c>
      <c r="BA418" t="s">
        <v>178</v>
      </c>
      <c r="BB418" t="s">
        <v>179</v>
      </c>
      <c r="BC418" t="s">
        <v>180</v>
      </c>
      <c r="BD418" t="s">
        <v>181</v>
      </c>
      <c r="BE418" t="s">
        <v>179</v>
      </c>
      <c r="BF418" t="s">
        <v>358</v>
      </c>
      <c r="BG418" t="s">
        <v>176</v>
      </c>
      <c r="BH418" t="s">
        <v>182</v>
      </c>
    </row>
    <row r="419" spans="37:60" x14ac:dyDescent="0.25">
      <c r="AK419" s="32" t="s">
        <v>50</v>
      </c>
      <c r="AL419" t="s">
        <v>148</v>
      </c>
      <c r="AM419" t="s">
        <v>393</v>
      </c>
      <c r="AN419" t="s">
        <v>394</v>
      </c>
      <c r="AW419" t="s">
        <v>189</v>
      </c>
      <c r="AX419" t="s">
        <v>358</v>
      </c>
      <c r="AY419">
        <v>11</v>
      </c>
      <c r="AZ419" t="s">
        <v>190</v>
      </c>
      <c r="BA419" t="s">
        <v>191</v>
      </c>
      <c r="BB419" t="s">
        <v>192</v>
      </c>
      <c r="BC419" t="s">
        <v>193</v>
      </c>
      <c r="BD419" t="s">
        <v>194</v>
      </c>
      <c r="BE419" t="s">
        <v>192</v>
      </c>
      <c r="BF419" t="s">
        <v>358</v>
      </c>
      <c r="BG419" t="s">
        <v>189</v>
      </c>
      <c r="BH419" t="s">
        <v>195</v>
      </c>
    </row>
    <row r="420" spans="37:60" x14ac:dyDescent="0.25">
      <c r="AK420" s="32" t="s">
        <v>50</v>
      </c>
      <c r="AL420" t="s">
        <v>148</v>
      </c>
      <c r="AM420" t="s">
        <v>395</v>
      </c>
      <c r="AN420" t="s">
        <v>396</v>
      </c>
      <c r="AW420" t="s">
        <v>201</v>
      </c>
      <c r="AX420" t="s">
        <v>358</v>
      </c>
      <c r="AY420">
        <v>14</v>
      </c>
      <c r="AZ420" t="s">
        <v>202</v>
      </c>
      <c r="BA420" t="s">
        <v>203</v>
      </c>
      <c r="BB420" t="s">
        <v>204</v>
      </c>
      <c r="BC420" t="s">
        <v>205</v>
      </c>
      <c r="BD420" t="s">
        <v>206</v>
      </c>
      <c r="BE420" t="s">
        <v>204</v>
      </c>
      <c r="BF420" t="s">
        <v>358</v>
      </c>
      <c r="BG420" t="s">
        <v>201</v>
      </c>
      <c r="BH420" t="s">
        <v>207</v>
      </c>
    </row>
    <row r="421" spans="37:60" x14ac:dyDescent="0.25">
      <c r="AK421" s="32" t="s">
        <v>50</v>
      </c>
      <c r="AL421" t="s">
        <v>148</v>
      </c>
      <c r="AM421" t="s">
        <v>397</v>
      </c>
      <c r="AN421" t="s">
        <v>398</v>
      </c>
      <c r="AW421" t="s">
        <v>213</v>
      </c>
      <c r="AX421" t="s">
        <v>358</v>
      </c>
      <c r="AY421">
        <v>18</v>
      </c>
      <c r="AZ421" t="s">
        <v>214</v>
      </c>
      <c r="BA421" t="s">
        <v>215</v>
      </c>
      <c r="BB421" t="s">
        <v>216</v>
      </c>
      <c r="BC421" t="s">
        <v>217</v>
      </c>
      <c r="BD421" t="s">
        <v>218</v>
      </c>
      <c r="BE421" t="s">
        <v>216</v>
      </c>
      <c r="BF421" t="s">
        <v>358</v>
      </c>
      <c r="BG421" t="s">
        <v>213</v>
      </c>
      <c r="BH421" t="s">
        <v>219</v>
      </c>
    </row>
    <row r="422" spans="37:60" x14ac:dyDescent="0.25">
      <c r="AK422" s="32" t="s">
        <v>50</v>
      </c>
      <c r="AL422" t="s">
        <v>148</v>
      </c>
      <c r="AM422" t="s">
        <v>399</v>
      </c>
      <c r="AN422" t="s">
        <v>400</v>
      </c>
      <c r="AW422" s="18"/>
      <c r="AX422" t="s">
        <v>364</v>
      </c>
      <c r="AY422">
        <v>3</v>
      </c>
      <c r="AZ422" t="s">
        <v>55</v>
      </c>
      <c r="BA422" t="s">
        <v>56</v>
      </c>
      <c r="BB422" t="s">
        <v>57</v>
      </c>
      <c r="BC422" t="s">
        <v>58</v>
      </c>
      <c r="BD422" t="s">
        <v>59</v>
      </c>
      <c r="BE422" t="s">
        <v>57</v>
      </c>
      <c r="BF422" t="s">
        <v>364</v>
      </c>
      <c r="BG422" t="s">
        <v>53</v>
      </c>
      <c r="BH422" t="s">
        <v>60</v>
      </c>
    </row>
    <row r="423" spans="37:60" x14ac:dyDescent="0.25">
      <c r="AK423" s="32" t="s">
        <v>50</v>
      </c>
      <c r="AL423" t="s">
        <v>148</v>
      </c>
      <c r="AM423" t="s">
        <v>401</v>
      </c>
      <c r="AN423" t="s">
        <v>402</v>
      </c>
      <c r="AW423" s="18"/>
      <c r="AX423" t="s">
        <v>364</v>
      </c>
      <c r="AY423">
        <v>4</v>
      </c>
      <c r="AZ423" t="s">
        <v>83</v>
      </c>
      <c r="BA423" t="s">
        <v>84</v>
      </c>
      <c r="BB423" t="s">
        <v>85</v>
      </c>
      <c r="BC423" t="s">
        <v>86</v>
      </c>
      <c r="BD423" t="s">
        <v>87</v>
      </c>
      <c r="BE423" t="s">
        <v>85</v>
      </c>
      <c r="BF423" t="s">
        <v>364</v>
      </c>
      <c r="BG423" t="s">
        <v>82</v>
      </c>
      <c r="BH423" t="s">
        <v>88</v>
      </c>
    </row>
    <row r="424" spans="37:60" x14ac:dyDescent="0.25">
      <c r="AK424" s="32" t="s">
        <v>50</v>
      </c>
      <c r="AL424" t="s">
        <v>148</v>
      </c>
      <c r="AM424" t="s">
        <v>403</v>
      </c>
      <c r="AN424" t="s">
        <v>404</v>
      </c>
      <c r="AW424" s="18"/>
      <c r="AX424" t="s">
        <v>364</v>
      </c>
      <c r="AY424">
        <v>5</v>
      </c>
      <c r="AZ424" t="s">
        <v>107</v>
      </c>
      <c r="BA424" t="s">
        <v>108</v>
      </c>
      <c r="BB424" t="s">
        <v>109</v>
      </c>
      <c r="BC424" t="s">
        <v>110</v>
      </c>
      <c r="BD424" t="s">
        <v>111</v>
      </c>
      <c r="BE424" t="s">
        <v>109</v>
      </c>
      <c r="BF424" t="s">
        <v>364</v>
      </c>
      <c r="BG424" t="s">
        <v>106</v>
      </c>
      <c r="BH424" t="s">
        <v>65</v>
      </c>
    </row>
    <row r="425" spans="37:60" x14ac:dyDescent="0.25">
      <c r="AK425" s="32" t="s">
        <v>50</v>
      </c>
      <c r="AL425" t="s">
        <v>148</v>
      </c>
      <c r="AM425" t="s">
        <v>405</v>
      </c>
      <c r="AN425" t="s">
        <v>406</v>
      </c>
      <c r="AW425" s="18"/>
      <c r="AX425" t="s">
        <v>364</v>
      </c>
      <c r="AY425">
        <v>6</v>
      </c>
      <c r="AZ425" t="s">
        <v>122</v>
      </c>
      <c r="BA425" t="s">
        <v>123</v>
      </c>
      <c r="BB425" t="s">
        <v>124</v>
      </c>
      <c r="BC425" t="s">
        <v>125</v>
      </c>
      <c r="BD425" t="s">
        <v>126</v>
      </c>
      <c r="BE425" t="s">
        <v>124</v>
      </c>
      <c r="BF425" t="s">
        <v>364</v>
      </c>
      <c r="BG425" t="s">
        <v>121</v>
      </c>
      <c r="BH425" t="s">
        <v>127</v>
      </c>
    </row>
    <row r="426" spans="37:60" x14ac:dyDescent="0.25">
      <c r="AK426" s="32" t="s">
        <v>50</v>
      </c>
      <c r="AL426" t="s">
        <v>148</v>
      </c>
      <c r="AM426" t="s">
        <v>407</v>
      </c>
      <c r="AN426" t="s">
        <v>408</v>
      </c>
      <c r="AW426" s="18"/>
      <c r="AX426" t="s">
        <v>364</v>
      </c>
      <c r="AY426">
        <v>7</v>
      </c>
      <c r="AZ426" t="s">
        <v>140</v>
      </c>
      <c r="BA426" t="s">
        <v>141</v>
      </c>
      <c r="BB426" t="s">
        <v>142</v>
      </c>
      <c r="BC426" t="s">
        <v>143</v>
      </c>
      <c r="BD426" t="s">
        <v>144</v>
      </c>
      <c r="BE426" t="s">
        <v>142</v>
      </c>
      <c r="BF426" t="s">
        <v>364</v>
      </c>
      <c r="BG426" t="s">
        <v>139</v>
      </c>
      <c r="BH426" t="s">
        <v>145</v>
      </c>
    </row>
    <row r="427" spans="37:60" x14ac:dyDescent="0.25">
      <c r="AK427" s="32" t="s">
        <v>50</v>
      </c>
      <c r="AL427" t="s">
        <v>148</v>
      </c>
      <c r="AM427" t="s">
        <v>409</v>
      </c>
      <c r="AN427" t="s">
        <v>410</v>
      </c>
      <c r="AW427" s="18"/>
      <c r="AX427" t="s">
        <v>364</v>
      </c>
      <c r="AY427">
        <v>8</v>
      </c>
      <c r="AZ427" t="s">
        <v>152</v>
      </c>
      <c r="BA427" t="s">
        <v>153</v>
      </c>
      <c r="BB427" t="s">
        <v>154</v>
      </c>
      <c r="BC427" t="s">
        <v>155</v>
      </c>
      <c r="BD427" t="s">
        <v>156</v>
      </c>
      <c r="BE427" t="s">
        <v>154</v>
      </c>
      <c r="BF427" t="s">
        <v>364</v>
      </c>
      <c r="BG427" t="s">
        <v>151</v>
      </c>
      <c r="BH427" t="s">
        <v>157</v>
      </c>
    </row>
    <row r="428" spans="37:60" x14ac:dyDescent="0.25">
      <c r="AW428" s="18"/>
      <c r="AX428" t="s">
        <v>364</v>
      </c>
      <c r="AY428">
        <v>9</v>
      </c>
      <c r="AZ428" t="s">
        <v>165</v>
      </c>
      <c r="BA428" t="s">
        <v>166</v>
      </c>
      <c r="BB428" t="s">
        <v>167</v>
      </c>
      <c r="BC428" t="s">
        <v>168</v>
      </c>
      <c r="BD428" t="s">
        <v>169</v>
      </c>
      <c r="BE428" t="s">
        <v>167</v>
      </c>
      <c r="BF428" t="s">
        <v>364</v>
      </c>
      <c r="BG428" t="s">
        <v>164</v>
      </c>
      <c r="BH428" t="s">
        <v>91</v>
      </c>
    </row>
    <row r="429" spans="37:60" x14ac:dyDescent="0.25">
      <c r="AK429" s="32" t="s">
        <v>50</v>
      </c>
      <c r="AL429" t="s">
        <v>159</v>
      </c>
      <c r="AM429" t="s">
        <v>51</v>
      </c>
      <c r="AN429" t="s">
        <v>52</v>
      </c>
      <c r="AW429" s="18"/>
      <c r="AX429" t="s">
        <v>364</v>
      </c>
      <c r="AY429">
        <v>10</v>
      </c>
      <c r="AZ429" t="s">
        <v>177</v>
      </c>
      <c r="BA429" t="s">
        <v>178</v>
      </c>
      <c r="BB429" t="s">
        <v>179</v>
      </c>
      <c r="BC429" t="s">
        <v>180</v>
      </c>
      <c r="BD429" t="s">
        <v>181</v>
      </c>
      <c r="BE429" t="s">
        <v>179</v>
      </c>
      <c r="BF429" t="s">
        <v>364</v>
      </c>
      <c r="BG429" t="s">
        <v>176</v>
      </c>
      <c r="BH429" t="s">
        <v>182</v>
      </c>
    </row>
    <row r="430" spans="37:60" x14ac:dyDescent="0.25">
      <c r="AK430" s="32" t="s">
        <v>50</v>
      </c>
      <c r="AL430" t="s">
        <v>159</v>
      </c>
      <c r="AM430" t="s">
        <v>80</v>
      </c>
      <c r="AN430" t="s">
        <v>81</v>
      </c>
      <c r="AW430" s="18"/>
      <c r="AX430" t="s">
        <v>364</v>
      </c>
      <c r="AY430">
        <v>11</v>
      </c>
      <c r="AZ430" t="s">
        <v>190</v>
      </c>
      <c r="BA430" t="s">
        <v>191</v>
      </c>
      <c r="BB430" t="s">
        <v>192</v>
      </c>
      <c r="BC430" t="s">
        <v>193</v>
      </c>
      <c r="BD430" t="s">
        <v>194</v>
      </c>
      <c r="BE430" t="s">
        <v>192</v>
      </c>
      <c r="BF430" t="s">
        <v>364</v>
      </c>
      <c r="BG430" t="s">
        <v>189</v>
      </c>
      <c r="BH430" t="s">
        <v>195</v>
      </c>
    </row>
    <row r="431" spans="37:60" x14ac:dyDescent="0.25">
      <c r="AK431" s="32" t="s">
        <v>50</v>
      </c>
      <c r="AL431" t="s">
        <v>159</v>
      </c>
      <c r="AM431" t="s">
        <v>104</v>
      </c>
      <c r="AN431" t="s">
        <v>105</v>
      </c>
      <c r="AW431" s="18"/>
      <c r="AX431" t="s">
        <v>364</v>
      </c>
      <c r="AY431">
        <v>14</v>
      </c>
      <c r="AZ431" t="s">
        <v>202</v>
      </c>
      <c r="BA431" t="s">
        <v>203</v>
      </c>
      <c r="BB431" t="s">
        <v>204</v>
      </c>
      <c r="BC431" t="s">
        <v>205</v>
      </c>
      <c r="BD431" t="s">
        <v>206</v>
      </c>
      <c r="BE431" t="s">
        <v>204</v>
      </c>
      <c r="BF431" t="s">
        <v>364</v>
      </c>
      <c r="BG431" t="s">
        <v>201</v>
      </c>
      <c r="BH431" t="s">
        <v>207</v>
      </c>
    </row>
    <row r="432" spans="37:60" x14ac:dyDescent="0.25">
      <c r="AK432" s="32" t="s">
        <v>50</v>
      </c>
      <c r="AL432" t="s">
        <v>159</v>
      </c>
      <c r="AM432" t="s">
        <v>119</v>
      </c>
      <c r="AN432" t="s">
        <v>120</v>
      </c>
      <c r="AW432" s="18"/>
      <c r="AX432" t="s">
        <v>364</v>
      </c>
      <c r="AY432">
        <v>18</v>
      </c>
      <c r="AZ432" t="s">
        <v>214</v>
      </c>
      <c r="BA432" t="s">
        <v>215</v>
      </c>
      <c r="BB432" t="s">
        <v>216</v>
      </c>
      <c r="BC432" t="s">
        <v>217</v>
      </c>
      <c r="BD432" t="s">
        <v>218</v>
      </c>
      <c r="BE432" t="s">
        <v>216</v>
      </c>
      <c r="BF432" t="s">
        <v>364</v>
      </c>
      <c r="BG432" t="s">
        <v>213</v>
      </c>
      <c r="BH432" t="s">
        <v>219</v>
      </c>
    </row>
    <row r="433" spans="37:60" x14ac:dyDescent="0.25">
      <c r="AK433" s="32" t="s">
        <v>50</v>
      </c>
      <c r="AL433" t="s">
        <v>159</v>
      </c>
      <c r="AM433" t="s">
        <v>137</v>
      </c>
      <c r="AN433" t="s">
        <v>138</v>
      </c>
      <c r="AW433" s="18"/>
      <c r="AX433" s="18"/>
      <c r="AY433" s="18"/>
      <c r="AZ433" s="18"/>
      <c r="BA433" s="18"/>
      <c r="BB433" s="18"/>
      <c r="BC433" s="18"/>
      <c r="BD433" s="18"/>
      <c r="BF433" s="18"/>
      <c r="BG433" s="18"/>
      <c r="BH433" s="18"/>
    </row>
    <row r="434" spans="37:60" x14ac:dyDescent="0.25">
      <c r="AK434" s="32" t="s">
        <v>50</v>
      </c>
      <c r="AL434" t="s">
        <v>159</v>
      </c>
      <c r="AM434" t="s">
        <v>149</v>
      </c>
      <c r="AN434" t="s">
        <v>150</v>
      </c>
      <c r="AW434" s="18"/>
      <c r="AX434" s="18"/>
      <c r="AY434" s="18"/>
      <c r="AZ434" s="18"/>
      <c r="BA434" s="18"/>
      <c r="BB434" s="18"/>
      <c r="BC434" s="18"/>
      <c r="BD434" s="18"/>
      <c r="BF434" s="18"/>
      <c r="BG434" s="18"/>
      <c r="BH434" s="18"/>
    </row>
    <row r="435" spans="37:60" x14ac:dyDescent="0.25">
      <c r="AK435" s="32" t="s">
        <v>50</v>
      </c>
      <c r="AL435" t="s">
        <v>159</v>
      </c>
      <c r="AM435" t="s">
        <v>162</v>
      </c>
      <c r="AN435" t="s">
        <v>163</v>
      </c>
      <c r="AW435" s="18"/>
      <c r="AX435" s="18"/>
      <c r="AY435" s="18"/>
      <c r="AZ435" s="18"/>
      <c r="BA435" s="18"/>
      <c r="BB435" s="18"/>
      <c r="BC435" s="18"/>
      <c r="BD435" s="18"/>
      <c r="BF435" s="18"/>
      <c r="BG435" s="18"/>
      <c r="BH435" s="18"/>
    </row>
    <row r="436" spans="37:60" x14ac:dyDescent="0.25">
      <c r="AK436" s="32" t="s">
        <v>50</v>
      </c>
      <c r="AL436" t="s">
        <v>159</v>
      </c>
      <c r="AM436" t="s">
        <v>174</v>
      </c>
      <c r="AN436" t="s">
        <v>175</v>
      </c>
      <c r="AW436" s="18"/>
      <c r="AX436" s="18"/>
      <c r="AY436" s="18"/>
      <c r="AZ436" s="18"/>
      <c r="BA436" s="18"/>
      <c r="BB436" s="18"/>
      <c r="BC436" s="18"/>
      <c r="BD436" s="18"/>
      <c r="BF436" s="18"/>
      <c r="BG436" s="18"/>
      <c r="BH436" s="18"/>
    </row>
    <row r="437" spans="37:60" x14ac:dyDescent="0.25">
      <c r="AK437" s="32" t="s">
        <v>50</v>
      </c>
      <c r="AL437" t="s">
        <v>159</v>
      </c>
      <c r="AM437" t="s">
        <v>187</v>
      </c>
      <c r="AN437" t="s">
        <v>188</v>
      </c>
      <c r="AW437" s="18"/>
      <c r="AX437" s="18"/>
      <c r="AY437" s="18"/>
      <c r="AZ437" s="18"/>
      <c r="BA437" s="18"/>
      <c r="BB437" s="18"/>
      <c r="BC437" s="18"/>
      <c r="BD437" s="18"/>
      <c r="BF437" s="18"/>
      <c r="BG437" s="18"/>
      <c r="BH437" s="18"/>
    </row>
    <row r="438" spans="37:60" x14ac:dyDescent="0.25">
      <c r="AK438" s="32" t="s">
        <v>50</v>
      </c>
      <c r="AL438" t="s">
        <v>159</v>
      </c>
      <c r="AM438" t="s">
        <v>199</v>
      </c>
      <c r="AN438" t="s">
        <v>200</v>
      </c>
      <c r="AW438" s="18"/>
      <c r="AX438" s="18"/>
      <c r="AY438" s="18"/>
      <c r="AZ438" s="18"/>
      <c r="BA438" s="18"/>
      <c r="BB438" s="18"/>
      <c r="BC438" s="18"/>
      <c r="BD438" s="18"/>
      <c r="BF438" s="18"/>
      <c r="BG438" s="18"/>
      <c r="BH438" s="18"/>
    </row>
    <row r="439" spans="37:60" x14ac:dyDescent="0.25">
      <c r="AK439" s="32" t="s">
        <v>50</v>
      </c>
      <c r="AL439" t="s">
        <v>159</v>
      </c>
      <c r="AM439" t="s">
        <v>211</v>
      </c>
      <c r="AN439" t="s">
        <v>212</v>
      </c>
      <c r="AW439" s="18"/>
      <c r="AX439" s="18"/>
      <c r="AY439" s="18"/>
      <c r="AZ439" s="18"/>
      <c r="BA439" s="18"/>
      <c r="BB439" s="18"/>
      <c r="BC439" s="18"/>
      <c r="BD439" s="18"/>
      <c r="BF439" s="18"/>
      <c r="BG439" s="18"/>
      <c r="BH439" s="18"/>
    </row>
    <row r="440" spans="37:60" x14ac:dyDescent="0.25">
      <c r="AK440" s="32" t="s">
        <v>50</v>
      </c>
      <c r="AL440" t="s">
        <v>159</v>
      </c>
      <c r="AM440" t="s">
        <v>223</v>
      </c>
      <c r="AN440" t="s">
        <v>224</v>
      </c>
      <c r="AW440" s="18"/>
      <c r="AX440" s="18"/>
      <c r="AY440" s="18"/>
      <c r="AZ440" s="18"/>
      <c r="BA440" s="18"/>
      <c r="BB440" s="18"/>
      <c r="BC440" s="18"/>
      <c r="BD440" s="18"/>
      <c r="BF440" s="18"/>
      <c r="BG440" s="18"/>
      <c r="BH440" s="18"/>
    </row>
    <row r="441" spans="37:60" x14ac:dyDescent="0.25">
      <c r="AK441" s="32" t="s">
        <v>50</v>
      </c>
      <c r="AL441" t="s">
        <v>159</v>
      </c>
      <c r="AM441" t="s">
        <v>232</v>
      </c>
      <c r="AN441" t="s">
        <v>233</v>
      </c>
      <c r="AW441" s="18"/>
      <c r="AX441" s="18"/>
      <c r="AY441" s="18"/>
      <c r="AZ441" s="18"/>
      <c r="BA441" s="18"/>
      <c r="BB441" s="18"/>
      <c r="BC441" s="18"/>
      <c r="BD441" s="18"/>
      <c r="BF441" s="18"/>
      <c r="BG441" s="18"/>
      <c r="BH441" s="18"/>
    </row>
    <row r="442" spans="37:60" x14ac:dyDescent="0.25">
      <c r="AK442" s="32" t="s">
        <v>50</v>
      </c>
      <c r="AL442" t="s">
        <v>159</v>
      </c>
      <c r="AM442" t="s">
        <v>239</v>
      </c>
      <c r="AN442" t="s">
        <v>240</v>
      </c>
      <c r="AW442" s="18"/>
      <c r="AX442" s="18"/>
      <c r="AY442" s="18"/>
      <c r="AZ442" s="18"/>
      <c r="BA442" s="18"/>
      <c r="BB442" s="18"/>
      <c r="BC442" s="18"/>
      <c r="BD442" s="18"/>
      <c r="BF442" s="18"/>
      <c r="BG442" s="18"/>
      <c r="BH442" s="18"/>
    </row>
    <row r="443" spans="37:60" x14ac:dyDescent="0.25">
      <c r="AK443" s="32" t="s">
        <v>50</v>
      </c>
      <c r="AL443" t="s">
        <v>159</v>
      </c>
      <c r="AM443" t="s">
        <v>246</v>
      </c>
      <c r="AN443" t="s">
        <v>247</v>
      </c>
      <c r="AW443" s="18"/>
      <c r="AX443" s="18"/>
      <c r="AY443" s="18"/>
      <c r="AZ443" s="18"/>
      <c r="BA443" s="18"/>
      <c r="BB443" s="18"/>
      <c r="BC443" s="18"/>
      <c r="BD443" s="18"/>
      <c r="BF443" s="18"/>
      <c r="BG443" s="18"/>
      <c r="BH443" s="18"/>
    </row>
    <row r="444" spans="37:60" x14ac:dyDescent="0.25">
      <c r="AK444" s="32" t="s">
        <v>50</v>
      </c>
      <c r="AL444" t="s">
        <v>159</v>
      </c>
      <c r="AM444" t="s">
        <v>254</v>
      </c>
      <c r="AN444" t="s">
        <v>255</v>
      </c>
      <c r="AW444" s="18"/>
      <c r="AX444" s="18"/>
      <c r="AY444" s="18"/>
      <c r="AZ444" s="18"/>
      <c r="BA444" s="18"/>
      <c r="BB444" s="18"/>
      <c r="BC444" s="18"/>
      <c r="BD444" s="18"/>
      <c r="BF444" s="18"/>
      <c r="BG444" s="18"/>
      <c r="BH444" s="18"/>
    </row>
    <row r="445" spans="37:60" x14ac:dyDescent="0.25">
      <c r="AK445" s="32" t="s">
        <v>50</v>
      </c>
      <c r="AL445" t="s">
        <v>159</v>
      </c>
      <c r="AM445" t="s">
        <v>262</v>
      </c>
      <c r="AN445" t="s">
        <v>263</v>
      </c>
      <c r="AW445" s="18"/>
      <c r="AX445" s="18"/>
      <c r="AY445" s="18"/>
      <c r="AZ445" s="18"/>
      <c r="BA445" s="18"/>
      <c r="BB445" s="18"/>
      <c r="BC445" s="18"/>
      <c r="BD445" s="18"/>
      <c r="BF445" s="18"/>
      <c r="BG445" s="18"/>
      <c r="BH445" s="18"/>
    </row>
    <row r="446" spans="37:60" x14ac:dyDescent="0.25">
      <c r="AK446" s="32" t="s">
        <v>50</v>
      </c>
      <c r="AL446" t="s">
        <v>159</v>
      </c>
      <c r="AM446" t="s">
        <v>270</v>
      </c>
      <c r="AN446" t="s">
        <v>271</v>
      </c>
      <c r="AW446" s="18"/>
      <c r="AX446" s="18"/>
      <c r="AY446" s="18"/>
      <c r="AZ446" s="18"/>
      <c r="BA446" s="18"/>
      <c r="BB446" s="18"/>
      <c r="BC446" s="18"/>
      <c r="BD446" s="18"/>
      <c r="BF446" s="18"/>
      <c r="BG446" s="18"/>
      <c r="BH446" s="18"/>
    </row>
    <row r="447" spans="37:60" x14ac:dyDescent="0.25">
      <c r="AK447" s="32" t="s">
        <v>50</v>
      </c>
      <c r="AL447" t="s">
        <v>159</v>
      </c>
      <c r="AM447" t="s">
        <v>277</v>
      </c>
      <c r="AN447" t="s">
        <v>278</v>
      </c>
      <c r="AX447" s="18"/>
      <c r="AY447" s="18"/>
      <c r="AZ447" s="18"/>
      <c r="BA447" s="18"/>
      <c r="BB447" s="18"/>
      <c r="BC447" s="18"/>
      <c r="BD447" s="18"/>
      <c r="BF447" s="18"/>
      <c r="BG447" s="18"/>
      <c r="BH447" s="18"/>
    </row>
    <row r="448" spans="37:60" x14ac:dyDescent="0.25">
      <c r="AK448" s="32" t="s">
        <v>50</v>
      </c>
      <c r="AL448" t="s">
        <v>159</v>
      </c>
      <c r="AM448" t="s">
        <v>284</v>
      </c>
      <c r="AN448" t="s">
        <v>285</v>
      </c>
      <c r="AX448" s="18"/>
      <c r="AY448" s="18"/>
      <c r="AZ448" s="18"/>
      <c r="BA448" s="18"/>
      <c r="BB448" s="18"/>
      <c r="BC448" s="18"/>
      <c r="BD448" s="18"/>
      <c r="BF448" s="18"/>
      <c r="BG448" s="18"/>
      <c r="BH448" s="18"/>
    </row>
    <row r="449" spans="37:60" x14ac:dyDescent="0.25">
      <c r="AK449" s="32" t="s">
        <v>50</v>
      </c>
      <c r="AL449" t="s">
        <v>159</v>
      </c>
      <c r="AM449" t="s">
        <v>291</v>
      </c>
      <c r="AN449" t="s">
        <v>292</v>
      </c>
      <c r="AX449" s="18"/>
      <c r="AY449" s="18"/>
      <c r="AZ449" s="18"/>
      <c r="BA449" s="18"/>
      <c r="BB449" s="18"/>
      <c r="BC449" s="18"/>
      <c r="BD449" s="18"/>
      <c r="BF449" s="18"/>
      <c r="BG449" s="18"/>
      <c r="BH449" s="18"/>
    </row>
    <row r="450" spans="37:60" x14ac:dyDescent="0.25">
      <c r="AK450" s="32" t="s">
        <v>50</v>
      </c>
      <c r="AL450" t="s">
        <v>159</v>
      </c>
      <c r="AM450" t="s">
        <v>298</v>
      </c>
      <c r="AN450" t="s">
        <v>299</v>
      </c>
      <c r="AX450" s="18"/>
      <c r="AY450" s="18"/>
      <c r="AZ450" s="18"/>
      <c r="BA450" s="18"/>
      <c r="BB450" s="18"/>
      <c r="BC450" s="18"/>
      <c r="BD450" s="18"/>
      <c r="BF450" s="18"/>
      <c r="BG450" s="18"/>
      <c r="BH450" s="18"/>
    </row>
    <row r="451" spans="37:60" x14ac:dyDescent="0.25">
      <c r="AK451" s="32" t="s">
        <v>50</v>
      </c>
      <c r="AL451" t="s">
        <v>159</v>
      </c>
      <c r="AM451" t="s">
        <v>305</v>
      </c>
      <c r="AN451" t="s">
        <v>306</v>
      </c>
      <c r="AX451" s="18"/>
      <c r="AY451" s="18"/>
      <c r="AZ451" s="18"/>
      <c r="BA451" s="18"/>
      <c r="BB451" s="18"/>
      <c r="BC451" s="18"/>
      <c r="BD451" s="18"/>
      <c r="BF451" s="18"/>
      <c r="BG451" s="18"/>
      <c r="BH451" s="18"/>
    </row>
    <row r="452" spans="37:60" x14ac:dyDescent="0.25">
      <c r="AK452" s="32" t="s">
        <v>50</v>
      </c>
      <c r="AL452" t="s">
        <v>159</v>
      </c>
      <c r="AM452" t="s">
        <v>309</v>
      </c>
      <c r="AN452" t="s">
        <v>310</v>
      </c>
      <c r="AX452" s="18"/>
      <c r="AY452" s="18"/>
      <c r="AZ452" s="18"/>
      <c r="BA452" s="18"/>
      <c r="BB452" s="18"/>
      <c r="BC452" s="18"/>
      <c r="BD452" s="18"/>
      <c r="BF452" s="18"/>
      <c r="BG452" s="18"/>
      <c r="BH452" s="18"/>
    </row>
    <row r="453" spans="37:60" x14ac:dyDescent="0.25">
      <c r="AK453" s="32" t="s">
        <v>50</v>
      </c>
      <c r="AL453" t="s">
        <v>159</v>
      </c>
      <c r="AM453" t="s">
        <v>312</v>
      </c>
      <c r="AN453" t="s">
        <v>313</v>
      </c>
      <c r="AX453" s="18"/>
      <c r="AY453" s="18"/>
      <c r="AZ453" s="18"/>
      <c r="BA453" s="18"/>
      <c r="BB453" s="18"/>
      <c r="BC453" s="18"/>
      <c r="BD453" s="18"/>
      <c r="BF453" s="18"/>
      <c r="BG453" s="18"/>
      <c r="BH453" s="18"/>
    </row>
    <row r="454" spans="37:60" x14ac:dyDescent="0.25">
      <c r="AK454" s="32" t="s">
        <v>50</v>
      </c>
      <c r="AL454" t="s">
        <v>159</v>
      </c>
      <c r="AM454" t="s">
        <v>315</v>
      </c>
      <c r="AN454" t="s">
        <v>316</v>
      </c>
      <c r="AX454" s="18"/>
      <c r="AY454" s="18"/>
      <c r="AZ454" s="18"/>
      <c r="BA454" s="18"/>
      <c r="BB454" s="18"/>
      <c r="BC454" s="18"/>
      <c r="BD454" s="18"/>
      <c r="BF454" s="18"/>
      <c r="BG454" s="18"/>
      <c r="BH454" s="18"/>
    </row>
    <row r="455" spans="37:60" x14ac:dyDescent="0.25">
      <c r="AK455" s="32" t="s">
        <v>50</v>
      </c>
      <c r="AL455" t="s">
        <v>159</v>
      </c>
      <c r="AM455" t="s">
        <v>319</v>
      </c>
      <c r="AN455" t="s">
        <v>320</v>
      </c>
      <c r="AX455" s="18"/>
      <c r="AY455" s="18"/>
      <c r="AZ455" s="18"/>
      <c r="BA455" s="18"/>
      <c r="BB455" s="18"/>
      <c r="BC455" s="18"/>
      <c r="BD455" s="18"/>
      <c r="BF455" s="18"/>
      <c r="BG455" s="18"/>
      <c r="BH455" s="18"/>
    </row>
    <row r="456" spans="37:60" x14ac:dyDescent="0.25">
      <c r="AK456" s="32" t="s">
        <v>50</v>
      </c>
      <c r="AL456" t="s">
        <v>159</v>
      </c>
      <c r="AM456" t="s">
        <v>323</v>
      </c>
      <c r="AN456" t="s">
        <v>324</v>
      </c>
      <c r="AX456" s="18"/>
      <c r="AY456" s="18"/>
      <c r="AZ456" s="18"/>
      <c r="BA456" s="18"/>
      <c r="BB456" s="18"/>
      <c r="BC456" s="18"/>
      <c r="BD456" s="18"/>
      <c r="BF456" s="18"/>
      <c r="BG456" s="18"/>
      <c r="BH456" s="18"/>
    </row>
    <row r="457" spans="37:60" x14ac:dyDescent="0.25">
      <c r="AK457" s="32" t="s">
        <v>50</v>
      </c>
      <c r="AL457" t="s">
        <v>159</v>
      </c>
      <c r="AM457" t="s">
        <v>326</v>
      </c>
      <c r="AN457" t="s">
        <v>327</v>
      </c>
      <c r="AX457" s="18"/>
      <c r="AY457" s="18"/>
      <c r="AZ457" s="18"/>
      <c r="BA457" s="18"/>
      <c r="BB457" s="18"/>
      <c r="BC457" s="18"/>
      <c r="BD457" s="18"/>
      <c r="BF457" s="18"/>
      <c r="BG457" s="18"/>
      <c r="BH457" s="18"/>
    </row>
    <row r="458" spans="37:60" x14ac:dyDescent="0.25">
      <c r="AK458" s="32" t="s">
        <v>50</v>
      </c>
      <c r="AL458" t="s">
        <v>159</v>
      </c>
      <c r="AM458" t="s">
        <v>330</v>
      </c>
      <c r="AN458" t="s">
        <v>331</v>
      </c>
      <c r="BF458" s="18"/>
      <c r="BG458" s="18"/>
      <c r="BH458" s="18"/>
    </row>
    <row r="459" spans="37:60" x14ac:dyDescent="0.25">
      <c r="AK459" s="32" t="s">
        <v>50</v>
      </c>
      <c r="AL459" t="s">
        <v>159</v>
      </c>
      <c r="AM459" t="s">
        <v>335</v>
      </c>
      <c r="AN459" t="s">
        <v>336</v>
      </c>
    </row>
    <row r="460" spans="37:60" x14ac:dyDescent="0.25">
      <c r="AK460" s="32" t="s">
        <v>50</v>
      </c>
      <c r="AL460" t="s">
        <v>159</v>
      </c>
      <c r="AM460" t="s">
        <v>340</v>
      </c>
      <c r="AN460" t="s">
        <v>341</v>
      </c>
    </row>
    <row r="461" spans="37:60" x14ac:dyDescent="0.25">
      <c r="AK461" s="32" t="s">
        <v>50</v>
      </c>
      <c r="AL461" t="s">
        <v>159</v>
      </c>
      <c r="AM461" t="s">
        <v>344</v>
      </c>
      <c r="AN461" t="s">
        <v>345</v>
      </c>
    </row>
    <row r="462" spans="37:60" x14ac:dyDescent="0.25">
      <c r="AK462" s="32" t="s">
        <v>50</v>
      </c>
      <c r="AL462" t="s">
        <v>159</v>
      </c>
      <c r="AM462" t="s">
        <v>348</v>
      </c>
      <c r="AN462" t="s">
        <v>349</v>
      </c>
    </row>
    <row r="463" spans="37:60" x14ac:dyDescent="0.25">
      <c r="AK463" s="32" t="s">
        <v>50</v>
      </c>
      <c r="AL463" t="s">
        <v>159</v>
      </c>
      <c r="AM463" t="s">
        <v>352</v>
      </c>
      <c r="AN463" t="s">
        <v>353</v>
      </c>
    </row>
    <row r="464" spans="37:60" x14ac:dyDescent="0.25">
      <c r="AK464" s="32" t="s">
        <v>50</v>
      </c>
      <c r="AL464" t="s">
        <v>159</v>
      </c>
      <c r="AM464" t="s">
        <v>356</v>
      </c>
      <c r="AN464" t="s">
        <v>357</v>
      </c>
    </row>
    <row r="465" spans="37:40" x14ac:dyDescent="0.25">
      <c r="AK465" s="32" t="s">
        <v>50</v>
      </c>
      <c r="AL465" t="s">
        <v>159</v>
      </c>
      <c r="AM465" t="s">
        <v>359</v>
      </c>
      <c r="AN465" t="s">
        <v>360</v>
      </c>
    </row>
    <row r="466" spans="37:40" x14ac:dyDescent="0.25">
      <c r="AK466" s="32" t="s">
        <v>50</v>
      </c>
      <c r="AL466" t="s">
        <v>159</v>
      </c>
      <c r="AM466" t="s">
        <v>362</v>
      </c>
      <c r="AN466" t="s">
        <v>363</v>
      </c>
    </row>
    <row r="467" spans="37:40" x14ac:dyDescent="0.25">
      <c r="AK467" s="32" t="s">
        <v>50</v>
      </c>
      <c r="AL467" t="s">
        <v>159</v>
      </c>
      <c r="AM467" t="s">
        <v>365</v>
      </c>
      <c r="AN467" t="s">
        <v>366</v>
      </c>
    </row>
    <row r="468" spans="37:40" x14ac:dyDescent="0.25">
      <c r="AK468" s="32" t="s">
        <v>50</v>
      </c>
      <c r="AL468" t="s">
        <v>159</v>
      </c>
      <c r="AM468" t="s">
        <v>367</v>
      </c>
      <c r="AN468" t="s">
        <v>368</v>
      </c>
    </row>
    <row r="469" spans="37:40" x14ac:dyDescent="0.25">
      <c r="AK469" s="32" t="s">
        <v>50</v>
      </c>
      <c r="AL469" t="s">
        <v>159</v>
      </c>
      <c r="AM469" t="s">
        <v>369</v>
      </c>
      <c r="AN469" t="s">
        <v>370</v>
      </c>
    </row>
    <row r="470" spans="37:40" x14ac:dyDescent="0.25">
      <c r="AK470" s="32" t="s">
        <v>50</v>
      </c>
      <c r="AL470" t="s">
        <v>159</v>
      </c>
      <c r="AM470" t="s">
        <v>371</v>
      </c>
      <c r="AN470" t="s">
        <v>372</v>
      </c>
    </row>
    <row r="471" spans="37:40" x14ac:dyDescent="0.25">
      <c r="AK471" s="32" t="s">
        <v>50</v>
      </c>
      <c r="AL471" t="s">
        <v>159</v>
      </c>
      <c r="AM471" t="s">
        <v>374</v>
      </c>
      <c r="AN471" t="s">
        <v>375</v>
      </c>
    </row>
    <row r="472" spans="37:40" x14ac:dyDescent="0.25">
      <c r="AK472" s="32" t="s">
        <v>50</v>
      </c>
      <c r="AL472" t="s">
        <v>159</v>
      </c>
      <c r="AM472" t="s">
        <v>376</v>
      </c>
      <c r="AN472" t="s">
        <v>377</v>
      </c>
    </row>
    <row r="473" spans="37:40" x14ac:dyDescent="0.25">
      <c r="AK473" s="32" t="s">
        <v>50</v>
      </c>
      <c r="AL473" t="s">
        <v>159</v>
      </c>
      <c r="AM473" t="s">
        <v>379</v>
      </c>
      <c r="AN473" t="s">
        <v>380</v>
      </c>
    </row>
    <row r="474" spans="37:40" x14ac:dyDescent="0.25">
      <c r="AK474" s="32" t="s">
        <v>50</v>
      </c>
      <c r="AL474" t="s">
        <v>159</v>
      </c>
      <c r="AM474" t="s">
        <v>381</v>
      </c>
      <c r="AN474" t="s">
        <v>382</v>
      </c>
    </row>
    <row r="475" spans="37:40" x14ac:dyDescent="0.25">
      <c r="AK475" s="32" t="s">
        <v>50</v>
      </c>
      <c r="AL475" t="s">
        <v>159</v>
      </c>
      <c r="AM475" t="s">
        <v>383</v>
      </c>
      <c r="AN475" t="s">
        <v>384</v>
      </c>
    </row>
    <row r="476" spans="37:40" x14ac:dyDescent="0.25">
      <c r="AK476" s="32" t="s">
        <v>50</v>
      </c>
      <c r="AL476" t="s">
        <v>159</v>
      </c>
      <c r="AM476" t="s">
        <v>385</v>
      </c>
      <c r="AN476" t="s">
        <v>386</v>
      </c>
    </row>
    <row r="477" spans="37:40" x14ac:dyDescent="0.25">
      <c r="AK477" s="32" t="s">
        <v>50</v>
      </c>
      <c r="AL477" t="s">
        <v>159</v>
      </c>
      <c r="AM477" t="s">
        <v>387</v>
      </c>
      <c r="AN477" t="s">
        <v>388</v>
      </c>
    </row>
    <row r="478" spans="37:40" x14ac:dyDescent="0.25">
      <c r="AK478" s="32" t="s">
        <v>50</v>
      </c>
      <c r="AL478" t="s">
        <v>159</v>
      </c>
      <c r="AM478" t="s">
        <v>389</v>
      </c>
      <c r="AN478" t="s">
        <v>390</v>
      </c>
    </row>
    <row r="479" spans="37:40" x14ac:dyDescent="0.25">
      <c r="AK479" s="32" t="s">
        <v>50</v>
      </c>
      <c r="AL479" t="s">
        <v>159</v>
      </c>
      <c r="AM479" t="s">
        <v>391</v>
      </c>
      <c r="AN479" t="s">
        <v>392</v>
      </c>
    </row>
    <row r="480" spans="37:40" x14ac:dyDescent="0.25">
      <c r="AK480" s="32" t="s">
        <v>50</v>
      </c>
      <c r="AL480" t="s">
        <v>159</v>
      </c>
      <c r="AM480" t="s">
        <v>393</v>
      </c>
      <c r="AN480" t="s">
        <v>394</v>
      </c>
    </row>
    <row r="481" spans="37:40" x14ac:dyDescent="0.25">
      <c r="AK481" s="32" t="s">
        <v>50</v>
      </c>
      <c r="AL481" t="s">
        <v>159</v>
      </c>
      <c r="AM481" t="s">
        <v>395</v>
      </c>
      <c r="AN481" t="s">
        <v>396</v>
      </c>
    </row>
    <row r="482" spans="37:40" x14ac:dyDescent="0.25">
      <c r="AK482" s="32" t="s">
        <v>50</v>
      </c>
      <c r="AL482" t="s">
        <v>159</v>
      </c>
      <c r="AM482" t="s">
        <v>397</v>
      </c>
      <c r="AN482" t="s">
        <v>398</v>
      </c>
    </row>
    <row r="483" spans="37:40" x14ac:dyDescent="0.25">
      <c r="AK483" s="32" t="s">
        <v>50</v>
      </c>
      <c r="AL483" t="s">
        <v>159</v>
      </c>
      <c r="AM483" t="s">
        <v>399</v>
      </c>
      <c r="AN483" t="s">
        <v>400</v>
      </c>
    </row>
    <row r="484" spans="37:40" x14ac:dyDescent="0.25">
      <c r="AK484" s="32" t="s">
        <v>50</v>
      </c>
      <c r="AL484" t="s">
        <v>159</v>
      </c>
      <c r="AM484" t="s">
        <v>401</v>
      </c>
      <c r="AN484" t="s">
        <v>402</v>
      </c>
    </row>
    <row r="485" spans="37:40" x14ac:dyDescent="0.25">
      <c r="AK485" s="32" t="s">
        <v>50</v>
      </c>
      <c r="AL485" t="s">
        <v>159</v>
      </c>
      <c r="AM485" t="s">
        <v>403</v>
      </c>
      <c r="AN485" t="s">
        <v>404</v>
      </c>
    </row>
    <row r="486" spans="37:40" x14ac:dyDescent="0.25">
      <c r="AK486" s="32" t="s">
        <v>50</v>
      </c>
      <c r="AL486" t="s">
        <v>159</v>
      </c>
      <c r="AM486" t="s">
        <v>405</v>
      </c>
      <c r="AN486" t="s">
        <v>406</v>
      </c>
    </row>
    <row r="487" spans="37:40" x14ac:dyDescent="0.25">
      <c r="AK487" s="32" t="s">
        <v>50</v>
      </c>
      <c r="AL487" t="s">
        <v>159</v>
      </c>
      <c r="AM487" t="s">
        <v>407</v>
      </c>
      <c r="AN487" t="s">
        <v>408</v>
      </c>
    </row>
    <row r="488" spans="37:40" x14ac:dyDescent="0.25">
      <c r="AK488" s="32" t="s">
        <v>50</v>
      </c>
      <c r="AL488" t="s">
        <v>159</v>
      </c>
      <c r="AM488" t="s">
        <v>409</v>
      </c>
      <c r="AN488" t="s">
        <v>410</v>
      </c>
    </row>
    <row r="490" spans="37:40" x14ac:dyDescent="0.25">
      <c r="AK490" s="32" t="s">
        <v>50</v>
      </c>
      <c r="AL490" t="s">
        <v>172</v>
      </c>
      <c r="AM490" t="s">
        <v>51</v>
      </c>
      <c r="AN490" t="s">
        <v>52</v>
      </c>
    </row>
    <row r="491" spans="37:40" x14ac:dyDescent="0.25">
      <c r="AK491" s="32" t="s">
        <v>50</v>
      </c>
      <c r="AL491" t="s">
        <v>172</v>
      </c>
      <c r="AM491" t="s">
        <v>80</v>
      </c>
      <c r="AN491" t="s">
        <v>81</v>
      </c>
    </row>
    <row r="492" spans="37:40" x14ac:dyDescent="0.25">
      <c r="AK492" s="32" t="s">
        <v>50</v>
      </c>
      <c r="AL492" t="s">
        <v>172</v>
      </c>
      <c r="AM492" t="s">
        <v>104</v>
      </c>
      <c r="AN492" t="s">
        <v>105</v>
      </c>
    </row>
    <row r="493" spans="37:40" x14ac:dyDescent="0.25">
      <c r="AK493" s="32" t="s">
        <v>50</v>
      </c>
      <c r="AL493" t="s">
        <v>172</v>
      </c>
      <c r="AM493" t="s">
        <v>119</v>
      </c>
      <c r="AN493" t="s">
        <v>120</v>
      </c>
    </row>
    <row r="494" spans="37:40" x14ac:dyDescent="0.25">
      <c r="AK494" s="32" t="s">
        <v>50</v>
      </c>
      <c r="AL494" t="s">
        <v>172</v>
      </c>
      <c r="AM494" t="s">
        <v>137</v>
      </c>
      <c r="AN494" t="s">
        <v>138</v>
      </c>
    </row>
    <row r="495" spans="37:40" x14ac:dyDescent="0.25">
      <c r="AK495" s="32" t="s">
        <v>50</v>
      </c>
      <c r="AL495" t="s">
        <v>172</v>
      </c>
      <c r="AM495" t="s">
        <v>149</v>
      </c>
      <c r="AN495" t="s">
        <v>150</v>
      </c>
    </row>
    <row r="496" spans="37:40" x14ac:dyDescent="0.25">
      <c r="AK496" s="32" t="s">
        <v>50</v>
      </c>
      <c r="AL496" t="s">
        <v>172</v>
      </c>
      <c r="AM496" t="s">
        <v>162</v>
      </c>
      <c r="AN496" t="s">
        <v>163</v>
      </c>
    </row>
    <row r="497" spans="37:40" x14ac:dyDescent="0.25">
      <c r="AK497" s="32" t="s">
        <v>50</v>
      </c>
      <c r="AL497" t="s">
        <v>172</v>
      </c>
      <c r="AM497" t="s">
        <v>174</v>
      </c>
      <c r="AN497" t="s">
        <v>175</v>
      </c>
    </row>
    <row r="498" spans="37:40" x14ac:dyDescent="0.25">
      <c r="AK498" s="32" t="s">
        <v>50</v>
      </c>
      <c r="AL498" t="s">
        <v>172</v>
      </c>
      <c r="AM498" t="s">
        <v>187</v>
      </c>
      <c r="AN498" t="s">
        <v>188</v>
      </c>
    </row>
    <row r="499" spans="37:40" x14ac:dyDescent="0.25">
      <c r="AK499" s="32" t="s">
        <v>50</v>
      </c>
      <c r="AL499" t="s">
        <v>172</v>
      </c>
      <c r="AM499" t="s">
        <v>199</v>
      </c>
      <c r="AN499" t="s">
        <v>200</v>
      </c>
    </row>
    <row r="500" spans="37:40" x14ac:dyDescent="0.25">
      <c r="AK500" s="32" t="s">
        <v>50</v>
      </c>
      <c r="AL500" t="s">
        <v>172</v>
      </c>
      <c r="AM500" t="s">
        <v>211</v>
      </c>
      <c r="AN500" t="s">
        <v>212</v>
      </c>
    </row>
    <row r="501" spans="37:40" x14ac:dyDescent="0.25">
      <c r="AK501" s="32" t="s">
        <v>50</v>
      </c>
      <c r="AL501" t="s">
        <v>172</v>
      </c>
      <c r="AM501" t="s">
        <v>223</v>
      </c>
      <c r="AN501" t="s">
        <v>224</v>
      </c>
    </row>
    <row r="502" spans="37:40" x14ac:dyDescent="0.25">
      <c r="AK502" s="32" t="s">
        <v>50</v>
      </c>
      <c r="AL502" t="s">
        <v>172</v>
      </c>
      <c r="AM502" t="s">
        <v>232</v>
      </c>
      <c r="AN502" t="s">
        <v>233</v>
      </c>
    </row>
    <row r="503" spans="37:40" x14ac:dyDescent="0.25">
      <c r="AK503" s="32" t="s">
        <v>50</v>
      </c>
      <c r="AL503" t="s">
        <v>172</v>
      </c>
      <c r="AM503" t="s">
        <v>239</v>
      </c>
      <c r="AN503" t="s">
        <v>240</v>
      </c>
    </row>
    <row r="504" spans="37:40" x14ac:dyDescent="0.25">
      <c r="AK504" s="32" t="s">
        <v>50</v>
      </c>
      <c r="AL504" t="s">
        <v>172</v>
      </c>
      <c r="AM504" t="s">
        <v>246</v>
      </c>
      <c r="AN504" t="s">
        <v>247</v>
      </c>
    </row>
    <row r="505" spans="37:40" x14ac:dyDescent="0.25">
      <c r="AK505" s="32" t="s">
        <v>50</v>
      </c>
      <c r="AL505" t="s">
        <v>172</v>
      </c>
      <c r="AM505" t="s">
        <v>254</v>
      </c>
      <c r="AN505" t="s">
        <v>255</v>
      </c>
    </row>
    <row r="506" spans="37:40" x14ac:dyDescent="0.25">
      <c r="AK506" s="32" t="s">
        <v>50</v>
      </c>
      <c r="AL506" t="s">
        <v>172</v>
      </c>
      <c r="AM506" t="s">
        <v>262</v>
      </c>
      <c r="AN506" t="s">
        <v>263</v>
      </c>
    </row>
    <row r="507" spans="37:40" x14ac:dyDescent="0.25">
      <c r="AK507" s="32" t="s">
        <v>50</v>
      </c>
      <c r="AL507" t="s">
        <v>172</v>
      </c>
      <c r="AM507" t="s">
        <v>270</v>
      </c>
      <c r="AN507" t="s">
        <v>271</v>
      </c>
    </row>
    <row r="508" spans="37:40" x14ac:dyDescent="0.25">
      <c r="AK508" s="32" t="s">
        <v>50</v>
      </c>
      <c r="AL508" t="s">
        <v>172</v>
      </c>
      <c r="AM508" t="s">
        <v>277</v>
      </c>
      <c r="AN508" t="s">
        <v>278</v>
      </c>
    </row>
    <row r="509" spans="37:40" x14ac:dyDescent="0.25">
      <c r="AK509" s="32" t="s">
        <v>50</v>
      </c>
      <c r="AL509" t="s">
        <v>172</v>
      </c>
      <c r="AM509" t="s">
        <v>284</v>
      </c>
      <c r="AN509" t="s">
        <v>285</v>
      </c>
    </row>
    <row r="510" spans="37:40" x14ac:dyDescent="0.25">
      <c r="AK510" s="32" t="s">
        <v>50</v>
      </c>
      <c r="AL510" t="s">
        <v>172</v>
      </c>
      <c r="AM510" t="s">
        <v>291</v>
      </c>
      <c r="AN510" t="s">
        <v>292</v>
      </c>
    </row>
    <row r="511" spans="37:40" x14ac:dyDescent="0.25">
      <c r="AK511" s="32" t="s">
        <v>50</v>
      </c>
      <c r="AL511" t="s">
        <v>172</v>
      </c>
      <c r="AM511" t="s">
        <v>298</v>
      </c>
      <c r="AN511" t="s">
        <v>299</v>
      </c>
    </row>
    <row r="512" spans="37:40" x14ac:dyDescent="0.25">
      <c r="AK512" s="32" t="s">
        <v>50</v>
      </c>
      <c r="AL512" t="s">
        <v>172</v>
      </c>
      <c r="AM512" t="s">
        <v>305</v>
      </c>
      <c r="AN512" t="s">
        <v>306</v>
      </c>
    </row>
    <row r="513" spans="37:40" x14ac:dyDescent="0.25">
      <c r="AK513" s="32" t="s">
        <v>50</v>
      </c>
      <c r="AL513" t="s">
        <v>172</v>
      </c>
      <c r="AM513" t="s">
        <v>309</v>
      </c>
      <c r="AN513" t="s">
        <v>310</v>
      </c>
    </row>
    <row r="514" spans="37:40" x14ac:dyDescent="0.25">
      <c r="AK514" s="32" t="s">
        <v>50</v>
      </c>
      <c r="AL514" t="s">
        <v>172</v>
      </c>
      <c r="AM514" t="s">
        <v>312</v>
      </c>
      <c r="AN514" t="s">
        <v>313</v>
      </c>
    </row>
    <row r="515" spans="37:40" x14ac:dyDescent="0.25">
      <c r="AK515" s="32" t="s">
        <v>50</v>
      </c>
      <c r="AL515" t="s">
        <v>172</v>
      </c>
      <c r="AM515" t="s">
        <v>315</v>
      </c>
      <c r="AN515" t="s">
        <v>316</v>
      </c>
    </row>
    <row r="516" spans="37:40" x14ac:dyDescent="0.25">
      <c r="AK516" s="32" t="s">
        <v>50</v>
      </c>
      <c r="AL516" t="s">
        <v>172</v>
      </c>
      <c r="AM516" t="s">
        <v>319</v>
      </c>
      <c r="AN516" t="s">
        <v>320</v>
      </c>
    </row>
    <row r="517" spans="37:40" x14ac:dyDescent="0.25">
      <c r="AK517" s="32" t="s">
        <v>50</v>
      </c>
      <c r="AL517" t="s">
        <v>172</v>
      </c>
      <c r="AM517" t="s">
        <v>323</v>
      </c>
      <c r="AN517" t="s">
        <v>324</v>
      </c>
    </row>
    <row r="518" spans="37:40" x14ac:dyDescent="0.25">
      <c r="AK518" s="32" t="s">
        <v>50</v>
      </c>
      <c r="AL518" t="s">
        <v>172</v>
      </c>
      <c r="AM518" t="s">
        <v>326</v>
      </c>
      <c r="AN518" t="s">
        <v>327</v>
      </c>
    </row>
    <row r="519" spans="37:40" x14ac:dyDescent="0.25">
      <c r="AK519" s="32" t="s">
        <v>50</v>
      </c>
      <c r="AL519" t="s">
        <v>172</v>
      </c>
      <c r="AM519" t="s">
        <v>330</v>
      </c>
      <c r="AN519" t="s">
        <v>331</v>
      </c>
    </row>
    <row r="520" spans="37:40" x14ac:dyDescent="0.25">
      <c r="AK520" s="32" t="s">
        <v>50</v>
      </c>
      <c r="AL520" t="s">
        <v>172</v>
      </c>
      <c r="AM520" t="s">
        <v>335</v>
      </c>
      <c r="AN520" t="s">
        <v>336</v>
      </c>
    </row>
    <row r="521" spans="37:40" x14ac:dyDescent="0.25">
      <c r="AK521" s="32" t="s">
        <v>50</v>
      </c>
      <c r="AL521" t="s">
        <v>172</v>
      </c>
      <c r="AM521" t="s">
        <v>340</v>
      </c>
      <c r="AN521" t="s">
        <v>341</v>
      </c>
    </row>
    <row r="522" spans="37:40" x14ac:dyDescent="0.25">
      <c r="AK522" s="32" t="s">
        <v>50</v>
      </c>
      <c r="AL522" t="s">
        <v>172</v>
      </c>
      <c r="AM522" t="s">
        <v>344</v>
      </c>
      <c r="AN522" t="s">
        <v>345</v>
      </c>
    </row>
    <row r="523" spans="37:40" x14ac:dyDescent="0.25">
      <c r="AK523" s="32" t="s">
        <v>50</v>
      </c>
      <c r="AL523" t="s">
        <v>172</v>
      </c>
      <c r="AM523" t="s">
        <v>348</v>
      </c>
      <c r="AN523" t="s">
        <v>349</v>
      </c>
    </row>
    <row r="524" spans="37:40" x14ac:dyDescent="0.25">
      <c r="AK524" s="32" t="s">
        <v>50</v>
      </c>
      <c r="AL524" t="s">
        <v>172</v>
      </c>
      <c r="AM524" t="s">
        <v>352</v>
      </c>
      <c r="AN524" t="s">
        <v>353</v>
      </c>
    </row>
    <row r="525" spans="37:40" x14ac:dyDescent="0.25">
      <c r="AK525" s="32" t="s">
        <v>50</v>
      </c>
      <c r="AL525" t="s">
        <v>172</v>
      </c>
      <c r="AM525" t="s">
        <v>356</v>
      </c>
      <c r="AN525" t="s">
        <v>357</v>
      </c>
    </row>
    <row r="526" spans="37:40" x14ac:dyDescent="0.25">
      <c r="AK526" s="32" t="s">
        <v>50</v>
      </c>
      <c r="AL526" t="s">
        <v>172</v>
      </c>
      <c r="AM526" t="s">
        <v>359</v>
      </c>
      <c r="AN526" t="s">
        <v>360</v>
      </c>
    </row>
    <row r="527" spans="37:40" x14ac:dyDescent="0.25">
      <c r="AK527" s="32" t="s">
        <v>50</v>
      </c>
      <c r="AL527" t="s">
        <v>172</v>
      </c>
      <c r="AM527" t="s">
        <v>362</v>
      </c>
      <c r="AN527" t="s">
        <v>363</v>
      </c>
    </row>
    <row r="528" spans="37:40" x14ac:dyDescent="0.25">
      <c r="AK528" s="32" t="s">
        <v>50</v>
      </c>
      <c r="AL528" t="s">
        <v>172</v>
      </c>
      <c r="AM528" t="s">
        <v>365</v>
      </c>
      <c r="AN528" t="s">
        <v>366</v>
      </c>
    </row>
    <row r="529" spans="37:40" x14ac:dyDescent="0.25">
      <c r="AK529" s="32" t="s">
        <v>50</v>
      </c>
      <c r="AL529" t="s">
        <v>172</v>
      </c>
      <c r="AM529" t="s">
        <v>367</v>
      </c>
      <c r="AN529" t="s">
        <v>368</v>
      </c>
    </row>
    <row r="530" spans="37:40" x14ac:dyDescent="0.25">
      <c r="AK530" s="32" t="s">
        <v>50</v>
      </c>
      <c r="AL530" t="s">
        <v>172</v>
      </c>
      <c r="AM530" t="s">
        <v>369</v>
      </c>
      <c r="AN530" t="s">
        <v>370</v>
      </c>
    </row>
    <row r="531" spans="37:40" x14ac:dyDescent="0.25">
      <c r="AK531" s="32" t="s">
        <v>50</v>
      </c>
      <c r="AL531" t="s">
        <v>172</v>
      </c>
      <c r="AM531" t="s">
        <v>371</v>
      </c>
      <c r="AN531" t="s">
        <v>372</v>
      </c>
    </row>
    <row r="532" spans="37:40" x14ac:dyDescent="0.25">
      <c r="AK532" s="32" t="s">
        <v>50</v>
      </c>
      <c r="AL532" t="s">
        <v>172</v>
      </c>
      <c r="AM532" t="s">
        <v>374</v>
      </c>
      <c r="AN532" t="s">
        <v>375</v>
      </c>
    </row>
    <row r="533" spans="37:40" x14ac:dyDescent="0.25">
      <c r="AK533" s="32" t="s">
        <v>50</v>
      </c>
      <c r="AL533" t="s">
        <v>172</v>
      </c>
      <c r="AM533" t="s">
        <v>376</v>
      </c>
      <c r="AN533" t="s">
        <v>377</v>
      </c>
    </row>
    <row r="534" spans="37:40" x14ac:dyDescent="0.25">
      <c r="AK534" s="32" t="s">
        <v>50</v>
      </c>
      <c r="AL534" t="s">
        <v>172</v>
      </c>
      <c r="AM534" t="s">
        <v>379</v>
      </c>
      <c r="AN534" t="s">
        <v>380</v>
      </c>
    </row>
    <row r="535" spans="37:40" x14ac:dyDescent="0.25">
      <c r="AK535" s="32" t="s">
        <v>50</v>
      </c>
      <c r="AL535" t="s">
        <v>172</v>
      </c>
      <c r="AM535" t="s">
        <v>381</v>
      </c>
      <c r="AN535" t="s">
        <v>382</v>
      </c>
    </row>
    <row r="536" spans="37:40" x14ac:dyDescent="0.25">
      <c r="AK536" s="32" t="s">
        <v>50</v>
      </c>
      <c r="AL536" t="s">
        <v>172</v>
      </c>
      <c r="AM536" t="s">
        <v>383</v>
      </c>
      <c r="AN536" t="s">
        <v>384</v>
      </c>
    </row>
    <row r="537" spans="37:40" x14ac:dyDescent="0.25">
      <c r="AK537" s="32" t="s">
        <v>50</v>
      </c>
      <c r="AL537" t="s">
        <v>172</v>
      </c>
      <c r="AM537" t="s">
        <v>385</v>
      </c>
      <c r="AN537" t="s">
        <v>386</v>
      </c>
    </row>
    <row r="538" spans="37:40" x14ac:dyDescent="0.25">
      <c r="AK538" s="32" t="s">
        <v>50</v>
      </c>
      <c r="AL538" t="s">
        <v>172</v>
      </c>
      <c r="AM538" t="s">
        <v>387</v>
      </c>
      <c r="AN538" t="s">
        <v>388</v>
      </c>
    </row>
    <row r="539" spans="37:40" x14ac:dyDescent="0.25">
      <c r="AK539" s="32" t="s">
        <v>50</v>
      </c>
      <c r="AL539" t="s">
        <v>172</v>
      </c>
      <c r="AM539" t="s">
        <v>389</v>
      </c>
      <c r="AN539" t="s">
        <v>390</v>
      </c>
    </row>
    <row r="540" spans="37:40" x14ac:dyDescent="0.25">
      <c r="AK540" s="32" t="s">
        <v>50</v>
      </c>
      <c r="AL540" t="s">
        <v>172</v>
      </c>
      <c r="AM540" t="s">
        <v>391</v>
      </c>
      <c r="AN540" t="s">
        <v>392</v>
      </c>
    </row>
    <row r="541" spans="37:40" x14ac:dyDescent="0.25">
      <c r="AK541" s="32" t="s">
        <v>50</v>
      </c>
      <c r="AL541" t="s">
        <v>172</v>
      </c>
      <c r="AM541" t="s">
        <v>393</v>
      </c>
      <c r="AN541" t="s">
        <v>394</v>
      </c>
    </row>
    <row r="542" spans="37:40" x14ac:dyDescent="0.25">
      <c r="AK542" s="32" t="s">
        <v>50</v>
      </c>
      <c r="AL542" t="s">
        <v>172</v>
      </c>
      <c r="AM542" t="s">
        <v>395</v>
      </c>
      <c r="AN542" t="s">
        <v>396</v>
      </c>
    </row>
    <row r="543" spans="37:40" x14ac:dyDescent="0.25">
      <c r="AK543" s="32" t="s">
        <v>50</v>
      </c>
      <c r="AL543" t="s">
        <v>172</v>
      </c>
      <c r="AM543" t="s">
        <v>397</v>
      </c>
      <c r="AN543" t="s">
        <v>398</v>
      </c>
    </row>
    <row r="544" spans="37:40" x14ac:dyDescent="0.25">
      <c r="AK544" s="32" t="s">
        <v>50</v>
      </c>
      <c r="AL544" t="s">
        <v>172</v>
      </c>
      <c r="AM544" t="s">
        <v>399</v>
      </c>
      <c r="AN544" t="s">
        <v>400</v>
      </c>
    </row>
    <row r="545" spans="37:40" x14ac:dyDescent="0.25">
      <c r="AK545" s="32" t="s">
        <v>50</v>
      </c>
      <c r="AL545" t="s">
        <v>172</v>
      </c>
      <c r="AM545" t="s">
        <v>401</v>
      </c>
      <c r="AN545" t="s">
        <v>402</v>
      </c>
    </row>
    <row r="546" spans="37:40" x14ac:dyDescent="0.25">
      <c r="AK546" s="32" t="s">
        <v>50</v>
      </c>
      <c r="AL546" t="s">
        <v>172</v>
      </c>
      <c r="AM546" t="s">
        <v>403</v>
      </c>
      <c r="AN546" t="s">
        <v>404</v>
      </c>
    </row>
    <row r="547" spans="37:40" x14ac:dyDescent="0.25">
      <c r="AK547" s="32" t="s">
        <v>50</v>
      </c>
      <c r="AL547" t="s">
        <v>172</v>
      </c>
      <c r="AM547" t="s">
        <v>405</v>
      </c>
      <c r="AN547" t="s">
        <v>406</v>
      </c>
    </row>
    <row r="548" spans="37:40" x14ac:dyDescent="0.25">
      <c r="AK548" s="32" t="s">
        <v>50</v>
      </c>
      <c r="AL548" t="s">
        <v>172</v>
      </c>
      <c r="AM548" t="s">
        <v>407</v>
      </c>
      <c r="AN548" t="s">
        <v>408</v>
      </c>
    </row>
    <row r="549" spans="37:40" x14ac:dyDescent="0.25">
      <c r="AK549" s="32" t="s">
        <v>50</v>
      </c>
      <c r="AL549" t="s">
        <v>172</v>
      </c>
      <c r="AM549" t="s">
        <v>409</v>
      </c>
      <c r="AN549" t="s">
        <v>410</v>
      </c>
    </row>
    <row r="551" spans="37:40" x14ac:dyDescent="0.25">
      <c r="AK551" s="32" t="s">
        <v>50</v>
      </c>
      <c r="AL551" t="s">
        <v>185</v>
      </c>
      <c r="AM551" t="s">
        <v>51</v>
      </c>
      <c r="AN551" t="s">
        <v>52</v>
      </c>
    </row>
    <row r="552" spans="37:40" x14ac:dyDescent="0.25">
      <c r="AK552" s="32" t="s">
        <v>50</v>
      </c>
      <c r="AL552" t="s">
        <v>185</v>
      </c>
      <c r="AM552" t="s">
        <v>80</v>
      </c>
      <c r="AN552" t="s">
        <v>81</v>
      </c>
    </row>
    <row r="553" spans="37:40" x14ac:dyDescent="0.25">
      <c r="AK553" s="32" t="s">
        <v>50</v>
      </c>
      <c r="AL553" t="s">
        <v>185</v>
      </c>
      <c r="AM553" t="s">
        <v>104</v>
      </c>
      <c r="AN553" t="s">
        <v>105</v>
      </c>
    </row>
    <row r="554" spans="37:40" x14ac:dyDescent="0.25">
      <c r="AK554" s="32" t="s">
        <v>50</v>
      </c>
      <c r="AL554" t="s">
        <v>185</v>
      </c>
      <c r="AM554" t="s">
        <v>119</v>
      </c>
      <c r="AN554" t="s">
        <v>120</v>
      </c>
    </row>
    <row r="555" spans="37:40" x14ac:dyDescent="0.25">
      <c r="AK555" s="32" t="s">
        <v>50</v>
      </c>
      <c r="AL555" t="s">
        <v>185</v>
      </c>
      <c r="AM555" t="s">
        <v>137</v>
      </c>
      <c r="AN555" t="s">
        <v>138</v>
      </c>
    </row>
    <row r="556" spans="37:40" x14ac:dyDescent="0.25">
      <c r="AK556" s="32" t="s">
        <v>50</v>
      </c>
      <c r="AL556" t="s">
        <v>185</v>
      </c>
      <c r="AM556" t="s">
        <v>149</v>
      </c>
      <c r="AN556" t="s">
        <v>150</v>
      </c>
    </row>
    <row r="557" spans="37:40" x14ac:dyDescent="0.25">
      <c r="AK557" s="32" t="s">
        <v>50</v>
      </c>
      <c r="AL557" t="s">
        <v>185</v>
      </c>
      <c r="AM557" t="s">
        <v>162</v>
      </c>
      <c r="AN557" t="s">
        <v>163</v>
      </c>
    </row>
    <row r="558" spans="37:40" x14ac:dyDescent="0.25">
      <c r="AK558" s="32" t="s">
        <v>50</v>
      </c>
      <c r="AL558" t="s">
        <v>185</v>
      </c>
      <c r="AM558" t="s">
        <v>174</v>
      </c>
      <c r="AN558" t="s">
        <v>175</v>
      </c>
    </row>
    <row r="559" spans="37:40" x14ac:dyDescent="0.25">
      <c r="AK559" s="32" t="s">
        <v>50</v>
      </c>
      <c r="AL559" t="s">
        <v>185</v>
      </c>
      <c r="AM559" t="s">
        <v>187</v>
      </c>
      <c r="AN559" t="s">
        <v>188</v>
      </c>
    </row>
    <row r="560" spans="37:40" x14ac:dyDescent="0.25">
      <c r="AK560" s="32" t="s">
        <v>50</v>
      </c>
      <c r="AL560" t="s">
        <v>185</v>
      </c>
      <c r="AM560" t="s">
        <v>199</v>
      </c>
      <c r="AN560" t="s">
        <v>200</v>
      </c>
    </row>
    <row r="561" spans="37:40" x14ac:dyDescent="0.25">
      <c r="AK561" s="32" t="s">
        <v>50</v>
      </c>
      <c r="AL561" t="s">
        <v>185</v>
      </c>
      <c r="AM561" t="s">
        <v>211</v>
      </c>
      <c r="AN561" t="s">
        <v>212</v>
      </c>
    </row>
    <row r="562" spans="37:40" x14ac:dyDescent="0.25">
      <c r="AK562" s="32" t="s">
        <v>50</v>
      </c>
      <c r="AL562" t="s">
        <v>185</v>
      </c>
      <c r="AM562" t="s">
        <v>223</v>
      </c>
      <c r="AN562" t="s">
        <v>224</v>
      </c>
    </row>
    <row r="563" spans="37:40" x14ac:dyDescent="0.25">
      <c r="AK563" s="32" t="s">
        <v>50</v>
      </c>
      <c r="AL563" t="s">
        <v>185</v>
      </c>
      <c r="AM563" t="s">
        <v>232</v>
      </c>
      <c r="AN563" t="s">
        <v>233</v>
      </c>
    </row>
    <row r="564" spans="37:40" x14ac:dyDescent="0.25">
      <c r="AK564" s="32" t="s">
        <v>50</v>
      </c>
      <c r="AL564" t="s">
        <v>185</v>
      </c>
      <c r="AM564" t="s">
        <v>239</v>
      </c>
      <c r="AN564" t="s">
        <v>240</v>
      </c>
    </row>
    <row r="565" spans="37:40" x14ac:dyDescent="0.25">
      <c r="AK565" s="32" t="s">
        <v>50</v>
      </c>
      <c r="AL565" t="s">
        <v>185</v>
      </c>
      <c r="AM565" t="s">
        <v>246</v>
      </c>
      <c r="AN565" t="s">
        <v>247</v>
      </c>
    </row>
    <row r="566" spans="37:40" x14ac:dyDescent="0.25">
      <c r="AK566" s="32" t="s">
        <v>50</v>
      </c>
      <c r="AL566" t="s">
        <v>185</v>
      </c>
      <c r="AM566" t="s">
        <v>254</v>
      </c>
      <c r="AN566" t="s">
        <v>255</v>
      </c>
    </row>
    <row r="567" spans="37:40" x14ac:dyDescent="0.25">
      <c r="AK567" s="32" t="s">
        <v>50</v>
      </c>
      <c r="AL567" t="s">
        <v>185</v>
      </c>
      <c r="AM567" t="s">
        <v>262</v>
      </c>
      <c r="AN567" t="s">
        <v>263</v>
      </c>
    </row>
    <row r="568" spans="37:40" x14ac:dyDescent="0.25">
      <c r="AK568" s="32" t="s">
        <v>50</v>
      </c>
      <c r="AL568" t="s">
        <v>185</v>
      </c>
      <c r="AM568" t="s">
        <v>270</v>
      </c>
      <c r="AN568" t="s">
        <v>271</v>
      </c>
    </row>
    <row r="569" spans="37:40" x14ac:dyDescent="0.25">
      <c r="AK569" s="32" t="s">
        <v>50</v>
      </c>
      <c r="AL569" t="s">
        <v>185</v>
      </c>
      <c r="AM569" t="s">
        <v>277</v>
      </c>
      <c r="AN569" t="s">
        <v>278</v>
      </c>
    </row>
    <row r="570" spans="37:40" x14ac:dyDescent="0.25">
      <c r="AK570" s="32" t="s">
        <v>50</v>
      </c>
      <c r="AL570" t="s">
        <v>185</v>
      </c>
      <c r="AM570" t="s">
        <v>284</v>
      </c>
      <c r="AN570" t="s">
        <v>285</v>
      </c>
    </row>
    <row r="571" spans="37:40" x14ac:dyDescent="0.25">
      <c r="AK571" s="32" t="s">
        <v>50</v>
      </c>
      <c r="AL571" t="s">
        <v>185</v>
      </c>
      <c r="AM571" t="s">
        <v>291</v>
      </c>
      <c r="AN571" t="s">
        <v>292</v>
      </c>
    </row>
    <row r="572" spans="37:40" x14ac:dyDescent="0.25">
      <c r="AK572" s="32" t="s">
        <v>50</v>
      </c>
      <c r="AL572" t="s">
        <v>185</v>
      </c>
      <c r="AM572" t="s">
        <v>298</v>
      </c>
      <c r="AN572" t="s">
        <v>299</v>
      </c>
    </row>
    <row r="573" spans="37:40" x14ac:dyDescent="0.25">
      <c r="AK573" s="32" t="s">
        <v>50</v>
      </c>
      <c r="AL573" t="s">
        <v>185</v>
      </c>
      <c r="AM573" t="s">
        <v>305</v>
      </c>
      <c r="AN573" t="s">
        <v>306</v>
      </c>
    </row>
    <row r="574" spans="37:40" x14ac:dyDescent="0.25">
      <c r="AK574" s="32" t="s">
        <v>50</v>
      </c>
      <c r="AL574" t="s">
        <v>185</v>
      </c>
      <c r="AM574" t="s">
        <v>309</v>
      </c>
      <c r="AN574" t="s">
        <v>310</v>
      </c>
    </row>
    <row r="575" spans="37:40" x14ac:dyDescent="0.25">
      <c r="AK575" s="32" t="s">
        <v>50</v>
      </c>
      <c r="AL575" t="s">
        <v>185</v>
      </c>
      <c r="AM575" t="s">
        <v>312</v>
      </c>
      <c r="AN575" t="s">
        <v>313</v>
      </c>
    </row>
    <row r="576" spans="37:40" x14ac:dyDescent="0.25">
      <c r="AK576" s="32" t="s">
        <v>50</v>
      </c>
      <c r="AL576" t="s">
        <v>185</v>
      </c>
      <c r="AM576" t="s">
        <v>315</v>
      </c>
      <c r="AN576" t="s">
        <v>316</v>
      </c>
    </row>
    <row r="577" spans="37:40" x14ac:dyDescent="0.25">
      <c r="AK577" s="32" t="s">
        <v>50</v>
      </c>
      <c r="AL577" t="s">
        <v>185</v>
      </c>
      <c r="AM577" t="s">
        <v>319</v>
      </c>
      <c r="AN577" t="s">
        <v>320</v>
      </c>
    </row>
    <row r="578" spans="37:40" x14ac:dyDescent="0.25">
      <c r="AK578" s="32" t="s">
        <v>50</v>
      </c>
      <c r="AL578" t="s">
        <v>185</v>
      </c>
      <c r="AM578" t="s">
        <v>323</v>
      </c>
      <c r="AN578" t="s">
        <v>324</v>
      </c>
    </row>
    <row r="579" spans="37:40" x14ac:dyDescent="0.25">
      <c r="AK579" s="32" t="s">
        <v>50</v>
      </c>
      <c r="AL579" t="s">
        <v>185</v>
      </c>
      <c r="AM579" t="s">
        <v>326</v>
      </c>
      <c r="AN579" t="s">
        <v>327</v>
      </c>
    </row>
    <row r="580" spans="37:40" x14ac:dyDescent="0.25">
      <c r="AK580" s="32" t="s">
        <v>50</v>
      </c>
      <c r="AL580" t="s">
        <v>185</v>
      </c>
      <c r="AM580" t="s">
        <v>330</v>
      </c>
      <c r="AN580" t="s">
        <v>331</v>
      </c>
    </row>
    <row r="581" spans="37:40" x14ac:dyDescent="0.25">
      <c r="AK581" s="32" t="s">
        <v>50</v>
      </c>
      <c r="AL581" t="s">
        <v>185</v>
      </c>
      <c r="AM581" t="s">
        <v>335</v>
      </c>
      <c r="AN581" t="s">
        <v>336</v>
      </c>
    </row>
    <row r="582" spans="37:40" x14ac:dyDescent="0.25">
      <c r="AK582" s="32" t="s">
        <v>50</v>
      </c>
      <c r="AL582" t="s">
        <v>185</v>
      </c>
      <c r="AM582" t="s">
        <v>340</v>
      </c>
      <c r="AN582" t="s">
        <v>341</v>
      </c>
    </row>
    <row r="583" spans="37:40" x14ac:dyDescent="0.25">
      <c r="AK583" s="32" t="s">
        <v>50</v>
      </c>
      <c r="AL583" t="s">
        <v>185</v>
      </c>
      <c r="AM583" t="s">
        <v>344</v>
      </c>
      <c r="AN583" t="s">
        <v>345</v>
      </c>
    </row>
    <row r="584" spans="37:40" x14ac:dyDescent="0.25">
      <c r="AK584" s="32" t="s">
        <v>50</v>
      </c>
      <c r="AL584" t="s">
        <v>185</v>
      </c>
      <c r="AM584" t="s">
        <v>348</v>
      </c>
      <c r="AN584" t="s">
        <v>349</v>
      </c>
    </row>
    <row r="585" spans="37:40" x14ac:dyDescent="0.25">
      <c r="AK585" s="32" t="s">
        <v>50</v>
      </c>
      <c r="AL585" t="s">
        <v>185</v>
      </c>
      <c r="AM585" t="s">
        <v>352</v>
      </c>
      <c r="AN585" t="s">
        <v>353</v>
      </c>
    </row>
    <row r="586" spans="37:40" x14ac:dyDescent="0.25">
      <c r="AK586" s="32" t="s">
        <v>50</v>
      </c>
      <c r="AL586" t="s">
        <v>185</v>
      </c>
      <c r="AM586" t="s">
        <v>356</v>
      </c>
      <c r="AN586" t="s">
        <v>357</v>
      </c>
    </row>
    <row r="587" spans="37:40" x14ac:dyDescent="0.25">
      <c r="AK587" s="32" t="s">
        <v>50</v>
      </c>
      <c r="AL587" t="s">
        <v>185</v>
      </c>
      <c r="AM587" t="s">
        <v>359</v>
      </c>
      <c r="AN587" t="s">
        <v>360</v>
      </c>
    </row>
    <row r="588" spans="37:40" x14ac:dyDescent="0.25">
      <c r="AK588" s="32" t="s">
        <v>50</v>
      </c>
      <c r="AL588" t="s">
        <v>185</v>
      </c>
      <c r="AM588" t="s">
        <v>362</v>
      </c>
      <c r="AN588" t="s">
        <v>363</v>
      </c>
    </row>
    <row r="589" spans="37:40" x14ac:dyDescent="0.25">
      <c r="AK589" s="32" t="s">
        <v>50</v>
      </c>
      <c r="AL589" t="s">
        <v>185</v>
      </c>
      <c r="AM589" t="s">
        <v>365</v>
      </c>
      <c r="AN589" t="s">
        <v>366</v>
      </c>
    </row>
    <row r="590" spans="37:40" x14ac:dyDescent="0.25">
      <c r="AK590" s="32" t="s">
        <v>50</v>
      </c>
      <c r="AL590" t="s">
        <v>185</v>
      </c>
      <c r="AM590" t="s">
        <v>367</v>
      </c>
      <c r="AN590" t="s">
        <v>368</v>
      </c>
    </row>
    <row r="591" spans="37:40" x14ac:dyDescent="0.25">
      <c r="AK591" s="32" t="s">
        <v>50</v>
      </c>
      <c r="AL591" t="s">
        <v>185</v>
      </c>
      <c r="AM591" t="s">
        <v>369</v>
      </c>
      <c r="AN591" t="s">
        <v>370</v>
      </c>
    </row>
    <row r="592" spans="37:40" x14ac:dyDescent="0.25">
      <c r="AK592" s="32" t="s">
        <v>50</v>
      </c>
      <c r="AL592" t="s">
        <v>185</v>
      </c>
      <c r="AM592" t="s">
        <v>371</v>
      </c>
      <c r="AN592" t="s">
        <v>372</v>
      </c>
    </row>
    <row r="593" spans="37:40" x14ac:dyDescent="0.25">
      <c r="AK593" s="32" t="s">
        <v>50</v>
      </c>
      <c r="AL593" t="s">
        <v>185</v>
      </c>
      <c r="AM593" t="s">
        <v>374</v>
      </c>
      <c r="AN593" t="s">
        <v>375</v>
      </c>
    </row>
    <row r="594" spans="37:40" x14ac:dyDescent="0.25">
      <c r="AK594" s="32" t="s">
        <v>50</v>
      </c>
      <c r="AL594" t="s">
        <v>185</v>
      </c>
      <c r="AM594" t="s">
        <v>376</v>
      </c>
      <c r="AN594" t="s">
        <v>377</v>
      </c>
    </row>
    <row r="595" spans="37:40" x14ac:dyDescent="0.25">
      <c r="AK595" s="32" t="s">
        <v>50</v>
      </c>
      <c r="AL595" t="s">
        <v>185</v>
      </c>
      <c r="AM595" t="s">
        <v>379</v>
      </c>
      <c r="AN595" t="s">
        <v>380</v>
      </c>
    </row>
    <row r="596" spans="37:40" x14ac:dyDescent="0.25">
      <c r="AK596" s="32" t="s">
        <v>50</v>
      </c>
      <c r="AL596" t="s">
        <v>185</v>
      </c>
      <c r="AM596" t="s">
        <v>381</v>
      </c>
      <c r="AN596" t="s">
        <v>382</v>
      </c>
    </row>
    <row r="597" spans="37:40" x14ac:dyDescent="0.25">
      <c r="AK597" s="32" t="s">
        <v>50</v>
      </c>
      <c r="AL597" t="s">
        <v>185</v>
      </c>
      <c r="AM597" t="s">
        <v>383</v>
      </c>
      <c r="AN597" t="s">
        <v>384</v>
      </c>
    </row>
    <row r="598" spans="37:40" x14ac:dyDescent="0.25">
      <c r="AK598" s="32" t="s">
        <v>50</v>
      </c>
      <c r="AL598" t="s">
        <v>185</v>
      </c>
      <c r="AM598" t="s">
        <v>385</v>
      </c>
      <c r="AN598" t="s">
        <v>386</v>
      </c>
    </row>
    <row r="599" spans="37:40" x14ac:dyDescent="0.25">
      <c r="AK599" s="32" t="s">
        <v>50</v>
      </c>
      <c r="AL599" t="s">
        <v>185</v>
      </c>
      <c r="AM599" t="s">
        <v>387</v>
      </c>
      <c r="AN599" t="s">
        <v>388</v>
      </c>
    </row>
    <row r="600" spans="37:40" x14ac:dyDescent="0.25">
      <c r="AK600" s="32" t="s">
        <v>50</v>
      </c>
      <c r="AL600" t="s">
        <v>185</v>
      </c>
      <c r="AM600" t="s">
        <v>389</v>
      </c>
      <c r="AN600" t="s">
        <v>390</v>
      </c>
    </row>
    <row r="601" spans="37:40" x14ac:dyDescent="0.25">
      <c r="AK601" s="32" t="s">
        <v>50</v>
      </c>
      <c r="AL601" t="s">
        <v>185</v>
      </c>
      <c r="AM601" t="s">
        <v>391</v>
      </c>
      <c r="AN601" t="s">
        <v>392</v>
      </c>
    </row>
    <row r="602" spans="37:40" x14ac:dyDescent="0.25">
      <c r="AK602" s="32" t="s">
        <v>50</v>
      </c>
      <c r="AL602" t="s">
        <v>185</v>
      </c>
      <c r="AM602" t="s">
        <v>393</v>
      </c>
      <c r="AN602" t="s">
        <v>394</v>
      </c>
    </row>
    <row r="603" spans="37:40" x14ac:dyDescent="0.25">
      <c r="AK603" s="32" t="s">
        <v>50</v>
      </c>
      <c r="AL603" t="s">
        <v>185</v>
      </c>
      <c r="AM603" t="s">
        <v>395</v>
      </c>
      <c r="AN603" t="s">
        <v>396</v>
      </c>
    </row>
    <row r="604" spans="37:40" x14ac:dyDescent="0.25">
      <c r="AK604" s="32" t="s">
        <v>50</v>
      </c>
      <c r="AL604" t="s">
        <v>185</v>
      </c>
      <c r="AM604" t="s">
        <v>397</v>
      </c>
      <c r="AN604" t="s">
        <v>398</v>
      </c>
    </row>
    <row r="605" spans="37:40" x14ac:dyDescent="0.25">
      <c r="AK605" s="32" t="s">
        <v>50</v>
      </c>
      <c r="AL605" t="s">
        <v>185</v>
      </c>
      <c r="AM605" t="s">
        <v>399</v>
      </c>
      <c r="AN605" t="s">
        <v>400</v>
      </c>
    </row>
    <row r="606" spans="37:40" x14ac:dyDescent="0.25">
      <c r="AK606" s="32" t="s">
        <v>50</v>
      </c>
      <c r="AL606" t="s">
        <v>185</v>
      </c>
      <c r="AM606" t="s">
        <v>401</v>
      </c>
      <c r="AN606" t="s">
        <v>402</v>
      </c>
    </row>
    <row r="607" spans="37:40" x14ac:dyDescent="0.25">
      <c r="AK607" s="32" t="s">
        <v>50</v>
      </c>
      <c r="AL607" t="s">
        <v>185</v>
      </c>
      <c r="AM607" t="s">
        <v>403</v>
      </c>
      <c r="AN607" t="s">
        <v>404</v>
      </c>
    </row>
    <row r="608" spans="37:40" x14ac:dyDescent="0.25">
      <c r="AK608" s="32" t="s">
        <v>50</v>
      </c>
      <c r="AL608" t="s">
        <v>185</v>
      </c>
      <c r="AM608" t="s">
        <v>405</v>
      </c>
      <c r="AN608" t="s">
        <v>406</v>
      </c>
    </row>
    <row r="609" spans="37:40" x14ac:dyDescent="0.25">
      <c r="AK609" s="32" t="s">
        <v>50</v>
      </c>
      <c r="AL609" t="s">
        <v>185</v>
      </c>
      <c r="AM609" t="s">
        <v>407</v>
      </c>
      <c r="AN609" t="s">
        <v>408</v>
      </c>
    </row>
    <row r="610" spans="37:40" x14ac:dyDescent="0.25">
      <c r="AK610" s="32" t="s">
        <v>50</v>
      </c>
      <c r="AL610" t="s">
        <v>185</v>
      </c>
      <c r="AM610" t="s">
        <v>409</v>
      </c>
      <c r="AN610" t="s">
        <v>410</v>
      </c>
    </row>
    <row r="612" spans="37:40" x14ac:dyDescent="0.25">
      <c r="AK612" s="32" t="s">
        <v>50</v>
      </c>
      <c r="AL612" t="s">
        <v>198</v>
      </c>
      <c r="AM612" t="s">
        <v>51</v>
      </c>
      <c r="AN612" t="s">
        <v>52</v>
      </c>
    </row>
    <row r="613" spans="37:40" x14ac:dyDescent="0.25">
      <c r="AK613" s="32" t="s">
        <v>50</v>
      </c>
      <c r="AL613" t="s">
        <v>198</v>
      </c>
      <c r="AM613" t="s">
        <v>80</v>
      </c>
      <c r="AN613" t="s">
        <v>81</v>
      </c>
    </row>
    <row r="614" spans="37:40" x14ac:dyDescent="0.25">
      <c r="AK614" s="32" t="s">
        <v>50</v>
      </c>
      <c r="AL614" t="s">
        <v>198</v>
      </c>
      <c r="AM614" t="s">
        <v>104</v>
      </c>
      <c r="AN614" t="s">
        <v>105</v>
      </c>
    </row>
    <row r="615" spans="37:40" x14ac:dyDescent="0.25">
      <c r="AK615" s="32" t="s">
        <v>50</v>
      </c>
      <c r="AL615" t="s">
        <v>198</v>
      </c>
      <c r="AM615" t="s">
        <v>119</v>
      </c>
      <c r="AN615" t="s">
        <v>120</v>
      </c>
    </row>
    <row r="616" spans="37:40" x14ac:dyDescent="0.25">
      <c r="AK616" s="32" t="s">
        <v>50</v>
      </c>
      <c r="AL616" t="s">
        <v>198</v>
      </c>
      <c r="AM616" t="s">
        <v>137</v>
      </c>
      <c r="AN616" t="s">
        <v>138</v>
      </c>
    </row>
    <row r="617" spans="37:40" x14ac:dyDescent="0.25">
      <c r="AK617" s="32" t="s">
        <v>50</v>
      </c>
      <c r="AL617" t="s">
        <v>198</v>
      </c>
      <c r="AM617" t="s">
        <v>149</v>
      </c>
      <c r="AN617" t="s">
        <v>150</v>
      </c>
    </row>
    <row r="618" spans="37:40" x14ac:dyDescent="0.25">
      <c r="AK618" s="32" t="s">
        <v>50</v>
      </c>
      <c r="AL618" t="s">
        <v>198</v>
      </c>
      <c r="AM618" t="s">
        <v>162</v>
      </c>
      <c r="AN618" t="s">
        <v>163</v>
      </c>
    </row>
    <row r="619" spans="37:40" x14ac:dyDescent="0.25">
      <c r="AK619" s="32" t="s">
        <v>50</v>
      </c>
      <c r="AL619" t="s">
        <v>198</v>
      </c>
      <c r="AM619" t="s">
        <v>174</v>
      </c>
      <c r="AN619" t="s">
        <v>175</v>
      </c>
    </row>
    <row r="620" spans="37:40" x14ac:dyDescent="0.25">
      <c r="AK620" s="32" t="s">
        <v>50</v>
      </c>
      <c r="AL620" t="s">
        <v>198</v>
      </c>
      <c r="AM620" t="s">
        <v>187</v>
      </c>
      <c r="AN620" t="s">
        <v>188</v>
      </c>
    </row>
    <row r="621" spans="37:40" x14ac:dyDescent="0.25">
      <c r="AK621" s="32" t="s">
        <v>50</v>
      </c>
      <c r="AL621" t="s">
        <v>198</v>
      </c>
      <c r="AM621" t="s">
        <v>199</v>
      </c>
      <c r="AN621" t="s">
        <v>200</v>
      </c>
    </row>
    <row r="622" spans="37:40" x14ac:dyDescent="0.25">
      <c r="AK622" s="32" t="s">
        <v>50</v>
      </c>
      <c r="AL622" t="s">
        <v>198</v>
      </c>
      <c r="AM622" t="s">
        <v>211</v>
      </c>
      <c r="AN622" t="s">
        <v>212</v>
      </c>
    </row>
    <row r="623" spans="37:40" x14ac:dyDescent="0.25">
      <c r="AK623" s="32" t="s">
        <v>50</v>
      </c>
      <c r="AL623" t="s">
        <v>198</v>
      </c>
      <c r="AM623" t="s">
        <v>223</v>
      </c>
      <c r="AN623" t="s">
        <v>224</v>
      </c>
    </row>
    <row r="624" spans="37:40" x14ac:dyDescent="0.25">
      <c r="AK624" s="32" t="s">
        <v>50</v>
      </c>
      <c r="AL624" t="s">
        <v>198</v>
      </c>
      <c r="AM624" t="s">
        <v>232</v>
      </c>
      <c r="AN624" t="s">
        <v>233</v>
      </c>
    </row>
    <row r="625" spans="37:40" x14ac:dyDescent="0.25">
      <c r="AK625" s="32" t="s">
        <v>50</v>
      </c>
      <c r="AL625" t="s">
        <v>198</v>
      </c>
      <c r="AM625" t="s">
        <v>239</v>
      </c>
      <c r="AN625" t="s">
        <v>240</v>
      </c>
    </row>
    <row r="626" spans="37:40" x14ac:dyDescent="0.25">
      <c r="AK626" s="32" t="s">
        <v>50</v>
      </c>
      <c r="AL626" t="s">
        <v>198</v>
      </c>
      <c r="AM626" t="s">
        <v>246</v>
      </c>
      <c r="AN626" t="s">
        <v>247</v>
      </c>
    </row>
    <row r="627" spans="37:40" x14ac:dyDescent="0.25">
      <c r="AK627" s="32" t="s">
        <v>50</v>
      </c>
      <c r="AL627" t="s">
        <v>198</v>
      </c>
      <c r="AM627" t="s">
        <v>254</v>
      </c>
      <c r="AN627" t="s">
        <v>255</v>
      </c>
    </row>
    <row r="628" spans="37:40" x14ac:dyDescent="0.25">
      <c r="AK628" s="32" t="s">
        <v>50</v>
      </c>
      <c r="AL628" t="s">
        <v>198</v>
      </c>
      <c r="AM628" t="s">
        <v>262</v>
      </c>
      <c r="AN628" t="s">
        <v>263</v>
      </c>
    </row>
    <row r="629" spans="37:40" x14ac:dyDescent="0.25">
      <c r="AK629" s="32" t="s">
        <v>50</v>
      </c>
      <c r="AL629" t="s">
        <v>198</v>
      </c>
      <c r="AM629" t="s">
        <v>270</v>
      </c>
      <c r="AN629" t="s">
        <v>271</v>
      </c>
    </row>
    <row r="630" spans="37:40" x14ac:dyDescent="0.25">
      <c r="AK630" s="32" t="s">
        <v>50</v>
      </c>
      <c r="AL630" t="s">
        <v>198</v>
      </c>
      <c r="AM630" t="s">
        <v>277</v>
      </c>
      <c r="AN630" t="s">
        <v>278</v>
      </c>
    </row>
    <row r="631" spans="37:40" x14ac:dyDescent="0.25">
      <c r="AK631" s="32" t="s">
        <v>50</v>
      </c>
      <c r="AL631" t="s">
        <v>198</v>
      </c>
      <c r="AM631" t="s">
        <v>284</v>
      </c>
      <c r="AN631" t="s">
        <v>285</v>
      </c>
    </row>
    <row r="632" spans="37:40" x14ac:dyDescent="0.25">
      <c r="AK632" s="32" t="s">
        <v>50</v>
      </c>
      <c r="AL632" t="s">
        <v>198</v>
      </c>
      <c r="AM632" t="s">
        <v>291</v>
      </c>
      <c r="AN632" t="s">
        <v>292</v>
      </c>
    </row>
    <row r="633" spans="37:40" x14ac:dyDescent="0.25">
      <c r="AK633" s="32" t="s">
        <v>50</v>
      </c>
      <c r="AL633" t="s">
        <v>198</v>
      </c>
      <c r="AM633" t="s">
        <v>298</v>
      </c>
      <c r="AN633" t="s">
        <v>299</v>
      </c>
    </row>
    <row r="634" spans="37:40" x14ac:dyDescent="0.25">
      <c r="AK634" s="32" t="s">
        <v>50</v>
      </c>
      <c r="AL634" t="s">
        <v>198</v>
      </c>
      <c r="AM634" t="s">
        <v>305</v>
      </c>
      <c r="AN634" t="s">
        <v>306</v>
      </c>
    </row>
    <row r="635" spans="37:40" x14ac:dyDescent="0.25">
      <c r="AK635" s="32" t="s">
        <v>50</v>
      </c>
      <c r="AL635" t="s">
        <v>198</v>
      </c>
      <c r="AM635" t="s">
        <v>309</v>
      </c>
      <c r="AN635" t="s">
        <v>310</v>
      </c>
    </row>
    <row r="636" spans="37:40" x14ac:dyDescent="0.25">
      <c r="AK636" s="32" t="s">
        <v>50</v>
      </c>
      <c r="AL636" t="s">
        <v>198</v>
      </c>
      <c r="AM636" t="s">
        <v>312</v>
      </c>
      <c r="AN636" t="s">
        <v>313</v>
      </c>
    </row>
    <row r="637" spans="37:40" x14ac:dyDescent="0.25">
      <c r="AK637" s="32" t="s">
        <v>50</v>
      </c>
      <c r="AL637" t="s">
        <v>198</v>
      </c>
      <c r="AM637" t="s">
        <v>315</v>
      </c>
      <c r="AN637" t="s">
        <v>316</v>
      </c>
    </row>
    <row r="638" spans="37:40" x14ac:dyDescent="0.25">
      <c r="AK638" s="32" t="s">
        <v>50</v>
      </c>
      <c r="AL638" t="s">
        <v>198</v>
      </c>
      <c r="AM638" t="s">
        <v>319</v>
      </c>
      <c r="AN638" t="s">
        <v>320</v>
      </c>
    </row>
    <row r="639" spans="37:40" x14ac:dyDescent="0.25">
      <c r="AK639" s="32" t="s">
        <v>50</v>
      </c>
      <c r="AL639" t="s">
        <v>198</v>
      </c>
      <c r="AM639" t="s">
        <v>323</v>
      </c>
      <c r="AN639" t="s">
        <v>324</v>
      </c>
    </row>
    <row r="640" spans="37:40" x14ac:dyDescent="0.25">
      <c r="AK640" s="32" t="s">
        <v>50</v>
      </c>
      <c r="AL640" t="s">
        <v>198</v>
      </c>
      <c r="AM640" t="s">
        <v>326</v>
      </c>
      <c r="AN640" t="s">
        <v>327</v>
      </c>
    </row>
    <row r="641" spans="37:40" x14ac:dyDescent="0.25">
      <c r="AK641" s="32" t="s">
        <v>50</v>
      </c>
      <c r="AL641" t="s">
        <v>198</v>
      </c>
      <c r="AM641" t="s">
        <v>330</v>
      </c>
      <c r="AN641" t="s">
        <v>331</v>
      </c>
    </row>
    <row r="642" spans="37:40" x14ac:dyDescent="0.25">
      <c r="AK642" s="32" t="s">
        <v>50</v>
      </c>
      <c r="AL642" t="s">
        <v>198</v>
      </c>
      <c r="AM642" t="s">
        <v>335</v>
      </c>
      <c r="AN642" t="s">
        <v>336</v>
      </c>
    </row>
    <row r="643" spans="37:40" x14ac:dyDescent="0.25">
      <c r="AK643" s="32" t="s">
        <v>50</v>
      </c>
      <c r="AL643" t="s">
        <v>198</v>
      </c>
      <c r="AM643" t="s">
        <v>340</v>
      </c>
      <c r="AN643" t="s">
        <v>341</v>
      </c>
    </row>
    <row r="644" spans="37:40" x14ac:dyDescent="0.25">
      <c r="AK644" s="32" t="s">
        <v>50</v>
      </c>
      <c r="AL644" t="s">
        <v>198</v>
      </c>
      <c r="AM644" t="s">
        <v>344</v>
      </c>
      <c r="AN644" t="s">
        <v>345</v>
      </c>
    </row>
    <row r="645" spans="37:40" x14ac:dyDescent="0.25">
      <c r="AK645" s="32" t="s">
        <v>50</v>
      </c>
      <c r="AL645" t="s">
        <v>198</v>
      </c>
      <c r="AM645" t="s">
        <v>348</v>
      </c>
      <c r="AN645" t="s">
        <v>349</v>
      </c>
    </row>
    <row r="646" spans="37:40" x14ac:dyDescent="0.25">
      <c r="AK646" s="32" t="s">
        <v>50</v>
      </c>
      <c r="AL646" t="s">
        <v>198</v>
      </c>
      <c r="AM646" t="s">
        <v>352</v>
      </c>
      <c r="AN646" t="s">
        <v>353</v>
      </c>
    </row>
    <row r="647" spans="37:40" x14ac:dyDescent="0.25">
      <c r="AK647" s="32" t="s">
        <v>50</v>
      </c>
      <c r="AL647" t="s">
        <v>198</v>
      </c>
      <c r="AM647" t="s">
        <v>356</v>
      </c>
      <c r="AN647" t="s">
        <v>357</v>
      </c>
    </row>
    <row r="648" spans="37:40" x14ac:dyDescent="0.25">
      <c r="AK648" s="32" t="s">
        <v>50</v>
      </c>
      <c r="AL648" t="s">
        <v>198</v>
      </c>
      <c r="AM648" t="s">
        <v>359</v>
      </c>
      <c r="AN648" t="s">
        <v>360</v>
      </c>
    </row>
    <row r="649" spans="37:40" x14ac:dyDescent="0.25">
      <c r="AK649" s="32" t="s">
        <v>50</v>
      </c>
      <c r="AL649" t="s">
        <v>198</v>
      </c>
      <c r="AM649" t="s">
        <v>362</v>
      </c>
      <c r="AN649" t="s">
        <v>363</v>
      </c>
    </row>
    <row r="650" spans="37:40" x14ac:dyDescent="0.25">
      <c r="AK650" s="32" t="s">
        <v>50</v>
      </c>
      <c r="AL650" t="s">
        <v>198</v>
      </c>
      <c r="AM650" t="s">
        <v>365</v>
      </c>
      <c r="AN650" t="s">
        <v>366</v>
      </c>
    </row>
    <row r="651" spans="37:40" x14ac:dyDescent="0.25">
      <c r="AK651" s="32" t="s">
        <v>50</v>
      </c>
      <c r="AL651" t="s">
        <v>198</v>
      </c>
      <c r="AM651" t="s">
        <v>367</v>
      </c>
      <c r="AN651" t="s">
        <v>368</v>
      </c>
    </row>
    <row r="652" spans="37:40" x14ac:dyDescent="0.25">
      <c r="AK652" s="32" t="s">
        <v>50</v>
      </c>
      <c r="AL652" t="s">
        <v>198</v>
      </c>
      <c r="AM652" t="s">
        <v>369</v>
      </c>
      <c r="AN652" t="s">
        <v>370</v>
      </c>
    </row>
    <row r="653" spans="37:40" x14ac:dyDescent="0.25">
      <c r="AK653" s="32" t="s">
        <v>50</v>
      </c>
      <c r="AL653" t="s">
        <v>198</v>
      </c>
      <c r="AM653" t="s">
        <v>371</v>
      </c>
      <c r="AN653" t="s">
        <v>372</v>
      </c>
    </row>
    <row r="654" spans="37:40" x14ac:dyDescent="0.25">
      <c r="AK654" s="32" t="s">
        <v>50</v>
      </c>
      <c r="AL654" t="s">
        <v>198</v>
      </c>
      <c r="AM654" t="s">
        <v>374</v>
      </c>
      <c r="AN654" t="s">
        <v>375</v>
      </c>
    </row>
    <row r="655" spans="37:40" x14ac:dyDescent="0.25">
      <c r="AK655" s="32" t="s">
        <v>50</v>
      </c>
      <c r="AL655" t="s">
        <v>198</v>
      </c>
      <c r="AM655" t="s">
        <v>376</v>
      </c>
      <c r="AN655" t="s">
        <v>377</v>
      </c>
    </row>
    <row r="656" spans="37:40" x14ac:dyDescent="0.25">
      <c r="AK656" s="32" t="s">
        <v>50</v>
      </c>
      <c r="AL656" t="s">
        <v>198</v>
      </c>
      <c r="AM656" t="s">
        <v>379</v>
      </c>
      <c r="AN656" t="s">
        <v>380</v>
      </c>
    </row>
    <row r="657" spans="37:40" x14ac:dyDescent="0.25">
      <c r="AK657" s="32" t="s">
        <v>50</v>
      </c>
      <c r="AL657" t="s">
        <v>198</v>
      </c>
      <c r="AM657" t="s">
        <v>381</v>
      </c>
      <c r="AN657" t="s">
        <v>382</v>
      </c>
    </row>
    <row r="658" spans="37:40" x14ac:dyDescent="0.25">
      <c r="AK658" s="32" t="s">
        <v>50</v>
      </c>
      <c r="AL658" t="s">
        <v>198</v>
      </c>
      <c r="AM658" t="s">
        <v>383</v>
      </c>
      <c r="AN658" t="s">
        <v>384</v>
      </c>
    </row>
    <row r="659" spans="37:40" x14ac:dyDescent="0.25">
      <c r="AK659" s="32" t="s">
        <v>50</v>
      </c>
      <c r="AL659" t="s">
        <v>198</v>
      </c>
      <c r="AM659" t="s">
        <v>385</v>
      </c>
      <c r="AN659" t="s">
        <v>386</v>
      </c>
    </row>
    <row r="660" spans="37:40" x14ac:dyDescent="0.25">
      <c r="AK660" s="32" t="s">
        <v>50</v>
      </c>
      <c r="AL660" t="s">
        <v>198</v>
      </c>
      <c r="AM660" t="s">
        <v>387</v>
      </c>
      <c r="AN660" t="s">
        <v>388</v>
      </c>
    </row>
    <row r="661" spans="37:40" x14ac:dyDescent="0.25">
      <c r="AK661" s="32" t="s">
        <v>50</v>
      </c>
      <c r="AL661" t="s">
        <v>198</v>
      </c>
      <c r="AM661" t="s">
        <v>389</v>
      </c>
      <c r="AN661" t="s">
        <v>390</v>
      </c>
    </row>
    <row r="662" spans="37:40" x14ac:dyDescent="0.25">
      <c r="AK662" s="32" t="s">
        <v>50</v>
      </c>
      <c r="AL662" t="s">
        <v>198</v>
      </c>
      <c r="AM662" t="s">
        <v>391</v>
      </c>
      <c r="AN662" t="s">
        <v>392</v>
      </c>
    </row>
    <row r="663" spans="37:40" x14ac:dyDescent="0.25">
      <c r="AK663" s="32" t="s">
        <v>50</v>
      </c>
      <c r="AL663" t="s">
        <v>198</v>
      </c>
      <c r="AM663" t="s">
        <v>393</v>
      </c>
      <c r="AN663" t="s">
        <v>394</v>
      </c>
    </row>
    <row r="664" spans="37:40" x14ac:dyDescent="0.25">
      <c r="AK664" s="32" t="s">
        <v>50</v>
      </c>
      <c r="AL664" t="s">
        <v>198</v>
      </c>
      <c r="AM664" t="s">
        <v>395</v>
      </c>
      <c r="AN664" t="s">
        <v>396</v>
      </c>
    </row>
    <row r="665" spans="37:40" x14ac:dyDescent="0.25">
      <c r="AK665" s="32" t="s">
        <v>50</v>
      </c>
      <c r="AL665" t="s">
        <v>198</v>
      </c>
      <c r="AM665" t="s">
        <v>397</v>
      </c>
      <c r="AN665" t="s">
        <v>398</v>
      </c>
    </row>
    <row r="666" spans="37:40" x14ac:dyDescent="0.25">
      <c r="AK666" s="32" t="s">
        <v>50</v>
      </c>
      <c r="AL666" t="s">
        <v>198</v>
      </c>
      <c r="AM666" t="s">
        <v>399</v>
      </c>
      <c r="AN666" t="s">
        <v>400</v>
      </c>
    </row>
    <row r="667" spans="37:40" x14ac:dyDescent="0.25">
      <c r="AK667" s="32" t="s">
        <v>50</v>
      </c>
      <c r="AL667" t="s">
        <v>198</v>
      </c>
      <c r="AM667" t="s">
        <v>401</v>
      </c>
      <c r="AN667" t="s">
        <v>402</v>
      </c>
    </row>
    <row r="668" spans="37:40" x14ac:dyDescent="0.25">
      <c r="AK668" s="32" t="s">
        <v>50</v>
      </c>
      <c r="AL668" t="s">
        <v>198</v>
      </c>
      <c r="AM668" t="s">
        <v>403</v>
      </c>
      <c r="AN668" t="s">
        <v>404</v>
      </c>
    </row>
    <row r="669" spans="37:40" x14ac:dyDescent="0.25">
      <c r="AK669" s="32" t="s">
        <v>50</v>
      </c>
      <c r="AL669" t="s">
        <v>198</v>
      </c>
      <c r="AM669" t="s">
        <v>405</v>
      </c>
      <c r="AN669" t="s">
        <v>406</v>
      </c>
    </row>
    <row r="670" spans="37:40" x14ac:dyDescent="0.25">
      <c r="AK670" s="32" t="s">
        <v>50</v>
      </c>
      <c r="AL670" t="s">
        <v>198</v>
      </c>
      <c r="AM670" t="s">
        <v>407</v>
      </c>
      <c r="AN670" t="s">
        <v>408</v>
      </c>
    </row>
    <row r="671" spans="37:40" x14ac:dyDescent="0.25">
      <c r="AK671" s="32" t="s">
        <v>50</v>
      </c>
      <c r="AL671" t="s">
        <v>198</v>
      </c>
      <c r="AM671" t="s">
        <v>409</v>
      </c>
      <c r="AN671" t="s">
        <v>410</v>
      </c>
    </row>
    <row r="673" spans="37:41" x14ac:dyDescent="0.25">
      <c r="AK673" s="32" t="s">
        <v>50</v>
      </c>
      <c r="AL673" t="s">
        <v>210</v>
      </c>
      <c r="AM673" t="s">
        <v>51</v>
      </c>
      <c r="AN673" t="s">
        <v>52</v>
      </c>
    </row>
    <row r="674" spans="37:41" x14ac:dyDescent="0.25">
      <c r="AK674" s="32" t="s">
        <v>50</v>
      </c>
      <c r="AL674" t="s">
        <v>210</v>
      </c>
      <c r="AM674" t="s">
        <v>80</v>
      </c>
      <c r="AN674" t="s">
        <v>81</v>
      </c>
    </row>
    <row r="675" spans="37:41" x14ac:dyDescent="0.25">
      <c r="AK675" s="32" t="s">
        <v>50</v>
      </c>
      <c r="AL675" t="s">
        <v>210</v>
      </c>
      <c r="AM675" t="s">
        <v>104</v>
      </c>
      <c r="AN675" t="s">
        <v>105</v>
      </c>
      <c r="AO675" t="s">
        <v>503</v>
      </c>
    </row>
    <row r="676" spans="37:41" x14ac:dyDescent="0.25">
      <c r="AK676" s="32" t="s">
        <v>50</v>
      </c>
      <c r="AL676" t="s">
        <v>210</v>
      </c>
      <c r="AM676" t="s">
        <v>119</v>
      </c>
      <c r="AN676" t="s">
        <v>120</v>
      </c>
      <c r="AO676" t="s">
        <v>504</v>
      </c>
    </row>
    <row r="677" spans="37:41" x14ac:dyDescent="0.25">
      <c r="AK677" s="32" t="s">
        <v>50</v>
      </c>
      <c r="AL677" t="s">
        <v>210</v>
      </c>
      <c r="AM677" t="s">
        <v>137</v>
      </c>
      <c r="AN677" t="s">
        <v>138</v>
      </c>
      <c r="AO677" t="s">
        <v>505</v>
      </c>
    </row>
    <row r="678" spans="37:41" x14ac:dyDescent="0.25">
      <c r="AK678" s="32" t="s">
        <v>50</v>
      </c>
      <c r="AL678" t="s">
        <v>210</v>
      </c>
      <c r="AM678" t="s">
        <v>149</v>
      </c>
      <c r="AN678" t="s">
        <v>150</v>
      </c>
      <c r="AO678" t="s">
        <v>506</v>
      </c>
    </row>
    <row r="679" spans="37:41" x14ac:dyDescent="0.25">
      <c r="AK679" s="32" t="s">
        <v>50</v>
      </c>
      <c r="AL679" t="s">
        <v>210</v>
      </c>
      <c r="AM679" t="s">
        <v>162</v>
      </c>
      <c r="AN679" t="s">
        <v>163</v>
      </c>
      <c r="AO679" t="s">
        <v>507</v>
      </c>
    </row>
    <row r="680" spans="37:41" x14ac:dyDescent="0.25">
      <c r="AK680" s="32" t="s">
        <v>50</v>
      </c>
      <c r="AL680" t="s">
        <v>210</v>
      </c>
      <c r="AM680" t="s">
        <v>174</v>
      </c>
      <c r="AN680" t="s">
        <v>175</v>
      </c>
      <c r="AO680" t="s">
        <v>508</v>
      </c>
    </row>
    <row r="681" spans="37:41" x14ac:dyDescent="0.25">
      <c r="AK681" s="32" t="s">
        <v>50</v>
      </c>
      <c r="AL681" t="s">
        <v>210</v>
      </c>
      <c r="AM681" t="s">
        <v>187</v>
      </c>
      <c r="AN681" t="s">
        <v>188</v>
      </c>
      <c r="AO681" t="s">
        <v>509</v>
      </c>
    </row>
    <row r="682" spans="37:41" x14ac:dyDescent="0.25">
      <c r="AK682" s="32" t="s">
        <v>50</v>
      </c>
      <c r="AL682" t="s">
        <v>210</v>
      </c>
      <c r="AM682" t="s">
        <v>199</v>
      </c>
      <c r="AN682" t="s">
        <v>200</v>
      </c>
      <c r="AO682" t="s">
        <v>510</v>
      </c>
    </row>
    <row r="683" spans="37:41" x14ac:dyDescent="0.25">
      <c r="AK683" s="32" t="s">
        <v>50</v>
      </c>
      <c r="AL683" t="s">
        <v>210</v>
      </c>
      <c r="AM683" t="s">
        <v>211</v>
      </c>
      <c r="AN683" t="s">
        <v>212</v>
      </c>
      <c r="AO683" t="s">
        <v>511</v>
      </c>
    </row>
    <row r="684" spans="37:41" x14ac:dyDescent="0.25">
      <c r="AK684" s="32" t="s">
        <v>50</v>
      </c>
      <c r="AL684" t="s">
        <v>210</v>
      </c>
      <c r="AM684" t="s">
        <v>223</v>
      </c>
      <c r="AN684" t="s">
        <v>224</v>
      </c>
      <c r="AO684" t="s">
        <v>512</v>
      </c>
    </row>
    <row r="685" spans="37:41" x14ac:dyDescent="0.25">
      <c r="AK685" s="32" t="s">
        <v>50</v>
      </c>
      <c r="AL685" t="s">
        <v>210</v>
      </c>
      <c r="AM685" t="s">
        <v>232</v>
      </c>
      <c r="AN685" t="s">
        <v>233</v>
      </c>
      <c r="AO685" t="s">
        <v>505</v>
      </c>
    </row>
    <row r="686" spans="37:41" x14ac:dyDescent="0.25">
      <c r="AK686" s="32" t="s">
        <v>50</v>
      </c>
      <c r="AL686" t="s">
        <v>210</v>
      </c>
      <c r="AM686" t="s">
        <v>239</v>
      </c>
      <c r="AN686" t="s">
        <v>240</v>
      </c>
      <c r="AO686" t="s">
        <v>506</v>
      </c>
    </row>
    <row r="687" spans="37:41" x14ac:dyDescent="0.25">
      <c r="AK687" s="32" t="s">
        <v>50</v>
      </c>
      <c r="AL687" t="s">
        <v>210</v>
      </c>
      <c r="AM687" t="s">
        <v>246</v>
      </c>
      <c r="AN687" t="s">
        <v>247</v>
      </c>
      <c r="AO687" t="s">
        <v>507</v>
      </c>
    </row>
    <row r="688" spans="37:41" x14ac:dyDescent="0.25">
      <c r="AK688" s="32" t="s">
        <v>50</v>
      </c>
      <c r="AL688" t="s">
        <v>210</v>
      </c>
      <c r="AM688" t="s">
        <v>254</v>
      </c>
      <c r="AN688" t="s">
        <v>255</v>
      </c>
      <c r="AO688" t="s">
        <v>504</v>
      </c>
    </row>
    <row r="689" spans="37:41" x14ac:dyDescent="0.25">
      <c r="AK689" s="32" t="s">
        <v>50</v>
      </c>
      <c r="AL689" t="s">
        <v>210</v>
      </c>
      <c r="AM689" t="s">
        <v>262</v>
      </c>
      <c r="AN689" t="s">
        <v>263</v>
      </c>
      <c r="AO689" t="s">
        <v>506</v>
      </c>
    </row>
    <row r="690" spans="37:41" x14ac:dyDescent="0.25">
      <c r="AK690" s="32" t="s">
        <v>50</v>
      </c>
      <c r="AL690" t="s">
        <v>210</v>
      </c>
      <c r="AM690" t="s">
        <v>270</v>
      </c>
      <c r="AN690" t="s">
        <v>271</v>
      </c>
      <c r="AO690" t="s">
        <v>507</v>
      </c>
    </row>
    <row r="691" spans="37:41" x14ac:dyDescent="0.25">
      <c r="AK691" s="32" t="s">
        <v>50</v>
      </c>
      <c r="AL691" t="s">
        <v>210</v>
      </c>
      <c r="AM691" t="s">
        <v>277</v>
      </c>
      <c r="AN691" t="s">
        <v>278</v>
      </c>
      <c r="AO691" t="s">
        <v>508</v>
      </c>
    </row>
    <row r="692" spans="37:41" x14ac:dyDescent="0.25">
      <c r="AK692" s="32" t="s">
        <v>50</v>
      </c>
      <c r="AL692" t="s">
        <v>210</v>
      </c>
      <c r="AM692" t="s">
        <v>284</v>
      </c>
      <c r="AN692" t="s">
        <v>285</v>
      </c>
      <c r="AO692" t="s">
        <v>509</v>
      </c>
    </row>
    <row r="693" spans="37:41" x14ac:dyDescent="0.25">
      <c r="AK693" s="32" t="s">
        <v>50</v>
      </c>
      <c r="AL693" t="s">
        <v>210</v>
      </c>
      <c r="AM693" t="s">
        <v>291</v>
      </c>
      <c r="AN693" t="s">
        <v>292</v>
      </c>
      <c r="AO693" t="s">
        <v>504</v>
      </c>
    </row>
    <row r="694" spans="37:41" x14ac:dyDescent="0.25">
      <c r="AK694" s="32" t="s">
        <v>50</v>
      </c>
      <c r="AL694" t="s">
        <v>210</v>
      </c>
      <c r="AM694" t="s">
        <v>298</v>
      </c>
      <c r="AN694" t="s">
        <v>299</v>
      </c>
      <c r="AO694" t="s">
        <v>505</v>
      </c>
    </row>
    <row r="695" spans="37:41" x14ac:dyDescent="0.25">
      <c r="AK695" s="32" t="s">
        <v>50</v>
      </c>
      <c r="AL695" t="s">
        <v>210</v>
      </c>
      <c r="AM695" t="s">
        <v>305</v>
      </c>
      <c r="AN695" t="s">
        <v>306</v>
      </c>
      <c r="AO695" t="s">
        <v>507</v>
      </c>
    </row>
    <row r="696" spans="37:41" x14ac:dyDescent="0.25">
      <c r="AK696" s="32" t="s">
        <v>50</v>
      </c>
      <c r="AL696" t="s">
        <v>210</v>
      </c>
      <c r="AM696" t="s">
        <v>309</v>
      </c>
      <c r="AN696" t="s">
        <v>310</v>
      </c>
      <c r="AO696" t="s">
        <v>508</v>
      </c>
    </row>
    <row r="697" spans="37:41" x14ac:dyDescent="0.25">
      <c r="AK697" s="32" t="s">
        <v>50</v>
      </c>
      <c r="AL697" t="s">
        <v>210</v>
      </c>
      <c r="AM697" t="s">
        <v>312</v>
      </c>
      <c r="AN697" t="s">
        <v>313</v>
      </c>
      <c r="AO697" t="s">
        <v>509</v>
      </c>
    </row>
    <row r="698" spans="37:41" x14ac:dyDescent="0.25">
      <c r="AK698" s="32" t="s">
        <v>50</v>
      </c>
      <c r="AL698" t="s">
        <v>210</v>
      </c>
      <c r="AM698" t="s">
        <v>315</v>
      </c>
      <c r="AN698" t="s">
        <v>316</v>
      </c>
      <c r="AO698" t="s">
        <v>504</v>
      </c>
    </row>
    <row r="699" spans="37:41" x14ac:dyDescent="0.25">
      <c r="AK699" s="32" t="s">
        <v>50</v>
      </c>
      <c r="AL699" t="s">
        <v>210</v>
      </c>
      <c r="AM699" t="s">
        <v>319</v>
      </c>
      <c r="AN699" t="s">
        <v>320</v>
      </c>
      <c r="AO699" t="s">
        <v>505</v>
      </c>
    </row>
    <row r="700" spans="37:41" x14ac:dyDescent="0.25">
      <c r="AK700" s="32" t="s">
        <v>50</v>
      </c>
      <c r="AL700" t="s">
        <v>210</v>
      </c>
      <c r="AM700" t="s">
        <v>323</v>
      </c>
      <c r="AN700" t="s">
        <v>324</v>
      </c>
      <c r="AO700" t="s">
        <v>506</v>
      </c>
    </row>
    <row r="701" spans="37:41" x14ac:dyDescent="0.25">
      <c r="AK701" s="32" t="s">
        <v>50</v>
      </c>
      <c r="AL701" t="s">
        <v>210</v>
      </c>
      <c r="AM701" t="s">
        <v>326</v>
      </c>
      <c r="AN701" t="s">
        <v>327</v>
      </c>
      <c r="AO701" t="s">
        <v>508</v>
      </c>
    </row>
    <row r="702" spans="37:41" x14ac:dyDescent="0.25">
      <c r="AK702" s="32" t="s">
        <v>50</v>
      </c>
      <c r="AL702" t="s">
        <v>210</v>
      </c>
      <c r="AM702" t="s">
        <v>330</v>
      </c>
      <c r="AN702" t="s">
        <v>331</v>
      </c>
      <c r="AO702" t="s">
        <v>509</v>
      </c>
    </row>
    <row r="703" spans="37:41" x14ac:dyDescent="0.25">
      <c r="AK703" s="32" t="s">
        <v>50</v>
      </c>
      <c r="AL703" t="s">
        <v>210</v>
      </c>
      <c r="AM703" t="s">
        <v>335</v>
      </c>
      <c r="AN703" t="s">
        <v>336</v>
      </c>
      <c r="AO703" t="s">
        <v>510</v>
      </c>
    </row>
    <row r="704" spans="37:41" x14ac:dyDescent="0.25">
      <c r="AK704" s="32" t="s">
        <v>50</v>
      </c>
      <c r="AL704" t="s">
        <v>210</v>
      </c>
      <c r="AM704" t="s">
        <v>340</v>
      </c>
      <c r="AN704" t="s">
        <v>341</v>
      </c>
      <c r="AO704" t="s">
        <v>511</v>
      </c>
    </row>
    <row r="705" spans="37:41" x14ac:dyDescent="0.25">
      <c r="AK705" s="32" t="s">
        <v>50</v>
      </c>
      <c r="AL705" t="s">
        <v>210</v>
      </c>
      <c r="AM705" t="s">
        <v>344</v>
      </c>
      <c r="AN705" t="s">
        <v>345</v>
      </c>
      <c r="AO705" t="s">
        <v>505</v>
      </c>
    </row>
    <row r="706" spans="37:41" x14ac:dyDescent="0.25">
      <c r="AK706" s="32" t="s">
        <v>50</v>
      </c>
      <c r="AL706" t="s">
        <v>210</v>
      </c>
      <c r="AM706" t="s">
        <v>348</v>
      </c>
      <c r="AN706" t="s">
        <v>349</v>
      </c>
      <c r="AO706" t="s">
        <v>506</v>
      </c>
    </row>
    <row r="707" spans="37:41" x14ac:dyDescent="0.25">
      <c r="AK707" s="32" t="s">
        <v>50</v>
      </c>
      <c r="AL707" t="s">
        <v>210</v>
      </c>
      <c r="AM707" t="s">
        <v>352</v>
      </c>
      <c r="AN707" t="s">
        <v>353</v>
      </c>
      <c r="AO707" t="s">
        <v>507</v>
      </c>
    </row>
    <row r="708" spans="37:41" x14ac:dyDescent="0.25">
      <c r="AK708" s="32" t="s">
        <v>50</v>
      </c>
      <c r="AL708" t="s">
        <v>210</v>
      </c>
      <c r="AM708" t="s">
        <v>356</v>
      </c>
      <c r="AN708" t="s">
        <v>357</v>
      </c>
      <c r="AO708" t="s">
        <v>509</v>
      </c>
    </row>
    <row r="709" spans="37:41" x14ac:dyDescent="0.25">
      <c r="AK709" s="32" t="s">
        <v>50</v>
      </c>
      <c r="AL709" t="s">
        <v>210</v>
      </c>
      <c r="AM709" t="s">
        <v>359</v>
      </c>
      <c r="AN709" t="s">
        <v>360</v>
      </c>
      <c r="AO709" t="s">
        <v>510</v>
      </c>
    </row>
    <row r="710" spans="37:41" x14ac:dyDescent="0.25">
      <c r="AK710" s="32" t="s">
        <v>50</v>
      </c>
      <c r="AL710" t="s">
        <v>210</v>
      </c>
      <c r="AM710" t="s">
        <v>362</v>
      </c>
      <c r="AN710" t="s">
        <v>363</v>
      </c>
      <c r="AO710" t="s">
        <v>511</v>
      </c>
    </row>
    <row r="711" spans="37:41" x14ac:dyDescent="0.25">
      <c r="AK711" s="32" t="s">
        <v>50</v>
      </c>
      <c r="AL711" t="s">
        <v>210</v>
      </c>
      <c r="AM711" t="s">
        <v>365</v>
      </c>
      <c r="AN711" t="s">
        <v>366</v>
      </c>
      <c r="AO711" t="s">
        <v>512</v>
      </c>
    </row>
    <row r="712" spans="37:41" x14ac:dyDescent="0.25">
      <c r="AK712" s="32" t="s">
        <v>50</v>
      </c>
      <c r="AL712" t="s">
        <v>210</v>
      </c>
      <c r="AM712" t="s">
        <v>367</v>
      </c>
      <c r="AN712" t="s">
        <v>368</v>
      </c>
      <c r="AO712" t="s">
        <v>505</v>
      </c>
    </row>
    <row r="713" spans="37:41" x14ac:dyDescent="0.25">
      <c r="AK713" s="32" t="s">
        <v>50</v>
      </c>
      <c r="AL713" t="s">
        <v>210</v>
      </c>
      <c r="AM713" t="s">
        <v>369</v>
      </c>
      <c r="AN713" t="s">
        <v>370</v>
      </c>
      <c r="AO713" t="s">
        <v>506</v>
      </c>
    </row>
    <row r="714" spans="37:41" x14ac:dyDescent="0.25">
      <c r="AK714" s="32" t="s">
        <v>50</v>
      </c>
      <c r="AL714" t="s">
        <v>210</v>
      </c>
      <c r="AM714" t="s">
        <v>371</v>
      </c>
      <c r="AN714" t="s">
        <v>372</v>
      </c>
      <c r="AO714" t="s">
        <v>507</v>
      </c>
    </row>
    <row r="715" spans="37:41" x14ac:dyDescent="0.25">
      <c r="AK715" s="32" t="s">
        <v>50</v>
      </c>
      <c r="AL715" t="s">
        <v>210</v>
      </c>
      <c r="AM715" t="s">
        <v>374</v>
      </c>
      <c r="AN715" t="s">
        <v>375</v>
      </c>
      <c r="AO715" t="s">
        <v>508</v>
      </c>
    </row>
    <row r="716" spans="37:41" x14ac:dyDescent="0.25">
      <c r="AK716" s="32" t="s">
        <v>50</v>
      </c>
      <c r="AL716" t="s">
        <v>210</v>
      </c>
      <c r="AM716" t="s">
        <v>376</v>
      </c>
      <c r="AN716" t="s">
        <v>377</v>
      </c>
      <c r="AO716" t="s">
        <v>510</v>
      </c>
    </row>
    <row r="717" spans="37:41" x14ac:dyDescent="0.25">
      <c r="AK717" s="32" t="s">
        <v>50</v>
      </c>
      <c r="AL717" t="s">
        <v>210</v>
      </c>
      <c r="AM717" t="s">
        <v>379</v>
      </c>
      <c r="AN717" t="s">
        <v>380</v>
      </c>
      <c r="AO717" t="s">
        <v>511</v>
      </c>
    </row>
    <row r="718" spans="37:41" x14ac:dyDescent="0.25">
      <c r="AK718" s="32" t="s">
        <v>50</v>
      </c>
      <c r="AL718" t="s">
        <v>210</v>
      </c>
      <c r="AM718" t="s">
        <v>381</v>
      </c>
      <c r="AN718" t="s">
        <v>382</v>
      </c>
      <c r="AO718" t="s">
        <v>512</v>
      </c>
    </row>
    <row r="719" spans="37:41" x14ac:dyDescent="0.25">
      <c r="AK719" s="32" t="s">
        <v>50</v>
      </c>
      <c r="AL719" t="s">
        <v>210</v>
      </c>
      <c r="AM719" t="s">
        <v>383</v>
      </c>
      <c r="AN719" t="s">
        <v>384</v>
      </c>
      <c r="AO719" t="s">
        <v>506</v>
      </c>
    </row>
    <row r="720" spans="37:41" x14ac:dyDescent="0.25">
      <c r="AK720" s="32" t="s">
        <v>50</v>
      </c>
      <c r="AL720" t="s">
        <v>210</v>
      </c>
      <c r="AM720" t="s">
        <v>385</v>
      </c>
      <c r="AN720" t="s">
        <v>386</v>
      </c>
      <c r="AO720" t="s">
        <v>507</v>
      </c>
    </row>
    <row r="721" spans="37:41" x14ac:dyDescent="0.25">
      <c r="AK721" s="32" t="s">
        <v>50</v>
      </c>
      <c r="AL721" t="s">
        <v>210</v>
      </c>
      <c r="AM721" t="s">
        <v>387</v>
      </c>
      <c r="AN721" t="s">
        <v>388</v>
      </c>
      <c r="AO721" t="s">
        <v>508</v>
      </c>
    </row>
    <row r="722" spans="37:41" x14ac:dyDescent="0.25">
      <c r="AK722" s="32" t="s">
        <v>50</v>
      </c>
      <c r="AL722" t="s">
        <v>210</v>
      </c>
      <c r="AM722" t="s">
        <v>389</v>
      </c>
      <c r="AN722" t="s">
        <v>390</v>
      </c>
      <c r="AO722" t="s">
        <v>509</v>
      </c>
    </row>
    <row r="723" spans="37:41" x14ac:dyDescent="0.25">
      <c r="AK723" s="32" t="s">
        <v>50</v>
      </c>
      <c r="AL723" t="s">
        <v>210</v>
      </c>
      <c r="AM723" t="s">
        <v>391</v>
      </c>
      <c r="AN723" t="s">
        <v>392</v>
      </c>
      <c r="AO723" t="s">
        <v>511</v>
      </c>
    </row>
    <row r="724" spans="37:41" x14ac:dyDescent="0.25">
      <c r="AK724" s="32" t="s">
        <v>50</v>
      </c>
      <c r="AL724" t="s">
        <v>210</v>
      </c>
      <c r="AM724" t="s">
        <v>393</v>
      </c>
      <c r="AN724" t="s">
        <v>394</v>
      </c>
      <c r="AO724" t="s">
        <v>512</v>
      </c>
    </row>
    <row r="725" spans="37:41" x14ac:dyDescent="0.25">
      <c r="AK725" s="32" t="s">
        <v>50</v>
      </c>
      <c r="AL725" t="s">
        <v>210</v>
      </c>
      <c r="AM725" t="s">
        <v>395</v>
      </c>
      <c r="AN725" t="s">
        <v>396</v>
      </c>
      <c r="AO725" t="s">
        <v>507</v>
      </c>
    </row>
    <row r="726" spans="37:41" x14ac:dyDescent="0.25">
      <c r="AK726" s="32" t="s">
        <v>50</v>
      </c>
      <c r="AL726" t="s">
        <v>210</v>
      </c>
      <c r="AM726" t="s">
        <v>397</v>
      </c>
      <c r="AN726" t="s">
        <v>398</v>
      </c>
      <c r="AO726" t="s">
        <v>508</v>
      </c>
    </row>
    <row r="727" spans="37:41" x14ac:dyDescent="0.25">
      <c r="AK727" s="32" t="s">
        <v>50</v>
      </c>
      <c r="AL727" t="s">
        <v>210</v>
      </c>
      <c r="AM727" t="s">
        <v>399</v>
      </c>
      <c r="AN727" t="s">
        <v>400</v>
      </c>
      <c r="AO727" t="s">
        <v>509</v>
      </c>
    </row>
    <row r="728" spans="37:41" x14ac:dyDescent="0.25">
      <c r="AK728" s="32" t="s">
        <v>50</v>
      </c>
      <c r="AL728" t="s">
        <v>210</v>
      </c>
      <c r="AM728" t="s">
        <v>401</v>
      </c>
      <c r="AN728" t="s">
        <v>402</v>
      </c>
      <c r="AO728" t="s">
        <v>510</v>
      </c>
    </row>
    <row r="729" spans="37:41" x14ac:dyDescent="0.25">
      <c r="AK729" s="32" t="s">
        <v>50</v>
      </c>
      <c r="AL729" t="s">
        <v>210</v>
      </c>
      <c r="AM729" t="s">
        <v>403</v>
      </c>
      <c r="AN729" t="s">
        <v>404</v>
      </c>
      <c r="AO729" t="s">
        <v>512</v>
      </c>
    </row>
    <row r="730" spans="37:41" x14ac:dyDescent="0.25">
      <c r="AK730" s="32" t="s">
        <v>50</v>
      </c>
      <c r="AL730" t="s">
        <v>210</v>
      </c>
      <c r="AM730" t="s">
        <v>405</v>
      </c>
      <c r="AN730" t="s">
        <v>406</v>
      </c>
      <c r="AO730" t="s">
        <v>507</v>
      </c>
    </row>
    <row r="731" spans="37:41" x14ac:dyDescent="0.25">
      <c r="AK731" s="32" t="s">
        <v>50</v>
      </c>
      <c r="AL731" t="s">
        <v>210</v>
      </c>
      <c r="AM731" t="s">
        <v>407</v>
      </c>
      <c r="AN731" t="s">
        <v>408</v>
      </c>
      <c r="AO731" t="s">
        <v>508</v>
      </c>
    </row>
    <row r="732" spans="37:41" x14ac:dyDescent="0.25">
      <c r="AK732" s="32" t="s">
        <v>50</v>
      </c>
      <c r="AL732" t="s">
        <v>210</v>
      </c>
      <c r="AM732" t="s">
        <v>409</v>
      </c>
      <c r="AN732" t="s">
        <v>410</v>
      </c>
      <c r="AO732" t="s">
        <v>509</v>
      </c>
    </row>
    <row r="733" spans="37:41" x14ac:dyDescent="0.25">
      <c r="AO733" t="s">
        <v>510</v>
      </c>
    </row>
    <row r="734" spans="37:41" x14ac:dyDescent="0.25">
      <c r="AO734" t="s">
        <v>511</v>
      </c>
    </row>
    <row r="736" spans="37:41" x14ac:dyDescent="0.25">
      <c r="AK736" t="s">
        <v>50</v>
      </c>
      <c r="AL736" t="s">
        <v>222</v>
      </c>
      <c r="AM736" t="s">
        <v>51</v>
      </c>
      <c r="AN736" t="s">
        <v>513</v>
      </c>
      <c r="AO736" t="s">
        <v>503</v>
      </c>
    </row>
    <row r="737" spans="37:41" x14ac:dyDescent="0.25">
      <c r="AK737" t="s">
        <v>50</v>
      </c>
      <c r="AL737" t="s">
        <v>222</v>
      </c>
      <c r="AM737" t="s">
        <v>80</v>
      </c>
      <c r="AN737" t="s">
        <v>514</v>
      </c>
      <c r="AO737" t="s">
        <v>504</v>
      </c>
    </row>
    <row r="738" spans="37:41" x14ac:dyDescent="0.25">
      <c r="AK738" t="s">
        <v>50</v>
      </c>
      <c r="AL738" t="s">
        <v>222</v>
      </c>
      <c r="AM738" t="s">
        <v>104</v>
      </c>
      <c r="AN738" t="s">
        <v>515</v>
      </c>
      <c r="AO738" t="s">
        <v>505</v>
      </c>
    </row>
    <row r="739" spans="37:41" x14ac:dyDescent="0.25">
      <c r="AK739" t="s">
        <v>50</v>
      </c>
      <c r="AL739" t="s">
        <v>222</v>
      </c>
      <c r="AM739" t="s">
        <v>119</v>
      </c>
      <c r="AN739" t="s">
        <v>516</v>
      </c>
      <c r="AO739" t="s">
        <v>506</v>
      </c>
    </row>
    <row r="740" spans="37:41" x14ac:dyDescent="0.25">
      <c r="AK740" t="s">
        <v>50</v>
      </c>
      <c r="AL740" t="s">
        <v>222</v>
      </c>
      <c r="AM740" t="s">
        <v>137</v>
      </c>
      <c r="AN740" t="s">
        <v>517</v>
      </c>
      <c r="AO740" t="s">
        <v>507</v>
      </c>
    </row>
    <row r="741" spans="37:41" x14ac:dyDescent="0.25">
      <c r="AK741" t="s">
        <v>50</v>
      </c>
      <c r="AL741" t="s">
        <v>222</v>
      </c>
      <c r="AM741" t="s">
        <v>149</v>
      </c>
      <c r="AN741" t="s">
        <v>518</v>
      </c>
      <c r="AO741" t="s">
        <v>508</v>
      </c>
    </row>
    <row r="742" spans="37:41" x14ac:dyDescent="0.25">
      <c r="AK742" t="s">
        <v>50</v>
      </c>
      <c r="AL742" t="s">
        <v>222</v>
      </c>
      <c r="AM742" t="s">
        <v>162</v>
      </c>
      <c r="AN742" t="s">
        <v>519</v>
      </c>
      <c r="AO742" t="s">
        <v>509</v>
      </c>
    </row>
    <row r="743" spans="37:41" x14ac:dyDescent="0.25">
      <c r="AK743" t="s">
        <v>50</v>
      </c>
      <c r="AL743" t="s">
        <v>222</v>
      </c>
      <c r="AM743" t="s">
        <v>174</v>
      </c>
      <c r="AN743" t="s">
        <v>520</v>
      </c>
      <c r="AO743" t="s">
        <v>510</v>
      </c>
    </row>
    <row r="744" spans="37:41" x14ac:dyDescent="0.25">
      <c r="AK744" t="s">
        <v>50</v>
      </c>
      <c r="AL744" t="s">
        <v>222</v>
      </c>
      <c r="AM744" t="s">
        <v>187</v>
      </c>
      <c r="AN744" t="s">
        <v>521</v>
      </c>
      <c r="AO744" t="s">
        <v>511</v>
      </c>
    </row>
    <row r="745" spans="37:41" x14ac:dyDescent="0.25">
      <c r="AK745" t="s">
        <v>50</v>
      </c>
      <c r="AL745" t="s">
        <v>222</v>
      </c>
      <c r="AM745" t="s">
        <v>199</v>
      </c>
      <c r="AN745" t="s">
        <v>522</v>
      </c>
      <c r="AO745" t="s">
        <v>512</v>
      </c>
    </row>
    <row r="746" spans="37:41" x14ac:dyDescent="0.25">
      <c r="AK746" t="s">
        <v>50</v>
      </c>
      <c r="AL746" t="s">
        <v>222</v>
      </c>
      <c r="AM746" t="s">
        <v>211</v>
      </c>
      <c r="AN746" t="s">
        <v>523</v>
      </c>
      <c r="AO746" t="s">
        <v>503</v>
      </c>
    </row>
    <row r="747" spans="37:41" x14ac:dyDescent="0.25">
      <c r="AK747" t="s">
        <v>50</v>
      </c>
      <c r="AL747" t="s">
        <v>222</v>
      </c>
      <c r="AM747" t="s">
        <v>223</v>
      </c>
      <c r="AN747" t="s">
        <v>524</v>
      </c>
      <c r="AO747" t="s">
        <v>504</v>
      </c>
    </row>
    <row r="748" spans="37:41" x14ac:dyDescent="0.25">
      <c r="AK748" t="s">
        <v>50</v>
      </c>
      <c r="AL748" t="s">
        <v>222</v>
      </c>
      <c r="AM748" t="s">
        <v>232</v>
      </c>
      <c r="AN748" t="s">
        <v>525</v>
      </c>
      <c r="AO748" t="s">
        <v>505</v>
      </c>
    </row>
    <row r="749" spans="37:41" x14ac:dyDescent="0.25">
      <c r="AK749" t="s">
        <v>50</v>
      </c>
      <c r="AL749" t="s">
        <v>222</v>
      </c>
      <c r="AM749" s="37" t="s">
        <v>362</v>
      </c>
      <c r="AN749" t="s">
        <v>523</v>
      </c>
      <c r="AO749" t="s">
        <v>506</v>
      </c>
    </row>
    <row r="750" spans="37:41" x14ac:dyDescent="0.25">
      <c r="AK750" t="s">
        <v>50</v>
      </c>
      <c r="AL750" t="s">
        <v>222</v>
      </c>
      <c r="AM750" t="s">
        <v>239</v>
      </c>
      <c r="AN750" t="s">
        <v>526</v>
      </c>
      <c r="AO750" t="s">
        <v>507</v>
      </c>
    </row>
    <row r="751" spans="37:41" x14ac:dyDescent="0.25">
      <c r="AK751" t="s">
        <v>50</v>
      </c>
      <c r="AL751" t="s">
        <v>222</v>
      </c>
      <c r="AM751" t="s">
        <v>246</v>
      </c>
      <c r="AN751" t="s">
        <v>527</v>
      </c>
      <c r="AO751" t="s">
        <v>508</v>
      </c>
    </row>
    <row r="752" spans="37:41" x14ac:dyDescent="0.25">
      <c r="AK752" t="s">
        <v>50</v>
      </c>
      <c r="AL752" t="s">
        <v>222</v>
      </c>
      <c r="AM752" t="s">
        <v>254</v>
      </c>
      <c r="AN752" t="s">
        <v>528</v>
      </c>
      <c r="AO752" t="s">
        <v>509</v>
      </c>
    </row>
    <row r="753" spans="37:41" x14ac:dyDescent="0.25">
      <c r="AK753" t="s">
        <v>50</v>
      </c>
      <c r="AL753" t="s">
        <v>222</v>
      </c>
      <c r="AM753" t="s">
        <v>365</v>
      </c>
      <c r="AN753" t="s">
        <v>529</v>
      </c>
      <c r="AO753" t="s">
        <v>510</v>
      </c>
    </row>
    <row r="754" spans="37:41" x14ac:dyDescent="0.25">
      <c r="AK754" t="s">
        <v>50</v>
      </c>
      <c r="AL754" t="s">
        <v>222</v>
      </c>
      <c r="AM754" s="37" t="s">
        <v>367</v>
      </c>
      <c r="AN754" t="s">
        <v>524</v>
      </c>
      <c r="AO754" t="s">
        <v>511</v>
      </c>
    </row>
    <row r="755" spans="37:41" x14ac:dyDescent="0.25">
      <c r="AK755" t="s">
        <v>50</v>
      </c>
      <c r="AL755" t="s">
        <v>222</v>
      </c>
      <c r="AM755" s="37" t="s">
        <v>369</v>
      </c>
      <c r="AN755" t="s">
        <v>526</v>
      </c>
      <c r="AO755" t="s">
        <v>508</v>
      </c>
    </row>
    <row r="756" spans="37:41" x14ac:dyDescent="0.25">
      <c r="AK756" t="s">
        <v>50</v>
      </c>
      <c r="AL756" t="s">
        <v>222</v>
      </c>
      <c r="AM756" t="s">
        <v>262</v>
      </c>
      <c r="AN756" t="s">
        <v>530</v>
      </c>
      <c r="AO756" t="s">
        <v>507</v>
      </c>
    </row>
    <row r="757" spans="37:41" x14ac:dyDescent="0.25">
      <c r="AK757" t="s">
        <v>50</v>
      </c>
      <c r="AL757" t="s">
        <v>222</v>
      </c>
      <c r="AM757" t="s">
        <v>270</v>
      </c>
      <c r="AN757" t="s">
        <v>531</v>
      </c>
      <c r="AO757" t="s">
        <v>508</v>
      </c>
    </row>
    <row r="758" spans="37:41" x14ac:dyDescent="0.25">
      <c r="AK758" t="s">
        <v>50</v>
      </c>
      <c r="AL758" t="s">
        <v>222</v>
      </c>
      <c r="AM758" t="s">
        <v>277</v>
      </c>
      <c r="AN758" t="s">
        <v>532</v>
      </c>
      <c r="AO758" t="s">
        <v>509</v>
      </c>
    </row>
    <row r="759" spans="37:41" x14ac:dyDescent="0.25">
      <c r="AK759" t="s">
        <v>50</v>
      </c>
      <c r="AL759" t="s">
        <v>222</v>
      </c>
      <c r="AM759" s="37" t="s">
        <v>371</v>
      </c>
      <c r="AN759" s="39" t="s">
        <v>525</v>
      </c>
      <c r="AO759" t="s">
        <v>510</v>
      </c>
    </row>
    <row r="760" spans="37:41" x14ac:dyDescent="0.25">
      <c r="AK760" t="s">
        <v>50</v>
      </c>
      <c r="AL760" t="s">
        <v>222</v>
      </c>
      <c r="AM760" s="37" t="s">
        <v>374</v>
      </c>
      <c r="AN760" s="39" t="s">
        <v>527</v>
      </c>
      <c r="AO760" t="s">
        <v>504</v>
      </c>
    </row>
    <row r="761" spans="37:41" x14ac:dyDescent="0.25">
      <c r="AK761" t="s">
        <v>50</v>
      </c>
      <c r="AL761" t="s">
        <v>222</v>
      </c>
      <c r="AM761" s="37" t="s">
        <v>376</v>
      </c>
      <c r="AN761" s="39" t="s">
        <v>530</v>
      </c>
      <c r="AO761" t="s">
        <v>505</v>
      </c>
    </row>
    <row r="762" spans="37:41" x14ac:dyDescent="0.25">
      <c r="AK762" t="s">
        <v>50</v>
      </c>
      <c r="AL762" t="s">
        <v>222</v>
      </c>
      <c r="AM762" s="37" t="s">
        <v>284</v>
      </c>
      <c r="AN762" s="39" t="s">
        <v>533</v>
      </c>
      <c r="AO762" t="s">
        <v>506</v>
      </c>
    </row>
    <row r="763" spans="37:41" x14ac:dyDescent="0.25">
      <c r="AK763" t="s">
        <v>50</v>
      </c>
      <c r="AL763" t="s">
        <v>222</v>
      </c>
      <c r="AM763" t="s">
        <v>291</v>
      </c>
      <c r="AN763" t="s">
        <v>534</v>
      </c>
      <c r="AO763" t="s">
        <v>506</v>
      </c>
    </row>
    <row r="764" spans="37:41" x14ac:dyDescent="0.25">
      <c r="AK764" t="s">
        <v>50</v>
      </c>
      <c r="AL764" t="s">
        <v>222</v>
      </c>
      <c r="AM764" s="37" t="s">
        <v>298</v>
      </c>
      <c r="AN764" s="39" t="s">
        <v>535</v>
      </c>
      <c r="AO764" t="s">
        <v>508</v>
      </c>
    </row>
    <row r="765" spans="37:41" x14ac:dyDescent="0.25">
      <c r="AK765" t="s">
        <v>50</v>
      </c>
      <c r="AL765" t="s">
        <v>222</v>
      </c>
      <c r="AM765" t="s">
        <v>379</v>
      </c>
      <c r="AN765" t="s">
        <v>536</v>
      </c>
      <c r="AO765" t="s">
        <v>509</v>
      </c>
    </row>
    <row r="766" spans="37:41" x14ac:dyDescent="0.25">
      <c r="AK766" t="s">
        <v>50</v>
      </c>
      <c r="AL766" t="s">
        <v>222</v>
      </c>
      <c r="AM766" s="37" t="s">
        <v>381</v>
      </c>
      <c r="AN766" s="39" t="s">
        <v>528</v>
      </c>
      <c r="AO766" t="s">
        <v>505</v>
      </c>
    </row>
    <row r="767" spans="37:41" x14ac:dyDescent="0.25">
      <c r="AK767" t="s">
        <v>50</v>
      </c>
      <c r="AL767" t="s">
        <v>222</v>
      </c>
      <c r="AM767" s="37" t="s">
        <v>383</v>
      </c>
      <c r="AN767" s="59" t="s">
        <v>531</v>
      </c>
    </row>
    <row r="768" spans="37:41" x14ac:dyDescent="0.25">
      <c r="AK768" t="s">
        <v>50</v>
      </c>
      <c r="AL768" t="s">
        <v>222</v>
      </c>
      <c r="AM768" s="37" t="s">
        <v>385</v>
      </c>
      <c r="AN768" s="39" t="s">
        <v>537</v>
      </c>
      <c r="AO768" t="s">
        <v>503</v>
      </c>
    </row>
    <row r="769" spans="37:41" x14ac:dyDescent="0.25">
      <c r="AK769" t="s">
        <v>50</v>
      </c>
      <c r="AL769" t="s">
        <v>222</v>
      </c>
      <c r="AM769" t="s">
        <v>305</v>
      </c>
      <c r="AN769" t="s">
        <v>538</v>
      </c>
      <c r="AO769" t="s">
        <v>504</v>
      </c>
    </row>
    <row r="770" spans="37:41" x14ac:dyDescent="0.25">
      <c r="AK770" t="s">
        <v>50</v>
      </c>
      <c r="AL770" t="s">
        <v>222</v>
      </c>
      <c r="AM770" s="37" t="s">
        <v>309</v>
      </c>
      <c r="AN770" s="39" t="s">
        <v>539</v>
      </c>
      <c r="AO770" t="s">
        <v>505</v>
      </c>
    </row>
    <row r="771" spans="37:41" x14ac:dyDescent="0.25">
      <c r="AK771" t="s">
        <v>50</v>
      </c>
      <c r="AL771" t="s">
        <v>222</v>
      </c>
      <c r="AM771" t="s">
        <v>312</v>
      </c>
      <c r="AN771" t="s">
        <v>540</v>
      </c>
      <c r="AO771" t="s">
        <v>506</v>
      </c>
    </row>
    <row r="772" spans="37:41" x14ac:dyDescent="0.25">
      <c r="AK772" t="s">
        <v>50</v>
      </c>
      <c r="AL772" t="s">
        <v>222</v>
      </c>
      <c r="AM772" t="s">
        <v>387</v>
      </c>
      <c r="AN772" t="s">
        <v>541</v>
      </c>
      <c r="AO772" t="s">
        <v>507</v>
      </c>
    </row>
    <row r="773" spans="37:41" x14ac:dyDescent="0.25">
      <c r="AK773" t="s">
        <v>50</v>
      </c>
      <c r="AL773" t="s">
        <v>222</v>
      </c>
      <c r="AM773" s="37" t="s">
        <v>389</v>
      </c>
      <c r="AN773" s="39" t="s">
        <v>529</v>
      </c>
      <c r="AO773" t="s">
        <v>508</v>
      </c>
    </row>
    <row r="774" spans="37:41" x14ac:dyDescent="0.25">
      <c r="AK774" t="s">
        <v>50</v>
      </c>
      <c r="AL774" t="s">
        <v>222</v>
      </c>
      <c r="AM774" s="37" t="s">
        <v>391</v>
      </c>
      <c r="AN774" s="39" t="s">
        <v>532</v>
      </c>
      <c r="AO774" t="s">
        <v>509</v>
      </c>
    </row>
    <row r="775" spans="37:41" x14ac:dyDescent="0.25">
      <c r="AK775" t="s">
        <v>50</v>
      </c>
      <c r="AL775" t="s">
        <v>222</v>
      </c>
      <c r="AM775" s="37" t="s">
        <v>393</v>
      </c>
      <c r="AN775" s="39" t="s">
        <v>534</v>
      </c>
      <c r="AO775" t="s">
        <v>510</v>
      </c>
    </row>
    <row r="776" spans="37:41" x14ac:dyDescent="0.25">
      <c r="AK776" t="s">
        <v>50</v>
      </c>
      <c r="AL776" t="s">
        <v>222</v>
      </c>
      <c r="AM776" s="37" t="s">
        <v>395</v>
      </c>
      <c r="AN776" s="39" t="s">
        <v>538</v>
      </c>
      <c r="AO776" t="s">
        <v>511</v>
      </c>
    </row>
    <row r="777" spans="37:41" x14ac:dyDescent="0.25">
      <c r="AK777" t="s">
        <v>50</v>
      </c>
      <c r="AL777" t="s">
        <v>222</v>
      </c>
      <c r="AM777" t="s">
        <v>315</v>
      </c>
      <c r="AN777" t="s">
        <v>542</v>
      </c>
      <c r="AO777" t="s">
        <v>512</v>
      </c>
    </row>
    <row r="778" spans="37:41" x14ac:dyDescent="0.25">
      <c r="AK778" t="s">
        <v>50</v>
      </c>
      <c r="AL778" t="s">
        <v>222</v>
      </c>
      <c r="AM778" t="s">
        <v>319</v>
      </c>
      <c r="AN778" t="s">
        <v>543</v>
      </c>
      <c r="AO778" t="s">
        <v>505</v>
      </c>
    </row>
    <row r="779" spans="37:41" x14ac:dyDescent="0.25">
      <c r="AK779" t="s">
        <v>50</v>
      </c>
      <c r="AL779" t="s">
        <v>222</v>
      </c>
      <c r="AM779" t="s">
        <v>323</v>
      </c>
      <c r="AN779" t="s">
        <v>544</v>
      </c>
      <c r="AO779" t="s">
        <v>506</v>
      </c>
    </row>
    <row r="780" spans="37:41" x14ac:dyDescent="0.25">
      <c r="AK780" t="s">
        <v>50</v>
      </c>
      <c r="AL780" t="s">
        <v>222</v>
      </c>
      <c r="AM780" s="37" t="s">
        <v>397</v>
      </c>
      <c r="AN780" s="39" t="s">
        <v>545</v>
      </c>
      <c r="AO780" t="s">
        <v>507</v>
      </c>
    </row>
    <row r="781" spans="37:41" x14ac:dyDescent="0.25">
      <c r="AK781" t="s">
        <v>50</v>
      </c>
      <c r="AL781" t="s">
        <v>222</v>
      </c>
      <c r="AM781" s="37" t="s">
        <v>399</v>
      </c>
      <c r="AN781" s="39" t="s">
        <v>546</v>
      </c>
      <c r="AO781" t="s">
        <v>504</v>
      </c>
    </row>
    <row r="782" spans="37:41" x14ac:dyDescent="0.25">
      <c r="AK782" t="s">
        <v>50</v>
      </c>
      <c r="AL782" t="s">
        <v>222</v>
      </c>
      <c r="AM782" s="37" t="s">
        <v>401</v>
      </c>
      <c r="AN782" s="39" t="s">
        <v>547</v>
      </c>
      <c r="AO782" t="s">
        <v>506</v>
      </c>
    </row>
    <row r="783" spans="37:41" x14ac:dyDescent="0.25">
      <c r="AK783" t="s">
        <v>50</v>
      </c>
      <c r="AL783" t="s">
        <v>222</v>
      </c>
      <c r="AM783" s="37" t="s">
        <v>335</v>
      </c>
      <c r="AN783" s="39" t="s">
        <v>542</v>
      </c>
      <c r="AO783" t="s">
        <v>507</v>
      </c>
    </row>
    <row r="784" spans="37:41" x14ac:dyDescent="0.25">
      <c r="AK784" t="s">
        <v>50</v>
      </c>
      <c r="AL784" t="s">
        <v>222</v>
      </c>
      <c r="AM784" s="37" t="s">
        <v>326</v>
      </c>
      <c r="AN784" s="39" t="s">
        <v>548</v>
      </c>
      <c r="AO784" t="s">
        <v>508</v>
      </c>
    </row>
    <row r="785" spans="37:41" x14ac:dyDescent="0.25">
      <c r="AK785" t="s">
        <v>50</v>
      </c>
      <c r="AL785" t="s">
        <v>222</v>
      </c>
      <c r="AM785" t="s">
        <v>330</v>
      </c>
      <c r="AN785" t="s">
        <v>549</v>
      </c>
      <c r="AO785" t="s">
        <v>509</v>
      </c>
    </row>
    <row r="786" spans="37:41" x14ac:dyDescent="0.25">
      <c r="AK786" t="s">
        <v>50</v>
      </c>
      <c r="AL786" t="s">
        <v>222</v>
      </c>
      <c r="AM786" s="37" t="s">
        <v>403</v>
      </c>
      <c r="AN786" s="39" t="s">
        <v>536</v>
      </c>
      <c r="AO786" t="s">
        <v>504</v>
      </c>
    </row>
    <row r="787" spans="37:41" x14ac:dyDescent="0.25">
      <c r="AK787" t="s">
        <v>50</v>
      </c>
      <c r="AL787" t="s">
        <v>222</v>
      </c>
      <c r="AM787" s="37" t="s">
        <v>405</v>
      </c>
      <c r="AN787" s="39" t="s">
        <v>540</v>
      </c>
      <c r="AO787" t="s">
        <v>505</v>
      </c>
    </row>
    <row r="788" spans="37:41" x14ac:dyDescent="0.25">
      <c r="AK788" t="s">
        <v>50</v>
      </c>
      <c r="AL788" t="s">
        <v>222</v>
      </c>
      <c r="AM788" s="37" t="s">
        <v>348</v>
      </c>
      <c r="AN788" s="39" t="s">
        <v>543</v>
      </c>
      <c r="AO788" t="s">
        <v>507</v>
      </c>
    </row>
    <row r="789" spans="37:41" x14ac:dyDescent="0.25">
      <c r="AK789" t="s">
        <v>50</v>
      </c>
      <c r="AL789" t="s">
        <v>222</v>
      </c>
      <c r="AM789" s="37" t="s">
        <v>344</v>
      </c>
      <c r="AN789" s="39" t="s">
        <v>550</v>
      </c>
      <c r="AO789" t="s">
        <v>508</v>
      </c>
    </row>
    <row r="790" spans="37:41" x14ac:dyDescent="0.25">
      <c r="AK790" t="s">
        <v>50</v>
      </c>
      <c r="AL790" t="s">
        <v>222</v>
      </c>
      <c r="AM790" t="s">
        <v>340</v>
      </c>
      <c r="AN790" t="s">
        <v>551</v>
      </c>
      <c r="AO790" t="s">
        <v>509</v>
      </c>
    </row>
    <row r="791" spans="37:41" x14ac:dyDescent="0.25">
      <c r="AK791" t="s">
        <v>50</v>
      </c>
      <c r="AL791" t="s">
        <v>222</v>
      </c>
      <c r="AM791" s="37" t="s">
        <v>407</v>
      </c>
      <c r="AN791" s="39" t="s">
        <v>552</v>
      </c>
      <c r="AO791" t="s">
        <v>504</v>
      </c>
    </row>
    <row r="792" spans="37:41" x14ac:dyDescent="0.25">
      <c r="AK792" t="s">
        <v>50</v>
      </c>
      <c r="AL792" t="s">
        <v>222</v>
      </c>
      <c r="AM792" s="37" t="s">
        <v>409</v>
      </c>
      <c r="AN792" s="39" t="s">
        <v>541</v>
      </c>
      <c r="AO792" t="s">
        <v>505</v>
      </c>
    </row>
    <row r="793" spans="37:41" x14ac:dyDescent="0.25">
      <c r="AK793" t="s">
        <v>50</v>
      </c>
      <c r="AL793" t="s">
        <v>222</v>
      </c>
      <c r="AM793" s="37" t="s">
        <v>359</v>
      </c>
      <c r="AN793" s="39" t="s">
        <v>544</v>
      </c>
      <c r="AO793" t="s">
        <v>506</v>
      </c>
    </row>
    <row r="794" spans="37:41" x14ac:dyDescent="0.25">
      <c r="AK794" t="s">
        <v>50</v>
      </c>
      <c r="AL794" t="s">
        <v>222</v>
      </c>
      <c r="AM794" s="37" t="s">
        <v>356</v>
      </c>
      <c r="AN794" s="39" t="s">
        <v>549</v>
      </c>
      <c r="AO794" t="s">
        <v>508</v>
      </c>
    </row>
    <row r="795" spans="37:41" x14ac:dyDescent="0.25">
      <c r="AK795" t="s">
        <v>50</v>
      </c>
      <c r="AL795" t="s">
        <v>222</v>
      </c>
      <c r="AM795" s="37" t="s">
        <v>352</v>
      </c>
      <c r="AN795" s="39" t="s">
        <v>551</v>
      </c>
      <c r="AO795" t="s">
        <v>509</v>
      </c>
    </row>
    <row r="796" spans="37:41" x14ac:dyDescent="0.25">
      <c r="AO796" t="s">
        <v>510</v>
      </c>
    </row>
    <row r="797" spans="37:41" x14ac:dyDescent="0.25">
      <c r="AK797" t="s">
        <v>50</v>
      </c>
      <c r="AL797" t="s">
        <v>231</v>
      </c>
      <c r="AM797" t="s">
        <v>51</v>
      </c>
      <c r="AN797" t="s">
        <v>513</v>
      </c>
      <c r="AO797" t="s">
        <v>511</v>
      </c>
    </row>
    <row r="798" spans="37:41" x14ac:dyDescent="0.25">
      <c r="AK798" t="s">
        <v>50</v>
      </c>
      <c r="AL798" t="s">
        <v>231</v>
      </c>
      <c r="AM798" t="s">
        <v>80</v>
      </c>
      <c r="AN798" t="s">
        <v>514</v>
      </c>
      <c r="AO798" t="s">
        <v>505</v>
      </c>
    </row>
    <row r="799" spans="37:41" x14ac:dyDescent="0.25">
      <c r="AK799" t="s">
        <v>50</v>
      </c>
      <c r="AL799" t="s">
        <v>231</v>
      </c>
      <c r="AM799" t="s">
        <v>104</v>
      </c>
      <c r="AN799" t="s">
        <v>515</v>
      </c>
      <c r="AO799" t="s">
        <v>506</v>
      </c>
    </row>
    <row r="800" spans="37:41" x14ac:dyDescent="0.25">
      <c r="AK800" t="s">
        <v>50</v>
      </c>
      <c r="AL800" t="s">
        <v>231</v>
      </c>
      <c r="AM800" t="s">
        <v>119</v>
      </c>
      <c r="AN800" t="s">
        <v>516</v>
      </c>
      <c r="AO800" t="s">
        <v>507</v>
      </c>
    </row>
    <row r="801" spans="37:41" x14ac:dyDescent="0.25">
      <c r="AK801" t="s">
        <v>50</v>
      </c>
      <c r="AL801" t="s">
        <v>231</v>
      </c>
      <c r="AM801" t="s">
        <v>137</v>
      </c>
      <c r="AN801" t="s">
        <v>517</v>
      </c>
      <c r="AO801" t="s">
        <v>509</v>
      </c>
    </row>
    <row r="802" spans="37:41" x14ac:dyDescent="0.25">
      <c r="AK802" t="s">
        <v>50</v>
      </c>
      <c r="AL802" t="s">
        <v>231</v>
      </c>
      <c r="AM802" t="s">
        <v>149</v>
      </c>
      <c r="AN802" t="s">
        <v>518</v>
      </c>
      <c r="AO802" t="s">
        <v>510</v>
      </c>
    </row>
    <row r="803" spans="37:41" x14ac:dyDescent="0.25">
      <c r="AK803" t="s">
        <v>50</v>
      </c>
      <c r="AL803" t="s">
        <v>231</v>
      </c>
      <c r="AM803" t="s">
        <v>162</v>
      </c>
      <c r="AN803" t="s">
        <v>519</v>
      </c>
      <c r="AO803" t="s">
        <v>511</v>
      </c>
    </row>
    <row r="804" spans="37:41" x14ac:dyDescent="0.25">
      <c r="AK804" t="s">
        <v>50</v>
      </c>
      <c r="AL804" t="s">
        <v>231</v>
      </c>
      <c r="AM804" t="s">
        <v>174</v>
      </c>
      <c r="AN804" t="s">
        <v>520</v>
      </c>
      <c r="AO804" t="s">
        <v>512</v>
      </c>
    </row>
    <row r="805" spans="37:41" x14ac:dyDescent="0.25">
      <c r="AK805" t="s">
        <v>50</v>
      </c>
      <c r="AL805" t="s">
        <v>231</v>
      </c>
      <c r="AM805" t="s">
        <v>187</v>
      </c>
      <c r="AN805" t="s">
        <v>521</v>
      </c>
      <c r="AO805" t="s">
        <v>505</v>
      </c>
    </row>
    <row r="806" spans="37:41" x14ac:dyDescent="0.25">
      <c r="AK806" t="s">
        <v>50</v>
      </c>
      <c r="AL806" t="s">
        <v>231</v>
      </c>
      <c r="AM806" t="s">
        <v>199</v>
      </c>
      <c r="AN806" t="s">
        <v>522</v>
      </c>
      <c r="AO806" t="s">
        <v>506</v>
      </c>
    </row>
    <row r="807" spans="37:41" x14ac:dyDescent="0.25">
      <c r="AK807" t="s">
        <v>50</v>
      </c>
      <c r="AL807" t="s">
        <v>231</v>
      </c>
      <c r="AM807" t="s">
        <v>553</v>
      </c>
      <c r="AN807" t="s">
        <v>554</v>
      </c>
      <c r="AO807" t="s">
        <v>507</v>
      </c>
    </row>
    <row r="808" spans="37:41" x14ac:dyDescent="0.25">
      <c r="AK808" t="s">
        <v>50</v>
      </c>
      <c r="AL808" t="s">
        <v>231</v>
      </c>
      <c r="AM808" t="s">
        <v>362</v>
      </c>
      <c r="AN808" t="s">
        <v>523</v>
      </c>
      <c r="AO808" t="s">
        <v>508</v>
      </c>
    </row>
    <row r="809" spans="37:41" x14ac:dyDescent="0.25">
      <c r="AK809" t="s">
        <v>50</v>
      </c>
      <c r="AL809" t="s">
        <v>231</v>
      </c>
      <c r="AM809" t="s">
        <v>369</v>
      </c>
      <c r="AN809" t="s">
        <v>526</v>
      </c>
      <c r="AO809" t="s">
        <v>510</v>
      </c>
    </row>
    <row r="810" spans="37:41" x14ac:dyDescent="0.25">
      <c r="AK810" t="s">
        <v>50</v>
      </c>
      <c r="AL810" t="s">
        <v>231</v>
      </c>
      <c r="AM810" t="s">
        <v>376</v>
      </c>
      <c r="AN810" t="s">
        <v>530</v>
      </c>
      <c r="AO810" t="s">
        <v>511</v>
      </c>
    </row>
    <row r="811" spans="37:41" x14ac:dyDescent="0.25">
      <c r="AK811" t="s">
        <v>50</v>
      </c>
      <c r="AL811" t="s">
        <v>231</v>
      </c>
      <c r="AM811" t="s">
        <v>385</v>
      </c>
      <c r="AN811" t="s">
        <v>537</v>
      </c>
      <c r="AO811" t="s">
        <v>512</v>
      </c>
    </row>
    <row r="812" spans="37:41" x14ac:dyDescent="0.25">
      <c r="AK812" t="s">
        <v>50</v>
      </c>
      <c r="AL812" t="s">
        <v>231</v>
      </c>
      <c r="AM812" t="s">
        <v>395</v>
      </c>
      <c r="AN812" t="s">
        <v>538</v>
      </c>
      <c r="AO812" t="s">
        <v>506</v>
      </c>
    </row>
    <row r="813" spans="37:41" x14ac:dyDescent="0.25">
      <c r="AK813" t="s">
        <v>50</v>
      </c>
      <c r="AL813" t="s">
        <v>231</v>
      </c>
      <c r="AM813" t="s">
        <v>335</v>
      </c>
      <c r="AN813" t="s">
        <v>542</v>
      </c>
      <c r="AO813" t="s">
        <v>507</v>
      </c>
    </row>
    <row r="814" spans="37:41" x14ac:dyDescent="0.25">
      <c r="AK814" t="s">
        <v>50</v>
      </c>
      <c r="AL814" t="s">
        <v>231</v>
      </c>
      <c r="AM814" t="s">
        <v>344</v>
      </c>
      <c r="AN814" t="s">
        <v>550</v>
      </c>
      <c r="AO814" t="s">
        <v>508</v>
      </c>
    </row>
    <row r="815" spans="37:41" x14ac:dyDescent="0.25">
      <c r="AK815" t="s">
        <v>50</v>
      </c>
      <c r="AL815" t="s">
        <v>231</v>
      </c>
      <c r="AM815" t="s">
        <v>352</v>
      </c>
      <c r="AN815" t="s">
        <v>551</v>
      </c>
      <c r="AO815" t="s">
        <v>509</v>
      </c>
    </row>
    <row r="816" spans="37:41" x14ac:dyDescent="0.25">
      <c r="AK816" t="s">
        <v>50</v>
      </c>
      <c r="AL816" t="s">
        <v>231</v>
      </c>
      <c r="AM816" t="s">
        <v>409</v>
      </c>
      <c r="AN816" t="s">
        <v>541</v>
      </c>
      <c r="AO816" t="s">
        <v>511</v>
      </c>
    </row>
    <row r="817" spans="37:41" x14ac:dyDescent="0.25">
      <c r="AK817" t="s">
        <v>50</v>
      </c>
      <c r="AL817" t="s">
        <v>231</v>
      </c>
      <c r="AM817" t="s">
        <v>393</v>
      </c>
      <c r="AN817" t="s">
        <v>534</v>
      </c>
      <c r="AO817" t="s">
        <v>512</v>
      </c>
    </row>
    <row r="818" spans="37:41" x14ac:dyDescent="0.25">
      <c r="AK818" t="s">
        <v>50</v>
      </c>
      <c r="AL818" t="s">
        <v>231</v>
      </c>
      <c r="AM818" t="s">
        <v>401</v>
      </c>
      <c r="AN818" t="s">
        <v>547</v>
      </c>
      <c r="AO818" t="s">
        <v>507</v>
      </c>
    </row>
    <row r="819" spans="37:41" x14ac:dyDescent="0.25">
      <c r="AK819" t="s">
        <v>50</v>
      </c>
      <c r="AL819" t="s">
        <v>231</v>
      </c>
      <c r="AM819" t="s">
        <v>348</v>
      </c>
      <c r="AN819" t="s">
        <v>543</v>
      </c>
      <c r="AO819" t="s">
        <v>508</v>
      </c>
    </row>
    <row r="820" spans="37:41" x14ac:dyDescent="0.25">
      <c r="AK820" t="s">
        <v>50</v>
      </c>
      <c r="AL820" t="s">
        <v>231</v>
      </c>
      <c r="AM820" t="s">
        <v>356</v>
      </c>
      <c r="AN820" t="s">
        <v>549</v>
      </c>
      <c r="AO820" t="s">
        <v>509</v>
      </c>
    </row>
    <row r="821" spans="37:41" x14ac:dyDescent="0.25">
      <c r="AK821" t="s">
        <v>50</v>
      </c>
      <c r="AL821" t="s">
        <v>231</v>
      </c>
      <c r="AM821" t="s">
        <v>367</v>
      </c>
      <c r="AN821" t="s">
        <v>524</v>
      </c>
      <c r="AO821" t="s">
        <v>510</v>
      </c>
    </row>
    <row r="822" spans="37:41" x14ac:dyDescent="0.25">
      <c r="AK822" t="s">
        <v>50</v>
      </c>
      <c r="AL822" t="s">
        <v>231</v>
      </c>
      <c r="AM822" t="s">
        <v>374</v>
      </c>
      <c r="AN822" t="s">
        <v>527</v>
      </c>
      <c r="AO822" t="s">
        <v>512</v>
      </c>
    </row>
    <row r="823" spans="37:41" x14ac:dyDescent="0.25">
      <c r="AK823" t="s">
        <v>50</v>
      </c>
      <c r="AL823" t="s">
        <v>231</v>
      </c>
      <c r="AM823" t="s">
        <v>383</v>
      </c>
      <c r="AN823" t="s">
        <v>555</v>
      </c>
      <c r="AO823" t="s">
        <v>507</v>
      </c>
    </row>
    <row r="824" spans="37:41" x14ac:dyDescent="0.25">
      <c r="AK824" t="s">
        <v>50</v>
      </c>
      <c r="AL824" t="s">
        <v>231</v>
      </c>
      <c r="AM824" t="s">
        <v>391</v>
      </c>
      <c r="AN824" t="s">
        <v>532</v>
      </c>
      <c r="AO824" t="s">
        <v>508</v>
      </c>
    </row>
    <row r="825" spans="37:41" x14ac:dyDescent="0.25">
      <c r="AK825" t="s">
        <v>50</v>
      </c>
      <c r="AL825" t="s">
        <v>231</v>
      </c>
      <c r="AM825" t="s">
        <v>405</v>
      </c>
      <c r="AN825" t="s">
        <v>540</v>
      </c>
      <c r="AO825" t="s">
        <v>509</v>
      </c>
    </row>
    <row r="826" spans="37:41" x14ac:dyDescent="0.25">
      <c r="AK826" t="s">
        <v>50</v>
      </c>
      <c r="AL826" t="s">
        <v>231</v>
      </c>
      <c r="AM826" t="s">
        <v>359</v>
      </c>
      <c r="AN826" t="s">
        <v>544</v>
      </c>
      <c r="AO826" t="s">
        <v>510</v>
      </c>
    </row>
    <row r="827" spans="37:41" x14ac:dyDescent="0.25">
      <c r="AK827" t="s">
        <v>50</v>
      </c>
      <c r="AL827" t="s">
        <v>231</v>
      </c>
      <c r="AM827" t="s">
        <v>389</v>
      </c>
      <c r="AN827" t="s">
        <v>529</v>
      </c>
      <c r="AO827" t="s">
        <v>511</v>
      </c>
    </row>
    <row r="829" spans="37:41" x14ac:dyDescent="0.25">
      <c r="AK829" t="s">
        <v>50</v>
      </c>
      <c r="AL829" t="s">
        <v>238</v>
      </c>
      <c r="AM829" t="s">
        <v>51</v>
      </c>
      <c r="AN829" t="s">
        <v>513</v>
      </c>
      <c r="AO829" t="s">
        <v>503</v>
      </c>
    </row>
    <row r="830" spans="37:41" x14ac:dyDescent="0.25">
      <c r="AK830" t="s">
        <v>50</v>
      </c>
      <c r="AL830" t="s">
        <v>238</v>
      </c>
      <c r="AM830" t="s">
        <v>80</v>
      </c>
      <c r="AN830" t="s">
        <v>514</v>
      </c>
      <c r="AO830" t="s">
        <v>504</v>
      </c>
    </row>
    <row r="831" spans="37:41" x14ac:dyDescent="0.25">
      <c r="AK831" t="s">
        <v>50</v>
      </c>
      <c r="AL831" t="s">
        <v>238</v>
      </c>
      <c r="AM831" t="s">
        <v>104</v>
      </c>
      <c r="AN831" t="s">
        <v>515</v>
      </c>
      <c r="AO831" t="s">
        <v>505</v>
      </c>
    </row>
    <row r="832" spans="37:41" x14ac:dyDescent="0.25">
      <c r="AK832" t="s">
        <v>50</v>
      </c>
      <c r="AL832" t="s">
        <v>238</v>
      </c>
      <c r="AM832" t="s">
        <v>119</v>
      </c>
      <c r="AN832" t="s">
        <v>516</v>
      </c>
      <c r="AO832" t="s">
        <v>506</v>
      </c>
    </row>
    <row r="833" spans="37:41" x14ac:dyDescent="0.25">
      <c r="AK833" t="s">
        <v>50</v>
      </c>
      <c r="AL833" t="s">
        <v>238</v>
      </c>
      <c r="AM833" t="s">
        <v>137</v>
      </c>
      <c r="AN833" t="s">
        <v>517</v>
      </c>
      <c r="AO833" t="s">
        <v>507</v>
      </c>
    </row>
    <row r="834" spans="37:41" x14ac:dyDescent="0.25">
      <c r="AK834" t="s">
        <v>50</v>
      </c>
      <c r="AL834" t="s">
        <v>238</v>
      </c>
      <c r="AM834" t="s">
        <v>149</v>
      </c>
      <c r="AN834" t="s">
        <v>518</v>
      </c>
      <c r="AO834" t="s">
        <v>508</v>
      </c>
    </row>
    <row r="835" spans="37:41" x14ac:dyDescent="0.25">
      <c r="AK835" t="s">
        <v>50</v>
      </c>
      <c r="AL835" t="s">
        <v>238</v>
      </c>
      <c r="AM835" t="s">
        <v>162</v>
      </c>
      <c r="AN835" t="s">
        <v>519</v>
      </c>
      <c r="AO835" t="s">
        <v>509</v>
      </c>
    </row>
    <row r="836" spans="37:41" x14ac:dyDescent="0.25">
      <c r="AK836" t="s">
        <v>50</v>
      </c>
      <c r="AL836" t="s">
        <v>238</v>
      </c>
      <c r="AM836" t="s">
        <v>174</v>
      </c>
      <c r="AN836" t="s">
        <v>520</v>
      </c>
      <c r="AO836" t="s">
        <v>510</v>
      </c>
    </row>
    <row r="837" spans="37:41" x14ac:dyDescent="0.25">
      <c r="AK837" t="s">
        <v>50</v>
      </c>
      <c r="AL837" t="s">
        <v>238</v>
      </c>
      <c r="AM837" t="s">
        <v>187</v>
      </c>
      <c r="AN837" t="s">
        <v>521</v>
      </c>
      <c r="AO837" t="s">
        <v>511</v>
      </c>
    </row>
    <row r="838" spans="37:41" x14ac:dyDescent="0.25">
      <c r="AK838" t="s">
        <v>50</v>
      </c>
      <c r="AL838" t="s">
        <v>238</v>
      </c>
      <c r="AM838" t="s">
        <v>199</v>
      </c>
      <c r="AN838" t="s">
        <v>522</v>
      </c>
      <c r="AO838" t="s">
        <v>512</v>
      </c>
    </row>
    <row r="839" spans="37:41" x14ac:dyDescent="0.25">
      <c r="AK839" t="s">
        <v>50</v>
      </c>
      <c r="AL839" t="s">
        <v>238</v>
      </c>
      <c r="AM839" t="s">
        <v>211</v>
      </c>
      <c r="AN839" t="s">
        <v>523</v>
      </c>
      <c r="AO839" t="s">
        <v>505</v>
      </c>
    </row>
    <row r="840" spans="37:41" x14ac:dyDescent="0.25">
      <c r="AK840" t="s">
        <v>50</v>
      </c>
      <c r="AL840" t="s">
        <v>238</v>
      </c>
      <c r="AM840" t="s">
        <v>223</v>
      </c>
      <c r="AN840" t="s">
        <v>524</v>
      </c>
      <c r="AO840" t="s">
        <v>506</v>
      </c>
    </row>
    <row r="841" spans="37:41" x14ac:dyDescent="0.25">
      <c r="AK841" t="s">
        <v>50</v>
      </c>
      <c r="AL841" t="s">
        <v>238</v>
      </c>
      <c r="AM841" t="s">
        <v>232</v>
      </c>
      <c r="AN841" t="s">
        <v>525</v>
      </c>
      <c r="AO841" t="s">
        <v>507</v>
      </c>
    </row>
    <row r="842" spans="37:41" x14ac:dyDescent="0.25">
      <c r="AK842" t="s">
        <v>50</v>
      </c>
      <c r="AL842" t="s">
        <v>238</v>
      </c>
      <c r="AM842" s="37" t="s">
        <v>362</v>
      </c>
      <c r="AN842" t="s">
        <v>523</v>
      </c>
      <c r="AO842" t="s">
        <v>504</v>
      </c>
    </row>
    <row r="843" spans="37:41" x14ac:dyDescent="0.25">
      <c r="AK843" t="s">
        <v>50</v>
      </c>
      <c r="AL843" t="s">
        <v>238</v>
      </c>
      <c r="AM843" t="s">
        <v>239</v>
      </c>
      <c r="AN843" t="s">
        <v>526</v>
      </c>
      <c r="AO843" t="s">
        <v>506</v>
      </c>
    </row>
    <row r="844" spans="37:41" x14ac:dyDescent="0.25">
      <c r="AK844" t="s">
        <v>50</v>
      </c>
      <c r="AL844" t="s">
        <v>238</v>
      </c>
      <c r="AM844" t="s">
        <v>246</v>
      </c>
      <c r="AN844" t="s">
        <v>527</v>
      </c>
      <c r="AO844" t="s">
        <v>507</v>
      </c>
    </row>
    <row r="845" spans="37:41" x14ac:dyDescent="0.25">
      <c r="AK845" t="s">
        <v>50</v>
      </c>
      <c r="AL845" t="s">
        <v>238</v>
      </c>
      <c r="AM845" t="s">
        <v>254</v>
      </c>
      <c r="AN845" t="s">
        <v>528</v>
      </c>
      <c r="AO845" t="s">
        <v>508</v>
      </c>
    </row>
    <row r="846" spans="37:41" x14ac:dyDescent="0.25">
      <c r="AK846" t="s">
        <v>50</v>
      </c>
      <c r="AL846" t="s">
        <v>238</v>
      </c>
      <c r="AM846" t="s">
        <v>365</v>
      </c>
      <c r="AN846" t="s">
        <v>529</v>
      </c>
      <c r="AO846" t="s">
        <v>509</v>
      </c>
    </row>
    <row r="847" spans="37:41" x14ac:dyDescent="0.25">
      <c r="AK847" t="s">
        <v>50</v>
      </c>
      <c r="AL847" t="s">
        <v>238</v>
      </c>
      <c r="AM847" s="37" t="s">
        <v>367</v>
      </c>
      <c r="AN847" t="s">
        <v>524</v>
      </c>
      <c r="AO847" t="s">
        <v>504</v>
      </c>
    </row>
    <row r="848" spans="37:41" x14ac:dyDescent="0.25">
      <c r="AK848" t="s">
        <v>50</v>
      </c>
      <c r="AL848" t="s">
        <v>238</v>
      </c>
      <c r="AM848" s="37" t="s">
        <v>369</v>
      </c>
      <c r="AN848" t="s">
        <v>526</v>
      </c>
      <c r="AO848" t="s">
        <v>505</v>
      </c>
    </row>
    <row r="849" spans="37:41" x14ac:dyDescent="0.25">
      <c r="AK849" t="s">
        <v>50</v>
      </c>
      <c r="AL849" t="s">
        <v>238</v>
      </c>
      <c r="AM849" t="s">
        <v>262</v>
      </c>
      <c r="AN849" t="s">
        <v>530</v>
      </c>
      <c r="AO849" t="s">
        <v>507</v>
      </c>
    </row>
    <row r="850" spans="37:41" x14ac:dyDescent="0.25">
      <c r="AK850" t="s">
        <v>50</v>
      </c>
      <c r="AL850" t="s">
        <v>238</v>
      </c>
      <c r="AM850" t="s">
        <v>270</v>
      </c>
      <c r="AN850" t="s">
        <v>531</v>
      </c>
      <c r="AO850" t="s">
        <v>508</v>
      </c>
    </row>
    <row r="851" spans="37:41" x14ac:dyDescent="0.25">
      <c r="AK851" t="s">
        <v>50</v>
      </c>
      <c r="AL851" t="s">
        <v>238</v>
      </c>
      <c r="AM851" t="s">
        <v>277</v>
      </c>
      <c r="AN851" t="s">
        <v>532</v>
      </c>
      <c r="AO851" t="s">
        <v>509</v>
      </c>
    </row>
    <row r="852" spans="37:41" x14ac:dyDescent="0.25">
      <c r="AK852" t="s">
        <v>50</v>
      </c>
      <c r="AL852" t="s">
        <v>238</v>
      </c>
      <c r="AM852" s="37" t="s">
        <v>371</v>
      </c>
      <c r="AN852" s="39" t="s">
        <v>525</v>
      </c>
      <c r="AO852" t="s">
        <v>504</v>
      </c>
    </row>
    <row r="853" spans="37:41" x14ac:dyDescent="0.25">
      <c r="AK853" t="s">
        <v>50</v>
      </c>
      <c r="AL853" t="s">
        <v>238</v>
      </c>
      <c r="AM853" s="37" t="s">
        <v>374</v>
      </c>
      <c r="AN853" s="39" t="s">
        <v>527</v>
      </c>
      <c r="AO853" t="s">
        <v>505</v>
      </c>
    </row>
    <row r="854" spans="37:41" x14ac:dyDescent="0.25">
      <c r="AK854" t="s">
        <v>50</v>
      </c>
      <c r="AL854" t="s">
        <v>238</v>
      </c>
      <c r="AM854" s="37" t="s">
        <v>376</v>
      </c>
      <c r="AN854" s="39" t="s">
        <v>530</v>
      </c>
      <c r="AO854" t="s">
        <v>506</v>
      </c>
    </row>
    <row r="855" spans="37:41" x14ac:dyDescent="0.25">
      <c r="AK855" t="s">
        <v>50</v>
      </c>
      <c r="AL855" t="s">
        <v>238</v>
      </c>
      <c r="AM855" s="37" t="s">
        <v>284</v>
      </c>
      <c r="AN855" s="39" t="s">
        <v>533</v>
      </c>
      <c r="AO855" t="s">
        <v>508</v>
      </c>
    </row>
    <row r="856" spans="37:41" x14ac:dyDescent="0.25">
      <c r="AK856" t="s">
        <v>50</v>
      </c>
      <c r="AL856" t="s">
        <v>238</v>
      </c>
      <c r="AM856" t="s">
        <v>291</v>
      </c>
      <c r="AN856" t="s">
        <v>534</v>
      </c>
      <c r="AO856" t="s">
        <v>509</v>
      </c>
    </row>
    <row r="857" spans="37:41" x14ac:dyDescent="0.25">
      <c r="AK857" t="s">
        <v>50</v>
      </c>
      <c r="AL857" t="s">
        <v>238</v>
      </c>
      <c r="AM857" s="37" t="s">
        <v>298</v>
      </c>
      <c r="AN857" s="39" t="s">
        <v>535</v>
      </c>
      <c r="AO857" t="s">
        <v>510</v>
      </c>
    </row>
    <row r="858" spans="37:41" x14ac:dyDescent="0.25">
      <c r="AK858" t="s">
        <v>50</v>
      </c>
      <c r="AL858" t="s">
        <v>238</v>
      </c>
      <c r="AM858" t="s">
        <v>379</v>
      </c>
      <c r="AN858" t="s">
        <v>536</v>
      </c>
      <c r="AO858" t="s">
        <v>511</v>
      </c>
    </row>
    <row r="859" spans="37:41" x14ac:dyDescent="0.25">
      <c r="AK859" t="s">
        <v>50</v>
      </c>
      <c r="AL859" t="s">
        <v>238</v>
      </c>
      <c r="AM859" s="37" t="s">
        <v>381</v>
      </c>
      <c r="AN859" s="39" t="s">
        <v>528</v>
      </c>
      <c r="AO859" t="s">
        <v>505</v>
      </c>
    </row>
    <row r="860" spans="37:41" x14ac:dyDescent="0.25">
      <c r="AK860" t="s">
        <v>50</v>
      </c>
      <c r="AL860" t="s">
        <v>238</v>
      </c>
      <c r="AM860" s="37" t="s">
        <v>383</v>
      </c>
      <c r="AN860" s="59" t="s">
        <v>531</v>
      </c>
      <c r="AO860" t="s">
        <v>506</v>
      </c>
    </row>
    <row r="861" spans="37:41" x14ac:dyDescent="0.25">
      <c r="AK861" t="s">
        <v>50</v>
      </c>
      <c r="AL861" t="s">
        <v>238</v>
      </c>
      <c r="AM861" s="37" t="s">
        <v>385</v>
      </c>
      <c r="AN861" s="39" t="s">
        <v>537</v>
      </c>
      <c r="AO861" t="s">
        <v>507</v>
      </c>
    </row>
    <row r="862" spans="37:41" x14ac:dyDescent="0.25">
      <c r="AK862" t="s">
        <v>50</v>
      </c>
      <c r="AL862" t="s">
        <v>238</v>
      </c>
      <c r="AM862" t="s">
        <v>305</v>
      </c>
      <c r="AN862" t="s">
        <v>538</v>
      </c>
      <c r="AO862" t="s">
        <v>509</v>
      </c>
    </row>
    <row r="863" spans="37:41" x14ac:dyDescent="0.25">
      <c r="AK863" t="s">
        <v>50</v>
      </c>
      <c r="AL863" t="s">
        <v>238</v>
      </c>
      <c r="AM863" s="37" t="s">
        <v>309</v>
      </c>
      <c r="AN863" s="39" t="s">
        <v>539</v>
      </c>
      <c r="AO863" t="s">
        <v>510</v>
      </c>
    </row>
    <row r="864" spans="37:41" x14ac:dyDescent="0.25">
      <c r="AK864" t="s">
        <v>50</v>
      </c>
      <c r="AL864" t="s">
        <v>238</v>
      </c>
      <c r="AM864" t="s">
        <v>312</v>
      </c>
      <c r="AN864" t="s">
        <v>540</v>
      </c>
      <c r="AO864" t="s">
        <v>511</v>
      </c>
    </row>
    <row r="865" spans="37:41" x14ac:dyDescent="0.25">
      <c r="AK865" t="s">
        <v>50</v>
      </c>
      <c r="AL865" t="s">
        <v>238</v>
      </c>
      <c r="AM865" t="s">
        <v>387</v>
      </c>
      <c r="AN865" t="s">
        <v>541</v>
      </c>
      <c r="AO865" t="s">
        <v>512</v>
      </c>
    </row>
    <row r="866" spans="37:41" x14ac:dyDescent="0.25">
      <c r="AK866" t="s">
        <v>50</v>
      </c>
      <c r="AL866" t="s">
        <v>238</v>
      </c>
      <c r="AM866" s="37" t="s">
        <v>389</v>
      </c>
      <c r="AN866" s="39" t="s">
        <v>529</v>
      </c>
      <c r="AO866" t="s">
        <v>505</v>
      </c>
    </row>
    <row r="867" spans="37:41" x14ac:dyDescent="0.25">
      <c r="AK867" t="s">
        <v>50</v>
      </c>
      <c r="AL867" t="s">
        <v>238</v>
      </c>
      <c r="AM867" s="37" t="s">
        <v>391</v>
      </c>
      <c r="AN867" s="39" t="s">
        <v>532</v>
      </c>
      <c r="AO867" t="s">
        <v>506</v>
      </c>
    </row>
    <row r="868" spans="37:41" x14ac:dyDescent="0.25">
      <c r="AK868" t="s">
        <v>50</v>
      </c>
      <c r="AL868" t="s">
        <v>238</v>
      </c>
      <c r="AM868" s="37" t="s">
        <v>393</v>
      </c>
      <c r="AN868" s="39" t="s">
        <v>534</v>
      </c>
      <c r="AO868" t="s">
        <v>507</v>
      </c>
    </row>
    <row r="869" spans="37:41" x14ac:dyDescent="0.25">
      <c r="AK869" t="s">
        <v>50</v>
      </c>
      <c r="AL869" t="s">
        <v>238</v>
      </c>
      <c r="AM869" s="37" t="s">
        <v>395</v>
      </c>
      <c r="AN869" s="39" t="s">
        <v>538</v>
      </c>
      <c r="AO869" t="s">
        <v>508</v>
      </c>
    </row>
    <row r="870" spans="37:41" x14ac:dyDescent="0.25">
      <c r="AK870" t="s">
        <v>50</v>
      </c>
      <c r="AL870" t="s">
        <v>238</v>
      </c>
      <c r="AM870" t="s">
        <v>315</v>
      </c>
      <c r="AN870" t="s">
        <v>542</v>
      </c>
      <c r="AO870" t="s">
        <v>510</v>
      </c>
    </row>
    <row r="871" spans="37:41" x14ac:dyDescent="0.25">
      <c r="AK871" t="s">
        <v>50</v>
      </c>
      <c r="AL871" t="s">
        <v>238</v>
      </c>
      <c r="AM871" t="s">
        <v>319</v>
      </c>
      <c r="AN871" t="s">
        <v>543</v>
      </c>
      <c r="AO871" t="s">
        <v>511</v>
      </c>
    </row>
    <row r="872" spans="37:41" x14ac:dyDescent="0.25">
      <c r="AK872" t="s">
        <v>50</v>
      </c>
      <c r="AL872" t="s">
        <v>238</v>
      </c>
      <c r="AM872" t="s">
        <v>323</v>
      </c>
      <c r="AN872" t="s">
        <v>544</v>
      </c>
      <c r="AO872" t="s">
        <v>512</v>
      </c>
    </row>
    <row r="873" spans="37:41" x14ac:dyDescent="0.25">
      <c r="AK873" t="s">
        <v>50</v>
      </c>
      <c r="AL873" t="s">
        <v>238</v>
      </c>
      <c r="AM873" s="37" t="s">
        <v>397</v>
      </c>
      <c r="AN873" s="39" t="s">
        <v>545</v>
      </c>
      <c r="AO873" t="s">
        <v>506</v>
      </c>
    </row>
    <row r="874" spans="37:41" x14ac:dyDescent="0.25">
      <c r="AK874" t="s">
        <v>50</v>
      </c>
      <c r="AL874" t="s">
        <v>238</v>
      </c>
      <c r="AM874" s="37" t="s">
        <v>399</v>
      </c>
      <c r="AN874" s="39" t="s">
        <v>546</v>
      </c>
      <c r="AO874" t="s">
        <v>507</v>
      </c>
    </row>
    <row r="875" spans="37:41" x14ac:dyDescent="0.25">
      <c r="AK875" t="s">
        <v>50</v>
      </c>
      <c r="AL875" t="s">
        <v>238</v>
      </c>
      <c r="AM875" s="37" t="s">
        <v>401</v>
      </c>
      <c r="AN875" s="39" t="s">
        <v>547</v>
      </c>
      <c r="AO875" t="s">
        <v>508</v>
      </c>
    </row>
    <row r="876" spans="37:41" x14ac:dyDescent="0.25">
      <c r="AK876" t="s">
        <v>50</v>
      </c>
      <c r="AL876" t="s">
        <v>238</v>
      </c>
      <c r="AM876" s="37" t="s">
        <v>335</v>
      </c>
      <c r="AN876" s="39" t="s">
        <v>542</v>
      </c>
      <c r="AO876" t="s">
        <v>509</v>
      </c>
    </row>
    <row r="877" spans="37:41" x14ac:dyDescent="0.25">
      <c r="AK877" t="s">
        <v>50</v>
      </c>
      <c r="AL877" t="s">
        <v>238</v>
      </c>
      <c r="AM877" s="37" t="s">
        <v>326</v>
      </c>
      <c r="AN877" s="39" t="s">
        <v>548</v>
      </c>
      <c r="AO877" t="s">
        <v>511</v>
      </c>
    </row>
    <row r="878" spans="37:41" x14ac:dyDescent="0.25">
      <c r="AK878" t="s">
        <v>50</v>
      </c>
      <c r="AL878" t="s">
        <v>238</v>
      </c>
      <c r="AM878" t="s">
        <v>330</v>
      </c>
      <c r="AN878" t="s">
        <v>549</v>
      </c>
      <c r="AO878" t="s">
        <v>512</v>
      </c>
    </row>
    <row r="879" spans="37:41" x14ac:dyDescent="0.25">
      <c r="AK879" t="s">
        <v>50</v>
      </c>
      <c r="AL879" t="s">
        <v>238</v>
      </c>
      <c r="AM879" s="37" t="s">
        <v>403</v>
      </c>
      <c r="AN879" s="39" t="s">
        <v>536</v>
      </c>
      <c r="AO879" t="s">
        <v>507</v>
      </c>
    </row>
    <row r="880" spans="37:41" x14ac:dyDescent="0.25">
      <c r="AK880" t="s">
        <v>50</v>
      </c>
      <c r="AL880" t="s">
        <v>238</v>
      </c>
      <c r="AM880" s="37" t="s">
        <v>405</v>
      </c>
      <c r="AN880" s="39" t="s">
        <v>540</v>
      </c>
      <c r="AO880" t="s">
        <v>508</v>
      </c>
    </row>
    <row r="881" spans="37:41" x14ac:dyDescent="0.25">
      <c r="AK881" t="s">
        <v>50</v>
      </c>
      <c r="AL881" t="s">
        <v>238</v>
      </c>
      <c r="AM881" s="37" t="s">
        <v>348</v>
      </c>
      <c r="AN881" s="39" t="s">
        <v>543</v>
      </c>
      <c r="AO881" t="s">
        <v>509</v>
      </c>
    </row>
    <row r="882" spans="37:41" x14ac:dyDescent="0.25">
      <c r="AK882" t="s">
        <v>50</v>
      </c>
      <c r="AL882" t="s">
        <v>238</v>
      </c>
      <c r="AM882" s="37" t="s">
        <v>344</v>
      </c>
      <c r="AN882" s="39" t="s">
        <v>550</v>
      </c>
      <c r="AO882" t="s">
        <v>510</v>
      </c>
    </row>
    <row r="883" spans="37:41" x14ac:dyDescent="0.25">
      <c r="AK883" t="s">
        <v>50</v>
      </c>
      <c r="AL883" t="s">
        <v>238</v>
      </c>
      <c r="AM883" t="s">
        <v>340</v>
      </c>
      <c r="AN883" t="s">
        <v>551</v>
      </c>
      <c r="AO883" t="s">
        <v>512</v>
      </c>
    </row>
    <row r="884" spans="37:41" x14ac:dyDescent="0.25">
      <c r="AK884" t="s">
        <v>50</v>
      </c>
      <c r="AL884" t="s">
        <v>238</v>
      </c>
      <c r="AM884" s="37" t="s">
        <v>407</v>
      </c>
      <c r="AN884" s="39" t="s">
        <v>552</v>
      </c>
      <c r="AO884" t="s">
        <v>507</v>
      </c>
    </row>
    <row r="885" spans="37:41" x14ac:dyDescent="0.25">
      <c r="AK885" t="s">
        <v>50</v>
      </c>
      <c r="AL885" t="s">
        <v>238</v>
      </c>
      <c r="AM885" s="37" t="s">
        <v>409</v>
      </c>
      <c r="AN885" s="39" t="s">
        <v>541</v>
      </c>
      <c r="AO885" t="s">
        <v>508</v>
      </c>
    </row>
    <row r="886" spans="37:41" x14ac:dyDescent="0.25">
      <c r="AK886" t="s">
        <v>50</v>
      </c>
      <c r="AL886" t="s">
        <v>238</v>
      </c>
      <c r="AM886" s="37" t="s">
        <v>359</v>
      </c>
      <c r="AN886" s="39" t="s">
        <v>544</v>
      </c>
      <c r="AO886" t="s">
        <v>509</v>
      </c>
    </row>
    <row r="887" spans="37:41" x14ac:dyDescent="0.25">
      <c r="AK887" t="s">
        <v>50</v>
      </c>
      <c r="AL887" t="s">
        <v>238</v>
      </c>
      <c r="AM887" s="37" t="s">
        <v>356</v>
      </c>
      <c r="AN887" s="39" t="s">
        <v>549</v>
      </c>
      <c r="AO887" t="s">
        <v>510</v>
      </c>
    </row>
    <row r="888" spans="37:41" x14ac:dyDescent="0.25">
      <c r="AK888" t="s">
        <v>50</v>
      </c>
      <c r="AL888" t="s">
        <v>238</v>
      </c>
      <c r="AM888" s="37" t="s">
        <v>352</v>
      </c>
      <c r="AN888" s="39" t="s">
        <v>551</v>
      </c>
      <c r="AO888" t="s">
        <v>511</v>
      </c>
    </row>
    <row r="890" spans="37:41" x14ac:dyDescent="0.25">
      <c r="AK890" t="s">
        <v>50</v>
      </c>
      <c r="AL890" t="s">
        <v>245</v>
      </c>
      <c r="AM890" t="s">
        <v>51</v>
      </c>
      <c r="AN890" t="s">
        <v>513</v>
      </c>
      <c r="AO890" t="s">
        <v>503</v>
      </c>
    </row>
    <row r="891" spans="37:41" x14ac:dyDescent="0.25">
      <c r="AK891" t="s">
        <v>50</v>
      </c>
      <c r="AL891" t="s">
        <v>245</v>
      </c>
      <c r="AM891" t="s">
        <v>80</v>
      </c>
      <c r="AN891" t="s">
        <v>514</v>
      </c>
      <c r="AO891" t="s">
        <v>504</v>
      </c>
    </row>
    <row r="892" spans="37:41" x14ac:dyDescent="0.25">
      <c r="AK892" t="s">
        <v>50</v>
      </c>
      <c r="AL892" t="s">
        <v>245</v>
      </c>
      <c r="AM892" t="s">
        <v>104</v>
      </c>
      <c r="AN892" t="s">
        <v>515</v>
      </c>
      <c r="AO892" t="s">
        <v>505</v>
      </c>
    </row>
    <row r="893" spans="37:41" x14ac:dyDescent="0.25">
      <c r="AK893" t="s">
        <v>50</v>
      </c>
      <c r="AL893" t="s">
        <v>245</v>
      </c>
      <c r="AM893" t="s">
        <v>119</v>
      </c>
      <c r="AN893" t="s">
        <v>516</v>
      </c>
      <c r="AO893" t="s">
        <v>506</v>
      </c>
    </row>
    <row r="894" spans="37:41" x14ac:dyDescent="0.25">
      <c r="AK894" t="s">
        <v>50</v>
      </c>
      <c r="AL894" t="s">
        <v>245</v>
      </c>
      <c r="AM894" t="s">
        <v>137</v>
      </c>
      <c r="AN894" t="s">
        <v>517</v>
      </c>
      <c r="AO894" t="s">
        <v>507</v>
      </c>
    </row>
    <row r="895" spans="37:41" x14ac:dyDescent="0.25">
      <c r="AK895" t="s">
        <v>50</v>
      </c>
      <c r="AL895" t="s">
        <v>245</v>
      </c>
      <c r="AM895" t="s">
        <v>149</v>
      </c>
      <c r="AN895" t="s">
        <v>518</v>
      </c>
      <c r="AO895" t="s">
        <v>508</v>
      </c>
    </row>
    <row r="896" spans="37:41" x14ac:dyDescent="0.25">
      <c r="AK896" t="s">
        <v>50</v>
      </c>
      <c r="AL896" t="s">
        <v>245</v>
      </c>
      <c r="AM896" t="s">
        <v>162</v>
      </c>
      <c r="AN896" t="s">
        <v>519</v>
      </c>
      <c r="AO896" t="s">
        <v>509</v>
      </c>
    </row>
    <row r="897" spans="37:41" x14ac:dyDescent="0.25">
      <c r="AK897" t="s">
        <v>50</v>
      </c>
      <c r="AL897" t="s">
        <v>245</v>
      </c>
      <c r="AM897" t="s">
        <v>174</v>
      </c>
      <c r="AN897" t="s">
        <v>520</v>
      </c>
      <c r="AO897" t="s">
        <v>510</v>
      </c>
    </row>
    <row r="898" spans="37:41" x14ac:dyDescent="0.25">
      <c r="AK898" t="s">
        <v>50</v>
      </c>
      <c r="AL898" t="s">
        <v>245</v>
      </c>
      <c r="AM898" t="s">
        <v>187</v>
      </c>
      <c r="AN898" t="s">
        <v>521</v>
      </c>
      <c r="AO898" t="s">
        <v>511</v>
      </c>
    </row>
    <row r="899" spans="37:41" x14ac:dyDescent="0.25">
      <c r="AK899" t="s">
        <v>50</v>
      </c>
      <c r="AL899" t="s">
        <v>245</v>
      </c>
      <c r="AM899" t="s">
        <v>199</v>
      </c>
      <c r="AN899" t="s">
        <v>522</v>
      </c>
      <c r="AO899" t="s">
        <v>512</v>
      </c>
    </row>
    <row r="900" spans="37:41" x14ac:dyDescent="0.25">
      <c r="AK900" t="s">
        <v>50</v>
      </c>
      <c r="AL900" t="s">
        <v>245</v>
      </c>
      <c r="AM900" t="s">
        <v>211</v>
      </c>
      <c r="AN900" t="s">
        <v>523</v>
      </c>
      <c r="AO900" t="s">
        <v>505</v>
      </c>
    </row>
    <row r="901" spans="37:41" x14ac:dyDescent="0.25">
      <c r="AK901" t="s">
        <v>50</v>
      </c>
      <c r="AL901" t="s">
        <v>245</v>
      </c>
      <c r="AM901" t="s">
        <v>223</v>
      </c>
      <c r="AN901" t="s">
        <v>524</v>
      </c>
      <c r="AO901" t="s">
        <v>506</v>
      </c>
    </row>
    <row r="902" spans="37:41" x14ac:dyDescent="0.25">
      <c r="AK902" t="s">
        <v>50</v>
      </c>
      <c r="AL902" t="s">
        <v>245</v>
      </c>
      <c r="AM902" t="s">
        <v>232</v>
      </c>
      <c r="AN902" t="s">
        <v>525</v>
      </c>
      <c r="AO902" t="s">
        <v>507</v>
      </c>
    </row>
    <row r="903" spans="37:41" x14ac:dyDescent="0.25">
      <c r="AK903" t="s">
        <v>50</v>
      </c>
      <c r="AL903" t="s">
        <v>245</v>
      </c>
      <c r="AM903" s="37" t="s">
        <v>362</v>
      </c>
      <c r="AN903" t="s">
        <v>523</v>
      </c>
      <c r="AO903" t="s">
        <v>504</v>
      </c>
    </row>
    <row r="904" spans="37:41" x14ac:dyDescent="0.25">
      <c r="AK904" t="s">
        <v>50</v>
      </c>
      <c r="AL904" t="s">
        <v>245</v>
      </c>
      <c r="AM904" t="s">
        <v>239</v>
      </c>
      <c r="AN904" t="s">
        <v>526</v>
      </c>
      <c r="AO904" t="s">
        <v>506</v>
      </c>
    </row>
    <row r="905" spans="37:41" x14ac:dyDescent="0.25">
      <c r="AK905" t="s">
        <v>50</v>
      </c>
      <c r="AL905" t="s">
        <v>245</v>
      </c>
      <c r="AM905" t="s">
        <v>246</v>
      </c>
      <c r="AN905" t="s">
        <v>527</v>
      </c>
      <c r="AO905" t="s">
        <v>507</v>
      </c>
    </row>
    <row r="906" spans="37:41" x14ac:dyDescent="0.25">
      <c r="AK906" t="s">
        <v>50</v>
      </c>
      <c r="AL906" t="s">
        <v>245</v>
      </c>
      <c r="AM906" t="s">
        <v>254</v>
      </c>
      <c r="AN906" t="s">
        <v>528</v>
      </c>
      <c r="AO906" t="s">
        <v>508</v>
      </c>
    </row>
    <row r="907" spans="37:41" x14ac:dyDescent="0.25">
      <c r="AK907" t="s">
        <v>50</v>
      </c>
      <c r="AL907" t="s">
        <v>245</v>
      </c>
      <c r="AM907" t="s">
        <v>365</v>
      </c>
      <c r="AN907" t="s">
        <v>529</v>
      </c>
      <c r="AO907" t="s">
        <v>509</v>
      </c>
    </row>
    <row r="908" spans="37:41" x14ac:dyDescent="0.25">
      <c r="AK908" t="s">
        <v>50</v>
      </c>
      <c r="AL908" t="s">
        <v>245</v>
      </c>
      <c r="AM908" s="37" t="s">
        <v>367</v>
      </c>
      <c r="AN908" t="s">
        <v>524</v>
      </c>
      <c r="AO908" t="s">
        <v>504</v>
      </c>
    </row>
    <row r="909" spans="37:41" x14ac:dyDescent="0.25">
      <c r="AK909" t="s">
        <v>50</v>
      </c>
      <c r="AL909" t="s">
        <v>245</v>
      </c>
      <c r="AM909" s="37" t="s">
        <v>369</v>
      </c>
      <c r="AN909" t="s">
        <v>526</v>
      </c>
      <c r="AO909" t="s">
        <v>505</v>
      </c>
    </row>
    <row r="910" spans="37:41" x14ac:dyDescent="0.25">
      <c r="AK910" t="s">
        <v>50</v>
      </c>
      <c r="AL910" t="s">
        <v>245</v>
      </c>
      <c r="AM910" t="s">
        <v>262</v>
      </c>
      <c r="AN910" t="s">
        <v>530</v>
      </c>
      <c r="AO910" t="s">
        <v>507</v>
      </c>
    </row>
    <row r="911" spans="37:41" x14ac:dyDescent="0.25">
      <c r="AK911" t="s">
        <v>50</v>
      </c>
      <c r="AL911" t="s">
        <v>245</v>
      </c>
      <c r="AM911" t="s">
        <v>270</v>
      </c>
      <c r="AN911" t="s">
        <v>531</v>
      </c>
      <c r="AO911" t="s">
        <v>508</v>
      </c>
    </row>
    <row r="912" spans="37:41" x14ac:dyDescent="0.25">
      <c r="AK912" t="s">
        <v>50</v>
      </c>
      <c r="AL912" t="s">
        <v>245</v>
      </c>
      <c r="AM912" t="s">
        <v>277</v>
      </c>
      <c r="AN912" t="s">
        <v>532</v>
      </c>
      <c r="AO912" t="s">
        <v>509</v>
      </c>
    </row>
    <row r="913" spans="37:41" x14ac:dyDescent="0.25">
      <c r="AK913" t="s">
        <v>50</v>
      </c>
      <c r="AL913" t="s">
        <v>245</v>
      </c>
      <c r="AM913" s="37" t="s">
        <v>371</v>
      </c>
      <c r="AN913" s="39" t="s">
        <v>525</v>
      </c>
      <c r="AO913" t="s">
        <v>504</v>
      </c>
    </row>
    <row r="914" spans="37:41" x14ac:dyDescent="0.25">
      <c r="AK914" t="s">
        <v>50</v>
      </c>
      <c r="AL914" t="s">
        <v>245</v>
      </c>
      <c r="AM914" s="37" t="s">
        <v>374</v>
      </c>
      <c r="AN914" s="39" t="s">
        <v>527</v>
      </c>
      <c r="AO914" t="s">
        <v>505</v>
      </c>
    </row>
    <row r="915" spans="37:41" x14ac:dyDescent="0.25">
      <c r="AK915" t="s">
        <v>50</v>
      </c>
      <c r="AL915" t="s">
        <v>245</v>
      </c>
      <c r="AM915" s="37" t="s">
        <v>376</v>
      </c>
      <c r="AN915" s="39" t="s">
        <v>530</v>
      </c>
      <c r="AO915" t="s">
        <v>506</v>
      </c>
    </row>
    <row r="916" spans="37:41" x14ac:dyDescent="0.25">
      <c r="AK916" t="s">
        <v>50</v>
      </c>
      <c r="AL916" t="s">
        <v>245</v>
      </c>
      <c r="AM916" s="37" t="s">
        <v>284</v>
      </c>
      <c r="AN916" s="39" t="s">
        <v>533</v>
      </c>
      <c r="AO916" t="s">
        <v>508</v>
      </c>
    </row>
    <row r="917" spans="37:41" x14ac:dyDescent="0.25">
      <c r="AK917" t="s">
        <v>50</v>
      </c>
      <c r="AL917" t="s">
        <v>245</v>
      </c>
      <c r="AM917" t="s">
        <v>291</v>
      </c>
      <c r="AN917" t="s">
        <v>534</v>
      </c>
      <c r="AO917" t="s">
        <v>509</v>
      </c>
    </row>
    <row r="918" spans="37:41" x14ac:dyDescent="0.25">
      <c r="AK918" t="s">
        <v>50</v>
      </c>
      <c r="AL918" t="s">
        <v>245</v>
      </c>
      <c r="AM918" s="37" t="s">
        <v>298</v>
      </c>
      <c r="AN918" s="39" t="s">
        <v>535</v>
      </c>
      <c r="AO918" t="s">
        <v>510</v>
      </c>
    </row>
    <row r="919" spans="37:41" x14ac:dyDescent="0.25">
      <c r="AK919" t="s">
        <v>50</v>
      </c>
      <c r="AL919" t="s">
        <v>245</v>
      </c>
      <c r="AM919" t="s">
        <v>379</v>
      </c>
      <c r="AN919" t="s">
        <v>536</v>
      </c>
      <c r="AO919" t="s">
        <v>511</v>
      </c>
    </row>
    <row r="920" spans="37:41" x14ac:dyDescent="0.25">
      <c r="AK920" t="s">
        <v>50</v>
      </c>
      <c r="AL920" t="s">
        <v>245</v>
      </c>
      <c r="AM920" s="37" t="s">
        <v>381</v>
      </c>
      <c r="AN920" s="39" t="s">
        <v>528</v>
      </c>
      <c r="AO920" t="s">
        <v>505</v>
      </c>
    </row>
    <row r="921" spans="37:41" x14ac:dyDescent="0.25">
      <c r="AK921" t="s">
        <v>50</v>
      </c>
      <c r="AL921" t="s">
        <v>245</v>
      </c>
      <c r="AM921" s="37" t="s">
        <v>383</v>
      </c>
      <c r="AN921" s="59" t="s">
        <v>531</v>
      </c>
      <c r="AO921" t="s">
        <v>506</v>
      </c>
    </row>
    <row r="922" spans="37:41" x14ac:dyDescent="0.25">
      <c r="AK922" t="s">
        <v>50</v>
      </c>
      <c r="AL922" t="s">
        <v>245</v>
      </c>
      <c r="AM922" s="37" t="s">
        <v>385</v>
      </c>
      <c r="AN922" s="39" t="s">
        <v>537</v>
      </c>
      <c r="AO922" t="s">
        <v>507</v>
      </c>
    </row>
    <row r="923" spans="37:41" x14ac:dyDescent="0.25">
      <c r="AK923" t="s">
        <v>50</v>
      </c>
      <c r="AL923" t="s">
        <v>245</v>
      </c>
      <c r="AM923" t="s">
        <v>305</v>
      </c>
      <c r="AN923" t="s">
        <v>538</v>
      </c>
      <c r="AO923" t="s">
        <v>509</v>
      </c>
    </row>
    <row r="924" spans="37:41" x14ac:dyDescent="0.25">
      <c r="AK924" t="s">
        <v>50</v>
      </c>
      <c r="AL924" t="s">
        <v>245</v>
      </c>
      <c r="AM924" s="37" t="s">
        <v>309</v>
      </c>
      <c r="AN924" s="39" t="s">
        <v>539</v>
      </c>
      <c r="AO924" t="s">
        <v>510</v>
      </c>
    </row>
    <row r="925" spans="37:41" x14ac:dyDescent="0.25">
      <c r="AK925" t="s">
        <v>50</v>
      </c>
      <c r="AL925" t="s">
        <v>245</v>
      </c>
      <c r="AM925" t="s">
        <v>312</v>
      </c>
      <c r="AN925" t="s">
        <v>540</v>
      </c>
      <c r="AO925" t="s">
        <v>511</v>
      </c>
    </row>
    <row r="926" spans="37:41" x14ac:dyDescent="0.25">
      <c r="AK926" t="s">
        <v>50</v>
      </c>
      <c r="AL926" t="s">
        <v>245</v>
      </c>
      <c r="AM926" t="s">
        <v>387</v>
      </c>
      <c r="AN926" t="s">
        <v>541</v>
      </c>
      <c r="AO926" t="s">
        <v>512</v>
      </c>
    </row>
    <row r="927" spans="37:41" x14ac:dyDescent="0.25">
      <c r="AK927" t="s">
        <v>50</v>
      </c>
      <c r="AL927" t="s">
        <v>245</v>
      </c>
      <c r="AM927" s="37" t="s">
        <v>389</v>
      </c>
      <c r="AN927" s="39" t="s">
        <v>529</v>
      </c>
      <c r="AO927" t="s">
        <v>505</v>
      </c>
    </row>
    <row r="928" spans="37:41" x14ac:dyDescent="0.25">
      <c r="AK928" t="s">
        <v>50</v>
      </c>
      <c r="AL928" t="s">
        <v>245</v>
      </c>
      <c r="AM928" s="37" t="s">
        <v>391</v>
      </c>
      <c r="AN928" s="39" t="s">
        <v>532</v>
      </c>
      <c r="AO928" t="s">
        <v>506</v>
      </c>
    </row>
    <row r="929" spans="37:41" x14ac:dyDescent="0.25">
      <c r="AK929" t="s">
        <v>50</v>
      </c>
      <c r="AL929" t="s">
        <v>245</v>
      </c>
      <c r="AM929" s="37" t="s">
        <v>393</v>
      </c>
      <c r="AN929" s="39" t="s">
        <v>534</v>
      </c>
      <c r="AO929" t="s">
        <v>507</v>
      </c>
    </row>
    <row r="930" spans="37:41" x14ac:dyDescent="0.25">
      <c r="AK930" t="s">
        <v>50</v>
      </c>
      <c r="AL930" t="s">
        <v>245</v>
      </c>
      <c r="AM930" s="37" t="s">
        <v>395</v>
      </c>
      <c r="AN930" s="39" t="s">
        <v>538</v>
      </c>
      <c r="AO930" t="s">
        <v>508</v>
      </c>
    </row>
    <row r="931" spans="37:41" x14ac:dyDescent="0.25">
      <c r="AK931" t="s">
        <v>50</v>
      </c>
      <c r="AL931" t="s">
        <v>245</v>
      </c>
      <c r="AM931" t="s">
        <v>315</v>
      </c>
      <c r="AN931" t="s">
        <v>542</v>
      </c>
      <c r="AO931" t="s">
        <v>510</v>
      </c>
    </row>
    <row r="932" spans="37:41" x14ac:dyDescent="0.25">
      <c r="AK932" t="s">
        <v>50</v>
      </c>
      <c r="AL932" t="s">
        <v>245</v>
      </c>
      <c r="AM932" t="s">
        <v>319</v>
      </c>
      <c r="AN932" t="s">
        <v>543</v>
      </c>
      <c r="AO932" t="s">
        <v>511</v>
      </c>
    </row>
    <row r="933" spans="37:41" x14ac:dyDescent="0.25">
      <c r="AK933" t="s">
        <v>50</v>
      </c>
      <c r="AL933" t="s">
        <v>245</v>
      </c>
      <c r="AM933" t="s">
        <v>323</v>
      </c>
      <c r="AN933" t="s">
        <v>544</v>
      </c>
      <c r="AO933" t="s">
        <v>512</v>
      </c>
    </row>
    <row r="934" spans="37:41" x14ac:dyDescent="0.25">
      <c r="AK934" t="s">
        <v>50</v>
      </c>
      <c r="AL934" t="s">
        <v>245</v>
      </c>
      <c r="AM934" s="37" t="s">
        <v>397</v>
      </c>
      <c r="AN934" s="39" t="s">
        <v>545</v>
      </c>
      <c r="AO934" t="s">
        <v>506</v>
      </c>
    </row>
    <row r="935" spans="37:41" x14ac:dyDescent="0.25">
      <c r="AK935" t="s">
        <v>50</v>
      </c>
      <c r="AL935" t="s">
        <v>245</v>
      </c>
      <c r="AM935" s="37" t="s">
        <v>399</v>
      </c>
      <c r="AN935" s="39" t="s">
        <v>546</v>
      </c>
      <c r="AO935" t="s">
        <v>507</v>
      </c>
    </row>
    <row r="936" spans="37:41" x14ac:dyDescent="0.25">
      <c r="AK936" t="s">
        <v>50</v>
      </c>
      <c r="AL936" t="s">
        <v>245</v>
      </c>
      <c r="AM936" s="37" t="s">
        <v>401</v>
      </c>
      <c r="AN936" s="39" t="s">
        <v>547</v>
      </c>
      <c r="AO936" t="s">
        <v>508</v>
      </c>
    </row>
    <row r="937" spans="37:41" x14ac:dyDescent="0.25">
      <c r="AK937" t="s">
        <v>50</v>
      </c>
      <c r="AL937" t="s">
        <v>245</v>
      </c>
      <c r="AM937" s="37" t="s">
        <v>335</v>
      </c>
      <c r="AN937" s="39" t="s">
        <v>542</v>
      </c>
      <c r="AO937" t="s">
        <v>509</v>
      </c>
    </row>
    <row r="938" spans="37:41" x14ac:dyDescent="0.25">
      <c r="AK938" t="s">
        <v>50</v>
      </c>
      <c r="AL938" t="s">
        <v>245</v>
      </c>
      <c r="AM938" s="37" t="s">
        <v>326</v>
      </c>
      <c r="AN938" s="39" t="s">
        <v>548</v>
      </c>
      <c r="AO938" t="s">
        <v>511</v>
      </c>
    </row>
    <row r="939" spans="37:41" x14ac:dyDescent="0.25">
      <c r="AK939" t="s">
        <v>50</v>
      </c>
      <c r="AL939" t="s">
        <v>245</v>
      </c>
      <c r="AM939" t="s">
        <v>330</v>
      </c>
      <c r="AN939" t="s">
        <v>549</v>
      </c>
      <c r="AO939" t="s">
        <v>512</v>
      </c>
    </row>
    <row r="940" spans="37:41" x14ac:dyDescent="0.25">
      <c r="AK940" t="s">
        <v>50</v>
      </c>
      <c r="AL940" t="s">
        <v>245</v>
      </c>
      <c r="AM940" s="37" t="s">
        <v>403</v>
      </c>
      <c r="AN940" s="39" t="s">
        <v>536</v>
      </c>
      <c r="AO940" t="s">
        <v>507</v>
      </c>
    </row>
    <row r="941" spans="37:41" x14ac:dyDescent="0.25">
      <c r="AK941" t="s">
        <v>50</v>
      </c>
      <c r="AL941" t="s">
        <v>245</v>
      </c>
      <c r="AM941" s="37" t="s">
        <v>405</v>
      </c>
      <c r="AN941" s="39" t="s">
        <v>540</v>
      </c>
      <c r="AO941" t="s">
        <v>508</v>
      </c>
    </row>
    <row r="942" spans="37:41" x14ac:dyDescent="0.25">
      <c r="AK942" t="s">
        <v>50</v>
      </c>
      <c r="AL942" t="s">
        <v>245</v>
      </c>
      <c r="AM942" s="37" t="s">
        <v>348</v>
      </c>
      <c r="AN942" s="39" t="s">
        <v>543</v>
      </c>
      <c r="AO942" t="s">
        <v>509</v>
      </c>
    </row>
    <row r="943" spans="37:41" x14ac:dyDescent="0.25">
      <c r="AK943" t="s">
        <v>50</v>
      </c>
      <c r="AL943" t="s">
        <v>245</v>
      </c>
      <c r="AM943" s="37" t="s">
        <v>344</v>
      </c>
      <c r="AN943" s="39" t="s">
        <v>550</v>
      </c>
      <c r="AO943" t="s">
        <v>510</v>
      </c>
    </row>
    <row r="944" spans="37:41" x14ac:dyDescent="0.25">
      <c r="AK944" t="s">
        <v>50</v>
      </c>
      <c r="AL944" t="s">
        <v>245</v>
      </c>
      <c r="AM944" t="s">
        <v>340</v>
      </c>
      <c r="AN944" t="s">
        <v>551</v>
      </c>
      <c r="AO944" t="s">
        <v>512</v>
      </c>
    </row>
    <row r="945" spans="37:41" x14ac:dyDescent="0.25">
      <c r="AK945" t="s">
        <v>50</v>
      </c>
      <c r="AL945" t="s">
        <v>245</v>
      </c>
      <c r="AM945" s="37" t="s">
        <v>407</v>
      </c>
      <c r="AN945" s="39" t="s">
        <v>552</v>
      </c>
      <c r="AO945" t="s">
        <v>507</v>
      </c>
    </row>
    <row r="946" spans="37:41" x14ac:dyDescent="0.25">
      <c r="AK946" t="s">
        <v>50</v>
      </c>
      <c r="AL946" t="s">
        <v>245</v>
      </c>
      <c r="AM946" s="37" t="s">
        <v>409</v>
      </c>
      <c r="AN946" s="39" t="s">
        <v>541</v>
      </c>
      <c r="AO946" t="s">
        <v>508</v>
      </c>
    </row>
    <row r="947" spans="37:41" x14ac:dyDescent="0.25">
      <c r="AK947" t="s">
        <v>50</v>
      </c>
      <c r="AL947" t="s">
        <v>245</v>
      </c>
      <c r="AM947" s="37" t="s">
        <v>359</v>
      </c>
      <c r="AN947" s="39" t="s">
        <v>544</v>
      </c>
      <c r="AO947" t="s">
        <v>509</v>
      </c>
    </row>
    <row r="948" spans="37:41" x14ac:dyDescent="0.25">
      <c r="AK948" t="s">
        <v>50</v>
      </c>
      <c r="AL948" t="s">
        <v>245</v>
      </c>
      <c r="AM948" s="37" t="s">
        <v>356</v>
      </c>
      <c r="AN948" s="39" t="s">
        <v>549</v>
      </c>
      <c r="AO948" t="s">
        <v>510</v>
      </c>
    </row>
    <row r="949" spans="37:41" x14ac:dyDescent="0.25">
      <c r="AK949" t="s">
        <v>50</v>
      </c>
      <c r="AL949" t="s">
        <v>245</v>
      </c>
      <c r="AM949" s="37" t="s">
        <v>352</v>
      </c>
      <c r="AN949" s="39" t="s">
        <v>551</v>
      </c>
      <c r="AO949" t="s">
        <v>511</v>
      </c>
    </row>
    <row r="951" spans="37:41" x14ac:dyDescent="0.25">
      <c r="AK951" t="s">
        <v>50</v>
      </c>
      <c r="AL951" t="s">
        <v>253</v>
      </c>
      <c r="AM951" t="s">
        <v>51</v>
      </c>
      <c r="AN951" t="s">
        <v>513</v>
      </c>
      <c r="AO951" t="s">
        <v>503</v>
      </c>
    </row>
    <row r="952" spans="37:41" x14ac:dyDescent="0.25">
      <c r="AK952" t="s">
        <v>50</v>
      </c>
      <c r="AL952" t="s">
        <v>253</v>
      </c>
      <c r="AM952" t="s">
        <v>80</v>
      </c>
      <c r="AN952" t="s">
        <v>514</v>
      </c>
      <c r="AO952" t="s">
        <v>504</v>
      </c>
    </row>
    <row r="953" spans="37:41" x14ac:dyDescent="0.25">
      <c r="AK953" t="s">
        <v>50</v>
      </c>
      <c r="AL953" t="s">
        <v>253</v>
      </c>
      <c r="AM953" t="s">
        <v>104</v>
      </c>
      <c r="AN953" t="s">
        <v>515</v>
      </c>
      <c r="AO953" t="s">
        <v>505</v>
      </c>
    </row>
    <row r="954" spans="37:41" x14ac:dyDescent="0.25">
      <c r="AK954" t="s">
        <v>50</v>
      </c>
      <c r="AL954" t="s">
        <v>253</v>
      </c>
      <c r="AM954" t="s">
        <v>119</v>
      </c>
      <c r="AN954" t="s">
        <v>516</v>
      </c>
      <c r="AO954" t="s">
        <v>506</v>
      </c>
    </row>
    <row r="955" spans="37:41" x14ac:dyDescent="0.25">
      <c r="AK955" t="s">
        <v>50</v>
      </c>
      <c r="AL955" t="s">
        <v>253</v>
      </c>
      <c r="AM955" t="s">
        <v>137</v>
      </c>
      <c r="AN955" t="s">
        <v>517</v>
      </c>
      <c r="AO955" t="s">
        <v>507</v>
      </c>
    </row>
    <row r="956" spans="37:41" x14ac:dyDescent="0.25">
      <c r="AK956" t="s">
        <v>50</v>
      </c>
      <c r="AL956" t="s">
        <v>253</v>
      </c>
      <c r="AM956" t="s">
        <v>149</v>
      </c>
      <c r="AN956" t="s">
        <v>518</v>
      </c>
      <c r="AO956" t="s">
        <v>508</v>
      </c>
    </row>
    <row r="957" spans="37:41" x14ac:dyDescent="0.25">
      <c r="AK957" t="s">
        <v>50</v>
      </c>
      <c r="AL957" t="s">
        <v>253</v>
      </c>
      <c r="AM957" t="s">
        <v>162</v>
      </c>
      <c r="AN957" t="s">
        <v>519</v>
      </c>
      <c r="AO957" t="s">
        <v>509</v>
      </c>
    </row>
    <row r="958" spans="37:41" x14ac:dyDescent="0.25">
      <c r="AK958" t="s">
        <v>50</v>
      </c>
      <c r="AL958" t="s">
        <v>253</v>
      </c>
      <c r="AM958" t="s">
        <v>174</v>
      </c>
      <c r="AN958" t="s">
        <v>520</v>
      </c>
      <c r="AO958" t="s">
        <v>510</v>
      </c>
    </row>
    <row r="959" spans="37:41" x14ac:dyDescent="0.25">
      <c r="AK959" t="s">
        <v>50</v>
      </c>
      <c r="AL959" t="s">
        <v>253</v>
      </c>
      <c r="AM959" t="s">
        <v>187</v>
      </c>
      <c r="AN959" t="s">
        <v>521</v>
      </c>
      <c r="AO959" t="s">
        <v>511</v>
      </c>
    </row>
    <row r="960" spans="37:41" x14ac:dyDescent="0.25">
      <c r="AK960" t="s">
        <v>50</v>
      </c>
      <c r="AL960" t="s">
        <v>253</v>
      </c>
      <c r="AM960" t="s">
        <v>199</v>
      </c>
      <c r="AN960" t="s">
        <v>522</v>
      </c>
      <c r="AO960" t="s">
        <v>512</v>
      </c>
    </row>
    <row r="961" spans="37:41" x14ac:dyDescent="0.25">
      <c r="AK961" t="s">
        <v>50</v>
      </c>
      <c r="AL961" t="s">
        <v>253</v>
      </c>
      <c r="AM961" t="s">
        <v>211</v>
      </c>
      <c r="AN961" t="s">
        <v>523</v>
      </c>
      <c r="AO961" t="s">
        <v>505</v>
      </c>
    </row>
    <row r="962" spans="37:41" x14ac:dyDescent="0.25">
      <c r="AK962" t="s">
        <v>50</v>
      </c>
      <c r="AL962" t="s">
        <v>253</v>
      </c>
      <c r="AM962" t="s">
        <v>223</v>
      </c>
      <c r="AN962" t="s">
        <v>524</v>
      </c>
      <c r="AO962" t="s">
        <v>506</v>
      </c>
    </row>
    <row r="963" spans="37:41" x14ac:dyDescent="0.25">
      <c r="AK963" t="s">
        <v>50</v>
      </c>
      <c r="AL963" t="s">
        <v>253</v>
      </c>
      <c r="AM963" t="s">
        <v>232</v>
      </c>
      <c r="AN963" t="s">
        <v>525</v>
      </c>
      <c r="AO963" t="s">
        <v>507</v>
      </c>
    </row>
    <row r="964" spans="37:41" x14ac:dyDescent="0.25">
      <c r="AK964" t="s">
        <v>50</v>
      </c>
      <c r="AL964" t="s">
        <v>253</v>
      </c>
      <c r="AM964" s="37" t="s">
        <v>362</v>
      </c>
      <c r="AN964" t="s">
        <v>523</v>
      </c>
      <c r="AO964" t="s">
        <v>504</v>
      </c>
    </row>
    <row r="965" spans="37:41" x14ac:dyDescent="0.25">
      <c r="AK965" t="s">
        <v>50</v>
      </c>
      <c r="AL965" t="s">
        <v>253</v>
      </c>
      <c r="AM965" t="s">
        <v>239</v>
      </c>
      <c r="AN965" t="s">
        <v>526</v>
      </c>
      <c r="AO965" t="s">
        <v>506</v>
      </c>
    </row>
    <row r="966" spans="37:41" x14ac:dyDescent="0.25">
      <c r="AK966" t="s">
        <v>50</v>
      </c>
      <c r="AL966" t="s">
        <v>253</v>
      </c>
      <c r="AM966" t="s">
        <v>246</v>
      </c>
      <c r="AN966" t="s">
        <v>527</v>
      </c>
      <c r="AO966" t="s">
        <v>507</v>
      </c>
    </row>
    <row r="967" spans="37:41" x14ac:dyDescent="0.25">
      <c r="AK967" t="s">
        <v>50</v>
      </c>
      <c r="AL967" t="s">
        <v>253</v>
      </c>
      <c r="AM967" t="s">
        <v>254</v>
      </c>
      <c r="AN967" t="s">
        <v>528</v>
      </c>
      <c r="AO967" t="s">
        <v>508</v>
      </c>
    </row>
    <row r="968" spans="37:41" x14ac:dyDescent="0.25">
      <c r="AK968" t="s">
        <v>50</v>
      </c>
      <c r="AL968" t="s">
        <v>253</v>
      </c>
      <c r="AM968" t="s">
        <v>365</v>
      </c>
      <c r="AN968" t="s">
        <v>529</v>
      </c>
      <c r="AO968" t="s">
        <v>509</v>
      </c>
    </row>
    <row r="969" spans="37:41" x14ac:dyDescent="0.25">
      <c r="AK969" t="s">
        <v>50</v>
      </c>
      <c r="AL969" t="s">
        <v>253</v>
      </c>
      <c r="AM969" s="37" t="s">
        <v>367</v>
      </c>
      <c r="AN969" t="s">
        <v>524</v>
      </c>
      <c r="AO969" t="s">
        <v>504</v>
      </c>
    </row>
    <row r="970" spans="37:41" x14ac:dyDescent="0.25">
      <c r="AK970" t="s">
        <v>50</v>
      </c>
      <c r="AL970" t="s">
        <v>253</v>
      </c>
      <c r="AM970" s="37" t="s">
        <v>369</v>
      </c>
      <c r="AN970" t="s">
        <v>526</v>
      </c>
      <c r="AO970" t="s">
        <v>505</v>
      </c>
    </row>
    <row r="971" spans="37:41" x14ac:dyDescent="0.25">
      <c r="AK971" t="s">
        <v>50</v>
      </c>
      <c r="AL971" t="s">
        <v>253</v>
      </c>
      <c r="AM971" t="s">
        <v>262</v>
      </c>
      <c r="AN971" t="s">
        <v>530</v>
      </c>
      <c r="AO971" t="s">
        <v>507</v>
      </c>
    </row>
    <row r="972" spans="37:41" x14ac:dyDescent="0.25">
      <c r="AK972" t="s">
        <v>50</v>
      </c>
      <c r="AL972" t="s">
        <v>253</v>
      </c>
      <c r="AM972" t="s">
        <v>270</v>
      </c>
      <c r="AN972" t="s">
        <v>531</v>
      </c>
      <c r="AO972" t="s">
        <v>508</v>
      </c>
    </row>
    <row r="973" spans="37:41" x14ac:dyDescent="0.25">
      <c r="AK973" t="s">
        <v>50</v>
      </c>
      <c r="AL973" t="s">
        <v>253</v>
      </c>
      <c r="AM973" t="s">
        <v>277</v>
      </c>
      <c r="AN973" t="s">
        <v>532</v>
      </c>
      <c r="AO973" t="s">
        <v>509</v>
      </c>
    </row>
    <row r="974" spans="37:41" x14ac:dyDescent="0.25">
      <c r="AK974" t="s">
        <v>50</v>
      </c>
      <c r="AL974" t="s">
        <v>253</v>
      </c>
      <c r="AM974" s="37" t="s">
        <v>371</v>
      </c>
      <c r="AN974" s="39" t="s">
        <v>525</v>
      </c>
      <c r="AO974" t="s">
        <v>504</v>
      </c>
    </row>
    <row r="975" spans="37:41" x14ac:dyDescent="0.25">
      <c r="AK975" t="s">
        <v>50</v>
      </c>
      <c r="AL975" t="s">
        <v>253</v>
      </c>
      <c r="AM975" s="37" t="s">
        <v>374</v>
      </c>
      <c r="AN975" s="39" t="s">
        <v>527</v>
      </c>
      <c r="AO975" t="s">
        <v>505</v>
      </c>
    </row>
    <row r="976" spans="37:41" x14ac:dyDescent="0.25">
      <c r="AK976" t="s">
        <v>50</v>
      </c>
      <c r="AL976" t="s">
        <v>253</v>
      </c>
      <c r="AM976" s="37" t="s">
        <v>376</v>
      </c>
      <c r="AN976" s="39" t="s">
        <v>530</v>
      </c>
      <c r="AO976" t="s">
        <v>506</v>
      </c>
    </row>
    <row r="977" spans="37:41" x14ac:dyDescent="0.25">
      <c r="AK977" t="s">
        <v>50</v>
      </c>
      <c r="AL977" t="s">
        <v>253</v>
      </c>
      <c r="AM977" s="37" t="s">
        <v>284</v>
      </c>
      <c r="AN977" s="39" t="s">
        <v>533</v>
      </c>
      <c r="AO977" t="s">
        <v>508</v>
      </c>
    </row>
    <row r="978" spans="37:41" x14ac:dyDescent="0.25">
      <c r="AK978" t="s">
        <v>50</v>
      </c>
      <c r="AL978" t="s">
        <v>253</v>
      </c>
      <c r="AM978" t="s">
        <v>291</v>
      </c>
      <c r="AN978" t="s">
        <v>534</v>
      </c>
      <c r="AO978" t="s">
        <v>509</v>
      </c>
    </row>
    <row r="979" spans="37:41" x14ac:dyDescent="0.25">
      <c r="AK979" t="s">
        <v>50</v>
      </c>
      <c r="AL979" t="s">
        <v>253</v>
      </c>
      <c r="AM979" s="37" t="s">
        <v>298</v>
      </c>
      <c r="AN979" s="39" t="s">
        <v>535</v>
      </c>
      <c r="AO979" t="s">
        <v>510</v>
      </c>
    </row>
    <row r="980" spans="37:41" x14ac:dyDescent="0.25">
      <c r="AK980" t="s">
        <v>50</v>
      </c>
      <c r="AL980" t="s">
        <v>253</v>
      </c>
      <c r="AM980" t="s">
        <v>379</v>
      </c>
      <c r="AN980" t="s">
        <v>536</v>
      </c>
      <c r="AO980" t="s">
        <v>511</v>
      </c>
    </row>
    <row r="981" spans="37:41" x14ac:dyDescent="0.25">
      <c r="AK981" t="s">
        <v>50</v>
      </c>
      <c r="AL981" t="s">
        <v>253</v>
      </c>
      <c r="AM981" s="37" t="s">
        <v>381</v>
      </c>
      <c r="AN981" s="39" t="s">
        <v>528</v>
      </c>
      <c r="AO981" t="s">
        <v>505</v>
      </c>
    </row>
    <row r="982" spans="37:41" x14ac:dyDescent="0.25">
      <c r="AK982" t="s">
        <v>50</v>
      </c>
      <c r="AL982" t="s">
        <v>253</v>
      </c>
      <c r="AM982" s="37" t="s">
        <v>383</v>
      </c>
      <c r="AN982" s="59" t="s">
        <v>531</v>
      </c>
      <c r="AO982" t="s">
        <v>506</v>
      </c>
    </row>
    <row r="983" spans="37:41" x14ac:dyDescent="0.25">
      <c r="AK983" t="s">
        <v>50</v>
      </c>
      <c r="AL983" t="s">
        <v>253</v>
      </c>
      <c r="AM983" s="37" t="s">
        <v>385</v>
      </c>
      <c r="AN983" s="39" t="s">
        <v>537</v>
      </c>
      <c r="AO983" t="s">
        <v>507</v>
      </c>
    </row>
    <row r="984" spans="37:41" x14ac:dyDescent="0.25">
      <c r="AK984" t="s">
        <v>50</v>
      </c>
      <c r="AL984" t="s">
        <v>253</v>
      </c>
      <c r="AM984" t="s">
        <v>305</v>
      </c>
      <c r="AN984" t="s">
        <v>538</v>
      </c>
      <c r="AO984" t="s">
        <v>509</v>
      </c>
    </row>
    <row r="985" spans="37:41" x14ac:dyDescent="0.25">
      <c r="AK985" t="s">
        <v>50</v>
      </c>
      <c r="AL985" t="s">
        <v>253</v>
      </c>
      <c r="AM985" s="37" t="s">
        <v>309</v>
      </c>
      <c r="AN985" s="39" t="s">
        <v>539</v>
      </c>
      <c r="AO985" t="s">
        <v>510</v>
      </c>
    </row>
    <row r="986" spans="37:41" x14ac:dyDescent="0.25">
      <c r="AK986" t="s">
        <v>50</v>
      </c>
      <c r="AL986" t="s">
        <v>253</v>
      </c>
      <c r="AM986" t="s">
        <v>312</v>
      </c>
      <c r="AN986" t="s">
        <v>540</v>
      </c>
      <c r="AO986" t="s">
        <v>511</v>
      </c>
    </row>
    <row r="987" spans="37:41" x14ac:dyDescent="0.25">
      <c r="AK987" t="s">
        <v>50</v>
      </c>
      <c r="AL987" t="s">
        <v>253</v>
      </c>
      <c r="AM987" t="s">
        <v>387</v>
      </c>
      <c r="AN987" t="s">
        <v>541</v>
      </c>
      <c r="AO987" t="s">
        <v>512</v>
      </c>
    </row>
    <row r="988" spans="37:41" x14ac:dyDescent="0.25">
      <c r="AK988" t="s">
        <v>50</v>
      </c>
      <c r="AL988" t="s">
        <v>253</v>
      </c>
      <c r="AM988" s="37" t="s">
        <v>389</v>
      </c>
      <c r="AN988" s="39" t="s">
        <v>529</v>
      </c>
      <c r="AO988" t="s">
        <v>505</v>
      </c>
    </row>
    <row r="989" spans="37:41" x14ac:dyDescent="0.25">
      <c r="AK989" t="s">
        <v>50</v>
      </c>
      <c r="AL989" t="s">
        <v>253</v>
      </c>
      <c r="AM989" s="37" t="s">
        <v>391</v>
      </c>
      <c r="AN989" s="39" t="s">
        <v>532</v>
      </c>
      <c r="AO989" t="s">
        <v>506</v>
      </c>
    </row>
    <row r="990" spans="37:41" x14ac:dyDescent="0.25">
      <c r="AK990" t="s">
        <v>50</v>
      </c>
      <c r="AL990" t="s">
        <v>253</v>
      </c>
      <c r="AM990" s="37" t="s">
        <v>393</v>
      </c>
      <c r="AN990" s="39" t="s">
        <v>534</v>
      </c>
      <c r="AO990" t="s">
        <v>507</v>
      </c>
    </row>
    <row r="991" spans="37:41" x14ac:dyDescent="0.25">
      <c r="AK991" t="s">
        <v>50</v>
      </c>
      <c r="AL991" t="s">
        <v>253</v>
      </c>
      <c r="AM991" s="37" t="s">
        <v>395</v>
      </c>
      <c r="AN991" s="39" t="s">
        <v>538</v>
      </c>
      <c r="AO991" t="s">
        <v>508</v>
      </c>
    </row>
    <row r="992" spans="37:41" x14ac:dyDescent="0.25">
      <c r="AK992" t="s">
        <v>50</v>
      </c>
      <c r="AL992" t="s">
        <v>253</v>
      </c>
      <c r="AM992" t="s">
        <v>315</v>
      </c>
      <c r="AN992" t="s">
        <v>542</v>
      </c>
      <c r="AO992" t="s">
        <v>510</v>
      </c>
    </row>
    <row r="993" spans="37:41" x14ac:dyDescent="0.25">
      <c r="AK993" t="s">
        <v>50</v>
      </c>
      <c r="AL993" t="s">
        <v>253</v>
      </c>
      <c r="AM993" t="s">
        <v>319</v>
      </c>
      <c r="AN993" t="s">
        <v>543</v>
      </c>
      <c r="AO993" t="s">
        <v>511</v>
      </c>
    </row>
    <row r="994" spans="37:41" x14ac:dyDescent="0.25">
      <c r="AK994" t="s">
        <v>50</v>
      </c>
      <c r="AL994" t="s">
        <v>253</v>
      </c>
      <c r="AM994" t="s">
        <v>323</v>
      </c>
      <c r="AN994" t="s">
        <v>544</v>
      </c>
      <c r="AO994" t="s">
        <v>512</v>
      </c>
    </row>
    <row r="995" spans="37:41" x14ac:dyDescent="0.25">
      <c r="AK995" t="s">
        <v>50</v>
      </c>
      <c r="AL995" t="s">
        <v>253</v>
      </c>
      <c r="AM995" s="37" t="s">
        <v>397</v>
      </c>
      <c r="AN995" s="39" t="s">
        <v>545</v>
      </c>
      <c r="AO995" t="s">
        <v>506</v>
      </c>
    </row>
    <row r="996" spans="37:41" x14ac:dyDescent="0.25">
      <c r="AK996" t="s">
        <v>50</v>
      </c>
      <c r="AL996" t="s">
        <v>253</v>
      </c>
      <c r="AM996" s="37" t="s">
        <v>399</v>
      </c>
      <c r="AN996" s="39" t="s">
        <v>546</v>
      </c>
      <c r="AO996" t="s">
        <v>507</v>
      </c>
    </row>
    <row r="997" spans="37:41" x14ac:dyDescent="0.25">
      <c r="AK997" t="s">
        <v>50</v>
      </c>
      <c r="AL997" t="s">
        <v>253</v>
      </c>
      <c r="AM997" s="37" t="s">
        <v>401</v>
      </c>
      <c r="AN997" s="39" t="s">
        <v>547</v>
      </c>
      <c r="AO997" t="s">
        <v>508</v>
      </c>
    </row>
    <row r="998" spans="37:41" x14ac:dyDescent="0.25">
      <c r="AK998" t="s">
        <v>50</v>
      </c>
      <c r="AL998" t="s">
        <v>253</v>
      </c>
      <c r="AM998" s="37" t="s">
        <v>335</v>
      </c>
      <c r="AN998" s="39" t="s">
        <v>542</v>
      </c>
      <c r="AO998" t="s">
        <v>509</v>
      </c>
    </row>
    <row r="999" spans="37:41" x14ac:dyDescent="0.25">
      <c r="AK999" t="s">
        <v>50</v>
      </c>
      <c r="AL999" t="s">
        <v>253</v>
      </c>
      <c r="AM999" s="37" t="s">
        <v>326</v>
      </c>
      <c r="AN999" s="39" t="s">
        <v>548</v>
      </c>
      <c r="AO999" t="s">
        <v>511</v>
      </c>
    </row>
    <row r="1000" spans="37:41" x14ac:dyDescent="0.25">
      <c r="AK1000" t="s">
        <v>50</v>
      </c>
      <c r="AL1000" t="s">
        <v>253</v>
      </c>
      <c r="AM1000" t="s">
        <v>330</v>
      </c>
      <c r="AN1000" t="s">
        <v>549</v>
      </c>
      <c r="AO1000" t="s">
        <v>512</v>
      </c>
    </row>
    <row r="1001" spans="37:41" x14ac:dyDescent="0.25">
      <c r="AK1001" t="s">
        <v>50</v>
      </c>
      <c r="AL1001" t="s">
        <v>253</v>
      </c>
      <c r="AM1001" s="37" t="s">
        <v>403</v>
      </c>
      <c r="AN1001" s="39" t="s">
        <v>536</v>
      </c>
      <c r="AO1001" t="s">
        <v>507</v>
      </c>
    </row>
    <row r="1002" spans="37:41" x14ac:dyDescent="0.25">
      <c r="AK1002" t="s">
        <v>50</v>
      </c>
      <c r="AL1002" t="s">
        <v>253</v>
      </c>
      <c r="AM1002" s="37" t="s">
        <v>405</v>
      </c>
      <c r="AN1002" s="39" t="s">
        <v>540</v>
      </c>
      <c r="AO1002" t="s">
        <v>508</v>
      </c>
    </row>
    <row r="1003" spans="37:41" x14ac:dyDescent="0.25">
      <c r="AK1003" t="s">
        <v>50</v>
      </c>
      <c r="AL1003" t="s">
        <v>253</v>
      </c>
      <c r="AM1003" s="37" t="s">
        <v>348</v>
      </c>
      <c r="AN1003" s="39" t="s">
        <v>543</v>
      </c>
      <c r="AO1003" t="s">
        <v>509</v>
      </c>
    </row>
    <row r="1004" spans="37:41" x14ac:dyDescent="0.25">
      <c r="AK1004" t="s">
        <v>50</v>
      </c>
      <c r="AL1004" t="s">
        <v>253</v>
      </c>
      <c r="AM1004" s="37" t="s">
        <v>344</v>
      </c>
      <c r="AN1004" s="39" t="s">
        <v>550</v>
      </c>
      <c r="AO1004" t="s">
        <v>510</v>
      </c>
    </row>
    <row r="1005" spans="37:41" x14ac:dyDescent="0.25">
      <c r="AK1005" t="s">
        <v>50</v>
      </c>
      <c r="AL1005" t="s">
        <v>253</v>
      </c>
      <c r="AM1005" t="s">
        <v>340</v>
      </c>
      <c r="AN1005" t="s">
        <v>551</v>
      </c>
      <c r="AO1005" t="s">
        <v>512</v>
      </c>
    </row>
    <row r="1006" spans="37:41" x14ac:dyDescent="0.25">
      <c r="AK1006" t="s">
        <v>50</v>
      </c>
      <c r="AL1006" t="s">
        <v>253</v>
      </c>
      <c r="AM1006" s="37" t="s">
        <v>407</v>
      </c>
      <c r="AN1006" s="39" t="s">
        <v>552</v>
      </c>
      <c r="AO1006" t="s">
        <v>507</v>
      </c>
    </row>
    <row r="1007" spans="37:41" x14ac:dyDescent="0.25">
      <c r="AK1007" t="s">
        <v>50</v>
      </c>
      <c r="AL1007" t="s">
        <v>253</v>
      </c>
      <c r="AM1007" s="37" t="s">
        <v>409</v>
      </c>
      <c r="AN1007" s="39" t="s">
        <v>541</v>
      </c>
      <c r="AO1007" t="s">
        <v>508</v>
      </c>
    </row>
    <row r="1008" spans="37:41" x14ac:dyDescent="0.25">
      <c r="AK1008" t="s">
        <v>50</v>
      </c>
      <c r="AL1008" t="s">
        <v>253</v>
      </c>
      <c r="AM1008" s="37" t="s">
        <v>359</v>
      </c>
      <c r="AN1008" s="39" t="s">
        <v>544</v>
      </c>
      <c r="AO1008" t="s">
        <v>509</v>
      </c>
    </row>
    <row r="1009" spans="37:41" x14ac:dyDescent="0.25">
      <c r="AK1009" t="s">
        <v>50</v>
      </c>
      <c r="AL1009" t="s">
        <v>253</v>
      </c>
      <c r="AM1009" s="37" t="s">
        <v>356</v>
      </c>
      <c r="AN1009" s="39" t="s">
        <v>549</v>
      </c>
      <c r="AO1009" t="s">
        <v>510</v>
      </c>
    </row>
    <row r="1010" spans="37:41" x14ac:dyDescent="0.25">
      <c r="AK1010" t="s">
        <v>50</v>
      </c>
      <c r="AL1010" t="s">
        <v>253</v>
      </c>
      <c r="AM1010" s="37" t="s">
        <v>352</v>
      </c>
      <c r="AN1010" s="39" t="s">
        <v>551</v>
      </c>
      <c r="AO1010" t="s">
        <v>511</v>
      </c>
    </row>
    <row r="1012" spans="37:41" x14ac:dyDescent="0.25">
      <c r="AK1012" t="s">
        <v>50</v>
      </c>
      <c r="AL1012" s="54" t="s">
        <v>261</v>
      </c>
      <c r="AM1012" t="s">
        <v>51</v>
      </c>
      <c r="AN1012" t="s">
        <v>513</v>
      </c>
      <c r="AO1012" t="s">
        <v>503</v>
      </c>
    </row>
    <row r="1013" spans="37:41" x14ac:dyDescent="0.25">
      <c r="AK1013" t="s">
        <v>50</v>
      </c>
      <c r="AL1013" s="54" t="s">
        <v>261</v>
      </c>
      <c r="AM1013" t="s">
        <v>80</v>
      </c>
      <c r="AN1013" t="s">
        <v>514</v>
      </c>
      <c r="AO1013" t="s">
        <v>504</v>
      </c>
    </row>
    <row r="1014" spans="37:41" x14ac:dyDescent="0.25">
      <c r="AK1014" t="s">
        <v>50</v>
      </c>
      <c r="AL1014" s="54" t="s">
        <v>261</v>
      </c>
      <c r="AM1014" t="s">
        <v>104</v>
      </c>
      <c r="AN1014" t="s">
        <v>515</v>
      </c>
      <c r="AO1014" t="s">
        <v>505</v>
      </c>
    </row>
    <row r="1015" spans="37:41" x14ac:dyDescent="0.25">
      <c r="AK1015" t="s">
        <v>50</v>
      </c>
      <c r="AL1015" s="54" t="s">
        <v>261</v>
      </c>
      <c r="AM1015" t="s">
        <v>119</v>
      </c>
      <c r="AN1015" t="s">
        <v>516</v>
      </c>
      <c r="AO1015" t="s">
        <v>506</v>
      </c>
    </row>
    <row r="1016" spans="37:41" x14ac:dyDescent="0.25">
      <c r="AK1016" t="s">
        <v>50</v>
      </c>
      <c r="AL1016" s="54" t="s">
        <v>261</v>
      </c>
      <c r="AM1016" t="s">
        <v>137</v>
      </c>
      <c r="AN1016" t="s">
        <v>517</v>
      </c>
      <c r="AO1016" t="s">
        <v>507</v>
      </c>
    </row>
    <row r="1017" spans="37:41" x14ac:dyDescent="0.25">
      <c r="AK1017" t="s">
        <v>50</v>
      </c>
      <c r="AL1017" s="54" t="s">
        <v>261</v>
      </c>
      <c r="AM1017" t="s">
        <v>149</v>
      </c>
      <c r="AN1017" t="s">
        <v>518</v>
      </c>
      <c r="AO1017" t="s">
        <v>508</v>
      </c>
    </row>
    <row r="1018" spans="37:41" x14ac:dyDescent="0.25">
      <c r="AK1018" t="s">
        <v>50</v>
      </c>
      <c r="AL1018" s="54" t="s">
        <v>261</v>
      </c>
      <c r="AM1018" t="s">
        <v>162</v>
      </c>
      <c r="AN1018" t="s">
        <v>519</v>
      </c>
      <c r="AO1018" t="s">
        <v>509</v>
      </c>
    </row>
    <row r="1019" spans="37:41" x14ac:dyDescent="0.25">
      <c r="AK1019" t="s">
        <v>50</v>
      </c>
      <c r="AL1019" s="54" t="s">
        <v>261</v>
      </c>
      <c r="AM1019" t="s">
        <v>174</v>
      </c>
      <c r="AN1019" t="s">
        <v>520</v>
      </c>
      <c r="AO1019" t="s">
        <v>510</v>
      </c>
    </row>
    <row r="1020" spans="37:41" x14ac:dyDescent="0.25">
      <c r="AK1020" t="s">
        <v>50</v>
      </c>
      <c r="AL1020" s="54" t="s">
        <v>261</v>
      </c>
      <c r="AM1020" t="s">
        <v>187</v>
      </c>
      <c r="AN1020" t="s">
        <v>521</v>
      </c>
      <c r="AO1020" t="s">
        <v>511</v>
      </c>
    </row>
    <row r="1021" spans="37:41" x14ac:dyDescent="0.25">
      <c r="AK1021" t="s">
        <v>50</v>
      </c>
      <c r="AL1021" s="54" t="s">
        <v>261</v>
      </c>
      <c r="AM1021" t="s">
        <v>199</v>
      </c>
      <c r="AN1021" t="s">
        <v>522</v>
      </c>
      <c r="AO1021" t="s">
        <v>512</v>
      </c>
    </row>
    <row r="1022" spans="37:41" x14ac:dyDescent="0.25">
      <c r="AK1022" t="s">
        <v>50</v>
      </c>
      <c r="AL1022" s="54" t="s">
        <v>261</v>
      </c>
      <c r="AM1022" t="s">
        <v>211</v>
      </c>
      <c r="AN1022" t="s">
        <v>523</v>
      </c>
      <c r="AO1022" t="s">
        <v>505</v>
      </c>
    </row>
    <row r="1023" spans="37:41" x14ac:dyDescent="0.25">
      <c r="AK1023" t="s">
        <v>50</v>
      </c>
      <c r="AL1023" s="54" t="s">
        <v>261</v>
      </c>
      <c r="AM1023" t="s">
        <v>223</v>
      </c>
      <c r="AN1023" t="s">
        <v>524</v>
      </c>
      <c r="AO1023" t="s">
        <v>506</v>
      </c>
    </row>
    <row r="1024" spans="37:41" x14ac:dyDescent="0.25">
      <c r="AK1024" t="s">
        <v>50</v>
      </c>
      <c r="AL1024" s="54" t="s">
        <v>261</v>
      </c>
      <c r="AM1024" t="s">
        <v>232</v>
      </c>
      <c r="AN1024" t="s">
        <v>525</v>
      </c>
      <c r="AO1024" t="s">
        <v>507</v>
      </c>
    </row>
    <row r="1025" spans="37:41" x14ac:dyDescent="0.25">
      <c r="AK1025" t="s">
        <v>50</v>
      </c>
      <c r="AL1025" s="54" t="s">
        <v>261</v>
      </c>
      <c r="AM1025" s="37" t="s">
        <v>362</v>
      </c>
      <c r="AN1025" t="s">
        <v>523</v>
      </c>
      <c r="AO1025" t="s">
        <v>504</v>
      </c>
    </row>
    <row r="1026" spans="37:41" x14ac:dyDescent="0.25">
      <c r="AK1026" t="s">
        <v>50</v>
      </c>
      <c r="AL1026" s="54" t="s">
        <v>261</v>
      </c>
      <c r="AM1026" t="s">
        <v>239</v>
      </c>
      <c r="AN1026" t="s">
        <v>526</v>
      </c>
      <c r="AO1026" t="s">
        <v>506</v>
      </c>
    </row>
    <row r="1027" spans="37:41" x14ac:dyDescent="0.25">
      <c r="AK1027" t="s">
        <v>50</v>
      </c>
      <c r="AL1027" s="54" t="s">
        <v>261</v>
      </c>
      <c r="AM1027" t="s">
        <v>246</v>
      </c>
      <c r="AN1027" t="s">
        <v>527</v>
      </c>
      <c r="AO1027" t="s">
        <v>507</v>
      </c>
    </row>
    <row r="1028" spans="37:41" x14ac:dyDescent="0.25">
      <c r="AK1028" t="s">
        <v>50</v>
      </c>
      <c r="AL1028" s="54" t="s">
        <v>261</v>
      </c>
      <c r="AM1028" t="s">
        <v>254</v>
      </c>
      <c r="AN1028" t="s">
        <v>528</v>
      </c>
      <c r="AO1028" t="s">
        <v>508</v>
      </c>
    </row>
    <row r="1029" spans="37:41" x14ac:dyDescent="0.25">
      <c r="AK1029" t="s">
        <v>50</v>
      </c>
      <c r="AL1029" s="54" t="s">
        <v>261</v>
      </c>
      <c r="AM1029" t="s">
        <v>365</v>
      </c>
      <c r="AN1029" t="s">
        <v>529</v>
      </c>
      <c r="AO1029" t="s">
        <v>509</v>
      </c>
    </row>
    <row r="1030" spans="37:41" x14ac:dyDescent="0.25">
      <c r="AK1030" t="s">
        <v>50</v>
      </c>
      <c r="AL1030" s="54" t="s">
        <v>261</v>
      </c>
      <c r="AM1030" s="37" t="s">
        <v>367</v>
      </c>
      <c r="AN1030" t="s">
        <v>524</v>
      </c>
      <c r="AO1030" t="s">
        <v>504</v>
      </c>
    </row>
    <row r="1031" spans="37:41" x14ac:dyDescent="0.25">
      <c r="AK1031" t="s">
        <v>50</v>
      </c>
      <c r="AL1031" s="54" t="s">
        <v>261</v>
      </c>
      <c r="AM1031" s="37" t="s">
        <v>369</v>
      </c>
      <c r="AN1031" t="s">
        <v>526</v>
      </c>
      <c r="AO1031" t="s">
        <v>505</v>
      </c>
    </row>
    <row r="1032" spans="37:41" x14ac:dyDescent="0.25">
      <c r="AK1032" t="s">
        <v>50</v>
      </c>
      <c r="AL1032" s="54" t="s">
        <v>261</v>
      </c>
      <c r="AM1032" t="s">
        <v>262</v>
      </c>
      <c r="AN1032" t="s">
        <v>530</v>
      </c>
      <c r="AO1032" t="s">
        <v>507</v>
      </c>
    </row>
    <row r="1033" spans="37:41" x14ac:dyDescent="0.25">
      <c r="AK1033" t="s">
        <v>50</v>
      </c>
      <c r="AL1033" s="54" t="s">
        <v>261</v>
      </c>
      <c r="AM1033" t="s">
        <v>270</v>
      </c>
      <c r="AN1033" t="s">
        <v>531</v>
      </c>
      <c r="AO1033" t="s">
        <v>508</v>
      </c>
    </row>
    <row r="1034" spans="37:41" x14ac:dyDescent="0.25">
      <c r="AK1034" t="s">
        <v>50</v>
      </c>
      <c r="AL1034" s="54" t="s">
        <v>261</v>
      </c>
      <c r="AM1034" t="s">
        <v>277</v>
      </c>
      <c r="AN1034" t="s">
        <v>532</v>
      </c>
      <c r="AO1034" t="s">
        <v>509</v>
      </c>
    </row>
    <row r="1035" spans="37:41" x14ac:dyDescent="0.25">
      <c r="AK1035" t="s">
        <v>50</v>
      </c>
      <c r="AL1035" s="54" t="s">
        <v>261</v>
      </c>
      <c r="AM1035" s="37" t="s">
        <v>371</v>
      </c>
      <c r="AN1035" s="39" t="s">
        <v>525</v>
      </c>
      <c r="AO1035" t="s">
        <v>504</v>
      </c>
    </row>
    <row r="1036" spans="37:41" x14ac:dyDescent="0.25">
      <c r="AK1036" t="s">
        <v>50</v>
      </c>
      <c r="AL1036" s="54" t="s">
        <v>261</v>
      </c>
      <c r="AM1036" s="37" t="s">
        <v>374</v>
      </c>
      <c r="AN1036" s="39" t="s">
        <v>527</v>
      </c>
      <c r="AO1036" t="s">
        <v>505</v>
      </c>
    </row>
    <row r="1037" spans="37:41" x14ac:dyDescent="0.25">
      <c r="AK1037" t="s">
        <v>50</v>
      </c>
      <c r="AL1037" s="54" t="s">
        <v>261</v>
      </c>
      <c r="AM1037" s="37" t="s">
        <v>376</v>
      </c>
      <c r="AN1037" s="39" t="s">
        <v>530</v>
      </c>
      <c r="AO1037" t="s">
        <v>506</v>
      </c>
    </row>
    <row r="1038" spans="37:41" x14ac:dyDescent="0.25">
      <c r="AK1038" t="s">
        <v>50</v>
      </c>
      <c r="AL1038" s="54" t="s">
        <v>261</v>
      </c>
      <c r="AM1038" s="37" t="s">
        <v>284</v>
      </c>
      <c r="AN1038" s="39" t="s">
        <v>533</v>
      </c>
      <c r="AO1038" t="s">
        <v>508</v>
      </c>
    </row>
    <row r="1039" spans="37:41" x14ac:dyDescent="0.25">
      <c r="AK1039" t="s">
        <v>50</v>
      </c>
      <c r="AL1039" s="54" t="s">
        <v>261</v>
      </c>
      <c r="AM1039" t="s">
        <v>291</v>
      </c>
      <c r="AN1039" t="s">
        <v>534</v>
      </c>
      <c r="AO1039" t="s">
        <v>509</v>
      </c>
    </row>
    <row r="1040" spans="37:41" x14ac:dyDescent="0.25">
      <c r="AK1040" t="s">
        <v>50</v>
      </c>
      <c r="AL1040" s="54" t="s">
        <v>261</v>
      </c>
      <c r="AM1040" s="37" t="s">
        <v>298</v>
      </c>
      <c r="AN1040" s="39" t="s">
        <v>535</v>
      </c>
      <c r="AO1040" t="s">
        <v>510</v>
      </c>
    </row>
    <row r="1041" spans="37:41" x14ac:dyDescent="0.25">
      <c r="AK1041" t="s">
        <v>50</v>
      </c>
      <c r="AL1041" s="54" t="s">
        <v>261</v>
      </c>
      <c r="AM1041" t="s">
        <v>379</v>
      </c>
      <c r="AN1041" t="s">
        <v>536</v>
      </c>
      <c r="AO1041" t="s">
        <v>511</v>
      </c>
    </row>
    <row r="1042" spans="37:41" x14ac:dyDescent="0.25">
      <c r="AK1042" t="s">
        <v>50</v>
      </c>
      <c r="AL1042" s="54" t="s">
        <v>261</v>
      </c>
      <c r="AM1042" s="37" t="s">
        <v>381</v>
      </c>
      <c r="AN1042" s="39" t="s">
        <v>528</v>
      </c>
      <c r="AO1042" t="s">
        <v>505</v>
      </c>
    </row>
    <row r="1043" spans="37:41" x14ac:dyDescent="0.25">
      <c r="AK1043" t="s">
        <v>50</v>
      </c>
      <c r="AL1043" s="54" t="s">
        <v>261</v>
      </c>
      <c r="AM1043" s="37" t="s">
        <v>383</v>
      </c>
      <c r="AN1043" s="59" t="s">
        <v>531</v>
      </c>
      <c r="AO1043" t="s">
        <v>506</v>
      </c>
    </row>
    <row r="1044" spans="37:41" x14ac:dyDescent="0.25">
      <c r="AK1044" t="s">
        <v>50</v>
      </c>
      <c r="AL1044" s="54" t="s">
        <v>261</v>
      </c>
      <c r="AM1044" s="37" t="s">
        <v>385</v>
      </c>
      <c r="AN1044" s="39" t="s">
        <v>537</v>
      </c>
      <c r="AO1044" t="s">
        <v>507</v>
      </c>
    </row>
    <row r="1045" spans="37:41" x14ac:dyDescent="0.25">
      <c r="AK1045" t="s">
        <v>50</v>
      </c>
      <c r="AL1045" s="54" t="s">
        <v>261</v>
      </c>
      <c r="AM1045" t="s">
        <v>305</v>
      </c>
      <c r="AN1045" t="s">
        <v>538</v>
      </c>
      <c r="AO1045" t="s">
        <v>509</v>
      </c>
    </row>
    <row r="1046" spans="37:41" x14ac:dyDescent="0.25">
      <c r="AK1046" t="s">
        <v>50</v>
      </c>
      <c r="AL1046" s="54" t="s">
        <v>261</v>
      </c>
      <c r="AM1046" s="37" t="s">
        <v>309</v>
      </c>
      <c r="AN1046" s="39" t="s">
        <v>539</v>
      </c>
      <c r="AO1046" t="s">
        <v>510</v>
      </c>
    </row>
    <row r="1047" spans="37:41" x14ac:dyDescent="0.25">
      <c r="AK1047" t="s">
        <v>50</v>
      </c>
      <c r="AL1047" s="54" t="s">
        <v>261</v>
      </c>
      <c r="AM1047" t="s">
        <v>312</v>
      </c>
      <c r="AN1047" t="s">
        <v>540</v>
      </c>
      <c r="AO1047" t="s">
        <v>511</v>
      </c>
    </row>
    <row r="1048" spans="37:41" x14ac:dyDescent="0.25">
      <c r="AK1048" t="s">
        <v>50</v>
      </c>
      <c r="AL1048" s="54" t="s">
        <v>261</v>
      </c>
      <c r="AM1048" t="s">
        <v>387</v>
      </c>
      <c r="AN1048" t="s">
        <v>541</v>
      </c>
      <c r="AO1048" t="s">
        <v>512</v>
      </c>
    </row>
    <row r="1049" spans="37:41" x14ac:dyDescent="0.25">
      <c r="AK1049" t="s">
        <v>50</v>
      </c>
      <c r="AL1049" s="54" t="s">
        <v>261</v>
      </c>
      <c r="AM1049" s="37" t="s">
        <v>389</v>
      </c>
      <c r="AN1049" s="39" t="s">
        <v>529</v>
      </c>
      <c r="AO1049" t="s">
        <v>505</v>
      </c>
    </row>
    <row r="1050" spans="37:41" x14ac:dyDescent="0.25">
      <c r="AK1050" t="s">
        <v>50</v>
      </c>
      <c r="AL1050" s="54" t="s">
        <v>261</v>
      </c>
      <c r="AM1050" s="37" t="s">
        <v>391</v>
      </c>
      <c r="AN1050" s="39" t="s">
        <v>532</v>
      </c>
      <c r="AO1050" t="s">
        <v>506</v>
      </c>
    </row>
    <row r="1051" spans="37:41" x14ac:dyDescent="0.25">
      <c r="AK1051" t="s">
        <v>50</v>
      </c>
      <c r="AL1051" s="54" t="s">
        <v>261</v>
      </c>
      <c r="AM1051" s="37" t="s">
        <v>393</v>
      </c>
      <c r="AN1051" s="39" t="s">
        <v>534</v>
      </c>
      <c r="AO1051" t="s">
        <v>507</v>
      </c>
    </row>
    <row r="1052" spans="37:41" x14ac:dyDescent="0.25">
      <c r="AK1052" t="s">
        <v>50</v>
      </c>
      <c r="AL1052" s="54" t="s">
        <v>261</v>
      </c>
      <c r="AM1052" s="37" t="s">
        <v>395</v>
      </c>
      <c r="AN1052" s="39" t="s">
        <v>538</v>
      </c>
      <c r="AO1052" t="s">
        <v>508</v>
      </c>
    </row>
    <row r="1053" spans="37:41" x14ac:dyDescent="0.25">
      <c r="AK1053" t="s">
        <v>50</v>
      </c>
      <c r="AL1053" s="54" t="s">
        <v>261</v>
      </c>
      <c r="AM1053" t="s">
        <v>315</v>
      </c>
      <c r="AN1053" t="s">
        <v>542</v>
      </c>
      <c r="AO1053" t="s">
        <v>510</v>
      </c>
    </row>
    <row r="1054" spans="37:41" x14ac:dyDescent="0.25">
      <c r="AK1054" t="s">
        <v>50</v>
      </c>
      <c r="AL1054" s="54" t="s">
        <v>261</v>
      </c>
      <c r="AM1054" t="s">
        <v>319</v>
      </c>
      <c r="AN1054" t="s">
        <v>543</v>
      </c>
      <c r="AO1054" t="s">
        <v>511</v>
      </c>
    </row>
    <row r="1055" spans="37:41" x14ac:dyDescent="0.25">
      <c r="AK1055" t="s">
        <v>50</v>
      </c>
      <c r="AL1055" s="54" t="s">
        <v>261</v>
      </c>
      <c r="AM1055" t="s">
        <v>323</v>
      </c>
      <c r="AN1055" t="s">
        <v>544</v>
      </c>
      <c r="AO1055" t="s">
        <v>512</v>
      </c>
    </row>
    <row r="1056" spans="37:41" x14ac:dyDescent="0.25">
      <c r="AK1056" t="s">
        <v>50</v>
      </c>
      <c r="AL1056" s="54" t="s">
        <v>261</v>
      </c>
      <c r="AM1056" s="37" t="s">
        <v>397</v>
      </c>
      <c r="AN1056" s="39" t="s">
        <v>545</v>
      </c>
      <c r="AO1056" t="s">
        <v>506</v>
      </c>
    </row>
    <row r="1057" spans="37:41" x14ac:dyDescent="0.25">
      <c r="AK1057" t="s">
        <v>50</v>
      </c>
      <c r="AL1057" s="54" t="s">
        <v>261</v>
      </c>
      <c r="AM1057" s="37" t="s">
        <v>399</v>
      </c>
      <c r="AN1057" s="39" t="s">
        <v>546</v>
      </c>
      <c r="AO1057" t="s">
        <v>507</v>
      </c>
    </row>
    <row r="1058" spans="37:41" x14ac:dyDescent="0.25">
      <c r="AK1058" t="s">
        <v>50</v>
      </c>
      <c r="AL1058" s="54" t="s">
        <v>261</v>
      </c>
      <c r="AM1058" s="37" t="s">
        <v>401</v>
      </c>
      <c r="AN1058" s="39" t="s">
        <v>547</v>
      </c>
      <c r="AO1058" t="s">
        <v>508</v>
      </c>
    </row>
    <row r="1059" spans="37:41" x14ac:dyDescent="0.25">
      <c r="AK1059" t="s">
        <v>50</v>
      </c>
      <c r="AL1059" s="54" t="s">
        <v>261</v>
      </c>
      <c r="AM1059" s="37" t="s">
        <v>335</v>
      </c>
      <c r="AN1059" s="39" t="s">
        <v>542</v>
      </c>
      <c r="AO1059" t="s">
        <v>509</v>
      </c>
    </row>
    <row r="1060" spans="37:41" x14ac:dyDescent="0.25">
      <c r="AK1060" t="s">
        <v>50</v>
      </c>
      <c r="AL1060" s="54" t="s">
        <v>261</v>
      </c>
      <c r="AM1060" s="37" t="s">
        <v>326</v>
      </c>
      <c r="AN1060" s="39" t="s">
        <v>548</v>
      </c>
      <c r="AO1060" t="s">
        <v>511</v>
      </c>
    </row>
    <row r="1061" spans="37:41" x14ac:dyDescent="0.25">
      <c r="AK1061" t="s">
        <v>50</v>
      </c>
      <c r="AL1061" s="54" t="s">
        <v>261</v>
      </c>
      <c r="AM1061" t="s">
        <v>330</v>
      </c>
      <c r="AN1061" t="s">
        <v>549</v>
      </c>
      <c r="AO1061" t="s">
        <v>512</v>
      </c>
    </row>
    <row r="1062" spans="37:41" x14ac:dyDescent="0.25">
      <c r="AK1062" t="s">
        <v>50</v>
      </c>
      <c r="AL1062" s="54" t="s">
        <v>261</v>
      </c>
      <c r="AM1062" s="37" t="s">
        <v>403</v>
      </c>
      <c r="AN1062" s="39" t="s">
        <v>536</v>
      </c>
      <c r="AO1062" t="s">
        <v>507</v>
      </c>
    </row>
    <row r="1063" spans="37:41" x14ac:dyDescent="0.25">
      <c r="AK1063" t="s">
        <v>50</v>
      </c>
      <c r="AL1063" s="54" t="s">
        <v>261</v>
      </c>
      <c r="AM1063" s="37" t="s">
        <v>405</v>
      </c>
      <c r="AN1063" s="39" t="s">
        <v>540</v>
      </c>
      <c r="AO1063" t="s">
        <v>508</v>
      </c>
    </row>
    <row r="1064" spans="37:41" x14ac:dyDescent="0.25">
      <c r="AK1064" t="s">
        <v>50</v>
      </c>
      <c r="AL1064" s="54" t="s">
        <v>261</v>
      </c>
      <c r="AM1064" s="37" t="s">
        <v>348</v>
      </c>
      <c r="AN1064" s="39" t="s">
        <v>543</v>
      </c>
      <c r="AO1064" t="s">
        <v>509</v>
      </c>
    </row>
    <row r="1065" spans="37:41" x14ac:dyDescent="0.25">
      <c r="AK1065" t="s">
        <v>50</v>
      </c>
      <c r="AL1065" s="54" t="s">
        <v>261</v>
      </c>
      <c r="AM1065" s="37" t="s">
        <v>344</v>
      </c>
      <c r="AN1065" s="39" t="s">
        <v>550</v>
      </c>
      <c r="AO1065" t="s">
        <v>510</v>
      </c>
    </row>
    <row r="1066" spans="37:41" x14ac:dyDescent="0.25">
      <c r="AK1066" t="s">
        <v>50</v>
      </c>
      <c r="AL1066" s="54" t="s">
        <v>261</v>
      </c>
      <c r="AM1066" t="s">
        <v>340</v>
      </c>
      <c r="AN1066" t="s">
        <v>551</v>
      </c>
      <c r="AO1066" t="s">
        <v>512</v>
      </c>
    </row>
    <row r="1067" spans="37:41" x14ac:dyDescent="0.25">
      <c r="AK1067" t="s">
        <v>50</v>
      </c>
      <c r="AL1067" s="54" t="s">
        <v>261</v>
      </c>
      <c r="AM1067" s="37" t="s">
        <v>407</v>
      </c>
      <c r="AN1067" s="39" t="s">
        <v>552</v>
      </c>
      <c r="AO1067" t="s">
        <v>507</v>
      </c>
    </row>
    <row r="1068" spans="37:41" x14ac:dyDescent="0.25">
      <c r="AK1068" t="s">
        <v>50</v>
      </c>
      <c r="AL1068" s="54" t="s">
        <v>261</v>
      </c>
      <c r="AM1068" s="37" t="s">
        <v>409</v>
      </c>
      <c r="AN1068" s="39" t="s">
        <v>541</v>
      </c>
      <c r="AO1068" t="s">
        <v>508</v>
      </c>
    </row>
    <row r="1069" spans="37:41" x14ac:dyDescent="0.25">
      <c r="AK1069" t="s">
        <v>50</v>
      </c>
      <c r="AL1069" s="54" t="s">
        <v>261</v>
      </c>
      <c r="AM1069" s="37" t="s">
        <v>359</v>
      </c>
      <c r="AN1069" s="39" t="s">
        <v>544</v>
      </c>
      <c r="AO1069" t="s">
        <v>509</v>
      </c>
    </row>
    <row r="1070" spans="37:41" x14ac:dyDescent="0.25">
      <c r="AK1070" t="s">
        <v>50</v>
      </c>
      <c r="AL1070" s="54" t="s">
        <v>261</v>
      </c>
      <c r="AM1070" s="37" t="s">
        <v>356</v>
      </c>
      <c r="AN1070" s="39" t="s">
        <v>549</v>
      </c>
      <c r="AO1070" t="s">
        <v>510</v>
      </c>
    </row>
    <row r="1071" spans="37:41" x14ac:dyDescent="0.25">
      <c r="AK1071" t="s">
        <v>50</v>
      </c>
      <c r="AL1071" s="54" t="s">
        <v>261</v>
      </c>
      <c r="AM1071" s="37" t="s">
        <v>352</v>
      </c>
      <c r="AN1071" s="39" t="s">
        <v>551</v>
      </c>
      <c r="AO1071" t="s">
        <v>511</v>
      </c>
    </row>
    <row r="1073" spans="37:41" x14ac:dyDescent="0.25">
      <c r="AK1073" t="s">
        <v>50</v>
      </c>
      <c r="AL1073" s="54" t="s">
        <v>269</v>
      </c>
      <c r="AM1073" t="s">
        <v>51</v>
      </c>
      <c r="AN1073" t="s">
        <v>513</v>
      </c>
      <c r="AO1073" t="s">
        <v>503</v>
      </c>
    </row>
    <row r="1074" spans="37:41" x14ac:dyDescent="0.25">
      <c r="AK1074" t="s">
        <v>50</v>
      </c>
      <c r="AL1074" s="54" t="s">
        <v>269</v>
      </c>
      <c r="AM1074" t="s">
        <v>80</v>
      </c>
      <c r="AN1074" t="s">
        <v>514</v>
      </c>
      <c r="AO1074" t="s">
        <v>504</v>
      </c>
    </row>
    <row r="1075" spans="37:41" x14ac:dyDescent="0.25">
      <c r="AK1075" t="s">
        <v>50</v>
      </c>
      <c r="AL1075" s="54" t="s">
        <v>269</v>
      </c>
      <c r="AM1075" t="s">
        <v>104</v>
      </c>
      <c r="AN1075" t="s">
        <v>515</v>
      </c>
      <c r="AO1075" t="s">
        <v>505</v>
      </c>
    </row>
    <row r="1076" spans="37:41" x14ac:dyDescent="0.25">
      <c r="AK1076" t="s">
        <v>50</v>
      </c>
      <c r="AL1076" s="54" t="s">
        <v>269</v>
      </c>
      <c r="AM1076" t="s">
        <v>119</v>
      </c>
      <c r="AN1076" t="s">
        <v>516</v>
      </c>
      <c r="AO1076" t="s">
        <v>506</v>
      </c>
    </row>
    <row r="1077" spans="37:41" x14ac:dyDescent="0.25">
      <c r="AK1077" t="s">
        <v>50</v>
      </c>
      <c r="AL1077" s="54" t="s">
        <v>269</v>
      </c>
      <c r="AM1077" t="s">
        <v>137</v>
      </c>
      <c r="AN1077" t="s">
        <v>517</v>
      </c>
      <c r="AO1077" t="s">
        <v>507</v>
      </c>
    </row>
    <row r="1078" spans="37:41" x14ac:dyDescent="0.25">
      <c r="AK1078" t="s">
        <v>50</v>
      </c>
      <c r="AL1078" s="54" t="s">
        <v>269</v>
      </c>
      <c r="AM1078" t="s">
        <v>149</v>
      </c>
      <c r="AN1078" t="s">
        <v>518</v>
      </c>
      <c r="AO1078" t="s">
        <v>508</v>
      </c>
    </row>
    <row r="1079" spans="37:41" x14ac:dyDescent="0.25">
      <c r="AK1079" t="s">
        <v>50</v>
      </c>
      <c r="AL1079" s="54" t="s">
        <v>269</v>
      </c>
      <c r="AM1079" t="s">
        <v>162</v>
      </c>
      <c r="AN1079" t="s">
        <v>519</v>
      </c>
      <c r="AO1079" t="s">
        <v>509</v>
      </c>
    </row>
    <row r="1080" spans="37:41" x14ac:dyDescent="0.25">
      <c r="AK1080" t="s">
        <v>50</v>
      </c>
      <c r="AL1080" s="54" t="s">
        <v>269</v>
      </c>
      <c r="AM1080" t="s">
        <v>174</v>
      </c>
      <c r="AN1080" t="s">
        <v>520</v>
      </c>
      <c r="AO1080" t="s">
        <v>510</v>
      </c>
    </row>
    <row r="1081" spans="37:41" x14ac:dyDescent="0.25">
      <c r="AK1081" t="s">
        <v>50</v>
      </c>
      <c r="AL1081" s="54" t="s">
        <v>269</v>
      </c>
      <c r="AM1081" t="s">
        <v>187</v>
      </c>
      <c r="AN1081" t="s">
        <v>521</v>
      </c>
      <c r="AO1081" t="s">
        <v>511</v>
      </c>
    </row>
    <row r="1082" spans="37:41" x14ac:dyDescent="0.25">
      <c r="AK1082" t="s">
        <v>50</v>
      </c>
      <c r="AL1082" s="54" t="s">
        <v>269</v>
      </c>
      <c r="AM1082" t="s">
        <v>199</v>
      </c>
      <c r="AN1082" t="s">
        <v>522</v>
      </c>
      <c r="AO1082" t="s">
        <v>512</v>
      </c>
    </row>
    <row r="1083" spans="37:41" x14ac:dyDescent="0.25">
      <c r="AK1083" t="s">
        <v>50</v>
      </c>
      <c r="AL1083" s="54" t="s">
        <v>269</v>
      </c>
      <c r="AM1083" t="s">
        <v>211</v>
      </c>
      <c r="AN1083" t="s">
        <v>523</v>
      </c>
      <c r="AO1083" t="s">
        <v>505</v>
      </c>
    </row>
    <row r="1084" spans="37:41" x14ac:dyDescent="0.25">
      <c r="AK1084" t="s">
        <v>50</v>
      </c>
      <c r="AL1084" s="54" t="s">
        <v>269</v>
      </c>
      <c r="AM1084" t="s">
        <v>223</v>
      </c>
      <c r="AN1084" t="s">
        <v>524</v>
      </c>
      <c r="AO1084" t="s">
        <v>506</v>
      </c>
    </row>
    <row r="1085" spans="37:41" x14ac:dyDescent="0.25">
      <c r="AK1085" t="s">
        <v>50</v>
      </c>
      <c r="AL1085" s="54" t="s">
        <v>269</v>
      </c>
      <c r="AM1085" t="s">
        <v>232</v>
      </c>
      <c r="AN1085" t="s">
        <v>525</v>
      </c>
      <c r="AO1085" t="s">
        <v>507</v>
      </c>
    </row>
    <row r="1086" spans="37:41" x14ac:dyDescent="0.25">
      <c r="AK1086" t="s">
        <v>50</v>
      </c>
      <c r="AL1086" s="54" t="s">
        <v>269</v>
      </c>
      <c r="AM1086" s="37" t="s">
        <v>362</v>
      </c>
      <c r="AN1086" t="s">
        <v>523</v>
      </c>
      <c r="AO1086" t="s">
        <v>504</v>
      </c>
    </row>
    <row r="1087" spans="37:41" x14ac:dyDescent="0.25">
      <c r="AK1087" t="s">
        <v>50</v>
      </c>
      <c r="AL1087" s="54" t="s">
        <v>269</v>
      </c>
      <c r="AM1087" t="s">
        <v>239</v>
      </c>
      <c r="AN1087" t="s">
        <v>526</v>
      </c>
      <c r="AO1087" t="s">
        <v>506</v>
      </c>
    </row>
    <row r="1088" spans="37:41" x14ac:dyDescent="0.25">
      <c r="AK1088" t="s">
        <v>50</v>
      </c>
      <c r="AL1088" s="54" t="s">
        <v>269</v>
      </c>
      <c r="AM1088" t="s">
        <v>246</v>
      </c>
      <c r="AN1088" t="s">
        <v>527</v>
      </c>
      <c r="AO1088" t="s">
        <v>507</v>
      </c>
    </row>
    <row r="1089" spans="37:41" x14ac:dyDescent="0.25">
      <c r="AK1089" t="s">
        <v>50</v>
      </c>
      <c r="AL1089" s="54" t="s">
        <v>269</v>
      </c>
      <c r="AM1089" t="s">
        <v>254</v>
      </c>
      <c r="AN1089" t="s">
        <v>528</v>
      </c>
      <c r="AO1089" t="s">
        <v>508</v>
      </c>
    </row>
    <row r="1090" spans="37:41" x14ac:dyDescent="0.25">
      <c r="AK1090" t="s">
        <v>50</v>
      </c>
      <c r="AL1090" s="54" t="s">
        <v>269</v>
      </c>
      <c r="AM1090" t="s">
        <v>365</v>
      </c>
      <c r="AN1090" t="s">
        <v>529</v>
      </c>
      <c r="AO1090" t="s">
        <v>509</v>
      </c>
    </row>
    <row r="1091" spans="37:41" x14ac:dyDescent="0.25">
      <c r="AK1091" t="s">
        <v>50</v>
      </c>
      <c r="AL1091" s="54" t="s">
        <v>269</v>
      </c>
      <c r="AM1091" s="37" t="s">
        <v>367</v>
      </c>
      <c r="AN1091" t="s">
        <v>524</v>
      </c>
      <c r="AO1091" t="s">
        <v>504</v>
      </c>
    </row>
    <row r="1092" spans="37:41" x14ac:dyDescent="0.25">
      <c r="AK1092" t="s">
        <v>50</v>
      </c>
      <c r="AL1092" s="54" t="s">
        <v>269</v>
      </c>
      <c r="AM1092" s="37" t="s">
        <v>369</v>
      </c>
      <c r="AN1092" t="s">
        <v>526</v>
      </c>
      <c r="AO1092" t="s">
        <v>505</v>
      </c>
    </row>
    <row r="1093" spans="37:41" x14ac:dyDescent="0.25">
      <c r="AK1093" t="s">
        <v>50</v>
      </c>
      <c r="AL1093" s="54" t="s">
        <v>269</v>
      </c>
      <c r="AM1093" t="s">
        <v>262</v>
      </c>
      <c r="AN1093" t="s">
        <v>530</v>
      </c>
      <c r="AO1093" t="s">
        <v>507</v>
      </c>
    </row>
    <row r="1094" spans="37:41" x14ac:dyDescent="0.25">
      <c r="AK1094" t="s">
        <v>50</v>
      </c>
      <c r="AL1094" s="54" t="s">
        <v>269</v>
      </c>
      <c r="AM1094" t="s">
        <v>270</v>
      </c>
      <c r="AN1094" t="s">
        <v>531</v>
      </c>
      <c r="AO1094" t="s">
        <v>508</v>
      </c>
    </row>
    <row r="1095" spans="37:41" x14ac:dyDescent="0.25">
      <c r="AK1095" t="s">
        <v>50</v>
      </c>
      <c r="AL1095" s="54" t="s">
        <v>269</v>
      </c>
      <c r="AM1095" t="s">
        <v>277</v>
      </c>
      <c r="AN1095" t="s">
        <v>532</v>
      </c>
      <c r="AO1095" t="s">
        <v>509</v>
      </c>
    </row>
    <row r="1096" spans="37:41" x14ac:dyDescent="0.25">
      <c r="AK1096" t="s">
        <v>50</v>
      </c>
      <c r="AL1096" s="54" t="s">
        <v>269</v>
      </c>
      <c r="AM1096" s="37" t="s">
        <v>371</v>
      </c>
      <c r="AN1096" s="39" t="s">
        <v>525</v>
      </c>
      <c r="AO1096" t="s">
        <v>504</v>
      </c>
    </row>
    <row r="1097" spans="37:41" x14ac:dyDescent="0.25">
      <c r="AK1097" t="s">
        <v>50</v>
      </c>
      <c r="AL1097" s="54" t="s">
        <v>269</v>
      </c>
      <c r="AM1097" s="37" t="s">
        <v>374</v>
      </c>
      <c r="AN1097" s="39" t="s">
        <v>527</v>
      </c>
      <c r="AO1097" t="s">
        <v>505</v>
      </c>
    </row>
    <row r="1098" spans="37:41" x14ac:dyDescent="0.25">
      <c r="AK1098" t="s">
        <v>50</v>
      </c>
      <c r="AL1098" s="54" t="s">
        <v>269</v>
      </c>
      <c r="AM1098" s="37" t="s">
        <v>376</v>
      </c>
      <c r="AN1098" s="39" t="s">
        <v>530</v>
      </c>
      <c r="AO1098" t="s">
        <v>506</v>
      </c>
    </row>
    <row r="1099" spans="37:41" x14ac:dyDescent="0.25">
      <c r="AK1099" t="s">
        <v>50</v>
      </c>
      <c r="AL1099" s="54" t="s">
        <v>269</v>
      </c>
      <c r="AM1099" s="37" t="s">
        <v>284</v>
      </c>
      <c r="AN1099" s="39" t="s">
        <v>533</v>
      </c>
      <c r="AO1099" t="s">
        <v>508</v>
      </c>
    </row>
    <row r="1100" spans="37:41" x14ac:dyDescent="0.25">
      <c r="AK1100" t="s">
        <v>50</v>
      </c>
      <c r="AL1100" s="54" t="s">
        <v>269</v>
      </c>
      <c r="AM1100" t="s">
        <v>291</v>
      </c>
      <c r="AN1100" t="s">
        <v>534</v>
      </c>
      <c r="AO1100" t="s">
        <v>509</v>
      </c>
    </row>
    <row r="1101" spans="37:41" x14ac:dyDescent="0.25">
      <c r="AK1101" t="s">
        <v>50</v>
      </c>
      <c r="AL1101" s="54" t="s">
        <v>269</v>
      </c>
      <c r="AM1101" s="37" t="s">
        <v>298</v>
      </c>
      <c r="AN1101" s="39" t="s">
        <v>535</v>
      </c>
      <c r="AO1101" t="s">
        <v>510</v>
      </c>
    </row>
    <row r="1102" spans="37:41" x14ac:dyDescent="0.25">
      <c r="AK1102" t="s">
        <v>50</v>
      </c>
      <c r="AL1102" s="54" t="s">
        <v>269</v>
      </c>
      <c r="AM1102" t="s">
        <v>379</v>
      </c>
      <c r="AN1102" t="s">
        <v>536</v>
      </c>
      <c r="AO1102" t="s">
        <v>511</v>
      </c>
    </row>
    <row r="1103" spans="37:41" x14ac:dyDescent="0.25">
      <c r="AK1103" t="s">
        <v>50</v>
      </c>
      <c r="AL1103" s="54" t="s">
        <v>269</v>
      </c>
      <c r="AM1103" s="37" t="s">
        <v>381</v>
      </c>
      <c r="AN1103" s="39" t="s">
        <v>528</v>
      </c>
      <c r="AO1103" t="s">
        <v>505</v>
      </c>
    </row>
    <row r="1104" spans="37:41" x14ac:dyDescent="0.25">
      <c r="AK1104" t="s">
        <v>50</v>
      </c>
      <c r="AL1104" s="54" t="s">
        <v>269</v>
      </c>
      <c r="AM1104" s="37" t="s">
        <v>383</v>
      </c>
      <c r="AN1104" s="59" t="s">
        <v>531</v>
      </c>
      <c r="AO1104" t="s">
        <v>506</v>
      </c>
    </row>
    <row r="1105" spans="37:41" x14ac:dyDescent="0.25">
      <c r="AK1105" t="s">
        <v>50</v>
      </c>
      <c r="AL1105" s="54" t="s">
        <v>269</v>
      </c>
      <c r="AM1105" s="37" t="s">
        <v>385</v>
      </c>
      <c r="AN1105" s="39" t="s">
        <v>537</v>
      </c>
      <c r="AO1105" t="s">
        <v>507</v>
      </c>
    </row>
    <row r="1106" spans="37:41" x14ac:dyDescent="0.25">
      <c r="AK1106" t="s">
        <v>50</v>
      </c>
      <c r="AL1106" s="54" t="s">
        <v>269</v>
      </c>
      <c r="AM1106" t="s">
        <v>305</v>
      </c>
      <c r="AN1106" t="s">
        <v>538</v>
      </c>
      <c r="AO1106" t="s">
        <v>509</v>
      </c>
    </row>
    <row r="1107" spans="37:41" x14ac:dyDescent="0.25">
      <c r="AK1107" t="s">
        <v>50</v>
      </c>
      <c r="AL1107" s="54" t="s">
        <v>269</v>
      </c>
      <c r="AM1107" s="37" t="s">
        <v>309</v>
      </c>
      <c r="AN1107" s="39" t="s">
        <v>539</v>
      </c>
      <c r="AO1107" t="s">
        <v>510</v>
      </c>
    </row>
    <row r="1108" spans="37:41" x14ac:dyDescent="0.25">
      <c r="AK1108" t="s">
        <v>50</v>
      </c>
      <c r="AL1108" s="54" t="s">
        <v>269</v>
      </c>
      <c r="AM1108" t="s">
        <v>312</v>
      </c>
      <c r="AN1108" t="s">
        <v>540</v>
      </c>
      <c r="AO1108" t="s">
        <v>511</v>
      </c>
    </row>
    <row r="1109" spans="37:41" x14ac:dyDescent="0.25">
      <c r="AK1109" t="s">
        <v>50</v>
      </c>
      <c r="AL1109" s="54" t="s">
        <v>269</v>
      </c>
      <c r="AM1109" t="s">
        <v>387</v>
      </c>
      <c r="AN1109" t="s">
        <v>541</v>
      </c>
      <c r="AO1109" t="s">
        <v>512</v>
      </c>
    </row>
    <row r="1110" spans="37:41" x14ac:dyDescent="0.25">
      <c r="AK1110" t="s">
        <v>50</v>
      </c>
      <c r="AL1110" s="54" t="s">
        <v>269</v>
      </c>
      <c r="AM1110" s="37" t="s">
        <v>389</v>
      </c>
      <c r="AN1110" s="39" t="s">
        <v>529</v>
      </c>
      <c r="AO1110" t="s">
        <v>505</v>
      </c>
    </row>
    <row r="1111" spans="37:41" x14ac:dyDescent="0.25">
      <c r="AK1111" t="s">
        <v>50</v>
      </c>
      <c r="AL1111" s="54" t="s">
        <v>269</v>
      </c>
      <c r="AM1111" s="37" t="s">
        <v>391</v>
      </c>
      <c r="AN1111" s="39" t="s">
        <v>532</v>
      </c>
      <c r="AO1111" t="s">
        <v>506</v>
      </c>
    </row>
    <row r="1112" spans="37:41" x14ac:dyDescent="0.25">
      <c r="AK1112" t="s">
        <v>50</v>
      </c>
      <c r="AL1112" s="54" t="s">
        <v>269</v>
      </c>
      <c r="AM1112" s="37" t="s">
        <v>393</v>
      </c>
      <c r="AN1112" s="39" t="s">
        <v>534</v>
      </c>
      <c r="AO1112" t="s">
        <v>507</v>
      </c>
    </row>
    <row r="1113" spans="37:41" x14ac:dyDescent="0.25">
      <c r="AK1113" t="s">
        <v>50</v>
      </c>
      <c r="AL1113" s="54" t="s">
        <v>269</v>
      </c>
      <c r="AM1113" s="37" t="s">
        <v>395</v>
      </c>
      <c r="AN1113" s="39" t="s">
        <v>538</v>
      </c>
      <c r="AO1113" t="s">
        <v>508</v>
      </c>
    </row>
    <row r="1114" spans="37:41" x14ac:dyDescent="0.25">
      <c r="AK1114" t="s">
        <v>50</v>
      </c>
      <c r="AL1114" s="54" t="s">
        <v>269</v>
      </c>
      <c r="AM1114" t="s">
        <v>315</v>
      </c>
      <c r="AN1114" t="s">
        <v>542</v>
      </c>
      <c r="AO1114" t="s">
        <v>510</v>
      </c>
    </row>
    <row r="1115" spans="37:41" x14ac:dyDescent="0.25">
      <c r="AK1115" t="s">
        <v>50</v>
      </c>
      <c r="AL1115" s="54" t="s">
        <v>269</v>
      </c>
      <c r="AM1115" t="s">
        <v>319</v>
      </c>
      <c r="AN1115" t="s">
        <v>543</v>
      </c>
      <c r="AO1115" t="s">
        <v>511</v>
      </c>
    </row>
    <row r="1116" spans="37:41" x14ac:dyDescent="0.25">
      <c r="AK1116" t="s">
        <v>50</v>
      </c>
      <c r="AL1116" s="54" t="s">
        <v>269</v>
      </c>
      <c r="AM1116" t="s">
        <v>323</v>
      </c>
      <c r="AN1116" t="s">
        <v>544</v>
      </c>
      <c r="AO1116" t="s">
        <v>512</v>
      </c>
    </row>
    <row r="1117" spans="37:41" x14ac:dyDescent="0.25">
      <c r="AK1117" t="s">
        <v>50</v>
      </c>
      <c r="AL1117" s="54" t="s">
        <v>269</v>
      </c>
      <c r="AM1117" s="37" t="s">
        <v>397</v>
      </c>
      <c r="AN1117" s="39" t="s">
        <v>545</v>
      </c>
      <c r="AO1117" t="s">
        <v>506</v>
      </c>
    </row>
    <row r="1118" spans="37:41" x14ac:dyDescent="0.25">
      <c r="AK1118" t="s">
        <v>50</v>
      </c>
      <c r="AL1118" s="54" t="s">
        <v>269</v>
      </c>
      <c r="AM1118" s="37" t="s">
        <v>399</v>
      </c>
      <c r="AN1118" s="39" t="s">
        <v>546</v>
      </c>
      <c r="AO1118" t="s">
        <v>507</v>
      </c>
    </row>
    <row r="1119" spans="37:41" x14ac:dyDescent="0.25">
      <c r="AK1119" t="s">
        <v>50</v>
      </c>
      <c r="AL1119" s="54" t="s">
        <v>269</v>
      </c>
      <c r="AM1119" s="37" t="s">
        <v>401</v>
      </c>
      <c r="AN1119" s="39" t="s">
        <v>547</v>
      </c>
      <c r="AO1119" t="s">
        <v>508</v>
      </c>
    </row>
    <row r="1120" spans="37:41" x14ac:dyDescent="0.25">
      <c r="AK1120" t="s">
        <v>50</v>
      </c>
      <c r="AL1120" s="54" t="s">
        <v>269</v>
      </c>
      <c r="AM1120" s="37" t="s">
        <v>335</v>
      </c>
      <c r="AN1120" s="39" t="s">
        <v>542</v>
      </c>
      <c r="AO1120" t="s">
        <v>509</v>
      </c>
    </row>
    <row r="1121" spans="37:41" x14ac:dyDescent="0.25">
      <c r="AK1121" t="s">
        <v>50</v>
      </c>
      <c r="AL1121" s="54" t="s">
        <v>269</v>
      </c>
      <c r="AM1121" s="37" t="s">
        <v>326</v>
      </c>
      <c r="AN1121" s="39" t="s">
        <v>548</v>
      </c>
      <c r="AO1121" t="s">
        <v>511</v>
      </c>
    </row>
    <row r="1122" spans="37:41" x14ac:dyDescent="0.25">
      <c r="AK1122" t="s">
        <v>50</v>
      </c>
      <c r="AL1122" s="54" t="s">
        <v>269</v>
      </c>
      <c r="AM1122" t="s">
        <v>330</v>
      </c>
      <c r="AN1122" t="s">
        <v>549</v>
      </c>
      <c r="AO1122" t="s">
        <v>512</v>
      </c>
    </row>
    <row r="1123" spans="37:41" x14ac:dyDescent="0.25">
      <c r="AK1123" t="s">
        <v>50</v>
      </c>
      <c r="AL1123" s="54" t="s">
        <v>269</v>
      </c>
      <c r="AM1123" s="37" t="s">
        <v>403</v>
      </c>
      <c r="AN1123" s="39" t="s">
        <v>536</v>
      </c>
      <c r="AO1123" t="s">
        <v>507</v>
      </c>
    </row>
    <row r="1124" spans="37:41" x14ac:dyDescent="0.25">
      <c r="AK1124" t="s">
        <v>50</v>
      </c>
      <c r="AL1124" s="54" t="s">
        <v>269</v>
      </c>
      <c r="AM1124" s="37" t="s">
        <v>405</v>
      </c>
      <c r="AN1124" s="39" t="s">
        <v>540</v>
      </c>
      <c r="AO1124" t="s">
        <v>508</v>
      </c>
    </row>
    <row r="1125" spans="37:41" x14ac:dyDescent="0.25">
      <c r="AK1125" t="s">
        <v>50</v>
      </c>
      <c r="AL1125" s="54" t="s">
        <v>269</v>
      </c>
      <c r="AM1125" s="37" t="s">
        <v>348</v>
      </c>
      <c r="AN1125" s="39" t="s">
        <v>543</v>
      </c>
      <c r="AO1125" t="s">
        <v>509</v>
      </c>
    </row>
    <row r="1126" spans="37:41" x14ac:dyDescent="0.25">
      <c r="AK1126" t="s">
        <v>50</v>
      </c>
      <c r="AL1126" s="54" t="s">
        <v>269</v>
      </c>
      <c r="AM1126" s="37" t="s">
        <v>344</v>
      </c>
      <c r="AN1126" s="39" t="s">
        <v>550</v>
      </c>
      <c r="AO1126" t="s">
        <v>510</v>
      </c>
    </row>
    <row r="1127" spans="37:41" x14ac:dyDescent="0.25">
      <c r="AK1127" t="s">
        <v>50</v>
      </c>
      <c r="AL1127" s="54" t="s">
        <v>269</v>
      </c>
      <c r="AM1127" t="s">
        <v>340</v>
      </c>
      <c r="AN1127" t="s">
        <v>551</v>
      </c>
      <c r="AO1127" t="s">
        <v>512</v>
      </c>
    </row>
    <row r="1128" spans="37:41" x14ac:dyDescent="0.25">
      <c r="AK1128" t="s">
        <v>50</v>
      </c>
      <c r="AL1128" s="54" t="s">
        <v>269</v>
      </c>
      <c r="AM1128" s="37" t="s">
        <v>407</v>
      </c>
      <c r="AN1128" s="39" t="s">
        <v>552</v>
      </c>
      <c r="AO1128" t="s">
        <v>507</v>
      </c>
    </row>
    <row r="1129" spans="37:41" x14ac:dyDescent="0.25">
      <c r="AK1129" t="s">
        <v>50</v>
      </c>
      <c r="AL1129" s="54" t="s">
        <v>269</v>
      </c>
      <c r="AM1129" s="37" t="s">
        <v>409</v>
      </c>
      <c r="AN1129" s="39" t="s">
        <v>541</v>
      </c>
      <c r="AO1129" t="s">
        <v>508</v>
      </c>
    </row>
    <row r="1130" spans="37:41" x14ac:dyDescent="0.25">
      <c r="AK1130" t="s">
        <v>50</v>
      </c>
      <c r="AL1130" s="54" t="s">
        <v>269</v>
      </c>
      <c r="AM1130" s="37" t="s">
        <v>359</v>
      </c>
      <c r="AN1130" s="39" t="s">
        <v>544</v>
      </c>
      <c r="AO1130" t="s">
        <v>509</v>
      </c>
    </row>
    <row r="1131" spans="37:41" x14ac:dyDescent="0.25">
      <c r="AK1131" t="s">
        <v>50</v>
      </c>
      <c r="AL1131" s="54" t="s">
        <v>269</v>
      </c>
      <c r="AM1131" s="37" t="s">
        <v>356</v>
      </c>
      <c r="AN1131" s="39" t="s">
        <v>549</v>
      </c>
      <c r="AO1131" t="s">
        <v>510</v>
      </c>
    </row>
    <row r="1132" spans="37:41" x14ac:dyDescent="0.25">
      <c r="AK1132" t="s">
        <v>50</v>
      </c>
      <c r="AL1132" s="54" t="s">
        <v>269</v>
      </c>
      <c r="AM1132" s="37" t="s">
        <v>352</v>
      </c>
      <c r="AN1132" s="39" t="s">
        <v>551</v>
      </c>
      <c r="AO1132" t="s">
        <v>511</v>
      </c>
    </row>
    <row r="1134" spans="37:41" x14ac:dyDescent="0.25">
      <c r="AK1134" t="s">
        <v>50</v>
      </c>
      <c r="AL1134" t="s">
        <v>276</v>
      </c>
      <c r="AM1134" t="s">
        <v>51</v>
      </c>
      <c r="AN1134" t="s">
        <v>513</v>
      </c>
      <c r="AO1134" t="s">
        <v>503</v>
      </c>
    </row>
    <row r="1135" spans="37:41" x14ac:dyDescent="0.25">
      <c r="AK1135" t="s">
        <v>50</v>
      </c>
      <c r="AL1135" t="s">
        <v>276</v>
      </c>
      <c r="AM1135" t="s">
        <v>80</v>
      </c>
      <c r="AN1135" t="s">
        <v>514</v>
      </c>
      <c r="AO1135" t="s">
        <v>504</v>
      </c>
    </row>
    <row r="1136" spans="37:41" x14ac:dyDescent="0.25">
      <c r="AK1136" t="s">
        <v>50</v>
      </c>
      <c r="AL1136" t="s">
        <v>276</v>
      </c>
      <c r="AM1136" t="s">
        <v>104</v>
      </c>
      <c r="AN1136" t="s">
        <v>515</v>
      </c>
      <c r="AO1136" t="s">
        <v>505</v>
      </c>
    </row>
    <row r="1137" spans="37:41" x14ac:dyDescent="0.25">
      <c r="AK1137" t="s">
        <v>50</v>
      </c>
      <c r="AL1137" t="s">
        <v>276</v>
      </c>
      <c r="AM1137" t="s">
        <v>119</v>
      </c>
      <c r="AN1137" t="s">
        <v>516</v>
      </c>
      <c r="AO1137" t="s">
        <v>506</v>
      </c>
    </row>
    <row r="1138" spans="37:41" x14ac:dyDescent="0.25">
      <c r="AK1138" t="s">
        <v>50</v>
      </c>
      <c r="AL1138" t="s">
        <v>276</v>
      </c>
      <c r="AM1138" t="s">
        <v>137</v>
      </c>
      <c r="AN1138" t="s">
        <v>517</v>
      </c>
      <c r="AO1138" t="s">
        <v>507</v>
      </c>
    </row>
    <row r="1139" spans="37:41" x14ac:dyDescent="0.25">
      <c r="AK1139" t="s">
        <v>50</v>
      </c>
      <c r="AL1139" t="s">
        <v>276</v>
      </c>
      <c r="AM1139" t="s">
        <v>149</v>
      </c>
      <c r="AN1139" t="s">
        <v>518</v>
      </c>
      <c r="AO1139" t="s">
        <v>508</v>
      </c>
    </row>
    <row r="1140" spans="37:41" x14ac:dyDescent="0.25">
      <c r="AK1140" t="s">
        <v>50</v>
      </c>
      <c r="AL1140" t="s">
        <v>276</v>
      </c>
      <c r="AM1140" t="s">
        <v>162</v>
      </c>
      <c r="AN1140" t="s">
        <v>519</v>
      </c>
      <c r="AO1140" t="s">
        <v>509</v>
      </c>
    </row>
    <row r="1141" spans="37:41" x14ac:dyDescent="0.25">
      <c r="AK1141" t="s">
        <v>50</v>
      </c>
      <c r="AL1141" t="s">
        <v>276</v>
      </c>
      <c r="AM1141" t="s">
        <v>174</v>
      </c>
      <c r="AN1141" t="s">
        <v>520</v>
      </c>
      <c r="AO1141" t="s">
        <v>510</v>
      </c>
    </row>
    <row r="1142" spans="37:41" x14ac:dyDescent="0.25">
      <c r="AK1142" t="s">
        <v>50</v>
      </c>
      <c r="AL1142" t="s">
        <v>276</v>
      </c>
      <c r="AM1142" t="s">
        <v>187</v>
      </c>
      <c r="AN1142" t="s">
        <v>521</v>
      </c>
      <c r="AO1142" t="s">
        <v>511</v>
      </c>
    </row>
    <row r="1143" spans="37:41" x14ac:dyDescent="0.25">
      <c r="AK1143" t="s">
        <v>50</v>
      </c>
      <c r="AL1143" t="s">
        <v>276</v>
      </c>
      <c r="AM1143" t="s">
        <v>199</v>
      </c>
      <c r="AN1143" t="s">
        <v>522</v>
      </c>
      <c r="AO1143" t="s">
        <v>512</v>
      </c>
    </row>
    <row r="1144" spans="37:41" x14ac:dyDescent="0.25">
      <c r="AK1144" t="s">
        <v>50</v>
      </c>
      <c r="AL1144" t="s">
        <v>276</v>
      </c>
      <c r="AM1144" t="s">
        <v>211</v>
      </c>
      <c r="AN1144" t="s">
        <v>523</v>
      </c>
      <c r="AO1144" t="s">
        <v>505</v>
      </c>
    </row>
    <row r="1145" spans="37:41" x14ac:dyDescent="0.25">
      <c r="AK1145" t="s">
        <v>50</v>
      </c>
      <c r="AL1145" t="s">
        <v>276</v>
      </c>
      <c r="AM1145" t="s">
        <v>223</v>
      </c>
      <c r="AN1145" t="s">
        <v>524</v>
      </c>
      <c r="AO1145" t="s">
        <v>506</v>
      </c>
    </row>
    <row r="1146" spans="37:41" x14ac:dyDescent="0.25">
      <c r="AK1146" t="s">
        <v>50</v>
      </c>
      <c r="AL1146" t="s">
        <v>276</v>
      </c>
      <c r="AM1146" t="s">
        <v>232</v>
      </c>
      <c r="AN1146" t="s">
        <v>525</v>
      </c>
      <c r="AO1146" t="s">
        <v>507</v>
      </c>
    </row>
    <row r="1147" spans="37:41" x14ac:dyDescent="0.25">
      <c r="AK1147" t="s">
        <v>50</v>
      </c>
      <c r="AL1147" t="s">
        <v>276</v>
      </c>
      <c r="AM1147" s="37" t="s">
        <v>362</v>
      </c>
      <c r="AN1147" t="s">
        <v>523</v>
      </c>
      <c r="AO1147" t="s">
        <v>504</v>
      </c>
    </row>
    <row r="1148" spans="37:41" x14ac:dyDescent="0.25">
      <c r="AK1148" t="s">
        <v>50</v>
      </c>
      <c r="AL1148" t="s">
        <v>276</v>
      </c>
      <c r="AM1148" t="s">
        <v>239</v>
      </c>
      <c r="AN1148" t="s">
        <v>526</v>
      </c>
      <c r="AO1148" t="s">
        <v>506</v>
      </c>
    </row>
    <row r="1149" spans="37:41" x14ac:dyDescent="0.25">
      <c r="AK1149" t="s">
        <v>50</v>
      </c>
      <c r="AL1149" t="s">
        <v>276</v>
      </c>
      <c r="AM1149" t="s">
        <v>246</v>
      </c>
      <c r="AN1149" t="s">
        <v>527</v>
      </c>
      <c r="AO1149" t="s">
        <v>507</v>
      </c>
    </row>
    <row r="1150" spans="37:41" x14ac:dyDescent="0.25">
      <c r="AK1150" t="s">
        <v>50</v>
      </c>
      <c r="AL1150" t="s">
        <v>276</v>
      </c>
      <c r="AM1150" t="s">
        <v>254</v>
      </c>
      <c r="AN1150" t="s">
        <v>528</v>
      </c>
      <c r="AO1150" t="s">
        <v>508</v>
      </c>
    </row>
    <row r="1151" spans="37:41" x14ac:dyDescent="0.25">
      <c r="AK1151" t="s">
        <v>50</v>
      </c>
      <c r="AL1151" t="s">
        <v>276</v>
      </c>
      <c r="AM1151" t="s">
        <v>365</v>
      </c>
      <c r="AN1151" t="s">
        <v>529</v>
      </c>
      <c r="AO1151" t="s">
        <v>509</v>
      </c>
    </row>
    <row r="1152" spans="37:41" x14ac:dyDescent="0.25">
      <c r="AK1152" t="s">
        <v>50</v>
      </c>
      <c r="AL1152" t="s">
        <v>276</v>
      </c>
      <c r="AM1152" s="37" t="s">
        <v>367</v>
      </c>
      <c r="AN1152" t="s">
        <v>524</v>
      </c>
      <c r="AO1152" t="s">
        <v>504</v>
      </c>
    </row>
    <row r="1153" spans="37:41" x14ac:dyDescent="0.25">
      <c r="AK1153" t="s">
        <v>50</v>
      </c>
      <c r="AL1153" t="s">
        <v>276</v>
      </c>
      <c r="AM1153" s="37" t="s">
        <v>369</v>
      </c>
      <c r="AN1153" t="s">
        <v>526</v>
      </c>
      <c r="AO1153" t="s">
        <v>505</v>
      </c>
    </row>
    <row r="1154" spans="37:41" x14ac:dyDescent="0.25">
      <c r="AK1154" t="s">
        <v>50</v>
      </c>
      <c r="AL1154" t="s">
        <v>276</v>
      </c>
      <c r="AM1154" t="s">
        <v>262</v>
      </c>
      <c r="AN1154" t="s">
        <v>530</v>
      </c>
      <c r="AO1154" t="s">
        <v>507</v>
      </c>
    </row>
    <row r="1155" spans="37:41" x14ac:dyDescent="0.25">
      <c r="AK1155" t="s">
        <v>50</v>
      </c>
      <c r="AL1155" t="s">
        <v>276</v>
      </c>
      <c r="AM1155" t="s">
        <v>270</v>
      </c>
      <c r="AN1155" t="s">
        <v>531</v>
      </c>
      <c r="AO1155" t="s">
        <v>508</v>
      </c>
    </row>
    <row r="1156" spans="37:41" x14ac:dyDescent="0.25">
      <c r="AK1156" t="s">
        <v>50</v>
      </c>
      <c r="AL1156" t="s">
        <v>276</v>
      </c>
      <c r="AM1156" t="s">
        <v>277</v>
      </c>
      <c r="AN1156" t="s">
        <v>532</v>
      </c>
      <c r="AO1156" t="s">
        <v>509</v>
      </c>
    </row>
    <row r="1157" spans="37:41" x14ac:dyDescent="0.25">
      <c r="AK1157" t="s">
        <v>50</v>
      </c>
      <c r="AL1157" t="s">
        <v>276</v>
      </c>
      <c r="AM1157" s="37" t="s">
        <v>371</v>
      </c>
      <c r="AN1157" s="39" t="s">
        <v>525</v>
      </c>
      <c r="AO1157" t="s">
        <v>504</v>
      </c>
    </row>
    <row r="1158" spans="37:41" x14ac:dyDescent="0.25">
      <c r="AK1158" t="s">
        <v>50</v>
      </c>
      <c r="AL1158" t="s">
        <v>276</v>
      </c>
      <c r="AM1158" s="37" t="s">
        <v>374</v>
      </c>
      <c r="AN1158" s="39" t="s">
        <v>527</v>
      </c>
      <c r="AO1158" t="s">
        <v>505</v>
      </c>
    </row>
    <row r="1159" spans="37:41" x14ac:dyDescent="0.25">
      <c r="AK1159" t="s">
        <v>50</v>
      </c>
      <c r="AL1159" t="s">
        <v>276</v>
      </c>
      <c r="AM1159" s="37" t="s">
        <v>376</v>
      </c>
      <c r="AN1159" s="39" t="s">
        <v>530</v>
      </c>
      <c r="AO1159" t="s">
        <v>506</v>
      </c>
    </row>
    <row r="1160" spans="37:41" x14ac:dyDescent="0.25">
      <c r="AK1160" t="s">
        <v>50</v>
      </c>
      <c r="AL1160" t="s">
        <v>276</v>
      </c>
      <c r="AM1160" s="37" t="s">
        <v>284</v>
      </c>
      <c r="AN1160" s="39" t="s">
        <v>533</v>
      </c>
      <c r="AO1160" t="s">
        <v>508</v>
      </c>
    </row>
    <row r="1161" spans="37:41" x14ac:dyDescent="0.25">
      <c r="AK1161" t="s">
        <v>50</v>
      </c>
      <c r="AL1161" t="s">
        <v>276</v>
      </c>
      <c r="AM1161" t="s">
        <v>291</v>
      </c>
      <c r="AN1161" t="s">
        <v>534</v>
      </c>
      <c r="AO1161" t="s">
        <v>509</v>
      </c>
    </row>
    <row r="1162" spans="37:41" x14ac:dyDescent="0.25">
      <c r="AK1162" t="s">
        <v>50</v>
      </c>
      <c r="AL1162" t="s">
        <v>276</v>
      </c>
      <c r="AM1162" s="37" t="s">
        <v>298</v>
      </c>
      <c r="AN1162" s="39" t="s">
        <v>535</v>
      </c>
      <c r="AO1162" t="s">
        <v>510</v>
      </c>
    </row>
    <row r="1163" spans="37:41" x14ac:dyDescent="0.25">
      <c r="AK1163" t="s">
        <v>50</v>
      </c>
      <c r="AL1163" t="s">
        <v>276</v>
      </c>
      <c r="AM1163" t="s">
        <v>379</v>
      </c>
      <c r="AN1163" t="s">
        <v>536</v>
      </c>
      <c r="AO1163" t="s">
        <v>511</v>
      </c>
    </row>
    <row r="1164" spans="37:41" x14ac:dyDescent="0.25">
      <c r="AK1164" t="s">
        <v>50</v>
      </c>
      <c r="AL1164" t="s">
        <v>276</v>
      </c>
      <c r="AM1164" s="37" t="s">
        <v>381</v>
      </c>
      <c r="AN1164" s="39" t="s">
        <v>528</v>
      </c>
      <c r="AO1164" t="s">
        <v>505</v>
      </c>
    </row>
    <row r="1165" spans="37:41" x14ac:dyDescent="0.25">
      <c r="AK1165" t="s">
        <v>50</v>
      </c>
      <c r="AL1165" t="s">
        <v>276</v>
      </c>
      <c r="AM1165" s="37" t="s">
        <v>383</v>
      </c>
      <c r="AN1165" s="59" t="s">
        <v>531</v>
      </c>
      <c r="AO1165" t="s">
        <v>506</v>
      </c>
    </row>
    <row r="1166" spans="37:41" x14ac:dyDescent="0.25">
      <c r="AK1166" t="s">
        <v>50</v>
      </c>
      <c r="AL1166" t="s">
        <v>276</v>
      </c>
      <c r="AM1166" s="37" t="s">
        <v>385</v>
      </c>
      <c r="AN1166" s="39" t="s">
        <v>537</v>
      </c>
      <c r="AO1166" t="s">
        <v>507</v>
      </c>
    </row>
    <row r="1167" spans="37:41" x14ac:dyDescent="0.25">
      <c r="AK1167" t="s">
        <v>50</v>
      </c>
      <c r="AL1167" t="s">
        <v>276</v>
      </c>
      <c r="AM1167" t="s">
        <v>305</v>
      </c>
      <c r="AN1167" t="s">
        <v>538</v>
      </c>
      <c r="AO1167" t="s">
        <v>509</v>
      </c>
    </row>
    <row r="1168" spans="37:41" x14ac:dyDescent="0.25">
      <c r="AK1168" t="s">
        <v>50</v>
      </c>
      <c r="AL1168" t="s">
        <v>276</v>
      </c>
      <c r="AM1168" s="37" t="s">
        <v>309</v>
      </c>
      <c r="AN1168" s="39" t="s">
        <v>539</v>
      </c>
      <c r="AO1168" t="s">
        <v>510</v>
      </c>
    </row>
    <row r="1169" spans="37:41" x14ac:dyDescent="0.25">
      <c r="AK1169" t="s">
        <v>50</v>
      </c>
      <c r="AL1169" t="s">
        <v>276</v>
      </c>
      <c r="AM1169" t="s">
        <v>312</v>
      </c>
      <c r="AN1169" t="s">
        <v>540</v>
      </c>
      <c r="AO1169" t="s">
        <v>511</v>
      </c>
    </row>
    <row r="1170" spans="37:41" x14ac:dyDescent="0.25">
      <c r="AK1170" t="s">
        <v>50</v>
      </c>
      <c r="AL1170" t="s">
        <v>276</v>
      </c>
      <c r="AM1170" t="s">
        <v>387</v>
      </c>
      <c r="AN1170" t="s">
        <v>541</v>
      </c>
      <c r="AO1170" t="s">
        <v>512</v>
      </c>
    </row>
    <row r="1171" spans="37:41" x14ac:dyDescent="0.25">
      <c r="AK1171" t="s">
        <v>50</v>
      </c>
      <c r="AL1171" t="s">
        <v>276</v>
      </c>
      <c r="AM1171" s="37" t="s">
        <v>389</v>
      </c>
      <c r="AN1171" s="39" t="s">
        <v>529</v>
      </c>
      <c r="AO1171" t="s">
        <v>505</v>
      </c>
    </row>
    <row r="1172" spans="37:41" x14ac:dyDescent="0.25">
      <c r="AK1172" t="s">
        <v>50</v>
      </c>
      <c r="AL1172" t="s">
        <v>276</v>
      </c>
      <c r="AM1172" s="37" t="s">
        <v>391</v>
      </c>
      <c r="AN1172" s="39" t="s">
        <v>532</v>
      </c>
      <c r="AO1172" t="s">
        <v>506</v>
      </c>
    </row>
    <row r="1173" spans="37:41" x14ac:dyDescent="0.25">
      <c r="AK1173" t="s">
        <v>50</v>
      </c>
      <c r="AL1173" t="s">
        <v>276</v>
      </c>
      <c r="AM1173" s="37" t="s">
        <v>393</v>
      </c>
      <c r="AN1173" s="39" t="s">
        <v>534</v>
      </c>
      <c r="AO1173" t="s">
        <v>507</v>
      </c>
    </row>
    <row r="1174" spans="37:41" x14ac:dyDescent="0.25">
      <c r="AK1174" t="s">
        <v>50</v>
      </c>
      <c r="AL1174" t="s">
        <v>276</v>
      </c>
      <c r="AM1174" s="37" t="s">
        <v>395</v>
      </c>
      <c r="AN1174" s="39" t="s">
        <v>538</v>
      </c>
      <c r="AO1174" t="s">
        <v>508</v>
      </c>
    </row>
    <row r="1175" spans="37:41" x14ac:dyDescent="0.25">
      <c r="AK1175" t="s">
        <v>50</v>
      </c>
      <c r="AL1175" t="s">
        <v>276</v>
      </c>
      <c r="AM1175" t="s">
        <v>315</v>
      </c>
      <c r="AN1175" t="s">
        <v>542</v>
      </c>
      <c r="AO1175" t="s">
        <v>510</v>
      </c>
    </row>
    <row r="1176" spans="37:41" x14ac:dyDescent="0.25">
      <c r="AK1176" t="s">
        <v>50</v>
      </c>
      <c r="AL1176" t="s">
        <v>276</v>
      </c>
      <c r="AM1176" t="s">
        <v>319</v>
      </c>
      <c r="AN1176" t="s">
        <v>543</v>
      </c>
      <c r="AO1176" t="s">
        <v>511</v>
      </c>
    </row>
    <row r="1177" spans="37:41" x14ac:dyDescent="0.25">
      <c r="AK1177" t="s">
        <v>50</v>
      </c>
      <c r="AL1177" t="s">
        <v>276</v>
      </c>
      <c r="AM1177" t="s">
        <v>323</v>
      </c>
      <c r="AN1177" t="s">
        <v>544</v>
      </c>
      <c r="AO1177" t="s">
        <v>512</v>
      </c>
    </row>
    <row r="1178" spans="37:41" x14ac:dyDescent="0.25">
      <c r="AK1178" t="s">
        <v>50</v>
      </c>
      <c r="AL1178" t="s">
        <v>276</v>
      </c>
      <c r="AM1178" s="37" t="s">
        <v>397</v>
      </c>
      <c r="AN1178" s="39" t="s">
        <v>545</v>
      </c>
      <c r="AO1178" t="s">
        <v>506</v>
      </c>
    </row>
    <row r="1179" spans="37:41" x14ac:dyDescent="0.25">
      <c r="AK1179" t="s">
        <v>50</v>
      </c>
      <c r="AL1179" t="s">
        <v>276</v>
      </c>
      <c r="AM1179" s="37" t="s">
        <v>399</v>
      </c>
      <c r="AN1179" s="39" t="s">
        <v>546</v>
      </c>
      <c r="AO1179" t="s">
        <v>507</v>
      </c>
    </row>
    <row r="1180" spans="37:41" x14ac:dyDescent="0.25">
      <c r="AK1180" t="s">
        <v>50</v>
      </c>
      <c r="AL1180" t="s">
        <v>276</v>
      </c>
      <c r="AM1180" s="37" t="s">
        <v>401</v>
      </c>
      <c r="AN1180" s="39" t="s">
        <v>547</v>
      </c>
      <c r="AO1180" t="s">
        <v>508</v>
      </c>
    </row>
    <row r="1181" spans="37:41" x14ac:dyDescent="0.25">
      <c r="AK1181" t="s">
        <v>50</v>
      </c>
      <c r="AL1181" t="s">
        <v>276</v>
      </c>
      <c r="AM1181" s="37" t="s">
        <v>335</v>
      </c>
      <c r="AN1181" s="39" t="s">
        <v>542</v>
      </c>
      <c r="AO1181" t="s">
        <v>509</v>
      </c>
    </row>
    <row r="1182" spans="37:41" x14ac:dyDescent="0.25">
      <c r="AK1182" t="s">
        <v>50</v>
      </c>
      <c r="AL1182" t="s">
        <v>276</v>
      </c>
      <c r="AM1182" s="37" t="s">
        <v>326</v>
      </c>
      <c r="AN1182" s="39" t="s">
        <v>548</v>
      </c>
      <c r="AO1182" t="s">
        <v>511</v>
      </c>
    </row>
    <row r="1183" spans="37:41" x14ac:dyDescent="0.25">
      <c r="AK1183" t="s">
        <v>50</v>
      </c>
      <c r="AL1183" t="s">
        <v>276</v>
      </c>
      <c r="AM1183" t="s">
        <v>330</v>
      </c>
      <c r="AN1183" t="s">
        <v>549</v>
      </c>
      <c r="AO1183" t="s">
        <v>512</v>
      </c>
    </row>
    <row r="1184" spans="37:41" x14ac:dyDescent="0.25">
      <c r="AK1184" t="s">
        <v>50</v>
      </c>
      <c r="AL1184" t="s">
        <v>276</v>
      </c>
      <c r="AM1184" s="37" t="s">
        <v>403</v>
      </c>
      <c r="AN1184" s="39" t="s">
        <v>536</v>
      </c>
      <c r="AO1184" t="s">
        <v>507</v>
      </c>
    </row>
    <row r="1185" spans="37:41" x14ac:dyDescent="0.25">
      <c r="AK1185" t="s">
        <v>50</v>
      </c>
      <c r="AL1185" t="s">
        <v>276</v>
      </c>
      <c r="AM1185" s="37" t="s">
        <v>405</v>
      </c>
      <c r="AN1185" s="39" t="s">
        <v>540</v>
      </c>
      <c r="AO1185" t="s">
        <v>508</v>
      </c>
    </row>
    <row r="1186" spans="37:41" x14ac:dyDescent="0.25">
      <c r="AK1186" t="s">
        <v>50</v>
      </c>
      <c r="AL1186" t="s">
        <v>276</v>
      </c>
      <c r="AM1186" s="37" t="s">
        <v>348</v>
      </c>
      <c r="AN1186" s="39" t="s">
        <v>543</v>
      </c>
      <c r="AO1186" t="s">
        <v>509</v>
      </c>
    </row>
    <row r="1187" spans="37:41" x14ac:dyDescent="0.25">
      <c r="AK1187" t="s">
        <v>50</v>
      </c>
      <c r="AL1187" t="s">
        <v>276</v>
      </c>
      <c r="AM1187" s="37" t="s">
        <v>344</v>
      </c>
      <c r="AN1187" s="39" t="s">
        <v>550</v>
      </c>
      <c r="AO1187" t="s">
        <v>510</v>
      </c>
    </row>
    <row r="1188" spans="37:41" x14ac:dyDescent="0.25">
      <c r="AK1188" t="s">
        <v>50</v>
      </c>
      <c r="AL1188" t="s">
        <v>276</v>
      </c>
      <c r="AM1188" t="s">
        <v>340</v>
      </c>
      <c r="AN1188" t="s">
        <v>551</v>
      </c>
      <c r="AO1188" t="s">
        <v>512</v>
      </c>
    </row>
    <row r="1189" spans="37:41" x14ac:dyDescent="0.25">
      <c r="AK1189" t="s">
        <v>50</v>
      </c>
      <c r="AL1189" t="s">
        <v>276</v>
      </c>
      <c r="AM1189" s="37" t="s">
        <v>407</v>
      </c>
      <c r="AN1189" s="39" t="s">
        <v>552</v>
      </c>
      <c r="AO1189" t="s">
        <v>507</v>
      </c>
    </row>
    <row r="1190" spans="37:41" x14ac:dyDescent="0.25">
      <c r="AK1190" t="s">
        <v>50</v>
      </c>
      <c r="AL1190" t="s">
        <v>276</v>
      </c>
      <c r="AM1190" s="37" t="s">
        <v>409</v>
      </c>
      <c r="AN1190" s="39" t="s">
        <v>541</v>
      </c>
      <c r="AO1190" t="s">
        <v>508</v>
      </c>
    </row>
    <row r="1191" spans="37:41" x14ac:dyDescent="0.25">
      <c r="AK1191" t="s">
        <v>50</v>
      </c>
      <c r="AL1191" t="s">
        <v>276</v>
      </c>
      <c r="AM1191" s="37" t="s">
        <v>359</v>
      </c>
      <c r="AN1191" s="39" t="s">
        <v>544</v>
      </c>
      <c r="AO1191" t="s">
        <v>509</v>
      </c>
    </row>
    <row r="1192" spans="37:41" x14ac:dyDescent="0.25">
      <c r="AK1192" t="s">
        <v>50</v>
      </c>
      <c r="AL1192" t="s">
        <v>276</v>
      </c>
      <c r="AM1192" s="37" t="s">
        <v>356</v>
      </c>
      <c r="AN1192" s="39" t="s">
        <v>549</v>
      </c>
      <c r="AO1192" t="s">
        <v>510</v>
      </c>
    </row>
    <row r="1193" spans="37:41" x14ac:dyDescent="0.25">
      <c r="AK1193" t="s">
        <v>50</v>
      </c>
      <c r="AL1193" t="s">
        <v>276</v>
      </c>
      <c r="AM1193" s="37" t="s">
        <v>352</v>
      </c>
      <c r="AN1193" s="39" t="s">
        <v>551</v>
      </c>
      <c r="AO1193" t="s">
        <v>511</v>
      </c>
    </row>
    <row r="1195" spans="37:41" x14ac:dyDescent="0.25">
      <c r="AK1195" t="s">
        <v>50</v>
      </c>
      <c r="AL1195" t="s">
        <v>283</v>
      </c>
      <c r="AM1195" t="s">
        <v>51</v>
      </c>
      <c r="AN1195" t="s">
        <v>513</v>
      </c>
      <c r="AO1195" t="s">
        <v>503</v>
      </c>
    </row>
    <row r="1196" spans="37:41" x14ac:dyDescent="0.25">
      <c r="AK1196" t="s">
        <v>50</v>
      </c>
      <c r="AL1196" t="s">
        <v>283</v>
      </c>
      <c r="AM1196" t="s">
        <v>80</v>
      </c>
      <c r="AN1196" t="s">
        <v>514</v>
      </c>
      <c r="AO1196" t="s">
        <v>504</v>
      </c>
    </row>
    <row r="1197" spans="37:41" x14ac:dyDescent="0.25">
      <c r="AK1197" t="s">
        <v>50</v>
      </c>
      <c r="AL1197" t="s">
        <v>283</v>
      </c>
      <c r="AM1197" t="s">
        <v>104</v>
      </c>
      <c r="AN1197" t="s">
        <v>515</v>
      </c>
      <c r="AO1197" t="s">
        <v>505</v>
      </c>
    </row>
    <row r="1198" spans="37:41" x14ac:dyDescent="0.25">
      <c r="AK1198" t="s">
        <v>50</v>
      </c>
      <c r="AL1198" t="s">
        <v>283</v>
      </c>
      <c r="AM1198" t="s">
        <v>119</v>
      </c>
      <c r="AN1198" t="s">
        <v>516</v>
      </c>
      <c r="AO1198" t="s">
        <v>506</v>
      </c>
    </row>
    <row r="1199" spans="37:41" x14ac:dyDescent="0.25">
      <c r="AK1199" t="s">
        <v>50</v>
      </c>
      <c r="AL1199" t="s">
        <v>283</v>
      </c>
      <c r="AM1199" t="s">
        <v>137</v>
      </c>
      <c r="AN1199" t="s">
        <v>517</v>
      </c>
      <c r="AO1199" t="s">
        <v>507</v>
      </c>
    </row>
    <row r="1200" spans="37:41" x14ac:dyDescent="0.25">
      <c r="AK1200" t="s">
        <v>50</v>
      </c>
      <c r="AL1200" t="s">
        <v>283</v>
      </c>
      <c r="AM1200" t="s">
        <v>149</v>
      </c>
      <c r="AN1200" t="s">
        <v>518</v>
      </c>
      <c r="AO1200" t="s">
        <v>508</v>
      </c>
    </row>
    <row r="1201" spans="37:41" x14ac:dyDescent="0.25">
      <c r="AK1201" t="s">
        <v>50</v>
      </c>
      <c r="AL1201" t="s">
        <v>283</v>
      </c>
      <c r="AM1201" t="s">
        <v>162</v>
      </c>
      <c r="AN1201" t="s">
        <v>519</v>
      </c>
      <c r="AO1201" t="s">
        <v>509</v>
      </c>
    </row>
    <row r="1202" spans="37:41" x14ac:dyDescent="0.25">
      <c r="AK1202" t="s">
        <v>50</v>
      </c>
      <c r="AL1202" t="s">
        <v>283</v>
      </c>
      <c r="AM1202" t="s">
        <v>174</v>
      </c>
      <c r="AN1202" t="s">
        <v>520</v>
      </c>
      <c r="AO1202" t="s">
        <v>510</v>
      </c>
    </row>
    <row r="1203" spans="37:41" x14ac:dyDescent="0.25">
      <c r="AK1203" t="s">
        <v>50</v>
      </c>
      <c r="AL1203" t="s">
        <v>283</v>
      </c>
      <c r="AM1203" t="s">
        <v>187</v>
      </c>
      <c r="AN1203" t="s">
        <v>521</v>
      </c>
      <c r="AO1203" t="s">
        <v>511</v>
      </c>
    </row>
    <row r="1204" spans="37:41" x14ac:dyDescent="0.25">
      <c r="AK1204" t="s">
        <v>50</v>
      </c>
      <c r="AL1204" t="s">
        <v>283</v>
      </c>
      <c r="AM1204" t="s">
        <v>199</v>
      </c>
      <c r="AN1204" t="s">
        <v>522</v>
      </c>
      <c r="AO1204" t="s">
        <v>512</v>
      </c>
    </row>
    <row r="1205" spans="37:41" x14ac:dyDescent="0.25">
      <c r="AK1205" t="s">
        <v>50</v>
      </c>
      <c r="AL1205" t="s">
        <v>283</v>
      </c>
      <c r="AM1205" t="s">
        <v>211</v>
      </c>
      <c r="AN1205" t="s">
        <v>523</v>
      </c>
      <c r="AO1205" t="s">
        <v>505</v>
      </c>
    </row>
    <row r="1206" spans="37:41" x14ac:dyDescent="0.25">
      <c r="AK1206" t="s">
        <v>50</v>
      </c>
      <c r="AL1206" t="s">
        <v>283</v>
      </c>
      <c r="AM1206" t="s">
        <v>223</v>
      </c>
      <c r="AN1206" t="s">
        <v>524</v>
      </c>
      <c r="AO1206" t="s">
        <v>506</v>
      </c>
    </row>
    <row r="1207" spans="37:41" x14ac:dyDescent="0.25">
      <c r="AK1207" t="s">
        <v>50</v>
      </c>
      <c r="AL1207" t="s">
        <v>283</v>
      </c>
      <c r="AM1207" t="s">
        <v>232</v>
      </c>
      <c r="AN1207" t="s">
        <v>525</v>
      </c>
      <c r="AO1207" t="s">
        <v>507</v>
      </c>
    </row>
    <row r="1208" spans="37:41" x14ac:dyDescent="0.25">
      <c r="AK1208" t="s">
        <v>50</v>
      </c>
      <c r="AL1208" t="s">
        <v>283</v>
      </c>
      <c r="AM1208" s="37" t="s">
        <v>362</v>
      </c>
      <c r="AN1208" t="s">
        <v>523</v>
      </c>
      <c r="AO1208" t="s">
        <v>504</v>
      </c>
    </row>
    <row r="1209" spans="37:41" x14ac:dyDescent="0.25">
      <c r="AK1209" t="s">
        <v>50</v>
      </c>
      <c r="AL1209" t="s">
        <v>283</v>
      </c>
      <c r="AM1209" t="s">
        <v>239</v>
      </c>
      <c r="AN1209" t="s">
        <v>526</v>
      </c>
      <c r="AO1209" t="s">
        <v>506</v>
      </c>
    </row>
    <row r="1210" spans="37:41" x14ac:dyDescent="0.25">
      <c r="AK1210" t="s">
        <v>50</v>
      </c>
      <c r="AL1210" t="s">
        <v>283</v>
      </c>
      <c r="AM1210" t="s">
        <v>246</v>
      </c>
      <c r="AN1210" t="s">
        <v>527</v>
      </c>
      <c r="AO1210" t="s">
        <v>507</v>
      </c>
    </row>
    <row r="1211" spans="37:41" x14ac:dyDescent="0.25">
      <c r="AK1211" t="s">
        <v>50</v>
      </c>
      <c r="AL1211" t="s">
        <v>283</v>
      </c>
      <c r="AM1211" t="s">
        <v>254</v>
      </c>
      <c r="AN1211" t="s">
        <v>528</v>
      </c>
      <c r="AO1211" t="s">
        <v>508</v>
      </c>
    </row>
    <row r="1212" spans="37:41" x14ac:dyDescent="0.25">
      <c r="AK1212" t="s">
        <v>50</v>
      </c>
      <c r="AL1212" t="s">
        <v>283</v>
      </c>
      <c r="AM1212" t="s">
        <v>365</v>
      </c>
      <c r="AN1212" t="s">
        <v>529</v>
      </c>
      <c r="AO1212" t="s">
        <v>509</v>
      </c>
    </row>
    <row r="1213" spans="37:41" x14ac:dyDescent="0.25">
      <c r="AK1213" t="s">
        <v>50</v>
      </c>
      <c r="AL1213" t="s">
        <v>283</v>
      </c>
      <c r="AM1213" s="37" t="s">
        <v>367</v>
      </c>
      <c r="AN1213" t="s">
        <v>524</v>
      </c>
      <c r="AO1213" t="s">
        <v>504</v>
      </c>
    </row>
    <row r="1214" spans="37:41" x14ac:dyDescent="0.25">
      <c r="AK1214" t="s">
        <v>50</v>
      </c>
      <c r="AL1214" t="s">
        <v>283</v>
      </c>
      <c r="AM1214" s="37" t="s">
        <v>369</v>
      </c>
      <c r="AN1214" t="s">
        <v>526</v>
      </c>
      <c r="AO1214" t="s">
        <v>505</v>
      </c>
    </row>
    <row r="1215" spans="37:41" x14ac:dyDescent="0.25">
      <c r="AK1215" t="s">
        <v>50</v>
      </c>
      <c r="AL1215" t="s">
        <v>283</v>
      </c>
      <c r="AM1215" t="s">
        <v>262</v>
      </c>
      <c r="AN1215" t="s">
        <v>530</v>
      </c>
      <c r="AO1215" t="s">
        <v>507</v>
      </c>
    </row>
    <row r="1216" spans="37:41" x14ac:dyDescent="0.25">
      <c r="AK1216" t="s">
        <v>50</v>
      </c>
      <c r="AL1216" t="s">
        <v>283</v>
      </c>
      <c r="AM1216" t="s">
        <v>270</v>
      </c>
      <c r="AN1216" t="s">
        <v>531</v>
      </c>
      <c r="AO1216" t="s">
        <v>508</v>
      </c>
    </row>
    <row r="1217" spans="37:41" x14ac:dyDescent="0.25">
      <c r="AK1217" t="s">
        <v>50</v>
      </c>
      <c r="AL1217" t="s">
        <v>283</v>
      </c>
      <c r="AM1217" t="s">
        <v>277</v>
      </c>
      <c r="AN1217" t="s">
        <v>532</v>
      </c>
      <c r="AO1217" t="s">
        <v>509</v>
      </c>
    </row>
    <row r="1218" spans="37:41" x14ac:dyDescent="0.25">
      <c r="AK1218" t="s">
        <v>50</v>
      </c>
      <c r="AL1218" t="s">
        <v>283</v>
      </c>
      <c r="AM1218" s="37" t="s">
        <v>371</v>
      </c>
      <c r="AN1218" s="39" t="s">
        <v>525</v>
      </c>
      <c r="AO1218" t="s">
        <v>504</v>
      </c>
    </row>
    <row r="1219" spans="37:41" x14ac:dyDescent="0.25">
      <c r="AK1219" t="s">
        <v>50</v>
      </c>
      <c r="AL1219" t="s">
        <v>283</v>
      </c>
      <c r="AM1219" s="37" t="s">
        <v>374</v>
      </c>
      <c r="AN1219" s="39" t="s">
        <v>527</v>
      </c>
      <c r="AO1219" t="s">
        <v>505</v>
      </c>
    </row>
    <row r="1220" spans="37:41" x14ac:dyDescent="0.25">
      <c r="AK1220" t="s">
        <v>50</v>
      </c>
      <c r="AL1220" t="s">
        <v>283</v>
      </c>
      <c r="AM1220" s="37" t="s">
        <v>376</v>
      </c>
      <c r="AN1220" s="39" t="s">
        <v>530</v>
      </c>
      <c r="AO1220" t="s">
        <v>506</v>
      </c>
    </row>
    <row r="1221" spans="37:41" x14ac:dyDescent="0.25">
      <c r="AK1221" t="s">
        <v>50</v>
      </c>
      <c r="AL1221" t="s">
        <v>283</v>
      </c>
      <c r="AM1221" s="37" t="s">
        <v>284</v>
      </c>
      <c r="AN1221" s="39" t="s">
        <v>533</v>
      </c>
      <c r="AO1221" t="s">
        <v>508</v>
      </c>
    </row>
    <row r="1222" spans="37:41" x14ac:dyDescent="0.25">
      <c r="AK1222" t="s">
        <v>50</v>
      </c>
      <c r="AL1222" t="s">
        <v>283</v>
      </c>
      <c r="AM1222" t="s">
        <v>291</v>
      </c>
      <c r="AN1222" t="s">
        <v>534</v>
      </c>
      <c r="AO1222" t="s">
        <v>509</v>
      </c>
    </row>
    <row r="1223" spans="37:41" x14ac:dyDescent="0.25">
      <c r="AK1223" t="s">
        <v>50</v>
      </c>
      <c r="AL1223" t="s">
        <v>283</v>
      </c>
      <c r="AM1223" s="37" t="s">
        <v>298</v>
      </c>
      <c r="AN1223" s="39" t="s">
        <v>535</v>
      </c>
      <c r="AO1223" t="s">
        <v>510</v>
      </c>
    </row>
    <row r="1224" spans="37:41" x14ac:dyDescent="0.25">
      <c r="AK1224" t="s">
        <v>50</v>
      </c>
      <c r="AL1224" t="s">
        <v>283</v>
      </c>
      <c r="AM1224" t="s">
        <v>379</v>
      </c>
      <c r="AN1224" t="s">
        <v>536</v>
      </c>
      <c r="AO1224" t="s">
        <v>511</v>
      </c>
    </row>
    <row r="1225" spans="37:41" x14ac:dyDescent="0.25">
      <c r="AK1225" t="s">
        <v>50</v>
      </c>
      <c r="AL1225" t="s">
        <v>283</v>
      </c>
      <c r="AM1225" s="37" t="s">
        <v>381</v>
      </c>
      <c r="AN1225" s="39" t="s">
        <v>528</v>
      </c>
      <c r="AO1225" t="s">
        <v>505</v>
      </c>
    </row>
    <row r="1226" spans="37:41" x14ac:dyDescent="0.25">
      <c r="AK1226" t="s">
        <v>50</v>
      </c>
      <c r="AL1226" t="s">
        <v>283</v>
      </c>
      <c r="AM1226" s="37" t="s">
        <v>383</v>
      </c>
      <c r="AN1226" s="59" t="s">
        <v>531</v>
      </c>
      <c r="AO1226" t="s">
        <v>506</v>
      </c>
    </row>
    <row r="1227" spans="37:41" x14ac:dyDescent="0.25">
      <c r="AK1227" t="s">
        <v>50</v>
      </c>
      <c r="AL1227" t="s">
        <v>283</v>
      </c>
      <c r="AM1227" s="37" t="s">
        <v>385</v>
      </c>
      <c r="AN1227" s="39" t="s">
        <v>537</v>
      </c>
      <c r="AO1227" t="s">
        <v>507</v>
      </c>
    </row>
    <row r="1228" spans="37:41" x14ac:dyDescent="0.25">
      <c r="AK1228" t="s">
        <v>50</v>
      </c>
      <c r="AL1228" t="s">
        <v>283</v>
      </c>
      <c r="AM1228" t="s">
        <v>305</v>
      </c>
      <c r="AN1228" t="s">
        <v>538</v>
      </c>
      <c r="AO1228" t="s">
        <v>509</v>
      </c>
    </row>
    <row r="1229" spans="37:41" x14ac:dyDescent="0.25">
      <c r="AK1229" t="s">
        <v>50</v>
      </c>
      <c r="AL1229" t="s">
        <v>283</v>
      </c>
      <c r="AM1229" s="37" t="s">
        <v>309</v>
      </c>
      <c r="AN1229" s="39" t="s">
        <v>539</v>
      </c>
      <c r="AO1229" t="s">
        <v>510</v>
      </c>
    </row>
    <row r="1230" spans="37:41" x14ac:dyDescent="0.25">
      <c r="AK1230" t="s">
        <v>50</v>
      </c>
      <c r="AL1230" t="s">
        <v>283</v>
      </c>
      <c r="AM1230" t="s">
        <v>312</v>
      </c>
      <c r="AN1230" t="s">
        <v>540</v>
      </c>
      <c r="AO1230" t="s">
        <v>511</v>
      </c>
    </row>
    <row r="1231" spans="37:41" x14ac:dyDescent="0.25">
      <c r="AK1231" t="s">
        <v>50</v>
      </c>
      <c r="AL1231" t="s">
        <v>283</v>
      </c>
      <c r="AM1231" t="s">
        <v>387</v>
      </c>
      <c r="AN1231" t="s">
        <v>541</v>
      </c>
      <c r="AO1231" t="s">
        <v>512</v>
      </c>
    </row>
    <row r="1232" spans="37:41" x14ac:dyDescent="0.25">
      <c r="AK1232" t="s">
        <v>50</v>
      </c>
      <c r="AL1232" t="s">
        <v>283</v>
      </c>
      <c r="AM1232" s="37" t="s">
        <v>389</v>
      </c>
      <c r="AN1232" s="39" t="s">
        <v>529</v>
      </c>
      <c r="AO1232" t="s">
        <v>505</v>
      </c>
    </row>
    <row r="1233" spans="37:41" x14ac:dyDescent="0.25">
      <c r="AK1233" t="s">
        <v>50</v>
      </c>
      <c r="AL1233" t="s">
        <v>283</v>
      </c>
      <c r="AM1233" s="37" t="s">
        <v>391</v>
      </c>
      <c r="AN1233" s="39" t="s">
        <v>532</v>
      </c>
      <c r="AO1233" t="s">
        <v>506</v>
      </c>
    </row>
    <row r="1234" spans="37:41" x14ac:dyDescent="0.25">
      <c r="AK1234" t="s">
        <v>50</v>
      </c>
      <c r="AL1234" t="s">
        <v>283</v>
      </c>
      <c r="AM1234" s="37" t="s">
        <v>393</v>
      </c>
      <c r="AN1234" s="39" t="s">
        <v>534</v>
      </c>
      <c r="AO1234" t="s">
        <v>507</v>
      </c>
    </row>
    <row r="1235" spans="37:41" x14ac:dyDescent="0.25">
      <c r="AK1235" t="s">
        <v>50</v>
      </c>
      <c r="AL1235" t="s">
        <v>283</v>
      </c>
      <c r="AM1235" s="37" t="s">
        <v>395</v>
      </c>
      <c r="AN1235" s="39" t="s">
        <v>538</v>
      </c>
      <c r="AO1235" t="s">
        <v>508</v>
      </c>
    </row>
    <row r="1236" spans="37:41" x14ac:dyDescent="0.25">
      <c r="AK1236" t="s">
        <v>50</v>
      </c>
      <c r="AL1236" t="s">
        <v>283</v>
      </c>
      <c r="AM1236" t="s">
        <v>315</v>
      </c>
      <c r="AN1236" t="s">
        <v>542</v>
      </c>
      <c r="AO1236" t="s">
        <v>510</v>
      </c>
    </row>
    <row r="1237" spans="37:41" x14ac:dyDescent="0.25">
      <c r="AK1237" t="s">
        <v>50</v>
      </c>
      <c r="AL1237" t="s">
        <v>283</v>
      </c>
      <c r="AM1237" t="s">
        <v>319</v>
      </c>
      <c r="AN1237" t="s">
        <v>543</v>
      </c>
      <c r="AO1237" t="s">
        <v>511</v>
      </c>
    </row>
    <row r="1238" spans="37:41" x14ac:dyDescent="0.25">
      <c r="AK1238" t="s">
        <v>50</v>
      </c>
      <c r="AL1238" t="s">
        <v>283</v>
      </c>
      <c r="AM1238" t="s">
        <v>323</v>
      </c>
      <c r="AN1238" t="s">
        <v>544</v>
      </c>
      <c r="AO1238" t="s">
        <v>512</v>
      </c>
    </row>
    <row r="1239" spans="37:41" x14ac:dyDescent="0.25">
      <c r="AK1239" t="s">
        <v>50</v>
      </c>
      <c r="AL1239" t="s">
        <v>283</v>
      </c>
      <c r="AM1239" s="37" t="s">
        <v>397</v>
      </c>
      <c r="AN1239" s="39" t="s">
        <v>545</v>
      </c>
      <c r="AO1239" t="s">
        <v>506</v>
      </c>
    </row>
    <row r="1240" spans="37:41" x14ac:dyDescent="0.25">
      <c r="AK1240" t="s">
        <v>50</v>
      </c>
      <c r="AL1240" t="s">
        <v>283</v>
      </c>
      <c r="AM1240" s="37" t="s">
        <v>399</v>
      </c>
      <c r="AN1240" s="39" t="s">
        <v>546</v>
      </c>
      <c r="AO1240" t="s">
        <v>507</v>
      </c>
    </row>
    <row r="1241" spans="37:41" x14ac:dyDescent="0.25">
      <c r="AK1241" t="s">
        <v>50</v>
      </c>
      <c r="AL1241" t="s">
        <v>283</v>
      </c>
      <c r="AM1241" s="37" t="s">
        <v>401</v>
      </c>
      <c r="AN1241" s="39" t="s">
        <v>547</v>
      </c>
      <c r="AO1241" t="s">
        <v>508</v>
      </c>
    </row>
    <row r="1242" spans="37:41" x14ac:dyDescent="0.25">
      <c r="AK1242" t="s">
        <v>50</v>
      </c>
      <c r="AL1242" t="s">
        <v>283</v>
      </c>
      <c r="AM1242" s="37" t="s">
        <v>335</v>
      </c>
      <c r="AN1242" s="39" t="s">
        <v>542</v>
      </c>
      <c r="AO1242" t="s">
        <v>509</v>
      </c>
    </row>
    <row r="1243" spans="37:41" x14ac:dyDescent="0.25">
      <c r="AK1243" t="s">
        <v>50</v>
      </c>
      <c r="AL1243" t="s">
        <v>283</v>
      </c>
      <c r="AM1243" s="37" t="s">
        <v>326</v>
      </c>
      <c r="AN1243" s="39" t="s">
        <v>548</v>
      </c>
      <c r="AO1243" t="s">
        <v>511</v>
      </c>
    </row>
    <row r="1244" spans="37:41" x14ac:dyDescent="0.25">
      <c r="AK1244" t="s">
        <v>50</v>
      </c>
      <c r="AL1244" t="s">
        <v>283</v>
      </c>
      <c r="AM1244" t="s">
        <v>330</v>
      </c>
      <c r="AN1244" t="s">
        <v>549</v>
      </c>
      <c r="AO1244" t="s">
        <v>512</v>
      </c>
    </row>
    <row r="1245" spans="37:41" x14ac:dyDescent="0.25">
      <c r="AK1245" t="s">
        <v>50</v>
      </c>
      <c r="AL1245" t="s">
        <v>283</v>
      </c>
      <c r="AM1245" s="37" t="s">
        <v>403</v>
      </c>
      <c r="AN1245" s="39" t="s">
        <v>536</v>
      </c>
      <c r="AO1245" t="s">
        <v>507</v>
      </c>
    </row>
    <row r="1246" spans="37:41" x14ac:dyDescent="0.25">
      <c r="AK1246" t="s">
        <v>50</v>
      </c>
      <c r="AL1246" t="s">
        <v>283</v>
      </c>
      <c r="AM1246" s="37" t="s">
        <v>405</v>
      </c>
      <c r="AN1246" s="39" t="s">
        <v>540</v>
      </c>
      <c r="AO1246" t="s">
        <v>508</v>
      </c>
    </row>
    <row r="1247" spans="37:41" x14ac:dyDescent="0.25">
      <c r="AK1247" t="s">
        <v>50</v>
      </c>
      <c r="AL1247" t="s">
        <v>283</v>
      </c>
      <c r="AM1247" s="37" t="s">
        <v>348</v>
      </c>
      <c r="AN1247" s="39" t="s">
        <v>543</v>
      </c>
      <c r="AO1247" t="s">
        <v>509</v>
      </c>
    </row>
    <row r="1248" spans="37:41" x14ac:dyDescent="0.25">
      <c r="AK1248" t="s">
        <v>50</v>
      </c>
      <c r="AL1248" t="s">
        <v>283</v>
      </c>
      <c r="AM1248" s="37" t="s">
        <v>344</v>
      </c>
      <c r="AN1248" s="39" t="s">
        <v>550</v>
      </c>
      <c r="AO1248" t="s">
        <v>510</v>
      </c>
    </row>
    <row r="1249" spans="37:41" x14ac:dyDescent="0.25">
      <c r="AK1249" t="s">
        <v>50</v>
      </c>
      <c r="AL1249" t="s">
        <v>283</v>
      </c>
      <c r="AM1249" t="s">
        <v>340</v>
      </c>
      <c r="AN1249" t="s">
        <v>551</v>
      </c>
      <c r="AO1249" t="s">
        <v>512</v>
      </c>
    </row>
    <row r="1250" spans="37:41" x14ac:dyDescent="0.25">
      <c r="AK1250" t="s">
        <v>50</v>
      </c>
      <c r="AL1250" t="s">
        <v>283</v>
      </c>
      <c r="AM1250" s="37" t="s">
        <v>407</v>
      </c>
      <c r="AN1250" s="39" t="s">
        <v>552</v>
      </c>
      <c r="AO1250" t="s">
        <v>507</v>
      </c>
    </row>
    <row r="1251" spans="37:41" x14ac:dyDescent="0.25">
      <c r="AK1251" t="s">
        <v>50</v>
      </c>
      <c r="AL1251" t="s">
        <v>283</v>
      </c>
      <c r="AM1251" s="37" t="s">
        <v>409</v>
      </c>
      <c r="AN1251" s="39" t="s">
        <v>541</v>
      </c>
      <c r="AO1251" t="s">
        <v>508</v>
      </c>
    </row>
    <row r="1252" spans="37:41" x14ac:dyDescent="0.25">
      <c r="AK1252" t="s">
        <v>50</v>
      </c>
      <c r="AL1252" t="s">
        <v>283</v>
      </c>
      <c r="AM1252" s="37" t="s">
        <v>359</v>
      </c>
      <c r="AN1252" s="39" t="s">
        <v>544</v>
      </c>
      <c r="AO1252" t="s">
        <v>509</v>
      </c>
    </row>
    <row r="1253" spans="37:41" x14ac:dyDescent="0.25">
      <c r="AK1253" t="s">
        <v>50</v>
      </c>
      <c r="AL1253" t="s">
        <v>283</v>
      </c>
      <c r="AM1253" s="37" t="s">
        <v>356</v>
      </c>
      <c r="AN1253" s="39" t="s">
        <v>549</v>
      </c>
      <c r="AO1253" t="s">
        <v>510</v>
      </c>
    </row>
    <row r="1254" spans="37:41" x14ac:dyDescent="0.25">
      <c r="AK1254" t="s">
        <v>50</v>
      </c>
      <c r="AL1254" t="s">
        <v>283</v>
      </c>
      <c r="AM1254" s="37" t="s">
        <v>352</v>
      </c>
      <c r="AN1254" s="39" t="s">
        <v>551</v>
      </c>
      <c r="AO1254" t="s">
        <v>511</v>
      </c>
    </row>
    <row r="1256" spans="37:41" x14ac:dyDescent="0.25">
      <c r="AK1256" t="s">
        <v>50</v>
      </c>
      <c r="AL1256" t="s">
        <v>290</v>
      </c>
      <c r="AM1256" t="s">
        <v>51</v>
      </c>
      <c r="AN1256" t="s">
        <v>513</v>
      </c>
    </row>
    <row r="1257" spans="37:41" x14ac:dyDescent="0.25">
      <c r="AK1257" t="s">
        <v>50</v>
      </c>
      <c r="AL1257" t="s">
        <v>290</v>
      </c>
      <c r="AM1257" t="s">
        <v>80</v>
      </c>
      <c r="AN1257" t="s">
        <v>514</v>
      </c>
    </row>
    <row r="1258" spans="37:41" x14ac:dyDescent="0.25">
      <c r="AK1258" t="s">
        <v>50</v>
      </c>
      <c r="AL1258" t="s">
        <v>290</v>
      </c>
      <c r="AM1258" t="s">
        <v>104</v>
      </c>
      <c r="AN1258" t="s">
        <v>515</v>
      </c>
    </row>
    <row r="1259" spans="37:41" x14ac:dyDescent="0.25">
      <c r="AK1259" t="s">
        <v>50</v>
      </c>
      <c r="AL1259" t="s">
        <v>290</v>
      </c>
      <c r="AM1259" t="s">
        <v>119</v>
      </c>
      <c r="AN1259" t="s">
        <v>516</v>
      </c>
    </row>
    <row r="1260" spans="37:41" x14ac:dyDescent="0.25">
      <c r="AK1260" t="s">
        <v>50</v>
      </c>
      <c r="AL1260" t="s">
        <v>290</v>
      </c>
      <c r="AM1260" t="s">
        <v>137</v>
      </c>
      <c r="AN1260" t="s">
        <v>517</v>
      </c>
    </row>
    <row r="1261" spans="37:41" x14ac:dyDescent="0.25">
      <c r="AK1261" t="s">
        <v>50</v>
      </c>
      <c r="AL1261" t="s">
        <v>290</v>
      </c>
      <c r="AM1261" t="s">
        <v>149</v>
      </c>
      <c r="AN1261" t="s">
        <v>518</v>
      </c>
    </row>
    <row r="1262" spans="37:41" x14ac:dyDescent="0.25">
      <c r="AK1262" t="s">
        <v>50</v>
      </c>
      <c r="AL1262" t="s">
        <v>290</v>
      </c>
      <c r="AM1262" t="s">
        <v>162</v>
      </c>
      <c r="AN1262" t="s">
        <v>519</v>
      </c>
    </row>
    <row r="1263" spans="37:41" x14ac:dyDescent="0.25">
      <c r="AK1263" t="s">
        <v>50</v>
      </c>
      <c r="AL1263" t="s">
        <v>290</v>
      </c>
      <c r="AM1263" t="s">
        <v>174</v>
      </c>
      <c r="AN1263" t="s">
        <v>520</v>
      </c>
    </row>
    <row r="1264" spans="37:41" x14ac:dyDescent="0.25">
      <c r="AK1264" t="s">
        <v>50</v>
      </c>
      <c r="AL1264" t="s">
        <v>290</v>
      </c>
      <c r="AM1264" t="s">
        <v>187</v>
      </c>
      <c r="AN1264" t="s">
        <v>521</v>
      </c>
    </row>
    <row r="1265" spans="37:40" x14ac:dyDescent="0.25">
      <c r="AK1265" t="s">
        <v>50</v>
      </c>
      <c r="AL1265" t="s">
        <v>290</v>
      </c>
      <c r="AM1265" t="s">
        <v>199</v>
      </c>
      <c r="AN1265" t="s">
        <v>522</v>
      </c>
    </row>
    <row r="1266" spans="37:40" x14ac:dyDescent="0.25">
      <c r="AK1266" t="s">
        <v>50</v>
      </c>
      <c r="AL1266" t="s">
        <v>290</v>
      </c>
      <c r="AM1266" t="s">
        <v>211</v>
      </c>
      <c r="AN1266" t="s">
        <v>523</v>
      </c>
    </row>
    <row r="1267" spans="37:40" x14ac:dyDescent="0.25">
      <c r="AK1267" t="s">
        <v>50</v>
      </c>
      <c r="AL1267" t="s">
        <v>290</v>
      </c>
      <c r="AM1267" t="s">
        <v>223</v>
      </c>
      <c r="AN1267" t="s">
        <v>524</v>
      </c>
    </row>
    <row r="1268" spans="37:40" x14ac:dyDescent="0.25">
      <c r="AK1268" t="s">
        <v>50</v>
      </c>
      <c r="AL1268" t="s">
        <v>290</v>
      </c>
      <c r="AM1268" t="s">
        <v>232</v>
      </c>
      <c r="AN1268" t="s">
        <v>525</v>
      </c>
    </row>
    <row r="1269" spans="37:40" x14ac:dyDescent="0.25">
      <c r="AK1269" t="s">
        <v>50</v>
      </c>
      <c r="AL1269" t="s">
        <v>290</v>
      </c>
      <c r="AM1269" s="37" t="s">
        <v>362</v>
      </c>
      <c r="AN1269" t="s">
        <v>523</v>
      </c>
    </row>
    <row r="1270" spans="37:40" x14ac:dyDescent="0.25">
      <c r="AK1270" t="s">
        <v>50</v>
      </c>
      <c r="AL1270" t="s">
        <v>290</v>
      </c>
      <c r="AM1270" t="s">
        <v>239</v>
      </c>
      <c r="AN1270" t="s">
        <v>526</v>
      </c>
    </row>
    <row r="1271" spans="37:40" x14ac:dyDescent="0.25">
      <c r="AK1271" t="s">
        <v>50</v>
      </c>
      <c r="AL1271" t="s">
        <v>290</v>
      </c>
      <c r="AM1271" t="s">
        <v>246</v>
      </c>
      <c r="AN1271" t="s">
        <v>527</v>
      </c>
    </row>
    <row r="1272" spans="37:40" x14ac:dyDescent="0.25">
      <c r="AK1272" t="s">
        <v>50</v>
      </c>
      <c r="AL1272" t="s">
        <v>290</v>
      </c>
      <c r="AM1272" t="s">
        <v>254</v>
      </c>
      <c r="AN1272" t="s">
        <v>528</v>
      </c>
    </row>
    <row r="1273" spans="37:40" x14ac:dyDescent="0.25">
      <c r="AK1273" t="s">
        <v>50</v>
      </c>
      <c r="AL1273" t="s">
        <v>290</v>
      </c>
      <c r="AM1273" t="s">
        <v>365</v>
      </c>
      <c r="AN1273" t="s">
        <v>529</v>
      </c>
    </row>
    <row r="1274" spans="37:40" x14ac:dyDescent="0.25">
      <c r="AK1274" t="s">
        <v>50</v>
      </c>
      <c r="AL1274" t="s">
        <v>290</v>
      </c>
      <c r="AM1274" s="37" t="s">
        <v>367</v>
      </c>
      <c r="AN1274" t="s">
        <v>524</v>
      </c>
    </row>
    <row r="1275" spans="37:40" x14ac:dyDescent="0.25">
      <c r="AK1275" t="s">
        <v>50</v>
      </c>
      <c r="AL1275" t="s">
        <v>290</v>
      </c>
      <c r="AM1275" s="37" t="s">
        <v>369</v>
      </c>
      <c r="AN1275" t="s">
        <v>526</v>
      </c>
    </row>
    <row r="1276" spans="37:40" x14ac:dyDescent="0.25">
      <c r="AK1276" t="s">
        <v>50</v>
      </c>
      <c r="AL1276" t="s">
        <v>290</v>
      </c>
      <c r="AM1276" t="s">
        <v>262</v>
      </c>
      <c r="AN1276" t="s">
        <v>530</v>
      </c>
    </row>
    <row r="1277" spans="37:40" x14ac:dyDescent="0.25">
      <c r="AK1277" t="s">
        <v>50</v>
      </c>
      <c r="AL1277" t="s">
        <v>290</v>
      </c>
      <c r="AM1277" t="s">
        <v>270</v>
      </c>
      <c r="AN1277" t="s">
        <v>531</v>
      </c>
    </row>
    <row r="1278" spans="37:40" x14ac:dyDescent="0.25">
      <c r="AK1278" t="s">
        <v>50</v>
      </c>
      <c r="AL1278" t="s">
        <v>290</v>
      </c>
      <c r="AM1278" t="s">
        <v>277</v>
      </c>
      <c r="AN1278" t="s">
        <v>532</v>
      </c>
    </row>
    <row r="1279" spans="37:40" x14ac:dyDescent="0.25">
      <c r="AK1279" t="s">
        <v>50</v>
      </c>
      <c r="AL1279" t="s">
        <v>290</v>
      </c>
      <c r="AM1279" s="37" t="s">
        <v>371</v>
      </c>
      <c r="AN1279" s="39" t="s">
        <v>525</v>
      </c>
    </row>
    <row r="1280" spans="37:40" x14ac:dyDescent="0.25">
      <c r="AK1280" t="s">
        <v>50</v>
      </c>
      <c r="AL1280" t="s">
        <v>290</v>
      </c>
      <c r="AM1280" s="37" t="s">
        <v>374</v>
      </c>
      <c r="AN1280" s="39" t="s">
        <v>527</v>
      </c>
    </row>
    <row r="1281" spans="37:40" x14ac:dyDescent="0.25">
      <c r="AK1281" t="s">
        <v>50</v>
      </c>
      <c r="AL1281" t="s">
        <v>290</v>
      </c>
      <c r="AM1281" s="37" t="s">
        <v>376</v>
      </c>
      <c r="AN1281" s="39" t="s">
        <v>530</v>
      </c>
    </row>
    <row r="1282" spans="37:40" x14ac:dyDescent="0.25">
      <c r="AK1282" t="s">
        <v>50</v>
      </c>
      <c r="AL1282" t="s">
        <v>290</v>
      </c>
      <c r="AM1282" s="37" t="s">
        <v>284</v>
      </c>
      <c r="AN1282" s="39" t="s">
        <v>533</v>
      </c>
    </row>
    <row r="1283" spans="37:40" x14ac:dyDescent="0.25">
      <c r="AK1283" t="s">
        <v>50</v>
      </c>
      <c r="AL1283" t="s">
        <v>290</v>
      </c>
      <c r="AM1283" t="s">
        <v>291</v>
      </c>
      <c r="AN1283" t="s">
        <v>534</v>
      </c>
    </row>
    <row r="1284" spans="37:40" x14ac:dyDescent="0.25">
      <c r="AK1284" t="s">
        <v>50</v>
      </c>
      <c r="AL1284" t="s">
        <v>290</v>
      </c>
      <c r="AM1284" s="37" t="s">
        <v>298</v>
      </c>
      <c r="AN1284" s="39" t="s">
        <v>535</v>
      </c>
    </row>
    <row r="1285" spans="37:40" x14ac:dyDescent="0.25">
      <c r="AK1285" t="s">
        <v>50</v>
      </c>
      <c r="AL1285" t="s">
        <v>290</v>
      </c>
      <c r="AM1285" t="s">
        <v>379</v>
      </c>
      <c r="AN1285" t="s">
        <v>536</v>
      </c>
    </row>
    <row r="1286" spans="37:40" x14ac:dyDescent="0.25">
      <c r="AK1286" t="s">
        <v>50</v>
      </c>
      <c r="AL1286" t="s">
        <v>290</v>
      </c>
      <c r="AM1286" s="37" t="s">
        <v>381</v>
      </c>
      <c r="AN1286" s="39" t="s">
        <v>528</v>
      </c>
    </row>
    <row r="1287" spans="37:40" x14ac:dyDescent="0.25">
      <c r="AK1287" t="s">
        <v>50</v>
      </c>
      <c r="AL1287" t="s">
        <v>290</v>
      </c>
      <c r="AM1287" s="37" t="s">
        <v>383</v>
      </c>
      <c r="AN1287" s="59" t="s">
        <v>531</v>
      </c>
    </row>
    <row r="1288" spans="37:40" x14ac:dyDescent="0.25">
      <c r="AK1288" t="s">
        <v>50</v>
      </c>
      <c r="AL1288" t="s">
        <v>290</v>
      </c>
      <c r="AM1288" s="37" t="s">
        <v>385</v>
      </c>
      <c r="AN1288" s="39" t="s">
        <v>537</v>
      </c>
    </row>
    <row r="1289" spans="37:40" x14ac:dyDescent="0.25">
      <c r="AK1289" t="s">
        <v>50</v>
      </c>
      <c r="AL1289" t="s">
        <v>290</v>
      </c>
      <c r="AM1289" t="s">
        <v>305</v>
      </c>
      <c r="AN1289" t="s">
        <v>538</v>
      </c>
    </row>
    <row r="1290" spans="37:40" x14ac:dyDescent="0.25">
      <c r="AK1290" t="s">
        <v>50</v>
      </c>
      <c r="AL1290" t="s">
        <v>290</v>
      </c>
      <c r="AM1290" s="37" t="s">
        <v>309</v>
      </c>
      <c r="AN1290" s="39" t="s">
        <v>539</v>
      </c>
    </row>
    <row r="1291" spans="37:40" x14ac:dyDescent="0.25">
      <c r="AK1291" t="s">
        <v>50</v>
      </c>
      <c r="AL1291" t="s">
        <v>290</v>
      </c>
      <c r="AM1291" t="s">
        <v>312</v>
      </c>
      <c r="AN1291" t="s">
        <v>540</v>
      </c>
    </row>
    <row r="1292" spans="37:40" x14ac:dyDescent="0.25">
      <c r="AK1292" t="s">
        <v>50</v>
      </c>
      <c r="AL1292" t="s">
        <v>290</v>
      </c>
      <c r="AM1292" t="s">
        <v>387</v>
      </c>
      <c r="AN1292" t="s">
        <v>541</v>
      </c>
    </row>
    <row r="1293" spans="37:40" x14ac:dyDescent="0.25">
      <c r="AK1293" t="s">
        <v>50</v>
      </c>
      <c r="AL1293" t="s">
        <v>290</v>
      </c>
      <c r="AM1293" s="37" t="s">
        <v>389</v>
      </c>
      <c r="AN1293" s="39" t="s">
        <v>529</v>
      </c>
    </row>
    <row r="1294" spans="37:40" x14ac:dyDescent="0.25">
      <c r="AK1294" t="s">
        <v>50</v>
      </c>
      <c r="AL1294" t="s">
        <v>290</v>
      </c>
      <c r="AM1294" s="37" t="s">
        <v>391</v>
      </c>
      <c r="AN1294" s="39" t="s">
        <v>532</v>
      </c>
    </row>
    <row r="1295" spans="37:40" x14ac:dyDescent="0.25">
      <c r="AK1295" t="s">
        <v>50</v>
      </c>
      <c r="AL1295" t="s">
        <v>290</v>
      </c>
      <c r="AM1295" s="37" t="s">
        <v>393</v>
      </c>
      <c r="AN1295" s="39" t="s">
        <v>534</v>
      </c>
    </row>
    <row r="1296" spans="37:40" x14ac:dyDescent="0.25">
      <c r="AK1296" t="s">
        <v>50</v>
      </c>
      <c r="AL1296" t="s">
        <v>290</v>
      </c>
      <c r="AM1296" s="37" t="s">
        <v>395</v>
      </c>
      <c r="AN1296" s="39" t="s">
        <v>538</v>
      </c>
    </row>
    <row r="1297" spans="37:40" x14ac:dyDescent="0.25">
      <c r="AK1297" t="s">
        <v>50</v>
      </c>
      <c r="AL1297" t="s">
        <v>290</v>
      </c>
      <c r="AM1297" t="s">
        <v>315</v>
      </c>
      <c r="AN1297" t="s">
        <v>542</v>
      </c>
    </row>
    <row r="1298" spans="37:40" x14ac:dyDescent="0.25">
      <c r="AK1298" t="s">
        <v>50</v>
      </c>
      <c r="AL1298" t="s">
        <v>290</v>
      </c>
      <c r="AM1298" t="s">
        <v>319</v>
      </c>
      <c r="AN1298" t="s">
        <v>543</v>
      </c>
    </row>
    <row r="1299" spans="37:40" x14ac:dyDescent="0.25">
      <c r="AK1299" t="s">
        <v>50</v>
      </c>
      <c r="AL1299" t="s">
        <v>290</v>
      </c>
      <c r="AM1299" t="s">
        <v>323</v>
      </c>
      <c r="AN1299" t="s">
        <v>544</v>
      </c>
    </row>
    <row r="1300" spans="37:40" x14ac:dyDescent="0.25">
      <c r="AK1300" t="s">
        <v>50</v>
      </c>
      <c r="AL1300" t="s">
        <v>290</v>
      </c>
      <c r="AM1300" s="37" t="s">
        <v>397</v>
      </c>
      <c r="AN1300" s="39" t="s">
        <v>545</v>
      </c>
    </row>
    <row r="1301" spans="37:40" x14ac:dyDescent="0.25">
      <c r="AK1301" t="s">
        <v>50</v>
      </c>
      <c r="AL1301" t="s">
        <v>290</v>
      </c>
      <c r="AM1301" s="37" t="s">
        <v>399</v>
      </c>
      <c r="AN1301" s="39" t="s">
        <v>546</v>
      </c>
    </row>
    <row r="1302" spans="37:40" x14ac:dyDescent="0.25">
      <c r="AK1302" t="s">
        <v>50</v>
      </c>
      <c r="AL1302" t="s">
        <v>290</v>
      </c>
      <c r="AM1302" s="37" t="s">
        <v>401</v>
      </c>
      <c r="AN1302" s="39" t="s">
        <v>547</v>
      </c>
    </row>
    <row r="1303" spans="37:40" x14ac:dyDescent="0.25">
      <c r="AK1303" t="s">
        <v>50</v>
      </c>
      <c r="AL1303" t="s">
        <v>290</v>
      </c>
      <c r="AM1303" s="37" t="s">
        <v>335</v>
      </c>
      <c r="AN1303" s="39" t="s">
        <v>542</v>
      </c>
    </row>
    <row r="1304" spans="37:40" x14ac:dyDescent="0.25">
      <c r="AK1304" t="s">
        <v>50</v>
      </c>
      <c r="AL1304" t="s">
        <v>290</v>
      </c>
      <c r="AM1304" s="37" t="s">
        <v>326</v>
      </c>
      <c r="AN1304" s="39" t="s">
        <v>548</v>
      </c>
    </row>
    <row r="1305" spans="37:40" x14ac:dyDescent="0.25">
      <c r="AK1305" t="s">
        <v>50</v>
      </c>
      <c r="AL1305" t="s">
        <v>290</v>
      </c>
      <c r="AM1305" t="s">
        <v>330</v>
      </c>
      <c r="AN1305" t="s">
        <v>549</v>
      </c>
    </row>
    <row r="1306" spans="37:40" x14ac:dyDescent="0.25">
      <c r="AK1306" t="s">
        <v>50</v>
      </c>
      <c r="AL1306" t="s">
        <v>290</v>
      </c>
      <c r="AM1306" s="37" t="s">
        <v>403</v>
      </c>
      <c r="AN1306" s="39" t="s">
        <v>536</v>
      </c>
    </row>
    <row r="1307" spans="37:40" x14ac:dyDescent="0.25">
      <c r="AK1307" t="s">
        <v>50</v>
      </c>
      <c r="AL1307" t="s">
        <v>290</v>
      </c>
      <c r="AM1307" s="37" t="s">
        <v>405</v>
      </c>
      <c r="AN1307" s="39" t="s">
        <v>540</v>
      </c>
    </row>
    <row r="1308" spans="37:40" x14ac:dyDescent="0.25">
      <c r="AK1308" t="s">
        <v>50</v>
      </c>
      <c r="AL1308" t="s">
        <v>290</v>
      </c>
      <c r="AM1308" s="37" t="s">
        <v>348</v>
      </c>
      <c r="AN1308" s="39" t="s">
        <v>543</v>
      </c>
    </row>
    <row r="1309" spans="37:40" x14ac:dyDescent="0.25">
      <c r="AK1309" t="s">
        <v>50</v>
      </c>
      <c r="AL1309" t="s">
        <v>290</v>
      </c>
      <c r="AM1309" s="37" t="s">
        <v>344</v>
      </c>
      <c r="AN1309" s="39" t="s">
        <v>550</v>
      </c>
    </row>
    <row r="1310" spans="37:40" x14ac:dyDescent="0.25">
      <c r="AK1310" t="s">
        <v>50</v>
      </c>
      <c r="AL1310" t="s">
        <v>290</v>
      </c>
      <c r="AM1310" t="s">
        <v>340</v>
      </c>
      <c r="AN1310" t="s">
        <v>551</v>
      </c>
    </row>
    <row r="1311" spans="37:40" x14ac:dyDescent="0.25">
      <c r="AK1311" t="s">
        <v>50</v>
      </c>
      <c r="AL1311" t="s">
        <v>290</v>
      </c>
      <c r="AM1311" s="37" t="s">
        <v>407</v>
      </c>
      <c r="AN1311" s="39" t="s">
        <v>552</v>
      </c>
    </row>
    <row r="1312" spans="37:40" x14ac:dyDescent="0.25">
      <c r="AK1312" t="s">
        <v>50</v>
      </c>
      <c r="AL1312" t="s">
        <v>290</v>
      </c>
      <c r="AM1312" s="37" t="s">
        <v>409</v>
      </c>
      <c r="AN1312" s="39" t="s">
        <v>541</v>
      </c>
    </row>
    <row r="1313" spans="37:40" x14ac:dyDescent="0.25">
      <c r="AK1313" t="s">
        <v>50</v>
      </c>
      <c r="AL1313" t="s">
        <v>290</v>
      </c>
      <c r="AM1313" s="37" t="s">
        <v>359</v>
      </c>
      <c r="AN1313" s="39" t="s">
        <v>544</v>
      </c>
    </row>
    <row r="1314" spans="37:40" x14ac:dyDescent="0.25">
      <c r="AK1314" t="s">
        <v>50</v>
      </c>
      <c r="AL1314" t="s">
        <v>290</v>
      </c>
      <c r="AM1314" s="37" t="s">
        <v>356</v>
      </c>
      <c r="AN1314" s="39" t="s">
        <v>549</v>
      </c>
    </row>
    <row r="1315" spans="37:40" x14ac:dyDescent="0.25">
      <c r="AK1315" t="s">
        <v>50</v>
      </c>
      <c r="AL1315" t="s">
        <v>290</v>
      </c>
      <c r="AM1315" s="37" t="s">
        <v>352</v>
      </c>
      <c r="AN1315" s="39" t="s">
        <v>551</v>
      </c>
    </row>
    <row r="1317" spans="37:40" x14ac:dyDescent="0.25">
      <c r="AK1317" s="32" t="s">
        <v>50</v>
      </c>
      <c r="AL1317" t="s">
        <v>297</v>
      </c>
      <c r="AM1317" t="s">
        <v>51</v>
      </c>
      <c r="AN1317" t="s">
        <v>52</v>
      </c>
    </row>
    <row r="1318" spans="37:40" x14ac:dyDescent="0.25">
      <c r="AK1318" s="32" t="s">
        <v>50</v>
      </c>
      <c r="AL1318" t="s">
        <v>297</v>
      </c>
      <c r="AM1318" t="s">
        <v>80</v>
      </c>
      <c r="AN1318" t="s">
        <v>81</v>
      </c>
    </row>
    <row r="1319" spans="37:40" x14ac:dyDescent="0.25">
      <c r="AK1319" s="32" t="s">
        <v>50</v>
      </c>
      <c r="AL1319" t="s">
        <v>297</v>
      </c>
      <c r="AM1319" t="s">
        <v>104</v>
      </c>
      <c r="AN1319" t="s">
        <v>105</v>
      </c>
    </row>
    <row r="1320" spans="37:40" x14ac:dyDescent="0.25">
      <c r="AK1320" s="32" t="s">
        <v>50</v>
      </c>
      <c r="AL1320" t="s">
        <v>297</v>
      </c>
      <c r="AM1320" t="s">
        <v>119</v>
      </c>
      <c r="AN1320" t="s">
        <v>120</v>
      </c>
    </row>
    <row r="1321" spans="37:40" x14ac:dyDescent="0.25">
      <c r="AK1321" s="32" t="s">
        <v>50</v>
      </c>
      <c r="AL1321" t="s">
        <v>297</v>
      </c>
      <c r="AM1321" t="s">
        <v>137</v>
      </c>
      <c r="AN1321" t="s">
        <v>138</v>
      </c>
    </row>
    <row r="1322" spans="37:40" x14ac:dyDescent="0.25">
      <c r="AK1322" s="32" t="s">
        <v>50</v>
      </c>
      <c r="AL1322" t="s">
        <v>297</v>
      </c>
      <c r="AM1322" t="s">
        <v>149</v>
      </c>
      <c r="AN1322" t="s">
        <v>150</v>
      </c>
    </row>
    <row r="1323" spans="37:40" x14ac:dyDescent="0.25">
      <c r="AK1323" s="32" t="s">
        <v>50</v>
      </c>
      <c r="AL1323" t="s">
        <v>297</v>
      </c>
      <c r="AM1323" t="s">
        <v>162</v>
      </c>
      <c r="AN1323" t="s">
        <v>163</v>
      </c>
    </row>
    <row r="1324" spans="37:40" x14ac:dyDescent="0.25">
      <c r="AK1324" s="32" t="s">
        <v>50</v>
      </c>
      <c r="AL1324" t="s">
        <v>297</v>
      </c>
      <c r="AM1324" t="s">
        <v>174</v>
      </c>
      <c r="AN1324" t="s">
        <v>175</v>
      </c>
    </row>
    <row r="1325" spans="37:40" x14ac:dyDescent="0.25">
      <c r="AK1325" s="32" t="s">
        <v>50</v>
      </c>
      <c r="AL1325" t="s">
        <v>297</v>
      </c>
      <c r="AM1325" t="s">
        <v>187</v>
      </c>
      <c r="AN1325" t="s">
        <v>188</v>
      </c>
    </row>
    <row r="1326" spans="37:40" x14ac:dyDescent="0.25">
      <c r="AK1326" s="32" t="s">
        <v>50</v>
      </c>
      <c r="AL1326" t="s">
        <v>297</v>
      </c>
      <c r="AM1326" t="s">
        <v>199</v>
      </c>
      <c r="AN1326" t="s">
        <v>200</v>
      </c>
    </row>
    <row r="1327" spans="37:40" x14ac:dyDescent="0.25">
      <c r="AK1327" s="32" t="s">
        <v>50</v>
      </c>
      <c r="AL1327" t="s">
        <v>297</v>
      </c>
      <c r="AM1327" t="s">
        <v>211</v>
      </c>
      <c r="AN1327" t="s">
        <v>212</v>
      </c>
    </row>
    <row r="1328" spans="37:40" x14ac:dyDescent="0.25">
      <c r="AK1328" s="32" t="s">
        <v>50</v>
      </c>
      <c r="AL1328" t="s">
        <v>297</v>
      </c>
      <c r="AM1328" t="s">
        <v>223</v>
      </c>
      <c r="AN1328" t="s">
        <v>224</v>
      </c>
    </row>
    <row r="1329" spans="37:40" x14ac:dyDescent="0.25">
      <c r="AK1329" s="32" t="s">
        <v>50</v>
      </c>
      <c r="AL1329" t="s">
        <v>297</v>
      </c>
      <c r="AM1329" t="s">
        <v>232</v>
      </c>
      <c r="AN1329" t="s">
        <v>233</v>
      </c>
    </row>
    <row r="1330" spans="37:40" x14ac:dyDescent="0.25">
      <c r="AK1330" s="32" t="s">
        <v>50</v>
      </c>
      <c r="AL1330" t="s">
        <v>297</v>
      </c>
      <c r="AM1330" t="s">
        <v>239</v>
      </c>
      <c r="AN1330" t="s">
        <v>240</v>
      </c>
    </row>
    <row r="1331" spans="37:40" x14ac:dyDescent="0.25">
      <c r="AK1331" s="32" t="s">
        <v>50</v>
      </c>
      <c r="AL1331" t="s">
        <v>297</v>
      </c>
      <c r="AM1331" t="s">
        <v>246</v>
      </c>
      <c r="AN1331" t="s">
        <v>247</v>
      </c>
    </row>
    <row r="1332" spans="37:40" x14ac:dyDescent="0.25">
      <c r="AK1332" s="32" t="s">
        <v>50</v>
      </c>
      <c r="AL1332" t="s">
        <v>297</v>
      </c>
      <c r="AM1332" t="s">
        <v>254</v>
      </c>
      <c r="AN1332" t="s">
        <v>255</v>
      </c>
    </row>
    <row r="1333" spans="37:40" x14ac:dyDescent="0.25">
      <c r="AK1333" s="32" t="s">
        <v>50</v>
      </c>
      <c r="AL1333" t="s">
        <v>297</v>
      </c>
      <c r="AM1333" t="s">
        <v>262</v>
      </c>
      <c r="AN1333" t="s">
        <v>263</v>
      </c>
    </row>
    <row r="1334" spans="37:40" x14ac:dyDescent="0.25">
      <c r="AK1334" s="32" t="s">
        <v>50</v>
      </c>
      <c r="AL1334" t="s">
        <v>297</v>
      </c>
      <c r="AM1334" t="s">
        <v>270</v>
      </c>
      <c r="AN1334" t="s">
        <v>271</v>
      </c>
    </row>
    <row r="1335" spans="37:40" x14ac:dyDescent="0.25">
      <c r="AK1335" s="32" t="s">
        <v>50</v>
      </c>
      <c r="AL1335" t="s">
        <v>297</v>
      </c>
      <c r="AM1335" t="s">
        <v>277</v>
      </c>
      <c r="AN1335" t="s">
        <v>278</v>
      </c>
    </row>
    <row r="1336" spans="37:40" x14ac:dyDescent="0.25">
      <c r="AK1336" s="32" t="s">
        <v>50</v>
      </c>
      <c r="AL1336" t="s">
        <v>297</v>
      </c>
      <c r="AM1336" t="s">
        <v>284</v>
      </c>
      <c r="AN1336" t="s">
        <v>285</v>
      </c>
    </row>
    <row r="1337" spans="37:40" x14ac:dyDescent="0.25">
      <c r="AK1337" s="32" t="s">
        <v>50</v>
      </c>
      <c r="AL1337" t="s">
        <v>297</v>
      </c>
      <c r="AM1337" t="s">
        <v>291</v>
      </c>
      <c r="AN1337" t="s">
        <v>292</v>
      </c>
    </row>
    <row r="1338" spans="37:40" x14ac:dyDescent="0.25">
      <c r="AK1338" s="32" t="s">
        <v>50</v>
      </c>
      <c r="AL1338" t="s">
        <v>297</v>
      </c>
      <c r="AM1338" t="s">
        <v>298</v>
      </c>
      <c r="AN1338" t="s">
        <v>299</v>
      </c>
    </row>
    <row r="1339" spans="37:40" x14ac:dyDescent="0.25">
      <c r="AK1339" s="32" t="s">
        <v>50</v>
      </c>
      <c r="AL1339" t="s">
        <v>297</v>
      </c>
      <c r="AM1339" t="s">
        <v>305</v>
      </c>
      <c r="AN1339" t="s">
        <v>306</v>
      </c>
    </row>
    <row r="1340" spans="37:40" x14ac:dyDescent="0.25">
      <c r="AK1340" s="32" t="s">
        <v>50</v>
      </c>
      <c r="AL1340" t="s">
        <v>297</v>
      </c>
      <c r="AM1340" t="s">
        <v>309</v>
      </c>
      <c r="AN1340" t="s">
        <v>310</v>
      </c>
    </row>
    <row r="1341" spans="37:40" x14ac:dyDescent="0.25">
      <c r="AK1341" s="32" t="s">
        <v>50</v>
      </c>
      <c r="AL1341" t="s">
        <v>297</v>
      </c>
      <c r="AM1341" t="s">
        <v>312</v>
      </c>
      <c r="AN1341" t="s">
        <v>313</v>
      </c>
    </row>
    <row r="1342" spans="37:40" x14ac:dyDescent="0.25">
      <c r="AK1342" s="32" t="s">
        <v>50</v>
      </c>
      <c r="AL1342" t="s">
        <v>297</v>
      </c>
      <c r="AM1342" t="s">
        <v>315</v>
      </c>
      <c r="AN1342" t="s">
        <v>316</v>
      </c>
    </row>
    <row r="1343" spans="37:40" x14ac:dyDescent="0.25">
      <c r="AK1343" s="32" t="s">
        <v>50</v>
      </c>
      <c r="AL1343" t="s">
        <v>297</v>
      </c>
      <c r="AM1343" t="s">
        <v>319</v>
      </c>
      <c r="AN1343" t="s">
        <v>320</v>
      </c>
    </row>
    <row r="1344" spans="37:40" x14ac:dyDescent="0.25">
      <c r="AK1344" s="32" t="s">
        <v>50</v>
      </c>
      <c r="AL1344" t="s">
        <v>297</v>
      </c>
      <c r="AM1344" t="s">
        <v>323</v>
      </c>
      <c r="AN1344" t="s">
        <v>324</v>
      </c>
    </row>
    <row r="1345" spans="37:40" x14ac:dyDescent="0.25">
      <c r="AK1345" s="32" t="s">
        <v>50</v>
      </c>
      <c r="AL1345" t="s">
        <v>297</v>
      </c>
      <c r="AM1345" t="s">
        <v>326</v>
      </c>
      <c r="AN1345" t="s">
        <v>327</v>
      </c>
    </row>
    <row r="1346" spans="37:40" x14ac:dyDescent="0.25">
      <c r="AK1346" s="32" t="s">
        <v>50</v>
      </c>
      <c r="AL1346" t="s">
        <v>297</v>
      </c>
      <c r="AM1346" t="s">
        <v>330</v>
      </c>
      <c r="AN1346" t="s">
        <v>331</v>
      </c>
    </row>
    <row r="1347" spans="37:40" x14ac:dyDescent="0.25">
      <c r="AK1347" s="32" t="s">
        <v>50</v>
      </c>
      <c r="AL1347" t="s">
        <v>297</v>
      </c>
      <c r="AM1347" t="s">
        <v>335</v>
      </c>
      <c r="AN1347" t="s">
        <v>336</v>
      </c>
    </row>
    <row r="1348" spans="37:40" x14ac:dyDescent="0.25">
      <c r="AK1348" s="32" t="s">
        <v>50</v>
      </c>
      <c r="AL1348" t="s">
        <v>297</v>
      </c>
      <c r="AM1348" t="s">
        <v>340</v>
      </c>
      <c r="AN1348" t="s">
        <v>341</v>
      </c>
    </row>
    <row r="1349" spans="37:40" x14ac:dyDescent="0.25">
      <c r="AK1349" s="32" t="s">
        <v>50</v>
      </c>
      <c r="AL1349" t="s">
        <v>297</v>
      </c>
      <c r="AM1349" t="s">
        <v>344</v>
      </c>
      <c r="AN1349" t="s">
        <v>345</v>
      </c>
    </row>
    <row r="1350" spans="37:40" x14ac:dyDescent="0.25">
      <c r="AK1350" s="32" t="s">
        <v>50</v>
      </c>
      <c r="AL1350" t="s">
        <v>297</v>
      </c>
      <c r="AM1350" t="s">
        <v>348</v>
      </c>
      <c r="AN1350" t="s">
        <v>349</v>
      </c>
    </row>
    <row r="1351" spans="37:40" x14ac:dyDescent="0.25">
      <c r="AK1351" s="32" t="s">
        <v>50</v>
      </c>
      <c r="AL1351" t="s">
        <v>297</v>
      </c>
      <c r="AM1351" t="s">
        <v>352</v>
      </c>
      <c r="AN1351" t="s">
        <v>353</v>
      </c>
    </row>
    <row r="1352" spans="37:40" x14ac:dyDescent="0.25">
      <c r="AK1352" s="32" t="s">
        <v>50</v>
      </c>
      <c r="AL1352" t="s">
        <v>297</v>
      </c>
      <c r="AM1352" t="s">
        <v>356</v>
      </c>
      <c r="AN1352" t="s">
        <v>357</v>
      </c>
    </row>
    <row r="1353" spans="37:40" x14ac:dyDescent="0.25">
      <c r="AK1353" s="32" t="s">
        <v>50</v>
      </c>
      <c r="AL1353" t="s">
        <v>297</v>
      </c>
      <c r="AM1353" t="s">
        <v>359</v>
      </c>
      <c r="AN1353" t="s">
        <v>360</v>
      </c>
    </row>
    <row r="1354" spans="37:40" x14ac:dyDescent="0.25">
      <c r="AK1354" s="32" t="s">
        <v>50</v>
      </c>
      <c r="AL1354" t="s">
        <v>297</v>
      </c>
      <c r="AM1354" t="s">
        <v>362</v>
      </c>
      <c r="AN1354" t="s">
        <v>363</v>
      </c>
    </row>
    <row r="1355" spans="37:40" x14ac:dyDescent="0.25">
      <c r="AK1355" s="32" t="s">
        <v>50</v>
      </c>
      <c r="AL1355" t="s">
        <v>297</v>
      </c>
      <c r="AM1355" t="s">
        <v>365</v>
      </c>
      <c r="AN1355" t="s">
        <v>366</v>
      </c>
    </row>
    <row r="1356" spans="37:40" x14ac:dyDescent="0.25">
      <c r="AK1356" s="32" t="s">
        <v>50</v>
      </c>
      <c r="AL1356" t="s">
        <v>297</v>
      </c>
      <c r="AM1356" t="s">
        <v>367</v>
      </c>
      <c r="AN1356" t="s">
        <v>368</v>
      </c>
    </row>
    <row r="1357" spans="37:40" x14ac:dyDescent="0.25">
      <c r="AK1357" s="32" t="s">
        <v>50</v>
      </c>
      <c r="AL1357" t="s">
        <v>297</v>
      </c>
      <c r="AM1357" t="s">
        <v>369</v>
      </c>
      <c r="AN1357" t="s">
        <v>370</v>
      </c>
    </row>
    <row r="1358" spans="37:40" x14ac:dyDescent="0.25">
      <c r="AK1358" s="32" t="s">
        <v>50</v>
      </c>
      <c r="AL1358" t="s">
        <v>297</v>
      </c>
      <c r="AM1358" t="s">
        <v>371</v>
      </c>
      <c r="AN1358" t="s">
        <v>372</v>
      </c>
    </row>
    <row r="1359" spans="37:40" x14ac:dyDescent="0.25">
      <c r="AK1359" s="32" t="s">
        <v>50</v>
      </c>
      <c r="AL1359" t="s">
        <v>297</v>
      </c>
      <c r="AM1359" t="s">
        <v>374</v>
      </c>
      <c r="AN1359" t="s">
        <v>375</v>
      </c>
    </row>
    <row r="1360" spans="37:40" x14ac:dyDescent="0.25">
      <c r="AK1360" s="32" t="s">
        <v>50</v>
      </c>
      <c r="AL1360" t="s">
        <v>297</v>
      </c>
      <c r="AM1360" t="s">
        <v>376</v>
      </c>
      <c r="AN1360" t="s">
        <v>377</v>
      </c>
    </row>
    <row r="1361" spans="37:40" x14ac:dyDescent="0.25">
      <c r="AK1361" s="32" t="s">
        <v>50</v>
      </c>
      <c r="AL1361" t="s">
        <v>297</v>
      </c>
      <c r="AM1361" t="s">
        <v>379</v>
      </c>
      <c r="AN1361" t="s">
        <v>380</v>
      </c>
    </row>
    <row r="1362" spans="37:40" x14ac:dyDescent="0.25">
      <c r="AK1362" s="32" t="s">
        <v>50</v>
      </c>
      <c r="AL1362" t="s">
        <v>297</v>
      </c>
      <c r="AM1362" t="s">
        <v>381</v>
      </c>
      <c r="AN1362" t="s">
        <v>382</v>
      </c>
    </row>
    <row r="1363" spans="37:40" x14ac:dyDescent="0.25">
      <c r="AK1363" s="32" t="s">
        <v>50</v>
      </c>
      <c r="AL1363" t="s">
        <v>297</v>
      </c>
      <c r="AM1363" t="s">
        <v>383</v>
      </c>
      <c r="AN1363" t="s">
        <v>384</v>
      </c>
    </row>
    <row r="1364" spans="37:40" x14ac:dyDescent="0.25">
      <c r="AK1364" s="32" t="s">
        <v>50</v>
      </c>
      <c r="AL1364" t="s">
        <v>297</v>
      </c>
      <c r="AM1364" t="s">
        <v>385</v>
      </c>
      <c r="AN1364" t="s">
        <v>386</v>
      </c>
    </row>
    <row r="1365" spans="37:40" x14ac:dyDescent="0.25">
      <c r="AK1365" s="32" t="s">
        <v>50</v>
      </c>
      <c r="AL1365" t="s">
        <v>297</v>
      </c>
      <c r="AM1365" t="s">
        <v>387</v>
      </c>
      <c r="AN1365" t="s">
        <v>388</v>
      </c>
    </row>
    <row r="1366" spans="37:40" x14ac:dyDescent="0.25">
      <c r="AK1366" s="32" t="s">
        <v>50</v>
      </c>
      <c r="AL1366" t="s">
        <v>297</v>
      </c>
      <c r="AM1366" t="s">
        <v>389</v>
      </c>
      <c r="AN1366" t="s">
        <v>390</v>
      </c>
    </row>
    <row r="1367" spans="37:40" x14ac:dyDescent="0.25">
      <c r="AK1367" s="32" t="s">
        <v>50</v>
      </c>
      <c r="AL1367" t="s">
        <v>297</v>
      </c>
      <c r="AM1367" t="s">
        <v>391</v>
      </c>
      <c r="AN1367" t="s">
        <v>392</v>
      </c>
    </row>
    <row r="1368" spans="37:40" x14ac:dyDescent="0.25">
      <c r="AK1368" s="32" t="s">
        <v>50</v>
      </c>
      <c r="AL1368" t="s">
        <v>297</v>
      </c>
      <c r="AM1368" t="s">
        <v>393</v>
      </c>
      <c r="AN1368" t="s">
        <v>394</v>
      </c>
    </row>
    <row r="1369" spans="37:40" x14ac:dyDescent="0.25">
      <c r="AK1369" s="32" t="s">
        <v>50</v>
      </c>
      <c r="AL1369" t="s">
        <v>297</v>
      </c>
      <c r="AM1369" t="s">
        <v>395</v>
      </c>
      <c r="AN1369" t="s">
        <v>396</v>
      </c>
    </row>
    <row r="1370" spans="37:40" x14ac:dyDescent="0.25">
      <c r="AK1370" s="32" t="s">
        <v>50</v>
      </c>
      <c r="AL1370" t="s">
        <v>297</v>
      </c>
      <c r="AM1370" t="s">
        <v>397</v>
      </c>
      <c r="AN1370" t="s">
        <v>398</v>
      </c>
    </row>
    <row r="1371" spans="37:40" x14ac:dyDescent="0.25">
      <c r="AK1371" s="32" t="s">
        <v>50</v>
      </c>
      <c r="AL1371" t="s">
        <v>297</v>
      </c>
      <c r="AM1371" t="s">
        <v>399</v>
      </c>
      <c r="AN1371" t="s">
        <v>400</v>
      </c>
    </row>
    <row r="1372" spans="37:40" x14ac:dyDescent="0.25">
      <c r="AK1372" s="32" t="s">
        <v>50</v>
      </c>
      <c r="AL1372" t="s">
        <v>297</v>
      </c>
      <c r="AM1372" t="s">
        <v>401</v>
      </c>
      <c r="AN1372" t="s">
        <v>402</v>
      </c>
    </row>
    <row r="1373" spans="37:40" x14ac:dyDescent="0.25">
      <c r="AK1373" s="32" t="s">
        <v>50</v>
      </c>
      <c r="AL1373" t="s">
        <v>297</v>
      </c>
      <c r="AM1373" t="s">
        <v>403</v>
      </c>
      <c r="AN1373" t="s">
        <v>404</v>
      </c>
    </row>
    <row r="1374" spans="37:40" x14ac:dyDescent="0.25">
      <c r="AK1374" s="32" t="s">
        <v>50</v>
      </c>
      <c r="AL1374" t="s">
        <v>297</v>
      </c>
      <c r="AM1374" t="s">
        <v>405</v>
      </c>
      <c r="AN1374" t="s">
        <v>406</v>
      </c>
    </row>
    <row r="1375" spans="37:40" x14ac:dyDescent="0.25">
      <c r="AK1375" s="32" t="s">
        <v>50</v>
      </c>
      <c r="AL1375" t="s">
        <v>297</v>
      </c>
      <c r="AM1375" t="s">
        <v>407</v>
      </c>
      <c r="AN1375" t="s">
        <v>408</v>
      </c>
    </row>
    <row r="1376" spans="37:40" x14ac:dyDescent="0.25">
      <c r="AK1376" s="32" t="s">
        <v>50</v>
      </c>
      <c r="AL1376" t="s">
        <v>297</v>
      </c>
      <c r="AM1376" t="s">
        <v>409</v>
      </c>
      <c r="AN1376" t="s">
        <v>410</v>
      </c>
    </row>
    <row r="1379" spans="37:40" x14ac:dyDescent="0.25">
      <c r="AK1379" s="32" t="s">
        <v>50</v>
      </c>
      <c r="AL1379" t="s">
        <v>304</v>
      </c>
      <c r="AM1379" t="s">
        <v>51</v>
      </c>
      <c r="AN1379" t="s">
        <v>556</v>
      </c>
    </row>
    <row r="1380" spans="37:40" x14ac:dyDescent="0.25">
      <c r="AK1380" s="32" t="s">
        <v>50</v>
      </c>
      <c r="AL1380" t="s">
        <v>304</v>
      </c>
      <c r="AM1380" t="s">
        <v>80</v>
      </c>
      <c r="AN1380" t="s">
        <v>557</v>
      </c>
    </row>
    <row r="1381" spans="37:40" x14ac:dyDescent="0.25">
      <c r="AK1381" s="32" t="s">
        <v>50</v>
      </c>
      <c r="AL1381" t="s">
        <v>304</v>
      </c>
      <c r="AM1381" t="s">
        <v>104</v>
      </c>
      <c r="AN1381" t="s">
        <v>558</v>
      </c>
    </row>
    <row r="1382" spans="37:40" x14ac:dyDescent="0.25">
      <c r="AK1382" s="32" t="s">
        <v>50</v>
      </c>
      <c r="AL1382" t="s">
        <v>304</v>
      </c>
      <c r="AM1382" t="s">
        <v>119</v>
      </c>
      <c r="AN1382" t="s">
        <v>559</v>
      </c>
    </row>
    <row r="1383" spans="37:40" x14ac:dyDescent="0.25">
      <c r="AK1383" s="32" t="s">
        <v>50</v>
      </c>
      <c r="AL1383" t="s">
        <v>304</v>
      </c>
      <c r="AM1383" t="s">
        <v>137</v>
      </c>
      <c r="AN1383" t="s">
        <v>560</v>
      </c>
    </row>
    <row r="1384" spans="37:40" x14ac:dyDescent="0.25">
      <c r="AK1384" s="32" t="s">
        <v>50</v>
      </c>
      <c r="AL1384" t="s">
        <v>304</v>
      </c>
      <c r="AM1384" t="s">
        <v>149</v>
      </c>
      <c r="AN1384" t="s">
        <v>561</v>
      </c>
    </row>
    <row r="1385" spans="37:40" x14ac:dyDescent="0.25">
      <c r="AK1385" s="32" t="s">
        <v>50</v>
      </c>
      <c r="AL1385" t="s">
        <v>304</v>
      </c>
      <c r="AM1385" t="s">
        <v>162</v>
      </c>
      <c r="AN1385" t="s">
        <v>562</v>
      </c>
    </row>
    <row r="1386" spans="37:40" x14ac:dyDescent="0.25">
      <c r="AK1386" s="32" t="s">
        <v>50</v>
      </c>
      <c r="AL1386" t="s">
        <v>304</v>
      </c>
      <c r="AM1386" t="s">
        <v>174</v>
      </c>
      <c r="AN1386" t="s">
        <v>563</v>
      </c>
    </row>
    <row r="1387" spans="37:40" x14ac:dyDescent="0.25">
      <c r="AK1387" s="32" t="s">
        <v>50</v>
      </c>
      <c r="AL1387" t="s">
        <v>304</v>
      </c>
      <c r="AM1387" t="s">
        <v>187</v>
      </c>
      <c r="AN1387" t="s">
        <v>564</v>
      </c>
    </row>
    <row r="1388" spans="37:40" x14ac:dyDescent="0.25">
      <c r="AK1388" s="32" t="s">
        <v>50</v>
      </c>
      <c r="AL1388" t="s">
        <v>304</v>
      </c>
      <c r="AM1388" t="s">
        <v>199</v>
      </c>
      <c r="AN1388" t="s">
        <v>565</v>
      </c>
    </row>
    <row r="1389" spans="37:40" x14ac:dyDescent="0.25">
      <c r="AK1389" s="32" t="s">
        <v>50</v>
      </c>
      <c r="AL1389" t="s">
        <v>304</v>
      </c>
      <c r="AM1389" s="55"/>
      <c r="AN1389" s="55"/>
    </row>
    <row r="1390" spans="37:40" x14ac:dyDescent="0.25">
      <c r="AK1390" s="32" t="s">
        <v>50</v>
      </c>
      <c r="AL1390" t="s">
        <v>304</v>
      </c>
      <c r="AM1390" s="55"/>
      <c r="AN1390" s="55"/>
    </row>
    <row r="1391" spans="37:40" x14ac:dyDescent="0.25">
      <c r="AK1391" s="32" t="s">
        <v>50</v>
      </c>
      <c r="AL1391" t="s">
        <v>304</v>
      </c>
      <c r="AM1391" s="55"/>
      <c r="AN1391" s="55"/>
    </row>
    <row r="1392" spans="37:40" x14ac:dyDescent="0.25">
      <c r="AK1392" s="32" t="s">
        <v>50</v>
      </c>
      <c r="AL1392" t="s">
        <v>304</v>
      </c>
      <c r="AM1392" s="55"/>
      <c r="AN1392" s="55"/>
    </row>
    <row r="1393" spans="37:41" x14ac:dyDescent="0.25">
      <c r="AK1393" s="32" t="s">
        <v>50</v>
      </c>
      <c r="AL1393" t="s">
        <v>304</v>
      </c>
      <c r="AM1393" s="55"/>
      <c r="AN1393" s="55"/>
    </row>
    <row r="1394" spans="37:41" x14ac:dyDescent="0.25">
      <c r="AK1394" s="32" t="s">
        <v>50</v>
      </c>
      <c r="AL1394" t="s">
        <v>304</v>
      </c>
      <c r="AM1394" s="55"/>
      <c r="AN1394" s="55"/>
    </row>
    <row r="1395" spans="37:41" x14ac:dyDescent="0.25">
      <c r="AM1395" s="49"/>
      <c r="AN1395" s="49"/>
    </row>
    <row r="1396" spans="37:41" x14ac:dyDescent="0.25">
      <c r="AK1396" s="32" t="s">
        <v>50</v>
      </c>
      <c r="AL1396" t="s">
        <v>308</v>
      </c>
      <c r="AM1396" t="s">
        <v>51</v>
      </c>
      <c r="AN1396" t="s">
        <v>52</v>
      </c>
    </row>
    <row r="1397" spans="37:41" x14ac:dyDescent="0.25">
      <c r="AK1397" s="32" t="s">
        <v>50</v>
      </c>
      <c r="AL1397" t="s">
        <v>308</v>
      </c>
      <c r="AM1397" t="s">
        <v>80</v>
      </c>
      <c r="AN1397" t="s">
        <v>81</v>
      </c>
      <c r="AO1397" t="s">
        <v>503</v>
      </c>
    </row>
    <row r="1398" spans="37:41" x14ac:dyDescent="0.25">
      <c r="AK1398" s="32" t="s">
        <v>50</v>
      </c>
      <c r="AL1398" t="s">
        <v>308</v>
      </c>
      <c r="AM1398" t="s">
        <v>104</v>
      </c>
      <c r="AN1398" t="s">
        <v>105</v>
      </c>
      <c r="AO1398" t="s">
        <v>504</v>
      </c>
    </row>
    <row r="1399" spans="37:41" x14ac:dyDescent="0.25">
      <c r="AK1399" s="32" t="s">
        <v>50</v>
      </c>
      <c r="AL1399" t="s">
        <v>308</v>
      </c>
      <c r="AM1399" t="s">
        <v>119</v>
      </c>
      <c r="AN1399" t="s">
        <v>120</v>
      </c>
      <c r="AO1399" t="s">
        <v>505</v>
      </c>
    </row>
    <row r="1400" spans="37:41" x14ac:dyDescent="0.25">
      <c r="AK1400" s="32" t="s">
        <v>50</v>
      </c>
      <c r="AL1400" t="s">
        <v>308</v>
      </c>
      <c r="AM1400" t="s">
        <v>137</v>
      </c>
      <c r="AN1400" t="s">
        <v>138</v>
      </c>
      <c r="AO1400" t="s">
        <v>506</v>
      </c>
    </row>
    <row r="1401" spans="37:41" x14ac:dyDescent="0.25">
      <c r="AK1401" s="32" t="s">
        <v>50</v>
      </c>
      <c r="AL1401" t="s">
        <v>308</v>
      </c>
      <c r="AM1401" t="s">
        <v>149</v>
      </c>
      <c r="AN1401" t="s">
        <v>150</v>
      </c>
      <c r="AO1401" t="s">
        <v>507</v>
      </c>
    </row>
    <row r="1402" spans="37:41" x14ac:dyDescent="0.25">
      <c r="AK1402" s="32" t="s">
        <v>50</v>
      </c>
      <c r="AL1402" t="s">
        <v>308</v>
      </c>
      <c r="AM1402" t="s">
        <v>162</v>
      </c>
      <c r="AN1402" t="s">
        <v>163</v>
      </c>
      <c r="AO1402" t="s">
        <v>508</v>
      </c>
    </row>
    <row r="1403" spans="37:41" x14ac:dyDescent="0.25">
      <c r="AK1403" s="32" t="s">
        <v>50</v>
      </c>
      <c r="AL1403" t="s">
        <v>308</v>
      </c>
      <c r="AM1403" t="s">
        <v>174</v>
      </c>
      <c r="AN1403" t="s">
        <v>175</v>
      </c>
      <c r="AO1403" t="s">
        <v>509</v>
      </c>
    </row>
    <row r="1404" spans="37:41" x14ac:dyDescent="0.25">
      <c r="AK1404" s="32" t="s">
        <v>50</v>
      </c>
      <c r="AL1404" t="s">
        <v>308</v>
      </c>
      <c r="AM1404" t="s">
        <v>187</v>
      </c>
      <c r="AN1404" t="s">
        <v>188</v>
      </c>
      <c r="AO1404" t="s">
        <v>510</v>
      </c>
    </row>
    <row r="1405" spans="37:41" x14ac:dyDescent="0.25">
      <c r="AK1405" s="32" t="s">
        <v>50</v>
      </c>
      <c r="AL1405" t="s">
        <v>308</v>
      </c>
      <c r="AM1405" t="s">
        <v>199</v>
      </c>
      <c r="AN1405" t="s">
        <v>200</v>
      </c>
      <c r="AO1405" t="s">
        <v>511</v>
      </c>
    </row>
    <row r="1406" spans="37:41" x14ac:dyDescent="0.25">
      <c r="AK1406" s="32" t="s">
        <v>50</v>
      </c>
      <c r="AL1406" t="s">
        <v>308</v>
      </c>
      <c r="AM1406" t="s">
        <v>211</v>
      </c>
      <c r="AN1406" t="s">
        <v>212</v>
      </c>
      <c r="AO1406" t="s">
        <v>512</v>
      </c>
    </row>
    <row r="1407" spans="37:41" x14ac:dyDescent="0.25">
      <c r="AK1407" s="32" t="s">
        <v>50</v>
      </c>
      <c r="AL1407" t="s">
        <v>308</v>
      </c>
      <c r="AM1407" t="s">
        <v>223</v>
      </c>
      <c r="AN1407" t="s">
        <v>224</v>
      </c>
      <c r="AO1407" t="s">
        <v>505</v>
      </c>
    </row>
    <row r="1408" spans="37:41" x14ac:dyDescent="0.25">
      <c r="AK1408" s="32" t="s">
        <v>50</v>
      </c>
      <c r="AL1408" t="s">
        <v>308</v>
      </c>
      <c r="AM1408" t="s">
        <v>232</v>
      </c>
      <c r="AN1408" t="s">
        <v>233</v>
      </c>
      <c r="AO1408" t="s">
        <v>506</v>
      </c>
    </row>
    <row r="1409" spans="37:41" x14ac:dyDescent="0.25">
      <c r="AK1409" s="32" t="s">
        <v>50</v>
      </c>
      <c r="AL1409" t="s">
        <v>308</v>
      </c>
      <c r="AM1409" t="s">
        <v>239</v>
      </c>
      <c r="AN1409" t="s">
        <v>240</v>
      </c>
      <c r="AO1409" t="s">
        <v>507</v>
      </c>
    </row>
    <row r="1410" spans="37:41" x14ac:dyDescent="0.25">
      <c r="AK1410" s="32" t="s">
        <v>50</v>
      </c>
      <c r="AL1410" t="s">
        <v>308</v>
      </c>
      <c r="AM1410" t="s">
        <v>246</v>
      </c>
      <c r="AN1410" t="s">
        <v>247</v>
      </c>
      <c r="AO1410" t="s">
        <v>504</v>
      </c>
    </row>
    <row r="1411" spans="37:41" x14ac:dyDescent="0.25">
      <c r="AK1411" s="32" t="s">
        <v>50</v>
      </c>
      <c r="AL1411" t="s">
        <v>308</v>
      </c>
      <c r="AM1411" t="s">
        <v>254</v>
      </c>
      <c r="AN1411" t="s">
        <v>255</v>
      </c>
      <c r="AO1411" t="s">
        <v>506</v>
      </c>
    </row>
    <row r="1412" spans="37:41" x14ac:dyDescent="0.25">
      <c r="AK1412" s="32" t="s">
        <v>50</v>
      </c>
      <c r="AL1412" t="s">
        <v>308</v>
      </c>
      <c r="AM1412" t="s">
        <v>262</v>
      </c>
      <c r="AN1412" t="s">
        <v>263</v>
      </c>
      <c r="AO1412" t="s">
        <v>507</v>
      </c>
    </row>
    <row r="1413" spans="37:41" x14ac:dyDescent="0.25">
      <c r="AK1413" s="32" t="s">
        <v>50</v>
      </c>
      <c r="AL1413" t="s">
        <v>308</v>
      </c>
      <c r="AM1413" t="s">
        <v>270</v>
      </c>
      <c r="AN1413" t="s">
        <v>271</v>
      </c>
      <c r="AO1413" t="s">
        <v>508</v>
      </c>
    </row>
    <row r="1414" spans="37:41" x14ac:dyDescent="0.25">
      <c r="AK1414" s="32" t="s">
        <v>50</v>
      </c>
      <c r="AL1414" t="s">
        <v>308</v>
      </c>
      <c r="AM1414" t="s">
        <v>277</v>
      </c>
      <c r="AN1414" t="s">
        <v>278</v>
      </c>
      <c r="AO1414" t="s">
        <v>509</v>
      </c>
    </row>
    <row r="1415" spans="37:41" x14ac:dyDescent="0.25">
      <c r="AK1415" s="32" t="s">
        <v>50</v>
      </c>
      <c r="AL1415" t="s">
        <v>308</v>
      </c>
      <c r="AM1415" t="s">
        <v>284</v>
      </c>
      <c r="AN1415" t="s">
        <v>285</v>
      </c>
      <c r="AO1415" t="s">
        <v>504</v>
      </c>
    </row>
    <row r="1416" spans="37:41" x14ac:dyDescent="0.25">
      <c r="AK1416" s="32" t="s">
        <v>50</v>
      </c>
      <c r="AL1416" t="s">
        <v>308</v>
      </c>
      <c r="AM1416" t="s">
        <v>291</v>
      </c>
      <c r="AN1416" t="s">
        <v>292</v>
      </c>
      <c r="AO1416" t="s">
        <v>505</v>
      </c>
    </row>
    <row r="1417" spans="37:41" x14ac:dyDescent="0.25">
      <c r="AK1417" s="32" t="s">
        <v>50</v>
      </c>
      <c r="AL1417" t="s">
        <v>308</v>
      </c>
      <c r="AM1417" t="s">
        <v>298</v>
      </c>
      <c r="AN1417" t="s">
        <v>299</v>
      </c>
      <c r="AO1417" t="s">
        <v>507</v>
      </c>
    </row>
    <row r="1418" spans="37:41" x14ac:dyDescent="0.25">
      <c r="AK1418" s="32" t="s">
        <v>50</v>
      </c>
      <c r="AL1418" t="s">
        <v>308</v>
      </c>
      <c r="AM1418" t="s">
        <v>305</v>
      </c>
      <c r="AN1418" t="s">
        <v>306</v>
      </c>
      <c r="AO1418" t="s">
        <v>508</v>
      </c>
    </row>
    <row r="1419" spans="37:41" x14ac:dyDescent="0.25">
      <c r="AK1419" s="32" t="s">
        <v>50</v>
      </c>
      <c r="AL1419" t="s">
        <v>308</v>
      </c>
      <c r="AM1419" t="s">
        <v>309</v>
      </c>
      <c r="AN1419" t="s">
        <v>310</v>
      </c>
      <c r="AO1419" t="s">
        <v>509</v>
      </c>
    </row>
    <row r="1420" spans="37:41" x14ac:dyDescent="0.25">
      <c r="AK1420" s="32" t="s">
        <v>50</v>
      </c>
      <c r="AL1420" t="s">
        <v>308</v>
      </c>
      <c r="AM1420" t="s">
        <v>312</v>
      </c>
      <c r="AN1420" t="s">
        <v>313</v>
      </c>
      <c r="AO1420" t="s">
        <v>504</v>
      </c>
    </row>
    <row r="1421" spans="37:41" x14ac:dyDescent="0.25">
      <c r="AK1421" s="32" t="s">
        <v>50</v>
      </c>
      <c r="AL1421" t="s">
        <v>308</v>
      </c>
      <c r="AM1421" t="s">
        <v>315</v>
      </c>
      <c r="AN1421" t="s">
        <v>316</v>
      </c>
      <c r="AO1421" t="s">
        <v>505</v>
      </c>
    </row>
    <row r="1422" spans="37:41" x14ac:dyDescent="0.25">
      <c r="AK1422" s="32" t="s">
        <v>50</v>
      </c>
      <c r="AL1422" t="s">
        <v>308</v>
      </c>
      <c r="AM1422" t="s">
        <v>319</v>
      </c>
      <c r="AN1422" t="s">
        <v>320</v>
      </c>
      <c r="AO1422" t="s">
        <v>506</v>
      </c>
    </row>
    <row r="1423" spans="37:41" x14ac:dyDescent="0.25">
      <c r="AK1423" s="32" t="s">
        <v>50</v>
      </c>
      <c r="AL1423" t="s">
        <v>308</v>
      </c>
      <c r="AM1423" t="s">
        <v>323</v>
      </c>
      <c r="AN1423" t="s">
        <v>324</v>
      </c>
      <c r="AO1423" t="s">
        <v>508</v>
      </c>
    </row>
    <row r="1424" spans="37:41" x14ac:dyDescent="0.25">
      <c r="AK1424" s="32" t="s">
        <v>50</v>
      </c>
      <c r="AL1424" t="s">
        <v>308</v>
      </c>
      <c r="AM1424" t="s">
        <v>326</v>
      </c>
      <c r="AN1424" t="s">
        <v>327</v>
      </c>
      <c r="AO1424" t="s">
        <v>509</v>
      </c>
    </row>
    <row r="1425" spans="37:41" x14ac:dyDescent="0.25">
      <c r="AK1425" s="32" t="s">
        <v>50</v>
      </c>
      <c r="AL1425" t="s">
        <v>308</v>
      </c>
      <c r="AM1425" t="s">
        <v>330</v>
      </c>
      <c r="AN1425" t="s">
        <v>331</v>
      </c>
      <c r="AO1425" t="s">
        <v>510</v>
      </c>
    </row>
    <row r="1426" spans="37:41" x14ac:dyDescent="0.25">
      <c r="AK1426" s="32" t="s">
        <v>50</v>
      </c>
      <c r="AL1426" t="s">
        <v>308</v>
      </c>
      <c r="AM1426" t="s">
        <v>335</v>
      </c>
      <c r="AN1426" t="s">
        <v>336</v>
      </c>
      <c r="AO1426" t="s">
        <v>511</v>
      </c>
    </row>
    <row r="1427" spans="37:41" x14ac:dyDescent="0.25">
      <c r="AK1427" s="32" t="s">
        <v>50</v>
      </c>
      <c r="AL1427" t="s">
        <v>308</v>
      </c>
      <c r="AM1427" t="s">
        <v>340</v>
      </c>
      <c r="AN1427" t="s">
        <v>341</v>
      </c>
      <c r="AO1427" t="s">
        <v>505</v>
      </c>
    </row>
    <row r="1428" spans="37:41" x14ac:dyDescent="0.25">
      <c r="AK1428" s="32" t="s">
        <v>50</v>
      </c>
      <c r="AL1428" t="s">
        <v>308</v>
      </c>
      <c r="AM1428" t="s">
        <v>344</v>
      </c>
      <c r="AN1428" t="s">
        <v>345</v>
      </c>
      <c r="AO1428" t="s">
        <v>506</v>
      </c>
    </row>
    <row r="1429" spans="37:41" x14ac:dyDescent="0.25">
      <c r="AK1429" s="32" t="s">
        <v>50</v>
      </c>
      <c r="AL1429" t="s">
        <v>308</v>
      </c>
      <c r="AM1429" t="s">
        <v>348</v>
      </c>
      <c r="AN1429" t="s">
        <v>349</v>
      </c>
      <c r="AO1429" t="s">
        <v>507</v>
      </c>
    </row>
    <row r="1430" spans="37:41" x14ac:dyDescent="0.25">
      <c r="AK1430" s="32" t="s">
        <v>50</v>
      </c>
      <c r="AL1430" t="s">
        <v>308</v>
      </c>
      <c r="AM1430" t="s">
        <v>352</v>
      </c>
      <c r="AN1430" t="s">
        <v>353</v>
      </c>
      <c r="AO1430" t="s">
        <v>509</v>
      </c>
    </row>
    <row r="1431" spans="37:41" x14ac:dyDescent="0.25">
      <c r="AK1431" s="32" t="s">
        <v>50</v>
      </c>
      <c r="AL1431" t="s">
        <v>308</v>
      </c>
      <c r="AM1431" t="s">
        <v>356</v>
      </c>
      <c r="AN1431" t="s">
        <v>357</v>
      </c>
      <c r="AO1431" t="s">
        <v>510</v>
      </c>
    </row>
    <row r="1432" spans="37:41" x14ac:dyDescent="0.25">
      <c r="AK1432" s="32" t="s">
        <v>50</v>
      </c>
      <c r="AL1432" t="s">
        <v>308</v>
      </c>
      <c r="AM1432" t="s">
        <v>359</v>
      </c>
      <c r="AN1432" t="s">
        <v>360</v>
      </c>
      <c r="AO1432" t="s">
        <v>511</v>
      </c>
    </row>
    <row r="1433" spans="37:41" x14ac:dyDescent="0.25">
      <c r="AK1433" s="32" t="s">
        <v>50</v>
      </c>
      <c r="AL1433" t="s">
        <v>308</v>
      </c>
      <c r="AM1433" t="s">
        <v>362</v>
      </c>
      <c r="AN1433" t="s">
        <v>363</v>
      </c>
      <c r="AO1433" t="s">
        <v>512</v>
      </c>
    </row>
    <row r="1434" spans="37:41" x14ac:dyDescent="0.25">
      <c r="AK1434" s="32" t="s">
        <v>50</v>
      </c>
      <c r="AL1434" t="s">
        <v>308</v>
      </c>
      <c r="AM1434" t="s">
        <v>365</v>
      </c>
      <c r="AN1434" t="s">
        <v>366</v>
      </c>
      <c r="AO1434" t="s">
        <v>505</v>
      </c>
    </row>
    <row r="1435" spans="37:41" x14ac:dyDescent="0.25">
      <c r="AK1435" s="32" t="s">
        <v>50</v>
      </c>
      <c r="AL1435" t="s">
        <v>308</v>
      </c>
      <c r="AM1435" t="s">
        <v>367</v>
      </c>
      <c r="AN1435" t="s">
        <v>368</v>
      </c>
      <c r="AO1435" t="s">
        <v>506</v>
      </c>
    </row>
    <row r="1436" spans="37:41" x14ac:dyDescent="0.25">
      <c r="AK1436" s="32" t="s">
        <v>50</v>
      </c>
      <c r="AL1436" t="s">
        <v>308</v>
      </c>
      <c r="AM1436" t="s">
        <v>369</v>
      </c>
      <c r="AN1436" t="s">
        <v>370</v>
      </c>
      <c r="AO1436" t="s">
        <v>507</v>
      </c>
    </row>
    <row r="1437" spans="37:41" x14ac:dyDescent="0.25">
      <c r="AK1437" s="32" t="s">
        <v>50</v>
      </c>
      <c r="AL1437" t="s">
        <v>308</v>
      </c>
      <c r="AM1437" t="s">
        <v>371</v>
      </c>
      <c r="AN1437" t="s">
        <v>372</v>
      </c>
      <c r="AO1437" t="s">
        <v>508</v>
      </c>
    </row>
    <row r="1438" spans="37:41" x14ac:dyDescent="0.25">
      <c r="AK1438" s="32" t="s">
        <v>50</v>
      </c>
      <c r="AL1438" t="s">
        <v>308</v>
      </c>
      <c r="AM1438" t="s">
        <v>374</v>
      </c>
      <c r="AN1438" t="s">
        <v>375</v>
      </c>
      <c r="AO1438" t="s">
        <v>510</v>
      </c>
    </row>
    <row r="1439" spans="37:41" x14ac:dyDescent="0.25">
      <c r="AK1439" s="32" t="s">
        <v>50</v>
      </c>
      <c r="AL1439" t="s">
        <v>308</v>
      </c>
      <c r="AM1439" t="s">
        <v>376</v>
      </c>
      <c r="AN1439" t="s">
        <v>377</v>
      </c>
      <c r="AO1439" t="s">
        <v>511</v>
      </c>
    </row>
    <row r="1440" spans="37:41" x14ac:dyDescent="0.25">
      <c r="AK1440" s="32" t="s">
        <v>50</v>
      </c>
      <c r="AL1440" t="s">
        <v>308</v>
      </c>
      <c r="AM1440" t="s">
        <v>379</v>
      </c>
      <c r="AN1440" t="s">
        <v>380</v>
      </c>
      <c r="AO1440" t="s">
        <v>512</v>
      </c>
    </row>
    <row r="1441" spans="37:41" x14ac:dyDescent="0.25">
      <c r="AK1441" s="32" t="s">
        <v>50</v>
      </c>
      <c r="AL1441" t="s">
        <v>308</v>
      </c>
      <c r="AM1441" t="s">
        <v>381</v>
      </c>
      <c r="AN1441" t="s">
        <v>382</v>
      </c>
      <c r="AO1441" t="s">
        <v>506</v>
      </c>
    </row>
    <row r="1442" spans="37:41" x14ac:dyDescent="0.25">
      <c r="AK1442" s="32" t="s">
        <v>50</v>
      </c>
      <c r="AL1442" t="s">
        <v>308</v>
      </c>
      <c r="AM1442" t="s">
        <v>383</v>
      </c>
      <c r="AN1442" t="s">
        <v>384</v>
      </c>
      <c r="AO1442" t="s">
        <v>507</v>
      </c>
    </row>
    <row r="1443" spans="37:41" x14ac:dyDescent="0.25">
      <c r="AK1443" s="32" t="s">
        <v>50</v>
      </c>
      <c r="AL1443" t="s">
        <v>308</v>
      </c>
      <c r="AM1443" t="s">
        <v>385</v>
      </c>
      <c r="AN1443" t="s">
        <v>386</v>
      </c>
      <c r="AO1443" t="s">
        <v>508</v>
      </c>
    </row>
    <row r="1444" spans="37:41" x14ac:dyDescent="0.25">
      <c r="AK1444" s="32" t="s">
        <v>50</v>
      </c>
      <c r="AL1444" t="s">
        <v>308</v>
      </c>
      <c r="AM1444" t="s">
        <v>387</v>
      </c>
      <c r="AN1444" t="s">
        <v>388</v>
      </c>
      <c r="AO1444" t="s">
        <v>509</v>
      </c>
    </row>
    <row r="1445" spans="37:41" x14ac:dyDescent="0.25">
      <c r="AK1445" s="32" t="s">
        <v>50</v>
      </c>
      <c r="AL1445" t="s">
        <v>308</v>
      </c>
      <c r="AM1445" t="s">
        <v>389</v>
      </c>
      <c r="AN1445" t="s">
        <v>390</v>
      </c>
      <c r="AO1445" t="s">
        <v>511</v>
      </c>
    </row>
    <row r="1446" spans="37:41" x14ac:dyDescent="0.25">
      <c r="AK1446" s="32" t="s">
        <v>50</v>
      </c>
      <c r="AL1446" t="s">
        <v>308</v>
      </c>
      <c r="AM1446" t="s">
        <v>391</v>
      </c>
      <c r="AN1446" t="s">
        <v>392</v>
      </c>
      <c r="AO1446" t="s">
        <v>512</v>
      </c>
    </row>
    <row r="1447" spans="37:41" x14ac:dyDescent="0.25">
      <c r="AK1447" s="32" t="s">
        <v>50</v>
      </c>
      <c r="AL1447" t="s">
        <v>308</v>
      </c>
      <c r="AM1447" t="s">
        <v>393</v>
      </c>
      <c r="AN1447" t="s">
        <v>394</v>
      </c>
      <c r="AO1447" t="s">
        <v>507</v>
      </c>
    </row>
    <row r="1448" spans="37:41" x14ac:dyDescent="0.25">
      <c r="AK1448" s="32" t="s">
        <v>50</v>
      </c>
      <c r="AL1448" t="s">
        <v>308</v>
      </c>
      <c r="AM1448" t="s">
        <v>395</v>
      </c>
      <c r="AN1448" t="s">
        <v>396</v>
      </c>
      <c r="AO1448" t="s">
        <v>508</v>
      </c>
    </row>
    <row r="1449" spans="37:41" x14ac:dyDescent="0.25">
      <c r="AK1449" s="32" t="s">
        <v>50</v>
      </c>
      <c r="AL1449" t="s">
        <v>308</v>
      </c>
      <c r="AM1449" t="s">
        <v>397</v>
      </c>
      <c r="AN1449" t="s">
        <v>398</v>
      </c>
      <c r="AO1449" t="s">
        <v>509</v>
      </c>
    </row>
    <row r="1450" spans="37:41" x14ac:dyDescent="0.25">
      <c r="AK1450" s="32" t="s">
        <v>50</v>
      </c>
      <c r="AL1450" t="s">
        <v>308</v>
      </c>
      <c r="AM1450" t="s">
        <v>399</v>
      </c>
      <c r="AN1450" t="s">
        <v>400</v>
      </c>
      <c r="AO1450" t="s">
        <v>510</v>
      </c>
    </row>
    <row r="1451" spans="37:41" x14ac:dyDescent="0.25">
      <c r="AK1451" s="32" t="s">
        <v>50</v>
      </c>
      <c r="AL1451" t="s">
        <v>308</v>
      </c>
      <c r="AM1451" t="s">
        <v>401</v>
      </c>
      <c r="AN1451" t="s">
        <v>402</v>
      </c>
      <c r="AO1451" t="s">
        <v>512</v>
      </c>
    </row>
    <row r="1452" spans="37:41" x14ac:dyDescent="0.25">
      <c r="AK1452" s="32" t="s">
        <v>50</v>
      </c>
      <c r="AL1452" t="s">
        <v>308</v>
      </c>
      <c r="AM1452" t="s">
        <v>403</v>
      </c>
      <c r="AN1452" t="s">
        <v>404</v>
      </c>
      <c r="AO1452" t="s">
        <v>507</v>
      </c>
    </row>
    <row r="1453" spans="37:41" x14ac:dyDescent="0.25">
      <c r="AK1453" s="32" t="s">
        <v>50</v>
      </c>
      <c r="AL1453" t="s">
        <v>308</v>
      </c>
      <c r="AM1453" t="s">
        <v>405</v>
      </c>
      <c r="AN1453" t="s">
        <v>406</v>
      </c>
      <c r="AO1453" t="s">
        <v>508</v>
      </c>
    </row>
    <row r="1454" spans="37:41" x14ac:dyDescent="0.25">
      <c r="AK1454" s="32" t="s">
        <v>50</v>
      </c>
      <c r="AL1454" t="s">
        <v>308</v>
      </c>
      <c r="AM1454" t="s">
        <v>407</v>
      </c>
      <c r="AN1454" t="s">
        <v>408</v>
      </c>
      <c r="AO1454" t="s">
        <v>509</v>
      </c>
    </row>
    <row r="1455" spans="37:41" x14ac:dyDescent="0.25">
      <c r="AK1455" s="32" t="s">
        <v>50</v>
      </c>
      <c r="AL1455" t="s">
        <v>308</v>
      </c>
      <c r="AM1455" t="s">
        <v>409</v>
      </c>
      <c r="AN1455" t="s">
        <v>410</v>
      </c>
      <c r="AO1455" t="s">
        <v>510</v>
      </c>
    </row>
    <row r="1456" spans="37:41" x14ac:dyDescent="0.25">
      <c r="AO1456" t="s">
        <v>511</v>
      </c>
    </row>
    <row r="1458" spans="37:41" x14ac:dyDescent="0.25">
      <c r="AK1458" t="s">
        <v>50</v>
      </c>
      <c r="AL1458" s="54" t="s">
        <v>314</v>
      </c>
      <c r="AM1458" t="s">
        <v>51</v>
      </c>
      <c r="AN1458" t="s">
        <v>513</v>
      </c>
      <c r="AO1458" t="s">
        <v>503</v>
      </c>
    </row>
    <row r="1459" spans="37:41" x14ac:dyDescent="0.25">
      <c r="AK1459" t="s">
        <v>50</v>
      </c>
      <c r="AL1459" s="54" t="s">
        <v>314</v>
      </c>
      <c r="AM1459" t="s">
        <v>80</v>
      </c>
      <c r="AN1459" t="s">
        <v>514</v>
      </c>
      <c r="AO1459" t="s">
        <v>504</v>
      </c>
    </row>
    <row r="1460" spans="37:41" x14ac:dyDescent="0.25">
      <c r="AK1460" t="s">
        <v>50</v>
      </c>
      <c r="AL1460" s="54" t="s">
        <v>314</v>
      </c>
      <c r="AM1460" t="s">
        <v>104</v>
      </c>
      <c r="AN1460" t="s">
        <v>515</v>
      </c>
      <c r="AO1460" t="s">
        <v>505</v>
      </c>
    </row>
    <row r="1461" spans="37:41" x14ac:dyDescent="0.25">
      <c r="AK1461" t="s">
        <v>50</v>
      </c>
      <c r="AL1461" s="54" t="s">
        <v>314</v>
      </c>
      <c r="AM1461" t="s">
        <v>119</v>
      </c>
      <c r="AN1461" t="s">
        <v>516</v>
      </c>
      <c r="AO1461" t="s">
        <v>506</v>
      </c>
    </row>
    <row r="1462" spans="37:41" x14ac:dyDescent="0.25">
      <c r="AK1462" t="s">
        <v>50</v>
      </c>
      <c r="AL1462" s="54" t="s">
        <v>314</v>
      </c>
      <c r="AM1462" t="s">
        <v>137</v>
      </c>
      <c r="AN1462" t="s">
        <v>517</v>
      </c>
      <c r="AO1462" t="s">
        <v>507</v>
      </c>
    </row>
    <row r="1463" spans="37:41" x14ac:dyDescent="0.25">
      <c r="AK1463" t="s">
        <v>50</v>
      </c>
      <c r="AL1463" s="54" t="s">
        <v>314</v>
      </c>
      <c r="AM1463" t="s">
        <v>149</v>
      </c>
      <c r="AN1463" t="s">
        <v>518</v>
      </c>
      <c r="AO1463" t="s">
        <v>508</v>
      </c>
    </row>
    <row r="1464" spans="37:41" x14ac:dyDescent="0.25">
      <c r="AK1464" t="s">
        <v>50</v>
      </c>
      <c r="AL1464" s="54" t="s">
        <v>314</v>
      </c>
      <c r="AM1464" t="s">
        <v>162</v>
      </c>
      <c r="AN1464" t="s">
        <v>519</v>
      </c>
      <c r="AO1464" t="s">
        <v>509</v>
      </c>
    </row>
    <row r="1465" spans="37:41" x14ac:dyDescent="0.25">
      <c r="AK1465" t="s">
        <v>50</v>
      </c>
      <c r="AL1465" s="54" t="s">
        <v>314</v>
      </c>
      <c r="AM1465" t="s">
        <v>174</v>
      </c>
      <c r="AN1465" t="s">
        <v>520</v>
      </c>
      <c r="AO1465" t="s">
        <v>510</v>
      </c>
    </row>
    <row r="1466" spans="37:41" x14ac:dyDescent="0.25">
      <c r="AK1466" t="s">
        <v>50</v>
      </c>
      <c r="AL1466" s="54" t="s">
        <v>314</v>
      </c>
      <c r="AM1466" t="s">
        <v>187</v>
      </c>
      <c r="AN1466" t="s">
        <v>521</v>
      </c>
      <c r="AO1466" t="s">
        <v>511</v>
      </c>
    </row>
    <row r="1467" spans="37:41" x14ac:dyDescent="0.25">
      <c r="AK1467" t="s">
        <v>50</v>
      </c>
      <c r="AL1467" s="54" t="s">
        <v>314</v>
      </c>
      <c r="AM1467" t="s">
        <v>199</v>
      </c>
      <c r="AN1467" t="s">
        <v>522</v>
      </c>
      <c r="AO1467" t="s">
        <v>512</v>
      </c>
    </row>
    <row r="1468" spans="37:41" x14ac:dyDescent="0.25">
      <c r="AK1468" t="s">
        <v>50</v>
      </c>
      <c r="AL1468" s="54" t="s">
        <v>314</v>
      </c>
      <c r="AM1468" t="s">
        <v>211</v>
      </c>
      <c r="AN1468" t="s">
        <v>523</v>
      </c>
      <c r="AO1468" t="s">
        <v>505</v>
      </c>
    </row>
    <row r="1469" spans="37:41" x14ac:dyDescent="0.25">
      <c r="AK1469" t="s">
        <v>50</v>
      </c>
      <c r="AL1469" s="54" t="s">
        <v>314</v>
      </c>
      <c r="AM1469" t="s">
        <v>223</v>
      </c>
      <c r="AN1469" t="s">
        <v>524</v>
      </c>
      <c r="AO1469" t="s">
        <v>506</v>
      </c>
    </row>
    <row r="1470" spans="37:41" x14ac:dyDescent="0.25">
      <c r="AK1470" t="s">
        <v>50</v>
      </c>
      <c r="AL1470" s="54" t="s">
        <v>314</v>
      </c>
      <c r="AM1470" t="s">
        <v>232</v>
      </c>
      <c r="AN1470" t="s">
        <v>525</v>
      </c>
      <c r="AO1470" t="s">
        <v>507</v>
      </c>
    </row>
    <row r="1471" spans="37:41" x14ac:dyDescent="0.25">
      <c r="AK1471" t="s">
        <v>50</v>
      </c>
      <c r="AL1471" s="54" t="s">
        <v>314</v>
      </c>
      <c r="AM1471" s="37" t="s">
        <v>362</v>
      </c>
      <c r="AN1471" t="s">
        <v>523</v>
      </c>
      <c r="AO1471" t="s">
        <v>504</v>
      </c>
    </row>
    <row r="1472" spans="37:41" x14ac:dyDescent="0.25">
      <c r="AK1472" t="s">
        <v>50</v>
      </c>
      <c r="AL1472" s="54" t="s">
        <v>314</v>
      </c>
      <c r="AM1472" t="s">
        <v>239</v>
      </c>
      <c r="AN1472" t="s">
        <v>526</v>
      </c>
      <c r="AO1472" t="s">
        <v>506</v>
      </c>
    </row>
    <row r="1473" spans="37:41" x14ac:dyDescent="0.25">
      <c r="AK1473" t="s">
        <v>50</v>
      </c>
      <c r="AL1473" s="54" t="s">
        <v>314</v>
      </c>
      <c r="AM1473" t="s">
        <v>246</v>
      </c>
      <c r="AN1473" t="s">
        <v>527</v>
      </c>
      <c r="AO1473" t="s">
        <v>507</v>
      </c>
    </row>
    <row r="1474" spans="37:41" x14ac:dyDescent="0.25">
      <c r="AK1474" t="s">
        <v>50</v>
      </c>
      <c r="AL1474" s="54" t="s">
        <v>314</v>
      </c>
      <c r="AM1474" t="s">
        <v>254</v>
      </c>
      <c r="AN1474" t="s">
        <v>528</v>
      </c>
      <c r="AO1474" t="s">
        <v>508</v>
      </c>
    </row>
    <row r="1475" spans="37:41" x14ac:dyDescent="0.25">
      <c r="AK1475" t="s">
        <v>50</v>
      </c>
      <c r="AL1475" s="54" t="s">
        <v>314</v>
      </c>
      <c r="AM1475" t="s">
        <v>365</v>
      </c>
      <c r="AN1475" t="s">
        <v>529</v>
      </c>
      <c r="AO1475" t="s">
        <v>509</v>
      </c>
    </row>
    <row r="1476" spans="37:41" x14ac:dyDescent="0.25">
      <c r="AK1476" t="s">
        <v>50</v>
      </c>
      <c r="AL1476" s="54" t="s">
        <v>314</v>
      </c>
      <c r="AM1476" s="37" t="s">
        <v>367</v>
      </c>
      <c r="AN1476" t="s">
        <v>524</v>
      </c>
      <c r="AO1476" t="s">
        <v>504</v>
      </c>
    </row>
    <row r="1477" spans="37:41" x14ac:dyDescent="0.25">
      <c r="AK1477" t="s">
        <v>50</v>
      </c>
      <c r="AL1477" s="54" t="s">
        <v>314</v>
      </c>
      <c r="AM1477" s="37" t="s">
        <v>369</v>
      </c>
      <c r="AN1477" t="s">
        <v>526</v>
      </c>
      <c r="AO1477" t="s">
        <v>505</v>
      </c>
    </row>
    <row r="1478" spans="37:41" x14ac:dyDescent="0.25">
      <c r="AK1478" t="s">
        <v>50</v>
      </c>
      <c r="AL1478" s="54" t="s">
        <v>314</v>
      </c>
      <c r="AM1478" t="s">
        <v>262</v>
      </c>
      <c r="AN1478" t="s">
        <v>530</v>
      </c>
      <c r="AO1478" t="s">
        <v>507</v>
      </c>
    </row>
    <row r="1479" spans="37:41" x14ac:dyDescent="0.25">
      <c r="AK1479" t="s">
        <v>50</v>
      </c>
      <c r="AL1479" s="54" t="s">
        <v>314</v>
      </c>
      <c r="AM1479" t="s">
        <v>270</v>
      </c>
      <c r="AN1479" t="s">
        <v>531</v>
      </c>
      <c r="AO1479" t="s">
        <v>508</v>
      </c>
    </row>
    <row r="1480" spans="37:41" x14ac:dyDescent="0.25">
      <c r="AK1480" t="s">
        <v>50</v>
      </c>
      <c r="AL1480" s="54" t="s">
        <v>314</v>
      </c>
      <c r="AM1480" t="s">
        <v>277</v>
      </c>
      <c r="AN1480" t="s">
        <v>532</v>
      </c>
      <c r="AO1480" t="s">
        <v>509</v>
      </c>
    </row>
    <row r="1481" spans="37:41" x14ac:dyDescent="0.25">
      <c r="AK1481" t="s">
        <v>50</v>
      </c>
      <c r="AL1481" s="54" t="s">
        <v>314</v>
      </c>
      <c r="AM1481" s="37" t="s">
        <v>371</v>
      </c>
      <c r="AN1481" s="39" t="s">
        <v>525</v>
      </c>
      <c r="AO1481" t="s">
        <v>504</v>
      </c>
    </row>
    <row r="1482" spans="37:41" x14ac:dyDescent="0.25">
      <c r="AK1482" t="s">
        <v>50</v>
      </c>
      <c r="AL1482" s="54" t="s">
        <v>314</v>
      </c>
      <c r="AM1482" s="37" t="s">
        <v>374</v>
      </c>
      <c r="AN1482" s="39" t="s">
        <v>527</v>
      </c>
      <c r="AO1482" t="s">
        <v>505</v>
      </c>
    </row>
    <row r="1483" spans="37:41" x14ac:dyDescent="0.25">
      <c r="AK1483" t="s">
        <v>50</v>
      </c>
      <c r="AL1483" s="54" t="s">
        <v>314</v>
      </c>
      <c r="AM1483" s="37" t="s">
        <v>376</v>
      </c>
      <c r="AN1483" s="39" t="s">
        <v>530</v>
      </c>
      <c r="AO1483" t="s">
        <v>506</v>
      </c>
    </row>
    <row r="1484" spans="37:41" x14ac:dyDescent="0.25">
      <c r="AK1484" t="s">
        <v>50</v>
      </c>
      <c r="AL1484" s="54" t="s">
        <v>314</v>
      </c>
      <c r="AM1484" s="37" t="s">
        <v>284</v>
      </c>
      <c r="AN1484" s="39" t="s">
        <v>533</v>
      </c>
      <c r="AO1484" t="s">
        <v>508</v>
      </c>
    </row>
    <row r="1485" spans="37:41" x14ac:dyDescent="0.25">
      <c r="AK1485" t="s">
        <v>50</v>
      </c>
      <c r="AL1485" s="54" t="s">
        <v>314</v>
      </c>
      <c r="AM1485" t="s">
        <v>291</v>
      </c>
      <c r="AN1485" t="s">
        <v>534</v>
      </c>
      <c r="AO1485" t="s">
        <v>509</v>
      </c>
    </row>
    <row r="1486" spans="37:41" x14ac:dyDescent="0.25">
      <c r="AK1486" t="s">
        <v>50</v>
      </c>
      <c r="AL1486" s="54" t="s">
        <v>314</v>
      </c>
      <c r="AM1486" s="37" t="s">
        <v>298</v>
      </c>
      <c r="AN1486" s="39" t="s">
        <v>535</v>
      </c>
      <c r="AO1486" t="s">
        <v>510</v>
      </c>
    </row>
    <row r="1487" spans="37:41" x14ac:dyDescent="0.25">
      <c r="AK1487" t="s">
        <v>50</v>
      </c>
      <c r="AL1487" s="54" t="s">
        <v>314</v>
      </c>
      <c r="AM1487" t="s">
        <v>379</v>
      </c>
      <c r="AN1487" t="s">
        <v>536</v>
      </c>
      <c r="AO1487" t="s">
        <v>511</v>
      </c>
    </row>
    <row r="1488" spans="37:41" x14ac:dyDescent="0.25">
      <c r="AK1488" t="s">
        <v>50</v>
      </c>
      <c r="AL1488" s="54" t="s">
        <v>314</v>
      </c>
      <c r="AM1488" s="37" t="s">
        <v>381</v>
      </c>
      <c r="AN1488" s="39" t="s">
        <v>528</v>
      </c>
      <c r="AO1488" t="s">
        <v>505</v>
      </c>
    </row>
    <row r="1489" spans="37:41" x14ac:dyDescent="0.25">
      <c r="AK1489" t="s">
        <v>50</v>
      </c>
      <c r="AL1489" s="54" t="s">
        <v>314</v>
      </c>
      <c r="AM1489" s="37" t="s">
        <v>383</v>
      </c>
      <c r="AN1489" s="59" t="s">
        <v>531</v>
      </c>
      <c r="AO1489" t="s">
        <v>506</v>
      </c>
    </row>
    <row r="1490" spans="37:41" x14ac:dyDescent="0.25">
      <c r="AK1490" t="s">
        <v>50</v>
      </c>
      <c r="AL1490" s="54" t="s">
        <v>314</v>
      </c>
      <c r="AM1490" s="37" t="s">
        <v>385</v>
      </c>
      <c r="AN1490" s="39" t="s">
        <v>537</v>
      </c>
      <c r="AO1490" t="s">
        <v>507</v>
      </c>
    </row>
    <row r="1491" spans="37:41" x14ac:dyDescent="0.25">
      <c r="AK1491" t="s">
        <v>50</v>
      </c>
      <c r="AL1491" s="54" t="s">
        <v>314</v>
      </c>
      <c r="AM1491" t="s">
        <v>305</v>
      </c>
      <c r="AN1491" t="s">
        <v>538</v>
      </c>
      <c r="AO1491" t="s">
        <v>509</v>
      </c>
    </row>
    <row r="1492" spans="37:41" x14ac:dyDescent="0.25">
      <c r="AK1492" t="s">
        <v>50</v>
      </c>
      <c r="AL1492" s="54" t="s">
        <v>314</v>
      </c>
      <c r="AM1492" s="37" t="s">
        <v>309</v>
      </c>
      <c r="AN1492" s="39" t="s">
        <v>539</v>
      </c>
      <c r="AO1492" t="s">
        <v>510</v>
      </c>
    </row>
    <row r="1493" spans="37:41" x14ac:dyDescent="0.25">
      <c r="AK1493" t="s">
        <v>50</v>
      </c>
      <c r="AL1493" s="54" t="s">
        <v>314</v>
      </c>
      <c r="AM1493" t="s">
        <v>312</v>
      </c>
      <c r="AN1493" t="s">
        <v>540</v>
      </c>
      <c r="AO1493" t="s">
        <v>511</v>
      </c>
    </row>
    <row r="1494" spans="37:41" x14ac:dyDescent="0.25">
      <c r="AK1494" t="s">
        <v>50</v>
      </c>
      <c r="AL1494" s="54" t="s">
        <v>314</v>
      </c>
      <c r="AM1494" t="s">
        <v>387</v>
      </c>
      <c r="AN1494" t="s">
        <v>541</v>
      </c>
      <c r="AO1494" t="s">
        <v>512</v>
      </c>
    </row>
    <row r="1495" spans="37:41" x14ac:dyDescent="0.25">
      <c r="AK1495" t="s">
        <v>50</v>
      </c>
      <c r="AL1495" s="54" t="s">
        <v>314</v>
      </c>
      <c r="AM1495" s="37" t="s">
        <v>389</v>
      </c>
      <c r="AN1495" s="39" t="s">
        <v>529</v>
      </c>
      <c r="AO1495" t="s">
        <v>505</v>
      </c>
    </row>
    <row r="1496" spans="37:41" x14ac:dyDescent="0.25">
      <c r="AK1496" t="s">
        <v>50</v>
      </c>
      <c r="AL1496" s="54" t="s">
        <v>314</v>
      </c>
      <c r="AM1496" s="37" t="s">
        <v>391</v>
      </c>
      <c r="AN1496" s="39" t="s">
        <v>532</v>
      </c>
      <c r="AO1496" t="s">
        <v>506</v>
      </c>
    </row>
    <row r="1497" spans="37:41" x14ac:dyDescent="0.25">
      <c r="AK1497" t="s">
        <v>50</v>
      </c>
      <c r="AL1497" s="54" t="s">
        <v>314</v>
      </c>
      <c r="AM1497" s="37" t="s">
        <v>393</v>
      </c>
      <c r="AN1497" s="39" t="s">
        <v>534</v>
      </c>
      <c r="AO1497" t="s">
        <v>507</v>
      </c>
    </row>
    <row r="1498" spans="37:41" x14ac:dyDescent="0.25">
      <c r="AK1498" t="s">
        <v>50</v>
      </c>
      <c r="AL1498" s="54" t="s">
        <v>314</v>
      </c>
      <c r="AM1498" s="37" t="s">
        <v>395</v>
      </c>
      <c r="AN1498" s="39" t="s">
        <v>538</v>
      </c>
      <c r="AO1498" t="s">
        <v>508</v>
      </c>
    </row>
    <row r="1499" spans="37:41" x14ac:dyDescent="0.25">
      <c r="AK1499" t="s">
        <v>50</v>
      </c>
      <c r="AL1499" s="54" t="s">
        <v>314</v>
      </c>
      <c r="AM1499" t="s">
        <v>315</v>
      </c>
      <c r="AN1499" t="s">
        <v>542</v>
      </c>
      <c r="AO1499" t="s">
        <v>510</v>
      </c>
    </row>
    <row r="1500" spans="37:41" x14ac:dyDescent="0.25">
      <c r="AK1500" t="s">
        <v>50</v>
      </c>
      <c r="AL1500" s="54" t="s">
        <v>314</v>
      </c>
      <c r="AM1500" t="s">
        <v>319</v>
      </c>
      <c r="AN1500" t="s">
        <v>543</v>
      </c>
      <c r="AO1500" t="s">
        <v>511</v>
      </c>
    </row>
    <row r="1501" spans="37:41" x14ac:dyDescent="0.25">
      <c r="AK1501" t="s">
        <v>50</v>
      </c>
      <c r="AL1501" s="54" t="s">
        <v>314</v>
      </c>
      <c r="AM1501" t="s">
        <v>323</v>
      </c>
      <c r="AN1501" t="s">
        <v>544</v>
      </c>
      <c r="AO1501" t="s">
        <v>512</v>
      </c>
    </row>
    <row r="1502" spans="37:41" x14ac:dyDescent="0.25">
      <c r="AK1502" t="s">
        <v>50</v>
      </c>
      <c r="AL1502" s="54" t="s">
        <v>314</v>
      </c>
      <c r="AM1502" s="37" t="s">
        <v>397</v>
      </c>
      <c r="AN1502" s="39" t="s">
        <v>545</v>
      </c>
      <c r="AO1502" t="s">
        <v>506</v>
      </c>
    </row>
    <row r="1503" spans="37:41" x14ac:dyDescent="0.25">
      <c r="AK1503" t="s">
        <v>50</v>
      </c>
      <c r="AL1503" s="54" t="s">
        <v>314</v>
      </c>
      <c r="AM1503" s="37" t="s">
        <v>399</v>
      </c>
      <c r="AN1503" s="39" t="s">
        <v>546</v>
      </c>
      <c r="AO1503" t="s">
        <v>507</v>
      </c>
    </row>
    <row r="1504" spans="37:41" x14ac:dyDescent="0.25">
      <c r="AK1504" t="s">
        <v>50</v>
      </c>
      <c r="AL1504" s="54" t="s">
        <v>314</v>
      </c>
      <c r="AM1504" s="37" t="s">
        <v>401</v>
      </c>
      <c r="AN1504" s="39" t="s">
        <v>547</v>
      </c>
      <c r="AO1504" t="s">
        <v>508</v>
      </c>
    </row>
    <row r="1505" spans="37:41" x14ac:dyDescent="0.25">
      <c r="AK1505" t="s">
        <v>50</v>
      </c>
      <c r="AL1505" s="54" t="s">
        <v>314</v>
      </c>
      <c r="AM1505" s="37" t="s">
        <v>335</v>
      </c>
      <c r="AN1505" s="39" t="s">
        <v>542</v>
      </c>
      <c r="AO1505" t="s">
        <v>509</v>
      </c>
    </row>
    <row r="1506" spans="37:41" x14ac:dyDescent="0.25">
      <c r="AK1506" t="s">
        <v>50</v>
      </c>
      <c r="AL1506" s="54" t="s">
        <v>314</v>
      </c>
      <c r="AM1506" s="37" t="s">
        <v>326</v>
      </c>
      <c r="AN1506" s="39" t="s">
        <v>548</v>
      </c>
      <c r="AO1506" t="s">
        <v>511</v>
      </c>
    </row>
    <row r="1507" spans="37:41" x14ac:dyDescent="0.25">
      <c r="AK1507" t="s">
        <v>50</v>
      </c>
      <c r="AL1507" s="54" t="s">
        <v>314</v>
      </c>
      <c r="AM1507" t="s">
        <v>330</v>
      </c>
      <c r="AN1507" t="s">
        <v>549</v>
      </c>
      <c r="AO1507" t="s">
        <v>512</v>
      </c>
    </row>
    <row r="1508" spans="37:41" x14ac:dyDescent="0.25">
      <c r="AK1508" t="s">
        <v>50</v>
      </c>
      <c r="AL1508" s="54" t="s">
        <v>314</v>
      </c>
      <c r="AM1508" s="37" t="s">
        <v>403</v>
      </c>
      <c r="AN1508" s="39" t="s">
        <v>536</v>
      </c>
      <c r="AO1508" t="s">
        <v>507</v>
      </c>
    </row>
    <row r="1509" spans="37:41" x14ac:dyDescent="0.25">
      <c r="AK1509" t="s">
        <v>50</v>
      </c>
      <c r="AL1509" s="54" t="s">
        <v>314</v>
      </c>
      <c r="AM1509" s="37" t="s">
        <v>405</v>
      </c>
      <c r="AN1509" s="39" t="s">
        <v>540</v>
      </c>
      <c r="AO1509" t="s">
        <v>508</v>
      </c>
    </row>
    <row r="1510" spans="37:41" x14ac:dyDescent="0.25">
      <c r="AK1510" t="s">
        <v>50</v>
      </c>
      <c r="AL1510" s="54" t="s">
        <v>314</v>
      </c>
      <c r="AM1510" s="37" t="s">
        <v>348</v>
      </c>
      <c r="AN1510" s="39" t="s">
        <v>543</v>
      </c>
      <c r="AO1510" t="s">
        <v>509</v>
      </c>
    </row>
    <row r="1511" spans="37:41" x14ac:dyDescent="0.25">
      <c r="AK1511" t="s">
        <v>50</v>
      </c>
      <c r="AL1511" s="54" t="s">
        <v>314</v>
      </c>
      <c r="AM1511" s="37" t="s">
        <v>344</v>
      </c>
      <c r="AN1511" s="39" t="s">
        <v>550</v>
      </c>
      <c r="AO1511" t="s">
        <v>510</v>
      </c>
    </row>
    <row r="1512" spans="37:41" x14ac:dyDescent="0.25">
      <c r="AK1512" t="s">
        <v>50</v>
      </c>
      <c r="AL1512" s="54" t="s">
        <v>314</v>
      </c>
      <c r="AM1512" t="s">
        <v>340</v>
      </c>
      <c r="AN1512" t="s">
        <v>551</v>
      </c>
      <c r="AO1512" t="s">
        <v>512</v>
      </c>
    </row>
    <row r="1513" spans="37:41" x14ac:dyDescent="0.25">
      <c r="AK1513" t="s">
        <v>50</v>
      </c>
      <c r="AL1513" s="54" t="s">
        <v>314</v>
      </c>
      <c r="AM1513" s="37" t="s">
        <v>407</v>
      </c>
      <c r="AN1513" s="39" t="s">
        <v>552</v>
      </c>
      <c r="AO1513" t="s">
        <v>507</v>
      </c>
    </row>
    <row r="1514" spans="37:41" x14ac:dyDescent="0.25">
      <c r="AK1514" t="s">
        <v>50</v>
      </c>
      <c r="AL1514" s="54" t="s">
        <v>314</v>
      </c>
      <c r="AM1514" s="37" t="s">
        <v>409</v>
      </c>
      <c r="AN1514" s="39" t="s">
        <v>541</v>
      </c>
      <c r="AO1514" t="s">
        <v>508</v>
      </c>
    </row>
    <row r="1515" spans="37:41" x14ac:dyDescent="0.25">
      <c r="AK1515" t="s">
        <v>50</v>
      </c>
      <c r="AL1515" s="54" t="s">
        <v>314</v>
      </c>
      <c r="AM1515" s="37" t="s">
        <v>359</v>
      </c>
      <c r="AN1515" s="39" t="s">
        <v>544</v>
      </c>
      <c r="AO1515" t="s">
        <v>509</v>
      </c>
    </row>
    <row r="1516" spans="37:41" x14ac:dyDescent="0.25">
      <c r="AK1516" t="s">
        <v>50</v>
      </c>
      <c r="AL1516" s="54" t="s">
        <v>314</v>
      </c>
      <c r="AM1516" s="37" t="s">
        <v>356</v>
      </c>
      <c r="AN1516" s="39" t="s">
        <v>549</v>
      </c>
      <c r="AO1516" t="s">
        <v>510</v>
      </c>
    </row>
    <row r="1517" spans="37:41" x14ac:dyDescent="0.25">
      <c r="AK1517" t="s">
        <v>50</v>
      </c>
      <c r="AL1517" s="54" t="s">
        <v>314</v>
      </c>
      <c r="AM1517" s="37" t="s">
        <v>352</v>
      </c>
      <c r="AN1517" s="39" t="s">
        <v>551</v>
      </c>
      <c r="AO1517" t="s">
        <v>511</v>
      </c>
    </row>
    <row r="1519" spans="37:41" x14ac:dyDescent="0.25">
      <c r="AK1519" t="s">
        <v>50</v>
      </c>
      <c r="AL1519" t="s">
        <v>318</v>
      </c>
      <c r="AM1519" t="s">
        <v>51</v>
      </c>
      <c r="AN1519" t="s">
        <v>513</v>
      </c>
      <c r="AO1519" t="s">
        <v>503</v>
      </c>
    </row>
    <row r="1520" spans="37:41" x14ac:dyDescent="0.25">
      <c r="AK1520" t="s">
        <v>50</v>
      </c>
      <c r="AL1520" t="s">
        <v>318</v>
      </c>
      <c r="AM1520" t="s">
        <v>80</v>
      </c>
      <c r="AN1520" t="s">
        <v>514</v>
      </c>
      <c r="AO1520" t="s">
        <v>504</v>
      </c>
    </row>
    <row r="1521" spans="37:41" x14ac:dyDescent="0.25">
      <c r="AK1521" t="s">
        <v>50</v>
      </c>
      <c r="AL1521" t="s">
        <v>318</v>
      </c>
      <c r="AM1521" t="s">
        <v>104</v>
      </c>
      <c r="AN1521" t="s">
        <v>515</v>
      </c>
      <c r="AO1521" t="s">
        <v>505</v>
      </c>
    </row>
    <row r="1522" spans="37:41" x14ac:dyDescent="0.25">
      <c r="AK1522" t="s">
        <v>50</v>
      </c>
      <c r="AL1522" t="s">
        <v>318</v>
      </c>
      <c r="AM1522" t="s">
        <v>119</v>
      </c>
      <c r="AN1522" t="s">
        <v>516</v>
      </c>
      <c r="AO1522" t="s">
        <v>506</v>
      </c>
    </row>
    <row r="1523" spans="37:41" x14ac:dyDescent="0.25">
      <c r="AK1523" t="s">
        <v>50</v>
      </c>
      <c r="AL1523" t="s">
        <v>318</v>
      </c>
      <c r="AM1523" t="s">
        <v>137</v>
      </c>
      <c r="AN1523" t="s">
        <v>517</v>
      </c>
      <c r="AO1523" t="s">
        <v>507</v>
      </c>
    </row>
    <row r="1524" spans="37:41" x14ac:dyDescent="0.25">
      <c r="AK1524" t="s">
        <v>50</v>
      </c>
      <c r="AL1524" t="s">
        <v>318</v>
      </c>
      <c r="AM1524" t="s">
        <v>149</v>
      </c>
      <c r="AN1524" t="s">
        <v>518</v>
      </c>
      <c r="AO1524" t="s">
        <v>508</v>
      </c>
    </row>
    <row r="1525" spans="37:41" x14ac:dyDescent="0.25">
      <c r="AK1525" t="s">
        <v>50</v>
      </c>
      <c r="AL1525" t="s">
        <v>318</v>
      </c>
      <c r="AM1525" t="s">
        <v>162</v>
      </c>
      <c r="AN1525" t="s">
        <v>519</v>
      </c>
      <c r="AO1525" t="s">
        <v>509</v>
      </c>
    </row>
    <row r="1526" spans="37:41" x14ac:dyDescent="0.25">
      <c r="AK1526" t="s">
        <v>50</v>
      </c>
      <c r="AL1526" t="s">
        <v>318</v>
      </c>
      <c r="AM1526" t="s">
        <v>174</v>
      </c>
      <c r="AN1526" t="s">
        <v>520</v>
      </c>
      <c r="AO1526" t="s">
        <v>510</v>
      </c>
    </row>
    <row r="1527" spans="37:41" x14ac:dyDescent="0.25">
      <c r="AK1527" t="s">
        <v>50</v>
      </c>
      <c r="AL1527" t="s">
        <v>318</v>
      </c>
      <c r="AM1527" t="s">
        <v>187</v>
      </c>
      <c r="AN1527" t="s">
        <v>521</v>
      </c>
      <c r="AO1527" t="s">
        <v>511</v>
      </c>
    </row>
    <row r="1528" spans="37:41" x14ac:dyDescent="0.25">
      <c r="AK1528" t="s">
        <v>50</v>
      </c>
      <c r="AL1528" t="s">
        <v>318</v>
      </c>
      <c r="AM1528" t="s">
        <v>199</v>
      </c>
      <c r="AN1528" t="s">
        <v>522</v>
      </c>
      <c r="AO1528" t="s">
        <v>512</v>
      </c>
    </row>
    <row r="1529" spans="37:41" x14ac:dyDescent="0.25">
      <c r="AK1529" t="s">
        <v>50</v>
      </c>
      <c r="AL1529" t="s">
        <v>318</v>
      </c>
      <c r="AM1529" t="s">
        <v>211</v>
      </c>
      <c r="AN1529" t="s">
        <v>523</v>
      </c>
      <c r="AO1529" t="s">
        <v>505</v>
      </c>
    </row>
    <row r="1530" spans="37:41" x14ac:dyDescent="0.25">
      <c r="AK1530" t="s">
        <v>50</v>
      </c>
      <c r="AL1530" t="s">
        <v>318</v>
      </c>
      <c r="AM1530" t="s">
        <v>223</v>
      </c>
      <c r="AN1530" t="s">
        <v>524</v>
      </c>
      <c r="AO1530" t="s">
        <v>506</v>
      </c>
    </row>
    <row r="1531" spans="37:41" x14ac:dyDescent="0.25">
      <c r="AK1531" t="s">
        <v>50</v>
      </c>
      <c r="AL1531" t="s">
        <v>318</v>
      </c>
      <c r="AM1531" t="s">
        <v>232</v>
      </c>
      <c r="AN1531" t="s">
        <v>525</v>
      </c>
      <c r="AO1531" t="s">
        <v>507</v>
      </c>
    </row>
    <row r="1532" spans="37:41" x14ac:dyDescent="0.25">
      <c r="AK1532" t="s">
        <v>50</v>
      </c>
      <c r="AL1532" t="s">
        <v>318</v>
      </c>
      <c r="AM1532" s="37" t="s">
        <v>362</v>
      </c>
      <c r="AN1532" t="s">
        <v>523</v>
      </c>
      <c r="AO1532" t="s">
        <v>504</v>
      </c>
    </row>
    <row r="1533" spans="37:41" x14ac:dyDescent="0.25">
      <c r="AK1533" t="s">
        <v>50</v>
      </c>
      <c r="AL1533" t="s">
        <v>318</v>
      </c>
      <c r="AM1533" t="s">
        <v>239</v>
      </c>
      <c r="AN1533" t="s">
        <v>526</v>
      </c>
      <c r="AO1533" t="s">
        <v>506</v>
      </c>
    </row>
    <row r="1534" spans="37:41" x14ac:dyDescent="0.25">
      <c r="AK1534" t="s">
        <v>50</v>
      </c>
      <c r="AL1534" t="s">
        <v>318</v>
      </c>
      <c r="AM1534" t="s">
        <v>246</v>
      </c>
      <c r="AN1534" t="s">
        <v>527</v>
      </c>
      <c r="AO1534" t="s">
        <v>507</v>
      </c>
    </row>
    <row r="1535" spans="37:41" x14ac:dyDescent="0.25">
      <c r="AK1535" t="s">
        <v>50</v>
      </c>
      <c r="AL1535" t="s">
        <v>318</v>
      </c>
      <c r="AM1535" t="s">
        <v>254</v>
      </c>
      <c r="AN1535" t="s">
        <v>528</v>
      </c>
      <c r="AO1535" t="s">
        <v>508</v>
      </c>
    </row>
    <row r="1536" spans="37:41" x14ac:dyDescent="0.25">
      <c r="AK1536" t="s">
        <v>50</v>
      </c>
      <c r="AL1536" t="s">
        <v>318</v>
      </c>
      <c r="AM1536" t="s">
        <v>365</v>
      </c>
      <c r="AN1536" t="s">
        <v>529</v>
      </c>
      <c r="AO1536" t="s">
        <v>509</v>
      </c>
    </row>
    <row r="1537" spans="37:41" x14ac:dyDescent="0.25">
      <c r="AK1537" t="s">
        <v>50</v>
      </c>
      <c r="AL1537" t="s">
        <v>318</v>
      </c>
      <c r="AM1537" s="37" t="s">
        <v>367</v>
      </c>
      <c r="AN1537" t="s">
        <v>524</v>
      </c>
      <c r="AO1537" t="s">
        <v>504</v>
      </c>
    </row>
    <row r="1538" spans="37:41" x14ac:dyDescent="0.25">
      <c r="AK1538" t="s">
        <v>50</v>
      </c>
      <c r="AL1538" t="s">
        <v>318</v>
      </c>
      <c r="AM1538" s="37" t="s">
        <v>369</v>
      </c>
      <c r="AN1538" t="s">
        <v>526</v>
      </c>
      <c r="AO1538" t="s">
        <v>505</v>
      </c>
    </row>
    <row r="1539" spans="37:41" x14ac:dyDescent="0.25">
      <c r="AK1539" t="s">
        <v>50</v>
      </c>
      <c r="AL1539" t="s">
        <v>318</v>
      </c>
      <c r="AM1539" t="s">
        <v>262</v>
      </c>
      <c r="AN1539" t="s">
        <v>530</v>
      </c>
      <c r="AO1539" t="s">
        <v>507</v>
      </c>
    </row>
    <row r="1540" spans="37:41" x14ac:dyDescent="0.25">
      <c r="AK1540" t="s">
        <v>50</v>
      </c>
      <c r="AL1540" t="s">
        <v>318</v>
      </c>
      <c r="AM1540" t="s">
        <v>270</v>
      </c>
      <c r="AN1540" t="s">
        <v>531</v>
      </c>
      <c r="AO1540" t="s">
        <v>508</v>
      </c>
    </row>
    <row r="1541" spans="37:41" x14ac:dyDescent="0.25">
      <c r="AK1541" t="s">
        <v>50</v>
      </c>
      <c r="AL1541" t="s">
        <v>318</v>
      </c>
      <c r="AM1541" t="s">
        <v>277</v>
      </c>
      <c r="AN1541" t="s">
        <v>532</v>
      </c>
      <c r="AO1541" t="s">
        <v>509</v>
      </c>
    </row>
    <row r="1542" spans="37:41" x14ac:dyDescent="0.25">
      <c r="AK1542" t="s">
        <v>50</v>
      </c>
      <c r="AL1542" t="s">
        <v>318</v>
      </c>
      <c r="AM1542" s="37" t="s">
        <v>371</v>
      </c>
      <c r="AN1542" s="39" t="s">
        <v>525</v>
      </c>
      <c r="AO1542" t="s">
        <v>504</v>
      </c>
    </row>
    <row r="1543" spans="37:41" x14ac:dyDescent="0.25">
      <c r="AK1543" t="s">
        <v>50</v>
      </c>
      <c r="AL1543" t="s">
        <v>318</v>
      </c>
      <c r="AM1543" s="37" t="s">
        <v>374</v>
      </c>
      <c r="AN1543" s="39" t="s">
        <v>527</v>
      </c>
      <c r="AO1543" t="s">
        <v>505</v>
      </c>
    </row>
    <row r="1544" spans="37:41" x14ac:dyDescent="0.25">
      <c r="AK1544" t="s">
        <v>50</v>
      </c>
      <c r="AL1544" t="s">
        <v>318</v>
      </c>
      <c r="AM1544" s="37" t="s">
        <v>376</v>
      </c>
      <c r="AN1544" s="39" t="s">
        <v>530</v>
      </c>
      <c r="AO1544" t="s">
        <v>506</v>
      </c>
    </row>
    <row r="1545" spans="37:41" x14ac:dyDescent="0.25">
      <c r="AK1545" t="s">
        <v>50</v>
      </c>
      <c r="AL1545" t="s">
        <v>318</v>
      </c>
      <c r="AM1545" s="37" t="s">
        <v>284</v>
      </c>
      <c r="AN1545" s="39" t="s">
        <v>533</v>
      </c>
      <c r="AO1545" t="s">
        <v>508</v>
      </c>
    </row>
    <row r="1546" spans="37:41" x14ac:dyDescent="0.25">
      <c r="AK1546" t="s">
        <v>50</v>
      </c>
      <c r="AL1546" t="s">
        <v>318</v>
      </c>
      <c r="AM1546" t="s">
        <v>291</v>
      </c>
      <c r="AN1546" t="s">
        <v>534</v>
      </c>
      <c r="AO1546" t="s">
        <v>509</v>
      </c>
    </row>
    <row r="1547" spans="37:41" x14ac:dyDescent="0.25">
      <c r="AK1547" t="s">
        <v>50</v>
      </c>
      <c r="AL1547" t="s">
        <v>318</v>
      </c>
      <c r="AM1547" s="37" t="s">
        <v>298</v>
      </c>
      <c r="AN1547" s="39" t="s">
        <v>535</v>
      </c>
      <c r="AO1547" t="s">
        <v>510</v>
      </c>
    </row>
    <row r="1548" spans="37:41" x14ac:dyDescent="0.25">
      <c r="AK1548" t="s">
        <v>50</v>
      </c>
      <c r="AL1548" t="s">
        <v>318</v>
      </c>
      <c r="AM1548" t="s">
        <v>379</v>
      </c>
      <c r="AN1548" t="s">
        <v>536</v>
      </c>
      <c r="AO1548" t="s">
        <v>511</v>
      </c>
    </row>
    <row r="1549" spans="37:41" x14ac:dyDescent="0.25">
      <c r="AK1549" t="s">
        <v>50</v>
      </c>
      <c r="AL1549" t="s">
        <v>318</v>
      </c>
      <c r="AM1549" s="37" t="s">
        <v>381</v>
      </c>
      <c r="AN1549" s="39" t="s">
        <v>528</v>
      </c>
      <c r="AO1549" t="s">
        <v>505</v>
      </c>
    </row>
    <row r="1550" spans="37:41" x14ac:dyDescent="0.25">
      <c r="AK1550" t="s">
        <v>50</v>
      </c>
      <c r="AL1550" t="s">
        <v>318</v>
      </c>
      <c r="AM1550" s="37" t="s">
        <v>383</v>
      </c>
      <c r="AN1550" s="59" t="s">
        <v>531</v>
      </c>
      <c r="AO1550" t="s">
        <v>506</v>
      </c>
    </row>
    <row r="1551" spans="37:41" x14ac:dyDescent="0.25">
      <c r="AK1551" t="s">
        <v>50</v>
      </c>
      <c r="AL1551" t="s">
        <v>318</v>
      </c>
      <c r="AM1551" s="37" t="s">
        <v>385</v>
      </c>
      <c r="AN1551" s="39" t="s">
        <v>537</v>
      </c>
      <c r="AO1551" t="s">
        <v>507</v>
      </c>
    </row>
    <row r="1552" spans="37:41" x14ac:dyDescent="0.25">
      <c r="AK1552" t="s">
        <v>50</v>
      </c>
      <c r="AL1552" t="s">
        <v>318</v>
      </c>
      <c r="AM1552" t="s">
        <v>305</v>
      </c>
      <c r="AN1552" t="s">
        <v>538</v>
      </c>
      <c r="AO1552" t="s">
        <v>509</v>
      </c>
    </row>
    <row r="1553" spans="37:41" x14ac:dyDescent="0.25">
      <c r="AK1553" t="s">
        <v>50</v>
      </c>
      <c r="AL1553" t="s">
        <v>318</v>
      </c>
      <c r="AM1553" s="37" t="s">
        <v>309</v>
      </c>
      <c r="AN1553" s="39" t="s">
        <v>539</v>
      </c>
      <c r="AO1553" t="s">
        <v>510</v>
      </c>
    </row>
    <row r="1554" spans="37:41" x14ac:dyDescent="0.25">
      <c r="AK1554" t="s">
        <v>50</v>
      </c>
      <c r="AL1554" t="s">
        <v>318</v>
      </c>
      <c r="AM1554" t="s">
        <v>312</v>
      </c>
      <c r="AN1554" t="s">
        <v>540</v>
      </c>
      <c r="AO1554" t="s">
        <v>511</v>
      </c>
    </row>
    <row r="1555" spans="37:41" x14ac:dyDescent="0.25">
      <c r="AK1555" t="s">
        <v>50</v>
      </c>
      <c r="AL1555" t="s">
        <v>318</v>
      </c>
      <c r="AM1555" t="s">
        <v>387</v>
      </c>
      <c r="AN1555" t="s">
        <v>541</v>
      </c>
      <c r="AO1555" t="s">
        <v>512</v>
      </c>
    </row>
    <row r="1556" spans="37:41" x14ac:dyDescent="0.25">
      <c r="AK1556" t="s">
        <v>50</v>
      </c>
      <c r="AL1556" t="s">
        <v>318</v>
      </c>
      <c r="AM1556" s="37" t="s">
        <v>389</v>
      </c>
      <c r="AN1556" s="39" t="s">
        <v>529</v>
      </c>
      <c r="AO1556" t="s">
        <v>505</v>
      </c>
    </row>
    <row r="1557" spans="37:41" x14ac:dyDescent="0.25">
      <c r="AK1557" t="s">
        <v>50</v>
      </c>
      <c r="AL1557" t="s">
        <v>318</v>
      </c>
      <c r="AM1557" s="37" t="s">
        <v>391</v>
      </c>
      <c r="AN1557" s="39" t="s">
        <v>532</v>
      </c>
      <c r="AO1557" t="s">
        <v>506</v>
      </c>
    </row>
    <row r="1558" spans="37:41" x14ac:dyDescent="0.25">
      <c r="AK1558" t="s">
        <v>50</v>
      </c>
      <c r="AL1558" t="s">
        <v>318</v>
      </c>
      <c r="AM1558" s="37" t="s">
        <v>393</v>
      </c>
      <c r="AN1558" s="39" t="s">
        <v>534</v>
      </c>
      <c r="AO1558" t="s">
        <v>507</v>
      </c>
    </row>
    <row r="1559" spans="37:41" x14ac:dyDescent="0.25">
      <c r="AK1559" t="s">
        <v>50</v>
      </c>
      <c r="AL1559" t="s">
        <v>318</v>
      </c>
      <c r="AM1559" s="37" t="s">
        <v>395</v>
      </c>
      <c r="AN1559" s="39" t="s">
        <v>538</v>
      </c>
      <c r="AO1559" t="s">
        <v>508</v>
      </c>
    </row>
    <row r="1560" spans="37:41" x14ac:dyDescent="0.25">
      <c r="AK1560" t="s">
        <v>50</v>
      </c>
      <c r="AL1560" t="s">
        <v>318</v>
      </c>
      <c r="AM1560" t="s">
        <v>315</v>
      </c>
      <c r="AN1560" t="s">
        <v>542</v>
      </c>
      <c r="AO1560" t="s">
        <v>510</v>
      </c>
    </row>
    <row r="1561" spans="37:41" x14ac:dyDescent="0.25">
      <c r="AK1561" t="s">
        <v>50</v>
      </c>
      <c r="AL1561" t="s">
        <v>318</v>
      </c>
      <c r="AM1561" t="s">
        <v>319</v>
      </c>
      <c r="AN1561" t="s">
        <v>543</v>
      </c>
      <c r="AO1561" t="s">
        <v>511</v>
      </c>
    </row>
    <row r="1562" spans="37:41" x14ac:dyDescent="0.25">
      <c r="AK1562" t="s">
        <v>50</v>
      </c>
      <c r="AL1562" t="s">
        <v>318</v>
      </c>
      <c r="AM1562" t="s">
        <v>323</v>
      </c>
      <c r="AN1562" t="s">
        <v>544</v>
      </c>
      <c r="AO1562" t="s">
        <v>512</v>
      </c>
    </row>
    <row r="1563" spans="37:41" x14ac:dyDescent="0.25">
      <c r="AK1563" t="s">
        <v>50</v>
      </c>
      <c r="AL1563" t="s">
        <v>318</v>
      </c>
      <c r="AM1563" s="37" t="s">
        <v>397</v>
      </c>
      <c r="AN1563" s="39" t="s">
        <v>545</v>
      </c>
      <c r="AO1563" t="s">
        <v>506</v>
      </c>
    </row>
    <row r="1564" spans="37:41" x14ac:dyDescent="0.25">
      <c r="AK1564" t="s">
        <v>50</v>
      </c>
      <c r="AL1564" t="s">
        <v>318</v>
      </c>
      <c r="AM1564" s="37" t="s">
        <v>399</v>
      </c>
      <c r="AN1564" s="39" t="s">
        <v>546</v>
      </c>
      <c r="AO1564" t="s">
        <v>507</v>
      </c>
    </row>
    <row r="1565" spans="37:41" x14ac:dyDescent="0.25">
      <c r="AK1565" t="s">
        <v>50</v>
      </c>
      <c r="AL1565" t="s">
        <v>318</v>
      </c>
      <c r="AM1565" s="37" t="s">
        <v>401</v>
      </c>
      <c r="AN1565" s="39" t="s">
        <v>547</v>
      </c>
      <c r="AO1565" t="s">
        <v>508</v>
      </c>
    </row>
    <row r="1566" spans="37:41" x14ac:dyDescent="0.25">
      <c r="AK1566" t="s">
        <v>50</v>
      </c>
      <c r="AL1566" t="s">
        <v>318</v>
      </c>
      <c r="AM1566" s="37" t="s">
        <v>335</v>
      </c>
      <c r="AN1566" s="39" t="s">
        <v>542</v>
      </c>
      <c r="AO1566" t="s">
        <v>509</v>
      </c>
    </row>
    <row r="1567" spans="37:41" x14ac:dyDescent="0.25">
      <c r="AK1567" t="s">
        <v>50</v>
      </c>
      <c r="AL1567" t="s">
        <v>318</v>
      </c>
      <c r="AM1567" s="37" t="s">
        <v>326</v>
      </c>
      <c r="AN1567" s="39" t="s">
        <v>548</v>
      </c>
      <c r="AO1567" t="s">
        <v>511</v>
      </c>
    </row>
    <row r="1568" spans="37:41" x14ac:dyDescent="0.25">
      <c r="AK1568" t="s">
        <v>50</v>
      </c>
      <c r="AL1568" t="s">
        <v>318</v>
      </c>
      <c r="AM1568" t="s">
        <v>330</v>
      </c>
      <c r="AN1568" t="s">
        <v>549</v>
      </c>
      <c r="AO1568" t="s">
        <v>512</v>
      </c>
    </row>
    <row r="1569" spans="37:41" x14ac:dyDescent="0.25">
      <c r="AK1569" t="s">
        <v>50</v>
      </c>
      <c r="AL1569" t="s">
        <v>318</v>
      </c>
      <c r="AM1569" s="37" t="s">
        <v>403</v>
      </c>
      <c r="AN1569" s="39" t="s">
        <v>536</v>
      </c>
      <c r="AO1569" t="s">
        <v>507</v>
      </c>
    </row>
    <row r="1570" spans="37:41" x14ac:dyDescent="0.25">
      <c r="AK1570" t="s">
        <v>50</v>
      </c>
      <c r="AL1570" t="s">
        <v>318</v>
      </c>
      <c r="AM1570" s="37" t="s">
        <v>405</v>
      </c>
      <c r="AN1570" s="39" t="s">
        <v>540</v>
      </c>
      <c r="AO1570" t="s">
        <v>508</v>
      </c>
    </row>
    <row r="1571" spans="37:41" x14ac:dyDescent="0.25">
      <c r="AK1571" t="s">
        <v>50</v>
      </c>
      <c r="AL1571" t="s">
        <v>318</v>
      </c>
      <c r="AM1571" s="37" t="s">
        <v>348</v>
      </c>
      <c r="AN1571" s="39" t="s">
        <v>543</v>
      </c>
      <c r="AO1571" t="s">
        <v>509</v>
      </c>
    </row>
    <row r="1572" spans="37:41" x14ac:dyDescent="0.25">
      <c r="AK1572" t="s">
        <v>50</v>
      </c>
      <c r="AL1572" t="s">
        <v>318</v>
      </c>
      <c r="AM1572" s="37" t="s">
        <v>344</v>
      </c>
      <c r="AN1572" s="39" t="s">
        <v>550</v>
      </c>
      <c r="AO1572" t="s">
        <v>510</v>
      </c>
    </row>
    <row r="1573" spans="37:41" x14ac:dyDescent="0.25">
      <c r="AK1573" t="s">
        <v>50</v>
      </c>
      <c r="AL1573" t="s">
        <v>318</v>
      </c>
      <c r="AM1573" t="s">
        <v>340</v>
      </c>
      <c r="AN1573" t="s">
        <v>551</v>
      </c>
      <c r="AO1573" t="s">
        <v>512</v>
      </c>
    </row>
    <row r="1574" spans="37:41" x14ac:dyDescent="0.25">
      <c r="AK1574" t="s">
        <v>50</v>
      </c>
      <c r="AL1574" t="s">
        <v>318</v>
      </c>
      <c r="AM1574" s="37" t="s">
        <v>407</v>
      </c>
      <c r="AN1574" s="39" t="s">
        <v>552</v>
      </c>
      <c r="AO1574" t="s">
        <v>507</v>
      </c>
    </row>
    <row r="1575" spans="37:41" x14ac:dyDescent="0.25">
      <c r="AK1575" t="s">
        <v>50</v>
      </c>
      <c r="AL1575" t="s">
        <v>318</v>
      </c>
      <c r="AM1575" s="37" t="s">
        <v>409</v>
      </c>
      <c r="AN1575" s="39" t="s">
        <v>541</v>
      </c>
      <c r="AO1575" t="s">
        <v>508</v>
      </c>
    </row>
    <row r="1576" spans="37:41" x14ac:dyDescent="0.25">
      <c r="AK1576" t="s">
        <v>50</v>
      </c>
      <c r="AL1576" t="s">
        <v>318</v>
      </c>
      <c r="AM1576" s="37" t="s">
        <v>359</v>
      </c>
      <c r="AN1576" s="39" t="s">
        <v>544</v>
      </c>
      <c r="AO1576" t="s">
        <v>509</v>
      </c>
    </row>
    <row r="1577" spans="37:41" x14ac:dyDescent="0.25">
      <c r="AK1577" t="s">
        <v>50</v>
      </c>
      <c r="AL1577" t="s">
        <v>318</v>
      </c>
      <c r="AM1577" s="37" t="s">
        <v>356</v>
      </c>
      <c r="AN1577" s="39" t="s">
        <v>549</v>
      </c>
      <c r="AO1577" t="s">
        <v>510</v>
      </c>
    </row>
    <row r="1578" spans="37:41" x14ac:dyDescent="0.25">
      <c r="AK1578" t="s">
        <v>50</v>
      </c>
      <c r="AL1578" t="s">
        <v>318</v>
      </c>
      <c r="AM1578" s="37" t="s">
        <v>352</v>
      </c>
      <c r="AN1578" s="39" t="s">
        <v>551</v>
      </c>
      <c r="AO1578" t="s">
        <v>511</v>
      </c>
    </row>
    <row r="1580" spans="37:41" x14ac:dyDescent="0.25">
      <c r="AK1580" t="s">
        <v>50</v>
      </c>
      <c r="AL1580" s="54" t="s">
        <v>322</v>
      </c>
      <c r="AM1580" t="s">
        <v>51</v>
      </c>
      <c r="AN1580" t="s">
        <v>513</v>
      </c>
    </row>
    <row r="1581" spans="37:41" x14ac:dyDescent="0.25">
      <c r="AK1581" t="s">
        <v>50</v>
      </c>
      <c r="AL1581" s="54" t="s">
        <v>322</v>
      </c>
      <c r="AM1581" t="s">
        <v>80</v>
      </c>
      <c r="AN1581" t="s">
        <v>514</v>
      </c>
    </row>
    <row r="1582" spans="37:41" x14ac:dyDescent="0.25">
      <c r="AK1582" t="s">
        <v>50</v>
      </c>
      <c r="AL1582" s="54" t="s">
        <v>322</v>
      </c>
      <c r="AM1582" t="s">
        <v>104</v>
      </c>
      <c r="AN1582" t="s">
        <v>515</v>
      </c>
    </row>
    <row r="1583" spans="37:41" x14ac:dyDescent="0.25">
      <c r="AK1583" t="s">
        <v>50</v>
      </c>
      <c r="AL1583" s="54" t="s">
        <v>322</v>
      </c>
      <c r="AM1583" t="s">
        <v>119</v>
      </c>
      <c r="AN1583" t="s">
        <v>516</v>
      </c>
    </row>
    <row r="1584" spans="37:41" x14ac:dyDescent="0.25">
      <c r="AK1584" t="s">
        <v>50</v>
      </c>
      <c r="AL1584" s="54" t="s">
        <v>322</v>
      </c>
      <c r="AM1584" t="s">
        <v>137</v>
      </c>
      <c r="AN1584" t="s">
        <v>517</v>
      </c>
    </row>
    <row r="1585" spans="37:40" x14ac:dyDescent="0.25">
      <c r="AK1585" t="s">
        <v>50</v>
      </c>
      <c r="AL1585" s="54" t="s">
        <v>322</v>
      </c>
      <c r="AM1585" t="s">
        <v>149</v>
      </c>
      <c r="AN1585" t="s">
        <v>518</v>
      </c>
    </row>
    <row r="1586" spans="37:40" x14ac:dyDescent="0.25">
      <c r="AK1586" t="s">
        <v>50</v>
      </c>
      <c r="AL1586" s="54" t="s">
        <v>322</v>
      </c>
      <c r="AM1586" t="s">
        <v>162</v>
      </c>
      <c r="AN1586" t="s">
        <v>519</v>
      </c>
    </row>
    <row r="1587" spans="37:40" x14ac:dyDescent="0.25">
      <c r="AK1587" t="s">
        <v>50</v>
      </c>
      <c r="AL1587" s="54" t="s">
        <v>322</v>
      </c>
      <c r="AM1587" t="s">
        <v>174</v>
      </c>
      <c r="AN1587" t="s">
        <v>520</v>
      </c>
    </row>
    <row r="1588" spans="37:40" x14ac:dyDescent="0.25">
      <c r="AK1588" t="s">
        <v>50</v>
      </c>
      <c r="AL1588" s="54" t="s">
        <v>322</v>
      </c>
      <c r="AM1588" t="s">
        <v>187</v>
      </c>
      <c r="AN1588" t="s">
        <v>521</v>
      </c>
    </row>
    <row r="1589" spans="37:40" x14ac:dyDescent="0.25">
      <c r="AK1589" t="s">
        <v>50</v>
      </c>
      <c r="AL1589" s="54" t="s">
        <v>322</v>
      </c>
      <c r="AM1589" t="s">
        <v>199</v>
      </c>
      <c r="AN1589" t="s">
        <v>522</v>
      </c>
    </row>
    <row r="1590" spans="37:40" x14ac:dyDescent="0.25">
      <c r="AK1590" t="s">
        <v>50</v>
      </c>
      <c r="AL1590" s="54" t="s">
        <v>322</v>
      </c>
      <c r="AM1590" t="s">
        <v>211</v>
      </c>
      <c r="AN1590" t="s">
        <v>523</v>
      </c>
    </row>
    <row r="1591" spans="37:40" x14ac:dyDescent="0.25">
      <c r="AK1591" t="s">
        <v>50</v>
      </c>
      <c r="AL1591" s="54" t="s">
        <v>322</v>
      </c>
      <c r="AM1591" t="s">
        <v>223</v>
      </c>
      <c r="AN1591" t="s">
        <v>524</v>
      </c>
    </row>
    <row r="1592" spans="37:40" x14ac:dyDescent="0.25">
      <c r="AK1592" t="s">
        <v>50</v>
      </c>
      <c r="AL1592" s="54" t="s">
        <v>322</v>
      </c>
      <c r="AM1592" t="s">
        <v>232</v>
      </c>
      <c r="AN1592" t="s">
        <v>525</v>
      </c>
    </row>
    <row r="1593" spans="37:40" x14ac:dyDescent="0.25">
      <c r="AK1593" t="s">
        <v>50</v>
      </c>
      <c r="AL1593" s="54" t="s">
        <v>322</v>
      </c>
      <c r="AM1593" s="37" t="s">
        <v>362</v>
      </c>
      <c r="AN1593" t="s">
        <v>523</v>
      </c>
    </row>
    <row r="1594" spans="37:40" x14ac:dyDescent="0.25">
      <c r="AK1594" t="s">
        <v>50</v>
      </c>
      <c r="AL1594" s="54" t="s">
        <v>322</v>
      </c>
      <c r="AM1594" t="s">
        <v>239</v>
      </c>
      <c r="AN1594" t="s">
        <v>526</v>
      </c>
    </row>
    <row r="1595" spans="37:40" x14ac:dyDescent="0.25">
      <c r="AK1595" t="s">
        <v>50</v>
      </c>
      <c r="AL1595" s="54" t="s">
        <v>322</v>
      </c>
      <c r="AM1595" t="s">
        <v>246</v>
      </c>
      <c r="AN1595" t="s">
        <v>527</v>
      </c>
    </row>
    <row r="1596" spans="37:40" x14ac:dyDescent="0.25">
      <c r="AK1596" t="s">
        <v>50</v>
      </c>
      <c r="AL1596" s="54" t="s">
        <v>322</v>
      </c>
      <c r="AM1596" t="s">
        <v>254</v>
      </c>
      <c r="AN1596" t="s">
        <v>528</v>
      </c>
    </row>
    <row r="1597" spans="37:40" x14ac:dyDescent="0.25">
      <c r="AK1597" t="s">
        <v>50</v>
      </c>
      <c r="AL1597" s="54" t="s">
        <v>322</v>
      </c>
      <c r="AM1597" t="s">
        <v>365</v>
      </c>
      <c r="AN1597" t="s">
        <v>529</v>
      </c>
    </row>
    <row r="1598" spans="37:40" x14ac:dyDescent="0.25">
      <c r="AK1598" t="s">
        <v>50</v>
      </c>
      <c r="AL1598" s="54" t="s">
        <v>322</v>
      </c>
      <c r="AM1598" s="37" t="s">
        <v>367</v>
      </c>
      <c r="AN1598" t="s">
        <v>524</v>
      </c>
    </row>
    <row r="1599" spans="37:40" x14ac:dyDescent="0.25">
      <c r="AK1599" t="s">
        <v>50</v>
      </c>
      <c r="AL1599" s="54" t="s">
        <v>322</v>
      </c>
      <c r="AM1599" s="37" t="s">
        <v>369</v>
      </c>
      <c r="AN1599" t="s">
        <v>526</v>
      </c>
    </row>
    <row r="1600" spans="37:40" x14ac:dyDescent="0.25">
      <c r="AK1600" t="s">
        <v>50</v>
      </c>
      <c r="AL1600" s="54" t="s">
        <v>322</v>
      </c>
      <c r="AM1600" t="s">
        <v>262</v>
      </c>
      <c r="AN1600" t="s">
        <v>530</v>
      </c>
    </row>
    <row r="1601" spans="37:40" x14ac:dyDescent="0.25">
      <c r="AK1601" t="s">
        <v>50</v>
      </c>
      <c r="AL1601" s="54" t="s">
        <v>322</v>
      </c>
      <c r="AM1601" t="s">
        <v>270</v>
      </c>
      <c r="AN1601" t="s">
        <v>531</v>
      </c>
    </row>
    <row r="1602" spans="37:40" x14ac:dyDescent="0.25">
      <c r="AK1602" t="s">
        <v>50</v>
      </c>
      <c r="AL1602" s="54" t="s">
        <v>322</v>
      </c>
      <c r="AM1602" t="s">
        <v>277</v>
      </c>
      <c r="AN1602" t="s">
        <v>532</v>
      </c>
    </row>
    <row r="1603" spans="37:40" x14ac:dyDescent="0.25">
      <c r="AK1603" t="s">
        <v>50</v>
      </c>
      <c r="AL1603" s="54" t="s">
        <v>322</v>
      </c>
      <c r="AM1603" s="37" t="s">
        <v>371</v>
      </c>
      <c r="AN1603" s="39" t="s">
        <v>525</v>
      </c>
    </row>
    <row r="1604" spans="37:40" x14ac:dyDescent="0.25">
      <c r="AK1604" t="s">
        <v>50</v>
      </c>
      <c r="AL1604" s="54" t="s">
        <v>322</v>
      </c>
      <c r="AM1604" s="37" t="s">
        <v>374</v>
      </c>
      <c r="AN1604" s="39" t="s">
        <v>527</v>
      </c>
    </row>
    <row r="1605" spans="37:40" x14ac:dyDescent="0.25">
      <c r="AK1605" t="s">
        <v>50</v>
      </c>
      <c r="AL1605" s="54" t="s">
        <v>322</v>
      </c>
      <c r="AM1605" s="37" t="s">
        <v>376</v>
      </c>
      <c r="AN1605" s="39" t="s">
        <v>530</v>
      </c>
    </row>
    <row r="1606" spans="37:40" x14ac:dyDescent="0.25">
      <c r="AK1606" t="s">
        <v>50</v>
      </c>
      <c r="AL1606" s="54" t="s">
        <v>322</v>
      </c>
      <c r="AM1606" s="37" t="s">
        <v>284</v>
      </c>
      <c r="AN1606" s="39" t="s">
        <v>533</v>
      </c>
    </row>
    <row r="1607" spans="37:40" x14ac:dyDescent="0.25">
      <c r="AK1607" t="s">
        <v>50</v>
      </c>
      <c r="AL1607" s="54" t="s">
        <v>322</v>
      </c>
      <c r="AM1607" t="s">
        <v>291</v>
      </c>
      <c r="AN1607" t="s">
        <v>534</v>
      </c>
    </row>
    <row r="1608" spans="37:40" x14ac:dyDescent="0.25">
      <c r="AK1608" t="s">
        <v>50</v>
      </c>
      <c r="AL1608" s="54" t="s">
        <v>322</v>
      </c>
      <c r="AM1608" s="37" t="s">
        <v>298</v>
      </c>
      <c r="AN1608" s="39" t="s">
        <v>535</v>
      </c>
    </row>
    <row r="1609" spans="37:40" x14ac:dyDescent="0.25">
      <c r="AK1609" t="s">
        <v>50</v>
      </c>
      <c r="AL1609" s="54" t="s">
        <v>322</v>
      </c>
      <c r="AM1609" t="s">
        <v>379</v>
      </c>
      <c r="AN1609" t="s">
        <v>536</v>
      </c>
    </row>
    <row r="1610" spans="37:40" x14ac:dyDescent="0.25">
      <c r="AK1610" t="s">
        <v>50</v>
      </c>
      <c r="AL1610" s="54" t="s">
        <v>322</v>
      </c>
      <c r="AM1610" s="37" t="s">
        <v>381</v>
      </c>
      <c r="AN1610" s="39" t="s">
        <v>528</v>
      </c>
    </row>
    <row r="1611" spans="37:40" x14ac:dyDescent="0.25">
      <c r="AK1611" t="s">
        <v>50</v>
      </c>
      <c r="AL1611" s="54" t="s">
        <v>322</v>
      </c>
      <c r="AM1611" s="37" t="s">
        <v>383</v>
      </c>
      <c r="AN1611" s="59" t="s">
        <v>531</v>
      </c>
    </row>
    <row r="1612" spans="37:40" x14ac:dyDescent="0.25">
      <c r="AK1612" t="s">
        <v>50</v>
      </c>
      <c r="AL1612" s="54" t="s">
        <v>322</v>
      </c>
      <c r="AM1612" s="37" t="s">
        <v>385</v>
      </c>
      <c r="AN1612" s="39" t="s">
        <v>537</v>
      </c>
    </row>
    <row r="1613" spans="37:40" x14ac:dyDescent="0.25">
      <c r="AK1613" t="s">
        <v>50</v>
      </c>
      <c r="AL1613" s="54" t="s">
        <v>322</v>
      </c>
      <c r="AM1613" t="s">
        <v>305</v>
      </c>
      <c r="AN1613" t="s">
        <v>538</v>
      </c>
    </row>
    <row r="1614" spans="37:40" x14ac:dyDescent="0.25">
      <c r="AK1614" t="s">
        <v>50</v>
      </c>
      <c r="AL1614" s="54" t="s">
        <v>322</v>
      </c>
      <c r="AM1614" s="37" t="s">
        <v>309</v>
      </c>
      <c r="AN1614" s="39" t="s">
        <v>539</v>
      </c>
    </row>
    <row r="1615" spans="37:40" x14ac:dyDescent="0.25">
      <c r="AK1615" t="s">
        <v>50</v>
      </c>
      <c r="AL1615" s="54" t="s">
        <v>322</v>
      </c>
      <c r="AM1615" t="s">
        <v>312</v>
      </c>
      <c r="AN1615" t="s">
        <v>540</v>
      </c>
    </row>
    <row r="1616" spans="37:40" x14ac:dyDescent="0.25">
      <c r="AK1616" t="s">
        <v>50</v>
      </c>
      <c r="AL1616" s="54" t="s">
        <v>322</v>
      </c>
      <c r="AM1616" t="s">
        <v>387</v>
      </c>
      <c r="AN1616" t="s">
        <v>541</v>
      </c>
    </row>
    <row r="1617" spans="37:40" x14ac:dyDescent="0.25">
      <c r="AK1617" t="s">
        <v>50</v>
      </c>
      <c r="AL1617" s="54" t="s">
        <v>322</v>
      </c>
      <c r="AM1617" s="37" t="s">
        <v>389</v>
      </c>
      <c r="AN1617" s="39" t="s">
        <v>529</v>
      </c>
    </row>
    <row r="1618" spans="37:40" x14ac:dyDescent="0.25">
      <c r="AK1618" t="s">
        <v>50</v>
      </c>
      <c r="AL1618" s="54" t="s">
        <v>322</v>
      </c>
      <c r="AM1618" s="37" t="s">
        <v>391</v>
      </c>
      <c r="AN1618" s="39" t="s">
        <v>532</v>
      </c>
    </row>
    <row r="1619" spans="37:40" x14ac:dyDescent="0.25">
      <c r="AK1619" t="s">
        <v>50</v>
      </c>
      <c r="AL1619" s="54" t="s">
        <v>322</v>
      </c>
      <c r="AM1619" s="37" t="s">
        <v>393</v>
      </c>
      <c r="AN1619" s="39" t="s">
        <v>534</v>
      </c>
    </row>
    <row r="1620" spans="37:40" x14ac:dyDescent="0.25">
      <c r="AK1620" t="s">
        <v>50</v>
      </c>
      <c r="AL1620" s="54" t="s">
        <v>322</v>
      </c>
      <c r="AM1620" s="37" t="s">
        <v>395</v>
      </c>
      <c r="AN1620" s="39" t="s">
        <v>538</v>
      </c>
    </row>
    <row r="1621" spans="37:40" x14ac:dyDescent="0.25">
      <c r="AK1621" t="s">
        <v>50</v>
      </c>
      <c r="AL1621" s="54" t="s">
        <v>322</v>
      </c>
      <c r="AM1621" t="s">
        <v>315</v>
      </c>
      <c r="AN1621" t="s">
        <v>542</v>
      </c>
    </row>
    <row r="1622" spans="37:40" x14ac:dyDescent="0.25">
      <c r="AK1622" t="s">
        <v>50</v>
      </c>
      <c r="AL1622" s="54" t="s">
        <v>322</v>
      </c>
      <c r="AM1622" t="s">
        <v>319</v>
      </c>
      <c r="AN1622" t="s">
        <v>543</v>
      </c>
    </row>
    <row r="1623" spans="37:40" x14ac:dyDescent="0.25">
      <c r="AK1623" t="s">
        <v>50</v>
      </c>
      <c r="AL1623" s="54" t="s">
        <v>322</v>
      </c>
      <c r="AM1623" t="s">
        <v>323</v>
      </c>
      <c r="AN1623" t="s">
        <v>544</v>
      </c>
    </row>
    <row r="1624" spans="37:40" x14ac:dyDescent="0.25">
      <c r="AK1624" t="s">
        <v>50</v>
      </c>
      <c r="AL1624" s="54" t="s">
        <v>322</v>
      </c>
      <c r="AM1624" s="37" t="s">
        <v>397</v>
      </c>
      <c r="AN1624" s="39" t="s">
        <v>545</v>
      </c>
    </row>
    <row r="1625" spans="37:40" x14ac:dyDescent="0.25">
      <c r="AK1625" t="s">
        <v>50</v>
      </c>
      <c r="AL1625" s="54" t="s">
        <v>322</v>
      </c>
      <c r="AM1625" s="37" t="s">
        <v>399</v>
      </c>
      <c r="AN1625" s="39" t="s">
        <v>546</v>
      </c>
    </row>
    <row r="1626" spans="37:40" x14ac:dyDescent="0.25">
      <c r="AK1626" t="s">
        <v>50</v>
      </c>
      <c r="AL1626" s="54" t="s">
        <v>322</v>
      </c>
      <c r="AM1626" s="37" t="s">
        <v>401</v>
      </c>
      <c r="AN1626" s="39" t="s">
        <v>547</v>
      </c>
    </row>
    <row r="1627" spans="37:40" x14ac:dyDescent="0.25">
      <c r="AK1627" t="s">
        <v>50</v>
      </c>
      <c r="AL1627" s="54" t="s">
        <v>322</v>
      </c>
      <c r="AM1627" s="37" t="s">
        <v>335</v>
      </c>
      <c r="AN1627" s="39" t="s">
        <v>542</v>
      </c>
    </row>
    <row r="1628" spans="37:40" x14ac:dyDescent="0.25">
      <c r="AK1628" t="s">
        <v>50</v>
      </c>
      <c r="AL1628" s="54" t="s">
        <v>322</v>
      </c>
      <c r="AM1628" s="37" t="s">
        <v>326</v>
      </c>
      <c r="AN1628" s="39" t="s">
        <v>548</v>
      </c>
    </row>
    <row r="1629" spans="37:40" x14ac:dyDescent="0.25">
      <c r="AK1629" t="s">
        <v>50</v>
      </c>
      <c r="AL1629" s="54" t="s">
        <v>322</v>
      </c>
      <c r="AM1629" t="s">
        <v>330</v>
      </c>
      <c r="AN1629" t="s">
        <v>549</v>
      </c>
    </row>
    <row r="1630" spans="37:40" x14ac:dyDescent="0.25">
      <c r="AK1630" t="s">
        <v>50</v>
      </c>
      <c r="AL1630" s="54" t="s">
        <v>322</v>
      </c>
      <c r="AM1630" s="37" t="s">
        <v>403</v>
      </c>
      <c r="AN1630" s="39" t="s">
        <v>536</v>
      </c>
    </row>
    <row r="1631" spans="37:40" x14ac:dyDescent="0.25">
      <c r="AK1631" t="s">
        <v>50</v>
      </c>
      <c r="AL1631" s="54" t="s">
        <v>322</v>
      </c>
      <c r="AM1631" s="37" t="s">
        <v>405</v>
      </c>
      <c r="AN1631" s="39" t="s">
        <v>540</v>
      </c>
    </row>
    <row r="1632" spans="37:40" x14ac:dyDescent="0.25">
      <c r="AK1632" t="s">
        <v>50</v>
      </c>
      <c r="AL1632" s="54" t="s">
        <v>322</v>
      </c>
      <c r="AM1632" s="37" t="s">
        <v>348</v>
      </c>
      <c r="AN1632" s="39" t="s">
        <v>543</v>
      </c>
    </row>
    <row r="1633" spans="37:40" x14ac:dyDescent="0.25">
      <c r="AK1633" t="s">
        <v>50</v>
      </c>
      <c r="AL1633" s="54" t="s">
        <v>322</v>
      </c>
      <c r="AM1633" s="37" t="s">
        <v>344</v>
      </c>
      <c r="AN1633" s="39" t="s">
        <v>550</v>
      </c>
    </row>
    <row r="1634" spans="37:40" x14ac:dyDescent="0.25">
      <c r="AK1634" t="s">
        <v>50</v>
      </c>
      <c r="AL1634" s="54" t="s">
        <v>322</v>
      </c>
      <c r="AM1634" t="s">
        <v>340</v>
      </c>
      <c r="AN1634" t="s">
        <v>551</v>
      </c>
    </row>
    <row r="1635" spans="37:40" x14ac:dyDescent="0.25">
      <c r="AK1635" t="s">
        <v>50</v>
      </c>
      <c r="AL1635" s="54" t="s">
        <v>322</v>
      </c>
      <c r="AM1635" s="37" t="s">
        <v>407</v>
      </c>
      <c r="AN1635" s="39" t="s">
        <v>552</v>
      </c>
    </row>
    <row r="1636" spans="37:40" x14ac:dyDescent="0.25">
      <c r="AK1636" t="s">
        <v>50</v>
      </c>
      <c r="AL1636" s="54" t="s">
        <v>322</v>
      </c>
      <c r="AM1636" s="37" t="s">
        <v>409</v>
      </c>
      <c r="AN1636" s="39" t="s">
        <v>541</v>
      </c>
    </row>
    <row r="1637" spans="37:40" x14ac:dyDescent="0.25">
      <c r="AK1637" t="s">
        <v>50</v>
      </c>
      <c r="AL1637" s="54" t="s">
        <v>322</v>
      </c>
      <c r="AM1637" s="37" t="s">
        <v>359</v>
      </c>
      <c r="AN1637" s="39" t="s">
        <v>544</v>
      </c>
    </row>
    <row r="1638" spans="37:40" x14ac:dyDescent="0.25">
      <c r="AK1638" t="s">
        <v>50</v>
      </c>
      <c r="AL1638" s="54" t="s">
        <v>322</v>
      </c>
      <c r="AM1638" s="37" t="s">
        <v>356</v>
      </c>
      <c r="AN1638" s="39" t="s">
        <v>549</v>
      </c>
    </row>
    <row r="1639" spans="37:40" x14ac:dyDescent="0.25">
      <c r="AK1639" t="s">
        <v>50</v>
      </c>
      <c r="AL1639" s="54" t="s">
        <v>322</v>
      </c>
      <c r="AM1639" s="37" t="s">
        <v>352</v>
      </c>
      <c r="AN1639" s="39" t="s">
        <v>551</v>
      </c>
    </row>
    <row r="1641" spans="37:40" x14ac:dyDescent="0.25">
      <c r="AK1641" s="32" t="s">
        <v>50</v>
      </c>
      <c r="AL1641" t="s">
        <v>325</v>
      </c>
      <c r="AM1641" t="s">
        <v>51</v>
      </c>
      <c r="AN1641" t="s">
        <v>52</v>
      </c>
    </row>
    <row r="1642" spans="37:40" x14ac:dyDescent="0.25">
      <c r="AK1642" s="32" t="s">
        <v>50</v>
      </c>
      <c r="AL1642" t="s">
        <v>325</v>
      </c>
      <c r="AM1642" t="s">
        <v>80</v>
      </c>
      <c r="AN1642" t="s">
        <v>81</v>
      </c>
    </row>
    <row r="1643" spans="37:40" x14ac:dyDescent="0.25">
      <c r="AK1643" s="32" t="s">
        <v>50</v>
      </c>
      <c r="AL1643" t="s">
        <v>325</v>
      </c>
      <c r="AM1643" t="s">
        <v>104</v>
      </c>
      <c r="AN1643" t="s">
        <v>105</v>
      </c>
    </row>
    <row r="1644" spans="37:40" x14ac:dyDescent="0.25">
      <c r="AK1644" s="32" t="s">
        <v>50</v>
      </c>
      <c r="AL1644" t="s">
        <v>325</v>
      </c>
      <c r="AM1644" t="s">
        <v>119</v>
      </c>
      <c r="AN1644" t="s">
        <v>120</v>
      </c>
    </row>
    <row r="1645" spans="37:40" x14ac:dyDescent="0.25">
      <c r="AK1645" s="32" t="s">
        <v>50</v>
      </c>
      <c r="AL1645" t="s">
        <v>325</v>
      </c>
      <c r="AM1645" t="s">
        <v>137</v>
      </c>
      <c r="AN1645" t="s">
        <v>138</v>
      </c>
    </row>
    <row r="1646" spans="37:40" x14ac:dyDescent="0.25">
      <c r="AK1646" s="32" t="s">
        <v>50</v>
      </c>
      <c r="AL1646" t="s">
        <v>325</v>
      </c>
      <c r="AM1646" t="s">
        <v>149</v>
      </c>
      <c r="AN1646" t="s">
        <v>150</v>
      </c>
    </row>
    <row r="1647" spans="37:40" x14ac:dyDescent="0.25">
      <c r="AK1647" s="32" t="s">
        <v>50</v>
      </c>
      <c r="AL1647" t="s">
        <v>325</v>
      </c>
      <c r="AM1647" t="s">
        <v>162</v>
      </c>
      <c r="AN1647" t="s">
        <v>163</v>
      </c>
    </row>
    <row r="1648" spans="37:40" x14ac:dyDescent="0.25">
      <c r="AK1648" s="32" t="s">
        <v>50</v>
      </c>
      <c r="AL1648" t="s">
        <v>325</v>
      </c>
      <c r="AM1648" t="s">
        <v>174</v>
      </c>
      <c r="AN1648" t="s">
        <v>175</v>
      </c>
    </row>
    <row r="1649" spans="37:40" x14ac:dyDescent="0.25">
      <c r="AK1649" s="32" t="s">
        <v>50</v>
      </c>
      <c r="AL1649" t="s">
        <v>325</v>
      </c>
      <c r="AM1649" t="s">
        <v>187</v>
      </c>
      <c r="AN1649" t="s">
        <v>188</v>
      </c>
    </row>
    <row r="1650" spans="37:40" x14ac:dyDescent="0.25">
      <c r="AK1650" s="32" t="s">
        <v>50</v>
      </c>
      <c r="AL1650" t="s">
        <v>325</v>
      </c>
      <c r="AM1650" t="s">
        <v>199</v>
      </c>
      <c r="AN1650" t="s">
        <v>200</v>
      </c>
    </row>
    <row r="1651" spans="37:40" x14ac:dyDescent="0.25">
      <c r="AK1651" s="32" t="s">
        <v>50</v>
      </c>
      <c r="AL1651" t="s">
        <v>325</v>
      </c>
      <c r="AM1651" t="s">
        <v>211</v>
      </c>
      <c r="AN1651" t="s">
        <v>212</v>
      </c>
    </row>
    <row r="1652" spans="37:40" x14ac:dyDescent="0.25">
      <c r="AK1652" s="32" t="s">
        <v>50</v>
      </c>
      <c r="AL1652" t="s">
        <v>325</v>
      </c>
      <c r="AM1652" t="s">
        <v>223</v>
      </c>
      <c r="AN1652" t="s">
        <v>224</v>
      </c>
    </row>
    <row r="1653" spans="37:40" x14ac:dyDescent="0.25">
      <c r="AK1653" s="32" t="s">
        <v>50</v>
      </c>
      <c r="AL1653" t="s">
        <v>325</v>
      </c>
      <c r="AM1653" t="s">
        <v>232</v>
      </c>
      <c r="AN1653" t="s">
        <v>233</v>
      </c>
    </row>
    <row r="1654" spans="37:40" x14ac:dyDescent="0.25">
      <c r="AK1654" s="32" t="s">
        <v>50</v>
      </c>
      <c r="AL1654" t="s">
        <v>325</v>
      </c>
      <c r="AM1654" t="s">
        <v>239</v>
      </c>
      <c r="AN1654" t="s">
        <v>240</v>
      </c>
    </row>
    <row r="1655" spans="37:40" x14ac:dyDescent="0.25">
      <c r="AK1655" s="32" t="s">
        <v>50</v>
      </c>
      <c r="AL1655" t="s">
        <v>325</v>
      </c>
      <c r="AM1655" t="s">
        <v>246</v>
      </c>
      <c r="AN1655" t="s">
        <v>247</v>
      </c>
    </row>
    <row r="1656" spans="37:40" x14ac:dyDescent="0.25">
      <c r="AK1656" s="32" t="s">
        <v>50</v>
      </c>
      <c r="AL1656" t="s">
        <v>325</v>
      </c>
      <c r="AM1656" t="s">
        <v>254</v>
      </c>
      <c r="AN1656" t="s">
        <v>255</v>
      </c>
    </row>
    <row r="1657" spans="37:40" x14ac:dyDescent="0.25">
      <c r="AK1657" s="32" t="s">
        <v>50</v>
      </c>
      <c r="AL1657" t="s">
        <v>325</v>
      </c>
      <c r="AM1657" t="s">
        <v>262</v>
      </c>
      <c r="AN1657" t="s">
        <v>263</v>
      </c>
    </row>
    <row r="1658" spans="37:40" x14ac:dyDescent="0.25">
      <c r="AK1658" s="32" t="s">
        <v>50</v>
      </c>
      <c r="AL1658" t="s">
        <v>325</v>
      </c>
      <c r="AM1658" t="s">
        <v>270</v>
      </c>
      <c r="AN1658" t="s">
        <v>271</v>
      </c>
    </row>
    <row r="1659" spans="37:40" x14ac:dyDescent="0.25">
      <c r="AK1659" s="32" t="s">
        <v>50</v>
      </c>
      <c r="AL1659" t="s">
        <v>325</v>
      </c>
      <c r="AM1659" t="s">
        <v>277</v>
      </c>
      <c r="AN1659" t="s">
        <v>278</v>
      </c>
    </row>
    <row r="1660" spans="37:40" x14ac:dyDescent="0.25">
      <c r="AK1660" s="32" t="s">
        <v>50</v>
      </c>
      <c r="AL1660" t="s">
        <v>325</v>
      </c>
      <c r="AM1660" t="s">
        <v>284</v>
      </c>
      <c r="AN1660" t="s">
        <v>285</v>
      </c>
    </row>
    <row r="1661" spans="37:40" x14ac:dyDescent="0.25">
      <c r="AK1661" s="32" t="s">
        <v>50</v>
      </c>
      <c r="AL1661" t="s">
        <v>325</v>
      </c>
      <c r="AM1661" t="s">
        <v>291</v>
      </c>
      <c r="AN1661" t="s">
        <v>292</v>
      </c>
    </row>
    <row r="1662" spans="37:40" x14ac:dyDescent="0.25">
      <c r="AK1662" s="32" t="s">
        <v>50</v>
      </c>
      <c r="AL1662" t="s">
        <v>325</v>
      </c>
      <c r="AM1662" t="s">
        <v>298</v>
      </c>
      <c r="AN1662" t="s">
        <v>299</v>
      </c>
    </row>
    <row r="1663" spans="37:40" x14ac:dyDescent="0.25">
      <c r="AK1663" s="32" t="s">
        <v>50</v>
      </c>
      <c r="AL1663" t="s">
        <v>325</v>
      </c>
      <c r="AM1663" t="s">
        <v>305</v>
      </c>
      <c r="AN1663" t="s">
        <v>306</v>
      </c>
    </row>
    <row r="1664" spans="37:40" x14ac:dyDescent="0.25">
      <c r="AK1664" s="32" t="s">
        <v>50</v>
      </c>
      <c r="AL1664" t="s">
        <v>325</v>
      </c>
      <c r="AM1664" t="s">
        <v>309</v>
      </c>
      <c r="AN1664" t="s">
        <v>310</v>
      </c>
    </row>
    <row r="1665" spans="37:40" x14ac:dyDescent="0.25">
      <c r="AK1665" s="32" t="s">
        <v>50</v>
      </c>
      <c r="AL1665" t="s">
        <v>325</v>
      </c>
      <c r="AM1665" t="s">
        <v>312</v>
      </c>
      <c r="AN1665" t="s">
        <v>313</v>
      </c>
    </row>
    <row r="1666" spans="37:40" x14ac:dyDescent="0.25">
      <c r="AK1666" s="32" t="s">
        <v>50</v>
      </c>
      <c r="AL1666" t="s">
        <v>325</v>
      </c>
      <c r="AM1666" t="s">
        <v>315</v>
      </c>
      <c r="AN1666" t="s">
        <v>316</v>
      </c>
    </row>
    <row r="1667" spans="37:40" x14ac:dyDescent="0.25">
      <c r="AK1667" s="32" t="s">
        <v>50</v>
      </c>
      <c r="AL1667" t="s">
        <v>325</v>
      </c>
      <c r="AM1667" t="s">
        <v>319</v>
      </c>
      <c r="AN1667" t="s">
        <v>320</v>
      </c>
    </row>
    <row r="1668" spans="37:40" x14ac:dyDescent="0.25">
      <c r="AK1668" s="32" t="s">
        <v>50</v>
      </c>
      <c r="AL1668" t="s">
        <v>325</v>
      </c>
      <c r="AM1668" t="s">
        <v>323</v>
      </c>
      <c r="AN1668" t="s">
        <v>324</v>
      </c>
    </row>
    <row r="1669" spans="37:40" x14ac:dyDescent="0.25">
      <c r="AK1669" s="32" t="s">
        <v>50</v>
      </c>
      <c r="AL1669" t="s">
        <v>325</v>
      </c>
      <c r="AM1669" t="s">
        <v>326</v>
      </c>
      <c r="AN1669" t="s">
        <v>327</v>
      </c>
    </row>
    <row r="1670" spans="37:40" x14ac:dyDescent="0.25">
      <c r="AK1670" s="32" t="s">
        <v>50</v>
      </c>
      <c r="AL1670" t="s">
        <v>325</v>
      </c>
      <c r="AM1670" t="s">
        <v>330</v>
      </c>
      <c r="AN1670" t="s">
        <v>331</v>
      </c>
    </row>
    <row r="1671" spans="37:40" x14ac:dyDescent="0.25">
      <c r="AK1671" s="32" t="s">
        <v>50</v>
      </c>
      <c r="AL1671" t="s">
        <v>325</v>
      </c>
      <c r="AM1671" t="s">
        <v>335</v>
      </c>
      <c r="AN1671" t="s">
        <v>336</v>
      </c>
    </row>
    <row r="1672" spans="37:40" x14ac:dyDescent="0.25">
      <c r="AK1672" s="32" t="s">
        <v>50</v>
      </c>
      <c r="AL1672" t="s">
        <v>325</v>
      </c>
      <c r="AM1672" t="s">
        <v>340</v>
      </c>
      <c r="AN1672" t="s">
        <v>341</v>
      </c>
    </row>
    <row r="1673" spans="37:40" x14ac:dyDescent="0.25">
      <c r="AK1673" s="32" t="s">
        <v>50</v>
      </c>
      <c r="AL1673" t="s">
        <v>325</v>
      </c>
      <c r="AM1673" t="s">
        <v>344</v>
      </c>
      <c r="AN1673" t="s">
        <v>345</v>
      </c>
    </row>
    <row r="1674" spans="37:40" x14ac:dyDescent="0.25">
      <c r="AK1674" s="32" t="s">
        <v>50</v>
      </c>
      <c r="AL1674" t="s">
        <v>325</v>
      </c>
      <c r="AM1674" t="s">
        <v>348</v>
      </c>
      <c r="AN1674" t="s">
        <v>349</v>
      </c>
    </row>
    <row r="1675" spans="37:40" x14ac:dyDescent="0.25">
      <c r="AK1675" s="32" t="s">
        <v>50</v>
      </c>
      <c r="AL1675" t="s">
        <v>325</v>
      </c>
      <c r="AM1675" t="s">
        <v>352</v>
      </c>
      <c r="AN1675" t="s">
        <v>353</v>
      </c>
    </row>
    <row r="1676" spans="37:40" x14ac:dyDescent="0.25">
      <c r="AK1676" s="32" t="s">
        <v>50</v>
      </c>
      <c r="AL1676" t="s">
        <v>325</v>
      </c>
      <c r="AM1676" t="s">
        <v>356</v>
      </c>
      <c r="AN1676" t="s">
        <v>357</v>
      </c>
    </row>
    <row r="1677" spans="37:40" x14ac:dyDescent="0.25">
      <c r="AK1677" s="32" t="s">
        <v>50</v>
      </c>
      <c r="AL1677" t="s">
        <v>325</v>
      </c>
      <c r="AM1677" t="s">
        <v>359</v>
      </c>
      <c r="AN1677" t="s">
        <v>360</v>
      </c>
    </row>
    <row r="1678" spans="37:40" x14ac:dyDescent="0.25">
      <c r="AK1678" s="32" t="s">
        <v>50</v>
      </c>
      <c r="AL1678" t="s">
        <v>325</v>
      </c>
      <c r="AM1678" t="s">
        <v>362</v>
      </c>
      <c r="AN1678" t="s">
        <v>363</v>
      </c>
    </row>
    <row r="1679" spans="37:40" x14ac:dyDescent="0.25">
      <c r="AK1679" s="32" t="s">
        <v>50</v>
      </c>
      <c r="AL1679" t="s">
        <v>325</v>
      </c>
      <c r="AM1679" t="s">
        <v>365</v>
      </c>
      <c r="AN1679" t="s">
        <v>366</v>
      </c>
    </row>
    <row r="1680" spans="37:40" x14ac:dyDescent="0.25">
      <c r="AK1680" s="32" t="s">
        <v>50</v>
      </c>
      <c r="AL1680" t="s">
        <v>325</v>
      </c>
      <c r="AM1680" t="s">
        <v>367</v>
      </c>
      <c r="AN1680" t="s">
        <v>368</v>
      </c>
    </row>
    <row r="1681" spans="37:40" x14ac:dyDescent="0.25">
      <c r="AK1681" s="32" t="s">
        <v>50</v>
      </c>
      <c r="AL1681" t="s">
        <v>325</v>
      </c>
      <c r="AM1681" t="s">
        <v>369</v>
      </c>
      <c r="AN1681" t="s">
        <v>370</v>
      </c>
    </row>
    <row r="1682" spans="37:40" x14ac:dyDescent="0.25">
      <c r="AK1682" s="32" t="s">
        <v>50</v>
      </c>
      <c r="AL1682" t="s">
        <v>325</v>
      </c>
      <c r="AM1682" t="s">
        <v>371</v>
      </c>
      <c r="AN1682" t="s">
        <v>372</v>
      </c>
    </row>
    <row r="1683" spans="37:40" x14ac:dyDescent="0.25">
      <c r="AK1683" s="32" t="s">
        <v>50</v>
      </c>
      <c r="AL1683" t="s">
        <v>325</v>
      </c>
      <c r="AM1683" t="s">
        <v>374</v>
      </c>
      <c r="AN1683" t="s">
        <v>375</v>
      </c>
    </row>
    <row r="1684" spans="37:40" x14ac:dyDescent="0.25">
      <c r="AK1684" s="32" t="s">
        <v>50</v>
      </c>
      <c r="AL1684" t="s">
        <v>325</v>
      </c>
      <c r="AM1684" t="s">
        <v>376</v>
      </c>
      <c r="AN1684" t="s">
        <v>377</v>
      </c>
    </row>
    <row r="1685" spans="37:40" x14ac:dyDescent="0.25">
      <c r="AK1685" s="32" t="s">
        <v>50</v>
      </c>
      <c r="AL1685" t="s">
        <v>325</v>
      </c>
      <c r="AM1685" t="s">
        <v>379</v>
      </c>
      <c r="AN1685" t="s">
        <v>380</v>
      </c>
    </row>
    <row r="1686" spans="37:40" x14ac:dyDescent="0.25">
      <c r="AK1686" s="32" t="s">
        <v>50</v>
      </c>
      <c r="AL1686" t="s">
        <v>325</v>
      </c>
      <c r="AM1686" t="s">
        <v>381</v>
      </c>
      <c r="AN1686" t="s">
        <v>382</v>
      </c>
    </row>
    <row r="1687" spans="37:40" x14ac:dyDescent="0.25">
      <c r="AK1687" s="32" t="s">
        <v>50</v>
      </c>
      <c r="AL1687" t="s">
        <v>325</v>
      </c>
      <c r="AM1687" t="s">
        <v>383</v>
      </c>
      <c r="AN1687" t="s">
        <v>384</v>
      </c>
    </row>
    <row r="1688" spans="37:40" x14ac:dyDescent="0.25">
      <c r="AK1688" s="32" t="s">
        <v>50</v>
      </c>
      <c r="AL1688" t="s">
        <v>325</v>
      </c>
      <c r="AM1688" t="s">
        <v>385</v>
      </c>
      <c r="AN1688" t="s">
        <v>386</v>
      </c>
    </row>
    <row r="1689" spans="37:40" x14ac:dyDescent="0.25">
      <c r="AK1689" s="32" t="s">
        <v>50</v>
      </c>
      <c r="AL1689" t="s">
        <v>325</v>
      </c>
      <c r="AM1689" t="s">
        <v>387</v>
      </c>
      <c r="AN1689" t="s">
        <v>388</v>
      </c>
    </row>
    <row r="1690" spans="37:40" x14ac:dyDescent="0.25">
      <c r="AK1690" s="32" t="s">
        <v>50</v>
      </c>
      <c r="AL1690" t="s">
        <v>325</v>
      </c>
      <c r="AM1690" t="s">
        <v>389</v>
      </c>
      <c r="AN1690" t="s">
        <v>390</v>
      </c>
    </row>
    <row r="1691" spans="37:40" x14ac:dyDescent="0.25">
      <c r="AK1691" s="32" t="s">
        <v>50</v>
      </c>
      <c r="AL1691" t="s">
        <v>325</v>
      </c>
      <c r="AM1691" t="s">
        <v>391</v>
      </c>
      <c r="AN1691" t="s">
        <v>392</v>
      </c>
    </row>
    <row r="1692" spans="37:40" x14ac:dyDescent="0.25">
      <c r="AK1692" s="32" t="s">
        <v>50</v>
      </c>
      <c r="AL1692" t="s">
        <v>325</v>
      </c>
      <c r="AM1692" t="s">
        <v>393</v>
      </c>
      <c r="AN1692" t="s">
        <v>394</v>
      </c>
    </row>
    <row r="1693" spans="37:40" x14ac:dyDescent="0.25">
      <c r="AK1693" s="32" t="s">
        <v>50</v>
      </c>
      <c r="AL1693" t="s">
        <v>325</v>
      </c>
      <c r="AM1693" t="s">
        <v>395</v>
      </c>
      <c r="AN1693" t="s">
        <v>396</v>
      </c>
    </row>
    <row r="1694" spans="37:40" x14ac:dyDescent="0.25">
      <c r="AK1694" s="32" t="s">
        <v>50</v>
      </c>
      <c r="AL1694" t="s">
        <v>325</v>
      </c>
      <c r="AM1694" t="s">
        <v>397</v>
      </c>
      <c r="AN1694" t="s">
        <v>398</v>
      </c>
    </row>
    <row r="1695" spans="37:40" x14ac:dyDescent="0.25">
      <c r="AK1695" s="32" t="s">
        <v>50</v>
      </c>
      <c r="AL1695" t="s">
        <v>325</v>
      </c>
      <c r="AM1695" t="s">
        <v>399</v>
      </c>
      <c r="AN1695" t="s">
        <v>400</v>
      </c>
    </row>
    <row r="1696" spans="37:40" x14ac:dyDescent="0.25">
      <c r="AK1696" s="32" t="s">
        <v>50</v>
      </c>
      <c r="AL1696" t="s">
        <v>325</v>
      </c>
      <c r="AM1696" t="s">
        <v>401</v>
      </c>
      <c r="AN1696" t="s">
        <v>402</v>
      </c>
    </row>
    <row r="1697" spans="37:41" x14ac:dyDescent="0.25">
      <c r="AK1697" s="32" t="s">
        <v>50</v>
      </c>
      <c r="AL1697" t="s">
        <v>325</v>
      </c>
      <c r="AM1697" t="s">
        <v>403</v>
      </c>
      <c r="AN1697" t="s">
        <v>404</v>
      </c>
    </row>
    <row r="1698" spans="37:41" x14ac:dyDescent="0.25">
      <c r="AK1698" s="32" t="s">
        <v>50</v>
      </c>
      <c r="AL1698" t="s">
        <v>325</v>
      </c>
      <c r="AM1698" t="s">
        <v>405</v>
      </c>
      <c r="AN1698" t="s">
        <v>406</v>
      </c>
    </row>
    <row r="1699" spans="37:41" x14ac:dyDescent="0.25">
      <c r="AK1699" s="32" t="s">
        <v>50</v>
      </c>
      <c r="AL1699" t="s">
        <v>325</v>
      </c>
      <c r="AM1699" t="s">
        <v>407</v>
      </c>
      <c r="AN1699" t="s">
        <v>408</v>
      </c>
    </row>
    <row r="1700" spans="37:41" x14ac:dyDescent="0.25">
      <c r="AK1700" s="32" t="s">
        <v>50</v>
      </c>
      <c r="AL1700" t="s">
        <v>325</v>
      </c>
      <c r="AM1700" t="s">
        <v>409</v>
      </c>
      <c r="AN1700" t="s">
        <v>410</v>
      </c>
    </row>
    <row r="1703" spans="37:41" x14ac:dyDescent="0.25">
      <c r="AK1703" s="32" t="s">
        <v>50</v>
      </c>
      <c r="AL1703" t="s">
        <v>329</v>
      </c>
      <c r="AM1703" t="s">
        <v>51</v>
      </c>
      <c r="AN1703" t="s">
        <v>52</v>
      </c>
    </row>
    <row r="1704" spans="37:41" x14ac:dyDescent="0.25">
      <c r="AK1704" s="32" t="s">
        <v>50</v>
      </c>
      <c r="AL1704" t="s">
        <v>329</v>
      </c>
      <c r="AM1704" t="s">
        <v>80</v>
      </c>
      <c r="AN1704" t="s">
        <v>81</v>
      </c>
      <c r="AO1704" t="s">
        <v>503</v>
      </c>
    </row>
    <row r="1705" spans="37:41" x14ac:dyDescent="0.25">
      <c r="AK1705" s="32" t="s">
        <v>50</v>
      </c>
      <c r="AL1705" t="s">
        <v>329</v>
      </c>
      <c r="AM1705" t="s">
        <v>104</v>
      </c>
      <c r="AN1705" t="s">
        <v>105</v>
      </c>
      <c r="AO1705" t="s">
        <v>504</v>
      </c>
    </row>
    <row r="1706" spans="37:41" x14ac:dyDescent="0.25">
      <c r="AK1706" s="32" t="s">
        <v>50</v>
      </c>
      <c r="AL1706" t="s">
        <v>329</v>
      </c>
      <c r="AM1706" t="s">
        <v>119</v>
      </c>
      <c r="AN1706" t="s">
        <v>120</v>
      </c>
      <c r="AO1706" t="s">
        <v>505</v>
      </c>
    </row>
    <row r="1707" spans="37:41" x14ac:dyDescent="0.25">
      <c r="AK1707" s="32" t="s">
        <v>50</v>
      </c>
      <c r="AL1707" t="s">
        <v>329</v>
      </c>
      <c r="AM1707" t="s">
        <v>137</v>
      </c>
      <c r="AN1707" t="s">
        <v>138</v>
      </c>
      <c r="AO1707" t="s">
        <v>506</v>
      </c>
    </row>
    <row r="1708" spans="37:41" x14ac:dyDescent="0.25">
      <c r="AK1708" s="32" t="s">
        <v>50</v>
      </c>
      <c r="AL1708" t="s">
        <v>329</v>
      </c>
      <c r="AM1708" t="s">
        <v>149</v>
      </c>
      <c r="AN1708" t="s">
        <v>150</v>
      </c>
      <c r="AO1708" t="s">
        <v>507</v>
      </c>
    </row>
    <row r="1709" spans="37:41" x14ac:dyDescent="0.25">
      <c r="AK1709" s="32" t="s">
        <v>50</v>
      </c>
      <c r="AL1709" t="s">
        <v>329</v>
      </c>
      <c r="AM1709" t="s">
        <v>162</v>
      </c>
      <c r="AN1709" t="s">
        <v>163</v>
      </c>
      <c r="AO1709" t="s">
        <v>508</v>
      </c>
    </row>
    <row r="1710" spans="37:41" x14ac:dyDescent="0.25">
      <c r="AK1710" s="32" t="s">
        <v>50</v>
      </c>
      <c r="AL1710" t="s">
        <v>329</v>
      </c>
      <c r="AM1710" t="s">
        <v>174</v>
      </c>
      <c r="AN1710" t="s">
        <v>175</v>
      </c>
      <c r="AO1710" t="s">
        <v>509</v>
      </c>
    </row>
    <row r="1711" spans="37:41" x14ac:dyDescent="0.25">
      <c r="AK1711" s="32" t="s">
        <v>50</v>
      </c>
      <c r="AL1711" t="s">
        <v>329</v>
      </c>
      <c r="AM1711" t="s">
        <v>187</v>
      </c>
      <c r="AN1711" t="s">
        <v>188</v>
      </c>
      <c r="AO1711" t="s">
        <v>510</v>
      </c>
    </row>
    <row r="1712" spans="37:41" x14ac:dyDescent="0.25">
      <c r="AK1712" s="32" t="s">
        <v>50</v>
      </c>
      <c r="AL1712" t="s">
        <v>329</v>
      </c>
      <c r="AM1712" t="s">
        <v>199</v>
      </c>
      <c r="AN1712" t="s">
        <v>200</v>
      </c>
      <c r="AO1712" t="s">
        <v>511</v>
      </c>
    </row>
    <row r="1713" spans="37:41" x14ac:dyDescent="0.25">
      <c r="AK1713" s="32" t="s">
        <v>50</v>
      </c>
      <c r="AL1713" t="s">
        <v>329</v>
      </c>
      <c r="AM1713" t="s">
        <v>211</v>
      </c>
      <c r="AN1713" t="s">
        <v>212</v>
      </c>
      <c r="AO1713" t="s">
        <v>512</v>
      </c>
    </row>
    <row r="1714" spans="37:41" x14ac:dyDescent="0.25">
      <c r="AK1714" s="32" t="s">
        <v>50</v>
      </c>
      <c r="AL1714" t="s">
        <v>329</v>
      </c>
      <c r="AM1714" t="s">
        <v>223</v>
      </c>
      <c r="AN1714" t="s">
        <v>224</v>
      </c>
      <c r="AO1714" t="s">
        <v>505</v>
      </c>
    </row>
    <row r="1715" spans="37:41" x14ac:dyDescent="0.25">
      <c r="AK1715" s="32" t="s">
        <v>50</v>
      </c>
      <c r="AL1715" t="s">
        <v>329</v>
      </c>
      <c r="AM1715" t="s">
        <v>232</v>
      </c>
      <c r="AN1715" t="s">
        <v>233</v>
      </c>
      <c r="AO1715" t="s">
        <v>506</v>
      </c>
    </row>
    <row r="1716" spans="37:41" x14ac:dyDescent="0.25">
      <c r="AK1716" s="32" t="s">
        <v>50</v>
      </c>
      <c r="AL1716" t="s">
        <v>329</v>
      </c>
      <c r="AM1716" t="s">
        <v>239</v>
      </c>
      <c r="AN1716" t="s">
        <v>240</v>
      </c>
      <c r="AO1716" t="s">
        <v>507</v>
      </c>
    </row>
    <row r="1717" spans="37:41" x14ac:dyDescent="0.25">
      <c r="AK1717" s="32" t="s">
        <v>50</v>
      </c>
      <c r="AL1717" t="s">
        <v>329</v>
      </c>
      <c r="AM1717" t="s">
        <v>246</v>
      </c>
      <c r="AN1717" t="s">
        <v>247</v>
      </c>
      <c r="AO1717" t="s">
        <v>504</v>
      </c>
    </row>
    <row r="1718" spans="37:41" x14ac:dyDescent="0.25">
      <c r="AK1718" s="32" t="s">
        <v>50</v>
      </c>
      <c r="AL1718" t="s">
        <v>329</v>
      </c>
      <c r="AM1718" t="s">
        <v>254</v>
      </c>
      <c r="AN1718" t="s">
        <v>255</v>
      </c>
      <c r="AO1718" t="s">
        <v>506</v>
      </c>
    </row>
    <row r="1719" spans="37:41" x14ac:dyDescent="0.25">
      <c r="AK1719" s="32" t="s">
        <v>50</v>
      </c>
      <c r="AL1719" t="s">
        <v>329</v>
      </c>
      <c r="AM1719" t="s">
        <v>262</v>
      </c>
      <c r="AN1719" t="s">
        <v>263</v>
      </c>
      <c r="AO1719" t="s">
        <v>507</v>
      </c>
    </row>
    <row r="1720" spans="37:41" x14ac:dyDescent="0.25">
      <c r="AK1720" s="32" t="s">
        <v>50</v>
      </c>
      <c r="AL1720" t="s">
        <v>329</v>
      </c>
      <c r="AM1720" t="s">
        <v>270</v>
      </c>
      <c r="AN1720" t="s">
        <v>271</v>
      </c>
      <c r="AO1720" t="s">
        <v>508</v>
      </c>
    </row>
    <row r="1721" spans="37:41" x14ac:dyDescent="0.25">
      <c r="AK1721" s="32" t="s">
        <v>50</v>
      </c>
      <c r="AL1721" t="s">
        <v>329</v>
      </c>
      <c r="AM1721" t="s">
        <v>277</v>
      </c>
      <c r="AN1721" t="s">
        <v>278</v>
      </c>
      <c r="AO1721" t="s">
        <v>509</v>
      </c>
    </row>
    <row r="1722" spans="37:41" x14ac:dyDescent="0.25">
      <c r="AK1722" s="32" t="s">
        <v>50</v>
      </c>
      <c r="AL1722" t="s">
        <v>329</v>
      </c>
      <c r="AM1722" t="s">
        <v>284</v>
      </c>
      <c r="AN1722" t="s">
        <v>285</v>
      </c>
      <c r="AO1722" t="s">
        <v>504</v>
      </c>
    </row>
    <row r="1723" spans="37:41" x14ac:dyDescent="0.25">
      <c r="AK1723" s="32" t="s">
        <v>50</v>
      </c>
      <c r="AL1723" t="s">
        <v>329</v>
      </c>
      <c r="AM1723" t="s">
        <v>291</v>
      </c>
      <c r="AN1723" t="s">
        <v>292</v>
      </c>
      <c r="AO1723" t="s">
        <v>505</v>
      </c>
    </row>
    <row r="1724" spans="37:41" x14ac:dyDescent="0.25">
      <c r="AK1724" s="32" t="s">
        <v>50</v>
      </c>
      <c r="AL1724" t="s">
        <v>329</v>
      </c>
      <c r="AM1724" t="s">
        <v>298</v>
      </c>
      <c r="AN1724" t="s">
        <v>299</v>
      </c>
      <c r="AO1724" t="s">
        <v>507</v>
      </c>
    </row>
    <row r="1725" spans="37:41" x14ac:dyDescent="0.25">
      <c r="AK1725" s="32" t="s">
        <v>50</v>
      </c>
      <c r="AL1725" t="s">
        <v>329</v>
      </c>
      <c r="AM1725" t="s">
        <v>305</v>
      </c>
      <c r="AN1725" t="s">
        <v>306</v>
      </c>
      <c r="AO1725" t="s">
        <v>508</v>
      </c>
    </row>
    <row r="1726" spans="37:41" x14ac:dyDescent="0.25">
      <c r="AK1726" s="32" t="s">
        <v>50</v>
      </c>
      <c r="AL1726" t="s">
        <v>329</v>
      </c>
      <c r="AM1726" t="s">
        <v>309</v>
      </c>
      <c r="AN1726" t="s">
        <v>310</v>
      </c>
      <c r="AO1726" t="s">
        <v>509</v>
      </c>
    </row>
    <row r="1727" spans="37:41" x14ac:dyDescent="0.25">
      <c r="AK1727" s="32" t="s">
        <v>50</v>
      </c>
      <c r="AL1727" t="s">
        <v>329</v>
      </c>
      <c r="AM1727" t="s">
        <v>312</v>
      </c>
      <c r="AN1727" t="s">
        <v>313</v>
      </c>
      <c r="AO1727" t="s">
        <v>504</v>
      </c>
    </row>
    <row r="1728" spans="37:41" x14ac:dyDescent="0.25">
      <c r="AK1728" s="32" t="s">
        <v>50</v>
      </c>
      <c r="AL1728" t="s">
        <v>329</v>
      </c>
      <c r="AM1728" t="s">
        <v>315</v>
      </c>
      <c r="AN1728" t="s">
        <v>316</v>
      </c>
      <c r="AO1728" t="s">
        <v>505</v>
      </c>
    </row>
    <row r="1729" spans="37:41" x14ac:dyDescent="0.25">
      <c r="AK1729" s="32" t="s">
        <v>50</v>
      </c>
      <c r="AL1729" t="s">
        <v>329</v>
      </c>
      <c r="AM1729" t="s">
        <v>319</v>
      </c>
      <c r="AN1729" t="s">
        <v>320</v>
      </c>
      <c r="AO1729" t="s">
        <v>506</v>
      </c>
    </row>
    <row r="1730" spans="37:41" x14ac:dyDescent="0.25">
      <c r="AK1730" s="32" t="s">
        <v>50</v>
      </c>
      <c r="AL1730" t="s">
        <v>329</v>
      </c>
      <c r="AM1730" t="s">
        <v>323</v>
      </c>
      <c r="AN1730" t="s">
        <v>324</v>
      </c>
      <c r="AO1730" t="s">
        <v>508</v>
      </c>
    </row>
    <row r="1731" spans="37:41" x14ac:dyDescent="0.25">
      <c r="AK1731" s="32" t="s">
        <v>50</v>
      </c>
      <c r="AL1731" t="s">
        <v>329</v>
      </c>
      <c r="AM1731" t="s">
        <v>326</v>
      </c>
      <c r="AN1731" t="s">
        <v>327</v>
      </c>
      <c r="AO1731" t="s">
        <v>509</v>
      </c>
    </row>
    <row r="1732" spans="37:41" x14ac:dyDescent="0.25">
      <c r="AK1732" s="32" t="s">
        <v>50</v>
      </c>
      <c r="AL1732" t="s">
        <v>329</v>
      </c>
      <c r="AM1732" t="s">
        <v>330</v>
      </c>
      <c r="AN1732" t="s">
        <v>331</v>
      </c>
      <c r="AO1732" t="s">
        <v>510</v>
      </c>
    </row>
    <row r="1733" spans="37:41" x14ac:dyDescent="0.25">
      <c r="AK1733" s="32" t="s">
        <v>50</v>
      </c>
      <c r="AL1733" t="s">
        <v>329</v>
      </c>
      <c r="AM1733" t="s">
        <v>335</v>
      </c>
      <c r="AN1733" t="s">
        <v>336</v>
      </c>
      <c r="AO1733" t="s">
        <v>511</v>
      </c>
    </row>
    <row r="1734" spans="37:41" x14ac:dyDescent="0.25">
      <c r="AK1734" s="32" t="s">
        <v>50</v>
      </c>
      <c r="AL1734" t="s">
        <v>329</v>
      </c>
      <c r="AM1734" t="s">
        <v>340</v>
      </c>
      <c r="AN1734" t="s">
        <v>341</v>
      </c>
      <c r="AO1734" t="s">
        <v>505</v>
      </c>
    </row>
    <row r="1735" spans="37:41" x14ac:dyDescent="0.25">
      <c r="AK1735" s="32" t="s">
        <v>50</v>
      </c>
      <c r="AL1735" t="s">
        <v>329</v>
      </c>
      <c r="AM1735" t="s">
        <v>344</v>
      </c>
      <c r="AN1735" t="s">
        <v>345</v>
      </c>
      <c r="AO1735" t="s">
        <v>506</v>
      </c>
    </row>
    <row r="1736" spans="37:41" x14ac:dyDescent="0.25">
      <c r="AK1736" s="32" t="s">
        <v>50</v>
      </c>
      <c r="AL1736" t="s">
        <v>329</v>
      </c>
      <c r="AM1736" t="s">
        <v>348</v>
      </c>
      <c r="AN1736" t="s">
        <v>349</v>
      </c>
      <c r="AO1736" t="s">
        <v>507</v>
      </c>
    </row>
    <row r="1737" spans="37:41" x14ac:dyDescent="0.25">
      <c r="AK1737" s="32" t="s">
        <v>50</v>
      </c>
      <c r="AL1737" t="s">
        <v>329</v>
      </c>
      <c r="AM1737" t="s">
        <v>352</v>
      </c>
      <c r="AN1737" t="s">
        <v>353</v>
      </c>
      <c r="AO1737" t="s">
        <v>509</v>
      </c>
    </row>
    <row r="1738" spans="37:41" x14ac:dyDescent="0.25">
      <c r="AK1738" s="32" t="s">
        <v>50</v>
      </c>
      <c r="AL1738" t="s">
        <v>329</v>
      </c>
      <c r="AM1738" t="s">
        <v>356</v>
      </c>
      <c r="AN1738" t="s">
        <v>357</v>
      </c>
      <c r="AO1738" t="s">
        <v>510</v>
      </c>
    </row>
    <row r="1739" spans="37:41" x14ac:dyDescent="0.25">
      <c r="AK1739" s="32" t="s">
        <v>50</v>
      </c>
      <c r="AL1739" t="s">
        <v>329</v>
      </c>
      <c r="AM1739" t="s">
        <v>359</v>
      </c>
      <c r="AN1739" t="s">
        <v>360</v>
      </c>
      <c r="AO1739" t="s">
        <v>511</v>
      </c>
    </row>
    <row r="1740" spans="37:41" x14ac:dyDescent="0.25">
      <c r="AK1740" s="32" t="s">
        <v>50</v>
      </c>
      <c r="AL1740" t="s">
        <v>329</v>
      </c>
      <c r="AM1740" t="s">
        <v>362</v>
      </c>
      <c r="AN1740" t="s">
        <v>363</v>
      </c>
      <c r="AO1740" t="s">
        <v>512</v>
      </c>
    </row>
    <row r="1741" spans="37:41" x14ac:dyDescent="0.25">
      <c r="AK1741" s="32" t="s">
        <v>50</v>
      </c>
      <c r="AL1741" t="s">
        <v>329</v>
      </c>
      <c r="AM1741" t="s">
        <v>365</v>
      </c>
      <c r="AN1741" t="s">
        <v>366</v>
      </c>
      <c r="AO1741" t="s">
        <v>505</v>
      </c>
    </row>
    <row r="1742" spans="37:41" x14ac:dyDescent="0.25">
      <c r="AK1742" s="32" t="s">
        <v>50</v>
      </c>
      <c r="AL1742" t="s">
        <v>329</v>
      </c>
      <c r="AM1742" t="s">
        <v>367</v>
      </c>
      <c r="AN1742" t="s">
        <v>368</v>
      </c>
      <c r="AO1742" t="s">
        <v>506</v>
      </c>
    </row>
    <row r="1743" spans="37:41" x14ac:dyDescent="0.25">
      <c r="AK1743" s="32" t="s">
        <v>50</v>
      </c>
      <c r="AL1743" t="s">
        <v>329</v>
      </c>
      <c r="AM1743" t="s">
        <v>369</v>
      </c>
      <c r="AN1743" t="s">
        <v>370</v>
      </c>
      <c r="AO1743" t="s">
        <v>507</v>
      </c>
    </row>
    <row r="1744" spans="37:41" x14ac:dyDescent="0.25">
      <c r="AK1744" s="32" t="s">
        <v>50</v>
      </c>
      <c r="AL1744" t="s">
        <v>329</v>
      </c>
      <c r="AM1744" t="s">
        <v>371</v>
      </c>
      <c r="AN1744" t="s">
        <v>372</v>
      </c>
      <c r="AO1744" t="s">
        <v>508</v>
      </c>
    </row>
    <row r="1745" spans="37:41" x14ac:dyDescent="0.25">
      <c r="AK1745" s="32" t="s">
        <v>50</v>
      </c>
      <c r="AL1745" t="s">
        <v>329</v>
      </c>
      <c r="AM1745" t="s">
        <v>374</v>
      </c>
      <c r="AN1745" t="s">
        <v>375</v>
      </c>
      <c r="AO1745" t="s">
        <v>510</v>
      </c>
    </row>
    <row r="1746" spans="37:41" x14ac:dyDescent="0.25">
      <c r="AK1746" s="32" t="s">
        <v>50</v>
      </c>
      <c r="AL1746" t="s">
        <v>329</v>
      </c>
      <c r="AM1746" t="s">
        <v>376</v>
      </c>
      <c r="AN1746" t="s">
        <v>377</v>
      </c>
      <c r="AO1746" t="s">
        <v>511</v>
      </c>
    </row>
    <row r="1747" spans="37:41" x14ac:dyDescent="0.25">
      <c r="AK1747" s="32" t="s">
        <v>50</v>
      </c>
      <c r="AL1747" t="s">
        <v>329</v>
      </c>
      <c r="AM1747" t="s">
        <v>379</v>
      </c>
      <c r="AN1747" t="s">
        <v>380</v>
      </c>
      <c r="AO1747" t="s">
        <v>512</v>
      </c>
    </row>
    <row r="1748" spans="37:41" x14ac:dyDescent="0.25">
      <c r="AK1748" s="32" t="s">
        <v>50</v>
      </c>
      <c r="AL1748" t="s">
        <v>329</v>
      </c>
      <c r="AM1748" t="s">
        <v>381</v>
      </c>
      <c r="AN1748" t="s">
        <v>382</v>
      </c>
      <c r="AO1748" t="s">
        <v>506</v>
      </c>
    </row>
    <row r="1749" spans="37:41" x14ac:dyDescent="0.25">
      <c r="AK1749" s="32" t="s">
        <v>50</v>
      </c>
      <c r="AL1749" t="s">
        <v>329</v>
      </c>
      <c r="AM1749" t="s">
        <v>383</v>
      </c>
      <c r="AN1749" t="s">
        <v>384</v>
      </c>
      <c r="AO1749" t="s">
        <v>507</v>
      </c>
    </row>
    <row r="1750" spans="37:41" x14ac:dyDescent="0.25">
      <c r="AK1750" s="32" t="s">
        <v>50</v>
      </c>
      <c r="AL1750" t="s">
        <v>329</v>
      </c>
      <c r="AM1750" t="s">
        <v>385</v>
      </c>
      <c r="AN1750" t="s">
        <v>386</v>
      </c>
      <c r="AO1750" t="s">
        <v>508</v>
      </c>
    </row>
    <row r="1751" spans="37:41" x14ac:dyDescent="0.25">
      <c r="AK1751" s="32" t="s">
        <v>50</v>
      </c>
      <c r="AL1751" t="s">
        <v>329</v>
      </c>
      <c r="AM1751" t="s">
        <v>387</v>
      </c>
      <c r="AN1751" t="s">
        <v>388</v>
      </c>
      <c r="AO1751" t="s">
        <v>509</v>
      </c>
    </row>
    <row r="1752" spans="37:41" x14ac:dyDescent="0.25">
      <c r="AK1752" s="32" t="s">
        <v>50</v>
      </c>
      <c r="AL1752" t="s">
        <v>329</v>
      </c>
      <c r="AM1752" t="s">
        <v>389</v>
      </c>
      <c r="AN1752" t="s">
        <v>390</v>
      </c>
      <c r="AO1752" t="s">
        <v>511</v>
      </c>
    </row>
    <row r="1753" spans="37:41" x14ac:dyDescent="0.25">
      <c r="AK1753" s="32" t="s">
        <v>50</v>
      </c>
      <c r="AL1753" t="s">
        <v>329</v>
      </c>
      <c r="AM1753" t="s">
        <v>391</v>
      </c>
      <c r="AN1753" t="s">
        <v>392</v>
      </c>
      <c r="AO1753" t="s">
        <v>512</v>
      </c>
    </row>
    <row r="1754" spans="37:41" x14ac:dyDescent="0.25">
      <c r="AK1754" s="32" t="s">
        <v>50</v>
      </c>
      <c r="AL1754" t="s">
        <v>329</v>
      </c>
      <c r="AM1754" t="s">
        <v>393</v>
      </c>
      <c r="AN1754" t="s">
        <v>394</v>
      </c>
      <c r="AO1754" t="s">
        <v>507</v>
      </c>
    </row>
    <row r="1755" spans="37:41" x14ac:dyDescent="0.25">
      <c r="AK1755" s="32" t="s">
        <v>50</v>
      </c>
      <c r="AL1755" t="s">
        <v>329</v>
      </c>
      <c r="AM1755" t="s">
        <v>395</v>
      </c>
      <c r="AN1755" t="s">
        <v>396</v>
      </c>
      <c r="AO1755" t="s">
        <v>508</v>
      </c>
    </row>
    <row r="1756" spans="37:41" x14ac:dyDescent="0.25">
      <c r="AK1756" s="32" t="s">
        <v>50</v>
      </c>
      <c r="AL1756" t="s">
        <v>329</v>
      </c>
      <c r="AM1756" t="s">
        <v>397</v>
      </c>
      <c r="AN1756" t="s">
        <v>398</v>
      </c>
      <c r="AO1756" t="s">
        <v>509</v>
      </c>
    </row>
    <row r="1757" spans="37:41" x14ac:dyDescent="0.25">
      <c r="AK1757" s="32" t="s">
        <v>50</v>
      </c>
      <c r="AL1757" t="s">
        <v>329</v>
      </c>
      <c r="AM1757" t="s">
        <v>399</v>
      </c>
      <c r="AN1757" t="s">
        <v>400</v>
      </c>
      <c r="AO1757" t="s">
        <v>510</v>
      </c>
    </row>
    <row r="1758" spans="37:41" x14ac:dyDescent="0.25">
      <c r="AK1758" s="32" t="s">
        <v>50</v>
      </c>
      <c r="AL1758" t="s">
        <v>329</v>
      </c>
      <c r="AM1758" t="s">
        <v>401</v>
      </c>
      <c r="AN1758" t="s">
        <v>402</v>
      </c>
      <c r="AO1758" t="s">
        <v>512</v>
      </c>
    </row>
    <row r="1759" spans="37:41" x14ac:dyDescent="0.25">
      <c r="AK1759" s="32" t="s">
        <v>50</v>
      </c>
      <c r="AL1759" t="s">
        <v>329</v>
      </c>
      <c r="AM1759" t="s">
        <v>403</v>
      </c>
      <c r="AN1759" t="s">
        <v>404</v>
      </c>
      <c r="AO1759" t="s">
        <v>507</v>
      </c>
    </row>
    <row r="1760" spans="37:41" x14ac:dyDescent="0.25">
      <c r="AK1760" s="32" t="s">
        <v>50</v>
      </c>
      <c r="AL1760" t="s">
        <v>329</v>
      </c>
      <c r="AM1760" t="s">
        <v>405</v>
      </c>
      <c r="AN1760" t="s">
        <v>406</v>
      </c>
      <c r="AO1760" t="s">
        <v>508</v>
      </c>
    </row>
    <row r="1761" spans="37:41" x14ac:dyDescent="0.25">
      <c r="AK1761" s="32" t="s">
        <v>50</v>
      </c>
      <c r="AL1761" t="s">
        <v>329</v>
      </c>
      <c r="AM1761" t="s">
        <v>407</v>
      </c>
      <c r="AN1761" t="s">
        <v>408</v>
      </c>
      <c r="AO1761" t="s">
        <v>509</v>
      </c>
    </row>
    <row r="1762" spans="37:41" x14ac:dyDescent="0.25">
      <c r="AK1762" s="32" t="s">
        <v>50</v>
      </c>
      <c r="AL1762" t="s">
        <v>329</v>
      </c>
      <c r="AM1762" t="s">
        <v>409</v>
      </c>
      <c r="AN1762" t="s">
        <v>410</v>
      </c>
      <c r="AO1762" t="s">
        <v>510</v>
      </c>
    </row>
    <row r="1763" spans="37:41" x14ac:dyDescent="0.25">
      <c r="AO1763" t="s">
        <v>511</v>
      </c>
    </row>
    <row r="1765" spans="37:41" x14ac:dyDescent="0.25">
      <c r="AK1765" t="s">
        <v>50</v>
      </c>
      <c r="AL1765" t="s">
        <v>334</v>
      </c>
      <c r="AM1765" t="s">
        <v>51</v>
      </c>
      <c r="AN1765" t="s">
        <v>513</v>
      </c>
    </row>
    <row r="1766" spans="37:41" x14ac:dyDescent="0.25">
      <c r="AK1766" t="s">
        <v>50</v>
      </c>
      <c r="AL1766" t="s">
        <v>334</v>
      </c>
      <c r="AM1766" t="s">
        <v>80</v>
      </c>
      <c r="AN1766" t="s">
        <v>514</v>
      </c>
    </row>
    <row r="1767" spans="37:41" x14ac:dyDescent="0.25">
      <c r="AK1767" t="s">
        <v>50</v>
      </c>
      <c r="AL1767" t="s">
        <v>334</v>
      </c>
      <c r="AM1767" t="s">
        <v>104</v>
      </c>
      <c r="AN1767" t="s">
        <v>515</v>
      </c>
    </row>
    <row r="1768" spans="37:41" x14ac:dyDescent="0.25">
      <c r="AK1768" t="s">
        <v>50</v>
      </c>
      <c r="AL1768" t="s">
        <v>334</v>
      </c>
      <c r="AM1768" t="s">
        <v>119</v>
      </c>
      <c r="AN1768" t="s">
        <v>516</v>
      </c>
    </row>
    <row r="1769" spans="37:41" x14ac:dyDescent="0.25">
      <c r="AK1769" t="s">
        <v>50</v>
      </c>
      <c r="AL1769" t="s">
        <v>334</v>
      </c>
      <c r="AM1769" t="s">
        <v>137</v>
      </c>
      <c r="AN1769" t="s">
        <v>517</v>
      </c>
    </row>
    <row r="1770" spans="37:41" x14ac:dyDescent="0.25">
      <c r="AK1770" t="s">
        <v>50</v>
      </c>
      <c r="AL1770" t="s">
        <v>334</v>
      </c>
      <c r="AM1770" t="s">
        <v>149</v>
      </c>
      <c r="AN1770" t="s">
        <v>518</v>
      </c>
    </row>
    <row r="1771" spans="37:41" x14ac:dyDescent="0.25">
      <c r="AK1771" t="s">
        <v>50</v>
      </c>
      <c r="AL1771" t="s">
        <v>334</v>
      </c>
      <c r="AM1771" t="s">
        <v>162</v>
      </c>
      <c r="AN1771" t="s">
        <v>519</v>
      </c>
    </row>
    <row r="1772" spans="37:41" x14ac:dyDescent="0.25">
      <c r="AK1772" t="s">
        <v>50</v>
      </c>
      <c r="AL1772" t="s">
        <v>334</v>
      </c>
      <c r="AM1772" t="s">
        <v>174</v>
      </c>
      <c r="AN1772" t="s">
        <v>520</v>
      </c>
    </row>
    <row r="1773" spans="37:41" x14ac:dyDescent="0.25">
      <c r="AK1773" t="s">
        <v>50</v>
      </c>
      <c r="AL1773" t="s">
        <v>334</v>
      </c>
      <c r="AM1773" t="s">
        <v>187</v>
      </c>
      <c r="AN1773" t="s">
        <v>521</v>
      </c>
    </row>
    <row r="1774" spans="37:41" x14ac:dyDescent="0.25">
      <c r="AK1774" t="s">
        <v>50</v>
      </c>
      <c r="AL1774" t="s">
        <v>334</v>
      </c>
      <c r="AM1774" t="s">
        <v>199</v>
      </c>
      <c r="AN1774" t="s">
        <v>522</v>
      </c>
    </row>
    <row r="1775" spans="37:41" x14ac:dyDescent="0.25">
      <c r="AK1775" t="s">
        <v>50</v>
      </c>
      <c r="AL1775" t="s">
        <v>334</v>
      </c>
      <c r="AM1775" t="s">
        <v>211</v>
      </c>
      <c r="AN1775" t="s">
        <v>523</v>
      </c>
    </row>
    <row r="1776" spans="37:41" x14ac:dyDescent="0.25">
      <c r="AK1776" t="s">
        <v>50</v>
      </c>
      <c r="AL1776" t="s">
        <v>334</v>
      </c>
      <c r="AM1776" t="s">
        <v>223</v>
      </c>
      <c r="AN1776" t="s">
        <v>524</v>
      </c>
    </row>
    <row r="1777" spans="37:40" x14ac:dyDescent="0.25">
      <c r="AK1777" t="s">
        <v>50</v>
      </c>
      <c r="AL1777" t="s">
        <v>334</v>
      </c>
      <c r="AM1777" t="s">
        <v>232</v>
      </c>
      <c r="AN1777" t="s">
        <v>525</v>
      </c>
    </row>
    <row r="1778" spans="37:40" x14ac:dyDescent="0.25">
      <c r="AK1778" t="s">
        <v>50</v>
      </c>
      <c r="AL1778" t="s">
        <v>334</v>
      </c>
      <c r="AM1778" s="37" t="s">
        <v>362</v>
      </c>
      <c r="AN1778" t="s">
        <v>523</v>
      </c>
    </row>
    <row r="1779" spans="37:40" x14ac:dyDescent="0.25">
      <c r="AK1779" t="s">
        <v>50</v>
      </c>
      <c r="AL1779" t="s">
        <v>334</v>
      </c>
      <c r="AM1779" t="s">
        <v>239</v>
      </c>
      <c r="AN1779" t="s">
        <v>526</v>
      </c>
    </row>
    <row r="1780" spans="37:40" x14ac:dyDescent="0.25">
      <c r="AK1780" t="s">
        <v>50</v>
      </c>
      <c r="AL1780" t="s">
        <v>334</v>
      </c>
      <c r="AM1780" t="s">
        <v>246</v>
      </c>
      <c r="AN1780" t="s">
        <v>527</v>
      </c>
    </row>
    <row r="1781" spans="37:40" x14ac:dyDescent="0.25">
      <c r="AK1781" t="s">
        <v>50</v>
      </c>
      <c r="AL1781" t="s">
        <v>334</v>
      </c>
      <c r="AM1781" t="s">
        <v>254</v>
      </c>
      <c r="AN1781" t="s">
        <v>528</v>
      </c>
    </row>
    <row r="1782" spans="37:40" x14ac:dyDescent="0.25">
      <c r="AK1782" t="s">
        <v>50</v>
      </c>
      <c r="AL1782" t="s">
        <v>334</v>
      </c>
      <c r="AM1782" t="s">
        <v>365</v>
      </c>
      <c r="AN1782" t="s">
        <v>529</v>
      </c>
    </row>
    <row r="1783" spans="37:40" x14ac:dyDescent="0.25">
      <c r="AK1783" t="s">
        <v>50</v>
      </c>
      <c r="AL1783" t="s">
        <v>334</v>
      </c>
      <c r="AM1783" s="37" t="s">
        <v>367</v>
      </c>
      <c r="AN1783" t="s">
        <v>524</v>
      </c>
    </row>
    <row r="1784" spans="37:40" x14ac:dyDescent="0.25">
      <c r="AK1784" t="s">
        <v>50</v>
      </c>
      <c r="AL1784" t="s">
        <v>334</v>
      </c>
      <c r="AM1784" s="37" t="s">
        <v>369</v>
      </c>
      <c r="AN1784" t="s">
        <v>526</v>
      </c>
    </row>
    <row r="1785" spans="37:40" x14ac:dyDescent="0.25">
      <c r="AK1785" t="s">
        <v>50</v>
      </c>
      <c r="AL1785" t="s">
        <v>334</v>
      </c>
      <c r="AM1785" t="s">
        <v>262</v>
      </c>
      <c r="AN1785" t="s">
        <v>530</v>
      </c>
    </row>
    <row r="1786" spans="37:40" x14ac:dyDescent="0.25">
      <c r="AK1786" t="s">
        <v>50</v>
      </c>
      <c r="AL1786" t="s">
        <v>334</v>
      </c>
      <c r="AM1786" t="s">
        <v>270</v>
      </c>
      <c r="AN1786" t="s">
        <v>531</v>
      </c>
    </row>
    <row r="1787" spans="37:40" x14ac:dyDescent="0.25">
      <c r="AK1787" t="s">
        <v>50</v>
      </c>
      <c r="AL1787" t="s">
        <v>334</v>
      </c>
      <c r="AM1787" t="s">
        <v>277</v>
      </c>
      <c r="AN1787" t="s">
        <v>532</v>
      </c>
    </row>
    <row r="1788" spans="37:40" x14ac:dyDescent="0.25">
      <c r="AK1788" t="s">
        <v>50</v>
      </c>
      <c r="AL1788" t="s">
        <v>334</v>
      </c>
      <c r="AM1788" s="37" t="s">
        <v>371</v>
      </c>
      <c r="AN1788" s="39" t="s">
        <v>525</v>
      </c>
    </row>
    <row r="1789" spans="37:40" x14ac:dyDescent="0.25">
      <c r="AK1789" t="s">
        <v>50</v>
      </c>
      <c r="AL1789" t="s">
        <v>334</v>
      </c>
      <c r="AM1789" s="37" t="s">
        <v>374</v>
      </c>
      <c r="AN1789" s="39" t="s">
        <v>527</v>
      </c>
    </row>
    <row r="1790" spans="37:40" x14ac:dyDescent="0.25">
      <c r="AK1790" t="s">
        <v>50</v>
      </c>
      <c r="AL1790" t="s">
        <v>334</v>
      </c>
      <c r="AM1790" s="37" t="s">
        <v>376</v>
      </c>
      <c r="AN1790" s="39" t="s">
        <v>530</v>
      </c>
    </row>
    <row r="1791" spans="37:40" x14ac:dyDescent="0.25">
      <c r="AK1791" t="s">
        <v>50</v>
      </c>
      <c r="AL1791" t="s">
        <v>334</v>
      </c>
      <c r="AM1791" s="37" t="s">
        <v>284</v>
      </c>
      <c r="AN1791" s="39" t="s">
        <v>533</v>
      </c>
    </row>
    <row r="1792" spans="37:40" x14ac:dyDescent="0.25">
      <c r="AK1792" t="s">
        <v>50</v>
      </c>
      <c r="AL1792" t="s">
        <v>334</v>
      </c>
      <c r="AM1792" t="s">
        <v>291</v>
      </c>
      <c r="AN1792" t="s">
        <v>534</v>
      </c>
    </row>
    <row r="1793" spans="37:40" x14ac:dyDescent="0.25">
      <c r="AK1793" t="s">
        <v>50</v>
      </c>
      <c r="AL1793" t="s">
        <v>334</v>
      </c>
      <c r="AM1793" s="37" t="s">
        <v>298</v>
      </c>
      <c r="AN1793" s="39" t="s">
        <v>535</v>
      </c>
    </row>
    <row r="1794" spans="37:40" x14ac:dyDescent="0.25">
      <c r="AK1794" t="s">
        <v>50</v>
      </c>
      <c r="AL1794" t="s">
        <v>334</v>
      </c>
      <c r="AM1794" t="s">
        <v>379</v>
      </c>
      <c r="AN1794" t="s">
        <v>536</v>
      </c>
    </row>
    <row r="1795" spans="37:40" x14ac:dyDescent="0.25">
      <c r="AK1795" t="s">
        <v>50</v>
      </c>
      <c r="AL1795" t="s">
        <v>334</v>
      </c>
      <c r="AM1795" s="37" t="s">
        <v>381</v>
      </c>
      <c r="AN1795" s="39" t="s">
        <v>528</v>
      </c>
    </row>
    <row r="1796" spans="37:40" x14ac:dyDescent="0.25">
      <c r="AK1796" t="s">
        <v>50</v>
      </c>
      <c r="AL1796" t="s">
        <v>334</v>
      </c>
      <c r="AM1796" s="37" t="s">
        <v>383</v>
      </c>
      <c r="AN1796" s="59" t="s">
        <v>531</v>
      </c>
    </row>
    <row r="1797" spans="37:40" x14ac:dyDescent="0.25">
      <c r="AK1797" t="s">
        <v>50</v>
      </c>
      <c r="AL1797" t="s">
        <v>334</v>
      </c>
      <c r="AM1797" s="37" t="s">
        <v>385</v>
      </c>
      <c r="AN1797" s="39" t="s">
        <v>537</v>
      </c>
    </row>
    <row r="1798" spans="37:40" x14ac:dyDescent="0.25">
      <c r="AK1798" t="s">
        <v>50</v>
      </c>
      <c r="AL1798" t="s">
        <v>334</v>
      </c>
      <c r="AM1798" t="s">
        <v>305</v>
      </c>
      <c r="AN1798" t="s">
        <v>538</v>
      </c>
    </row>
    <row r="1799" spans="37:40" x14ac:dyDescent="0.25">
      <c r="AK1799" t="s">
        <v>50</v>
      </c>
      <c r="AL1799" t="s">
        <v>334</v>
      </c>
      <c r="AM1799" s="37" t="s">
        <v>309</v>
      </c>
      <c r="AN1799" s="39" t="s">
        <v>539</v>
      </c>
    </row>
    <row r="1800" spans="37:40" x14ac:dyDescent="0.25">
      <c r="AK1800" t="s">
        <v>50</v>
      </c>
      <c r="AL1800" t="s">
        <v>334</v>
      </c>
      <c r="AM1800" t="s">
        <v>312</v>
      </c>
      <c r="AN1800" t="s">
        <v>540</v>
      </c>
    </row>
    <row r="1801" spans="37:40" x14ac:dyDescent="0.25">
      <c r="AK1801" t="s">
        <v>50</v>
      </c>
      <c r="AL1801" t="s">
        <v>334</v>
      </c>
      <c r="AM1801" t="s">
        <v>387</v>
      </c>
      <c r="AN1801" t="s">
        <v>541</v>
      </c>
    </row>
    <row r="1802" spans="37:40" x14ac:dyDescent="0.25">
      <c r="AK1802" t="s">
        <v>50</v>
      </c>
      <c r="AL1802" t="s">
        <v>334</v>
      </c>
      <c r="AM1802" s="37" t="s">
        <v>389</v>
      </c>
      <c r="AN1802" s="39" t="s">
        <v>529</v>
      </c>
    </row>
    <row r="1803" spans="37:40" x14ac:dyDescent="0.25">
      <c r="AK1803" t="s">
        <v>50</v>
      </c>
      <c r="AL1803" t="s">
        <v>334</v>
      </c>
      <c r="AM1803" s="37" t="s">
        <v>391</v>
      </c>
      <c r="AN1803" s="39" t="s">
        <v>532</v>
      </c>
    </row>
    <row r="1804" spans="37:40" x14ac:dyDescent="0.25">
      <c r="AK1804" t="s">
        <v>50</v>
      </c>
      <c r="AL1804" t="s">
        <v>334</v>
      </c>
      <c r="AM1804" s="37" t="s">
        <v>393</v>
      </c>
      <c r="AN1804" s="39" t="s">
        <v>534</v>
      </c>
    </row>
    <row r="1805" spans="37:40" x14ac:dyDescent="0.25">
      <c r="AK1805" t="s">
        <v>50</v>
      </c>
      <c r="AL1805" t="s">
        <v>334</v>
      </c>
      <c r="AM1805" s="37" t="s">
        <v>395</v>
      </c>
      <c r="AN1805" s="39" t="s">
        <v>538</v>
      </c>
    </row>
    <row r="1806" spans="37:40" x14ac:dyDescent="0.25">
      <c r="AK1806" t="s">
        <v>50</v>
      </c>
      <c r="AL1806" t="s">
        <v>334</v>
      </c>
      <c r="AM1806" t="s">
        <v>315</v>
      </c>
      <c r="AN1806" t="s">
        <v>542</v>
      </c>
    </row>
    <row r="1807" spans="37:40" x14ac:dyDescent="0.25">
      <c r="AK1807" t="s">
        <v>50</v>
      </c>
      <c r="AL1807" t="s">
        <v>334</v>
      </c>
      <c r="AM1807" t="s">
        <v>319</v>
      </c>
      <c r="AN1807" t="s">
        <v>543</v>
      </c>
    </row>
    <row r="1808" spans="37:40" x14ac:dyDescent="0.25">
      <c r="AK1808" t="s">
        <v>50</v>
      </c>
      <c r="AL1808" t="s">
        <v>334</v>
      </c>
      <c r="AM1808" t="s">
        <v>323</v>
      </c>
      <c r="AN1808" t="s">
        <v>544</v>
      </c>
    </row>
    <row r="1809" spans="37:40" x14ac:dyDescent="0.25">
      <c r="AK1809" t="s">
        <v>50</v>
      </c>
      <c r="AL1809" t="s">
        <v>334</v>
      </c>
      <c r="AM1809" s="37" t="s">
        <v>397</v>
      </c>
      <c r="AN1809" s="39" t="s">
        <v>545</v>
      </c>
    </row>
    <row r="1810" spans="37:40" x14ac:dyDescent="0.25">
      <c r="AK1810" t="s">
        <v>50</v>
      </c>
      <c r="AL1810" t="s">
        <v>334</v>
      </c>
      <c r="AM1810" s="37" t="s">
        <v>399</v>
      </c>
      <c r="AN1810" s="39" t="s">
        <v>546</v>
      </c>
    </row>
    <row r="1811" spans="37:40" x14ac:dyDescent="0.25">
      <c r="AK1811" t="s">
        <v>50</v>
      </c>
      <c r="AL1811" t="s">
        <v>334</v>
      </c>
      <c r="AM1811" s="37" t="s">
        <v>401</v>
      </c>
      <c r="AN1811" s="39" t="s">
        <v>547</v>
      </c>
    </row>
    <row r="1812" spans="37:40" x14ac:dyDescent="0.25">
      <c r="AK1812" t="s">
        <v>50</v>
      </c>
      <c r="AL1812" t="s">
        <v>334</v>
      </c>
      <c r="AM1812" s="37" t="s">
        <v>335</v>
      </c>
      <c r="AN1812" s="39" t="s">
        <v>542</v>
      </c>
    </row>
    <row r="1813" spans="37:40" x14ac:dyDescent="0.25">
      <c r="AK1813" t="s">
        <v>50</v>
      </c>
      <c r="AL1813" t="s">
        <v>334</v>
      </c>
      <c r="AM1813" s="37" t="s">
        <v>326</v>
      </c>
      <c r="AN1813" s="39" t="s">
        <v>548</v>
      </c>
    </row>
    <row r="1814" spans="37:40" x14ac:dyDescent="0.25">
      <c r="AK1814" t="s">
        <v>50</v>
      </c>
      <c r="AL1814" t="s">
        <v>334</v>
      </c>
      <c r="AM1814" t="s">
        <v>330</v>
      </c>
      <c r="AN1814" t="s">
        <v>549</v>
      </c>
    </row>
    <row r="1815" spans="37:40" x14ac:dyDescent="0.25">
      <c r="AK1815" t="s">
        <v>50</v>
      </c>
      <c r="AL1815" t="s">
        <v>334</v>
      </c>
      <c r="AM1815" s="37" t="s">
        <v>403</v>
      </c>
      <c r="AN1815" s="39" t="s">
        <v>536</v>
      </c>
    </row>
    <row r="1816" spans="37:40" x14ac:dyDescent="0.25">
      <c r="AK1816" t="s">
        <v>50</v>
      </c>
      <c r="AL1816" t="s">
        <v>334</v>
      </c>
      <c r="AM1816" s="37" t="s">
        <v>405</v>
      </c>
      <c r="AN1816" s="39" t="s">
        <v>540</v>
      </c>
    </row>
    <row r="1817" spans="37:40" x14ac:dyDescent="0.25">
      <c r="AK1817" t="s">
        <v>50</v>
      </c>
      <c r="AL1817" t="s">
        <v>334</v>
      </c>
      <c r="AM1817" s="37" t="s">
        <v>348</v>
      </c>
      <c r="AN1817" s="39" t="s">
        <v>543</v>
      </c>
    </row>
    <row r="1818" spans="37:40" x14ac:dyDescent="0.25">
      <c r="AK1818" t="s">
        <v>50</v>
      </c>
      <c r="AL1818" t="s">
        <v>334</v>
      </c>
      <c r="AM1818" s="37" t="s">
        <v>344</v>
      </c>
      <c r="AN1818" s="39" t="s">
        <v>550</v>
      </c>
    </row>
    <row r="1819" spans="37:40" x14ac:dyDescent="0.25">
      <c r="AK1819" t="s">
        <v>50</v>
      </c>
      <c r="AL1819" t="s">
        <v>334</v>
      </c>
      <c r="AM1819" t="s">
        <v>340</v>
      </c>
      <c r="AN1819" t="s">
        <v>551</v>
      </c>
    </row>
    <row r="1820" spans="37:40" x14ac:dyDescent="0.25">
      <c r="AK1820" t="s">
        <v>50</v>
      </c>
      <c r="AL1820" t="s">
        <v>334</v>
      </c>
      <c r="AM1820" s="37" t="s">
        <v>407</v>
      </c>
      <c r="AN1820" s="39" t="s">
        <v>552</v>
      </c>
    </row>
    <row r="1821" spans="37:40" x14ac:dyDescent="0.25">
      <c r="AK1821" t="s">
        <v>50</v>
      </c>
      <c r="AL1821" t="s">
        <v>334</v>
      </c>
      <c r="AM1821" s="37" t="s">
        <v>409</v>
      </c>
      <c r="AN1821" s="39" t="s">
        <v>541</v>
      </c>
    </row>
    <row r="1822" spans="37:40" x14ac:dyDescent="0.25">
      <c r="AK1822" t="s">
        <v>50</v>
      </c>
      <c r="AL1822" t="s">
        <v>334</v>
      </c>
      <c r="AM1822" s="37" t="s">
        <v>359</v>
      </c>
      <c r="AN1822" s="39" t="s">
        <v>544</v>
      </c>
    </row>
    <row r="1823" spans="37:40" x14ac:dyDescent="0.25">
      <c r="AK1823" t="s">
        <v>50</v>
      </c>
      <c r="AL1823" t="s">
        <v>334</v>
      </c>
      <c r="AM1823" s="37" t="s">
        <v>356</v>
      </c>
      <c r="AN1823" s="39" t="s">
        <v>549</v>
      </c>
    </row>
    <row r="1824" spans="37:40" x14ac:dyDescent="0.25">
      <c r="AK1824" t="s">
        <v>50</v>
      </c>
      <c r="AL1824" t="s">
        <v>334</v>
      </c>
      <c r="AM1824" s="37" t="s">
        <v>352</v>
      </c>
      <c r="AN1824" s="39" t="s">
        <v>551</v>
      </c>
    </row>
    <row r="1826" spans="37:40" x14ac:dyDescent="0.25">
      <c r="AK1826" s="32" t="s">
        <v>50</v>
      </c>
      <c r="AL1826" t="s">
        <v>339</v>
      </c>
      <c r="AM1826" t="s">
        <v>51</v>
      </c>
      <c r="AN1826" t="s">
        <v>556</v>
      </c>
    </row>
    <row r="1827" spans="37:40" x14ac:dyDescent="0.25">
      <c r="AK1827" s="32" t="s">
        <v>50</v>
      </c>
      <c r="AL1827" t="s">
        <v>339</v>
      </c>
      <c r="AM1827" t="s">
        <v>80</v>
      </c>
      <c r="AN1827" t="s">
        <v>557</v>
      </c>
    </row>
    <row r="1828" spans="37:40" x14ac:dyDescent="0.25">
      <c r="AK1828" s="32" t="s">
        <v>50</v>
      </c>
      <c r="AL1828" t="s">
        <v>339</v>
      </c>
      <c r="AM1828" t="s">
        <v>104</v>
      </c>
      <c r="AN1828" t="s">
        <v>558</v>
      </c>
    </row>
    <row r="1829" spans="37:40" x14ac:dyDescent="0.25">
      <c r="AK1829" s="32" t="s">
        <v>50</v>
      </c>
      <c r="AL1829" t="s">
        <v>339</v>
      </c>
      <c r="AM1829" t="s">
        <v>119</v>
      </c>
      <c r="AN1829" t="s">
        <v>559</v>
      </c>
    </row>
    <row r="1830" spans="37:40" x14ac:dyDescent="0.25">
      <c r="AK1830" s="32" t="s">
        <v>50</v>
      </c>
      <c r="AL1830" t="s">
        <v>339</v>
      </c>
      <c r="AM1830" t="s">
        <v>137</v>
      </c>
      <c r="AN1830" t="s">
        <v>560</v>
      </c>
    </row>
    <row r="1831" spans="37:40" x14ac:dyDescent="0.25">
      <c r="AK1831" s="32" t="s">
        <v>50</v>
      </c>
      <c r="AL1831" t="s">
        <v>339</v>
      </c>
      <c r="AM1831" t="s">
        <v>149</v>
      </c>
      <c r="AN1831" t="s">
        <v>561</v>
      </c>
    </row>
    <row r="1832" spans="37:40" x14ac:dyDescent="0.25">
      <c r="AK1832" s="32" t="s">
        <v>50</v>
      </c>
      <c r="AL1832" t="s">
        <v>339</v>
      </c>
      <c r="AM1832" t="s">
        <v>162</v>
      </c>
      <c r="AN1832" t="s">
        <v>562</v>
      </c>
    </row>
    <row r="1833" spans="37:40" x14ac:dyDescent="0.25">
      <c r="AK1833" s="32" t="s">
        <v>50</v>
      </c>
      <c r="AL1833" t="s">
        <v>339</v>
      </c>
      <c r="AM1833" t="s">
        <v>174</v>
      </c>
      <c r="AN1833" t="s">
        <v>563</v>
      </c>
    </row>
    <row r="1834" spans="37:40" x14ac:dyDescent="0.25">
      <c r="AK1834" s="32" t="s">
        <v>50</v>
      </c>
      <c r="AL1834" t="s">
        <v>339</v>
      </c>
      <c r="AM1834" t="s">
        <v>187</v>
      </c>
      <c r="AN1834" t="s">
        <v>564</v>
      </c>
    </row>
    <row r="1835" spans="37:40" x14ac:dyDescent="0.25">
      <c r="AK1835" s="32" t="s">
        <v>50</v>
      </c>
      <c r="AL1835" t="s">
        <v>339</v>
      </c>
      <c r="AM1835" t="s">
        <v>199</v>
      </c>
      <c r="AN1835" t="s">
        <v>565</v>
      </c>
    </row>
    <row r="1836" spans="37:40" x14ac:dyDescent="0.25">
      <c r="AK1836" s="32" t="s">
        <v>50</v>
      </c>
      <c r="AL1836" t="s">
        <v>339</v>
      </c>
      <c r="AM1836" s="55"/>
      <c r="AN1836" s="55"/>
    </row>
    <row r="1837" spans="37:40" x14ac:dyDescent="0.25">
      <c r="AK1837" s="32" t="s">
        <v>50</v>
      </c>
      <c r="AL1837" t="s">
        <v>339</v>
      </c>
      <c r="AM1837" s="55"/>
      <c r="AN1837" s="55"/>
    </row>
    <row r="1838" spans="37:40" x14ac:dyDescent="0.25">
      <c r="AK1838" s="32" t="s">
        <v>50</v>
      </c>
      <c r="AL1838" t="s">
        <v>339</v>
      </c>
      <c r="AM1838" s="55"/>
      <c r="AN1838" s="55"/>
    </row>
    <row r="1839" spans="37:40" x14ac:dyDescent="0.25">
      <c r="AK1839" s="32" t="s">
        <v>50</v>
      </c>
      <c r="AL1839" t="s">
        <v>339</v>
      </c>
      <c r="AM1839" s="55"/>
      <c r="AN1839" s="55"/>
    </row>
    <row r="1840" spans="37:40" x14ac:dyDescent="0.25">
      <c r="AK1840" s="32" t="s">
        <v>50</v>
      </c>
      <c r="AL1840" t="s">
        <v>339</v>
      </c>
      <c r="AM1840" s="55"/>
      <c r="AN1840" s="55"/>
    </row>
    <row r="1841" spans="37:41" x14ac:dyDescent="0.25">
      <c r="AK1841" s="32" t="s">
        <v>50</v>
      </c>
      <c r="AL1841" t="s">
        <v>339</v>
      </c>
      <c r="AM1841" s="55"/>
      <c r="AN1841" s="55"/>
    </row>
    <row r="1842" spans="37:41" x14ac:dyDescent="0.25">
      <c r="AM1842" s="49"/>
      <c r="AN1842" s="49"/>
    </row>
    <row r="1843" spans="37:41" x14ac:dyDescent="0.25">
      <c r="AK1843" s="32" t="s">
        <v>50</v>
      </c>
      <c r="AL1843" t="s">
        <v>343</v>
      </c>
      <c r="AM1843" t="s">
        <v>51</v>
      </c>
      <c r="AN1843" t="s">
        <v>52</v>
      </c>
    </row>
    <row r="1844" spans="37:41" x14ac:dyDescent="0.25">
      <c r="AK1844" s="32" t="s">
        <v>50</v>
      </c>
      <c r="AL1844" t="s">
        <v>343</v>
      </c>
      <c r="AM1844" t="s">
        <v>80</v>
      </c>
      <c r="AN1844" t="s">
        <v>81</v>
      </c>
      <c r="AO1844" t="s">
        <v>503</v>
      </c>
    </row>
    <row r="1845" spans="37:41" x14ac:dyDescent="0.25">
      <c r="AK1845" s="32" t="s">
        <v>50</v>
      </c>
      <c r="AL1845" t="s">
        <v>343</v>
      </c>
      <c r="AM1845" t="s">
        <v>104</v>
      </c>
      <c r="AN1845" t="s">
        <v>105</v>
      </c>
      <c r="AO1845" t="s">
        <v>504</v>
      </c>
    </row>
    <row r="1846" spans="37:41" x14ac:dyDescent="0.25">
      <c r="AK1846" s="32" t="s">
        <v>50</v>
      </c>
      <c r="AL1846" t="s">
        <v>343</v>
      </c>
      <c r="AM1846" t="s">
        <v>119</v>
      </c>
      <c r="AN1846" t="s">
        <v>120</v>
      </c>
      <c r="AO1846" t="s">
        <v>505</v>
      </c>
    </row>
    <row r="1847" spans="37:41" x14ac:dyDescent="0.25">
      <c r="AK1847" s="32" t="s">
        <v>50</v>
      </c>
      <c r="AL1847" t="s">
        <v>343</v>
      </c>
      <c r="AM1847" t="s">
        <v>137</v>
      </c>
      <c r="AN1847" t="s">
        <v>138</v>
      </c>
      <c r="AO1847" t="s">
        <v>506</v>
      </c>
    </row>
    <row r="1848" spans="37:41" x14ac:dyDescent="0.25">
      <c r="AK1848" s="32" t="s">
        <v>50</v>
      </c>
      <c r="AL1848" t="s">
        <v>343</v>
      </c>
      <c r="AM1848" t="s">
        <v>149</v>
      </c>
      <c r="AN1848" t="s">
        <v>150</v>
      </c>
      <c r="AO1848" t="s">
        <v>507</v>
      </c>
    </row>
    <row r="1849" spans="37:41" x14ac:dyDescent="0.25">
      <c r="AK1849" s="32" t="s">
        <v>50</v>
      </c>
      <c r="AL1849" t="s">
        <v>343</v>
      </c>
      <c r="AM1849" t="s">
        <v>162</v>
      </c>
      <c r="AN1849" t="s">
        <v>163</v>
      </c>
      <c r="AO1849" t="s">
        <v>508</v>
      </c>
    </row>
    <row r="1850" spans="37:41" x14ac:dyDescent="0.25">
      <c r="AK1850" s="32" t="s">
        <v>50</v>
      </c>
      <c r="AL1850" t="s">
        <v>343</v>
      </c>
      <c r="AM1850" t="s">
        <v>174</v>
      </c>
      <c r="AN1850" t="s">
        <v>175</v>
      </c>
      <c r="AO1850" t="s">
        <v>509</v>
      </c>
    </row>
    <row r="1851" spans="37:41" x14ac:dyDescent="0.25">
      <c r="AK1851" s="32" t="s">
        <v>50</v>
      </c>
      <c r="AL1851" t="s">
        <v>343</v>
      </c>
      <c r="AM1851" t="s">
        <v>187</v>
      </c>
      <c r="AN1851" t="s">
        <v>188</v>
      </c>
      <c r="AO1851" t="s">
        <v>510</v>
      </c>
    </row>
    <row r="1852" spans="37:41" x14ac:dyDescent="0.25">
      <c r="AK1852" s="32" t="s">
        <v>50</v>
      </c>
      <c r="AL1852" t="s">
        <v>343</v>
      </c>
      <c r="AM1852" t="s">
        <v>199</v>
      </c>
      <c r="AN1852" t="s">
        <v>200</v>
      </c>
      <c r="AO1852" t="s">
        <v>511</v>
      </c>
    </row>
    <row r="1853" spans="37:41" x14ac:dyDescent="0.25">
      <c r="AK1853" s="32" t="s">
        <v>50</v>
      </c>
      <c r="AL1853" t="s">
        <v>343</v>
      </c>
      <c r="AM1853" t="s">
        <v>211</v>
      </c>
      <c r="AN1853" t="s">
        <v>212</v>
      </c>
      <c r="AO1853" t="s">
        <v>512</v>
      </c>
    </row>
    <row r="1854" spans="37:41" x14ac:dyDescent="0.25">
      <c r="AK1854" s="32" t="s">
        <v>50</v>
      </c>
      <c r="AL1854" t="s">
        <v>343</v>
      </c>
      <c r="AM1854" t="s">
        <v>223</v>
      </c>
      <c r="AN1854" t="s">
        <v>224</v>
      </c>
      <c r="AO1854" t="s">
        <v>505</v>
      </c>
    </row>
    <row r="1855" spans="37:41" x14ac:dyDescent="0.25">
      <c r="AK1855" s="32" t="s">
        <v>50</v>
      </c>
      <c r="AL1855" t="s">
        <v>343</v>
      </c>
      <c r="AM1855" t="s">
        <v>232</v>
      </c>
      <c r="AN1855" t="s">
        <v>233</v>
      </c>
      <c r="AO1855" t="s">
        <v>506</v>
      </c>
    </row>
    <row r="1856" spans="37:41" x14ac:dyDescent="0.25">
      <c r="AK1856" s="32" t="s">
        <v>50</v>
      </c>
      <c r="AL1856" t="s">
        <v>343</v>
      </c>
      <c r="AM1856" t="s">
        <v>239</v>
      </c>
      <c r="AN1856" t="s">
        <v>240</v>
      </c>
      <c r="AO1856" t="s">
        <v>507</v>
      </c>
    </row>
    <row r="1857" spans="37:41" x14ac:dyDescent="0.25">
      <c r="AK1857" s="32" t="s">
        <v>50</v>
      </c>
      <c r="AL1857" t="s">
        <v>343</v>
      </c>
      <c r="AM1857" t="s">
        <v>246</v>
      </c>
      <c r="AN1857" t="s">
        <v>247</v>
      </c>
      <c r="AO1857" t="s">
        <v>504</v>
      </c>
    </row>
    <row r="1858" spans="37:41" x14ac:dyDescent="0.25">
      <c r="AK1858" s="32" t="s">
        <v>50</v>
      </c>
      <c r="AL1858" t="s">
        <v>343</v>
      </c>
      <c r="AM1858" t="s">
        <v>254</v>
      </c>
      <c r="AN1858" t="s">
        <v>255</v>
      </c>
      <c r="AO1858" t="s">
        <v>506</v>
      </c>
    </row>
    <row r="1859" spans="37:41" x14ac:dyDescent="0.25">
      <c r="AK1859" s="32" t="s">
        <v>50</v>
      </c>
      <c r="AL1859" t="s">
        <v>343</v>
      </c>
      <c r="AM1859" t="s">
        <v>262</v>
      </c>
      <c r="AN1859" t="s">
        <v>263</v>
      </c>
      <c r="AO1859" t="s">
        <v>507</v>
      </c>
    </row>
    <row r="1860" spans="37:41" x14ac:dyDescent="0.25">
      <c r="AK1860" s="32" t="s">
        <v>50</v>
      </c>
      <c r="AL1860" t="s">
        <v>343</v>
      </c>
      <c r="AM1860" t="s">
        <v>270</v>
      </c>
      <c r="AN1860" t="s">
        <v>271</v>
      </c>
      <c r="AO1860" t="s">
        <v>508</v>
      </c>
    </row>
    <row r="1861" spans="37:41" x14ac:dyDescent="0.25">
      <c r="AK1861" s="32" t="s">
        <v>50</v>
      </c>
      <c r="AL1861" t="s">
        <v>343</v>
      </c>
      <c r="AM1861" t="s">
        <v>277</v>
      </c>
      <c r="AN1861" t="s">
        <v>278</v>
      </c>
      <c r="AO1861" t="s">
        <v>509</v>
      </c>
    </row>
    <row r="1862" spans="37:41" x14ac:dyDescent="0.25">
      <c r="AK1862" s="32" t="s">
        <v>50</v>
      </c>
      <c r="AL1862" t="s">
        <v>343</v>
      </c>
      <c r="AM1862" t="s">
        <v>284</v>
      </c>
      <c r="AN1862" t="s">
        <v>285</v>
      </c>
      <c r="AO1862" t="s">
        <v>504</v>
      </c>
    </row>
    <row r="1863" spans="37:41" x14ac:dyDescent="0.25">
      <c r="AK1863" s="32" t="s">
        <v>50</v>
      </c>
      <c r="AL1863" t="s">
        <v>343</v>
      </c>
      <c r="AM1863" t="s">
        <v>291</v>
      </c>
      <c r="AN1863" t="s">
        <v>292</v>
      </c>
      <c r="AO1863" t="s">
        <v>505</v>
      </c>
    </row>
    <row r="1864" spans="37:41" x14ac:dyDescent="0.25">
      <c r="AK1864" s="32" t="s">
        <v>50</v>
      </c>
      <c r="AL1864" t="s">
        <v>343</v>
      </c>
      <c r="AM1864" t="s">
        <v>298</v>
      </c>
      <c r="AN1864" t="s">
        <v>299</v>
      </c>
      <c r="AO1864" t="s">
        <v>507</v>
      </c>
    </row>
    <row r="1865" spans="37:41" x14ac:dyDescent="0.25">
      <c r="AK1865" s="32" t="s">
        <v>50</v>
      </c>
      <c r="AL1865" t="s">
        <v>343</v>
      </c>
      <c r="AM1865" t="s">
        <v>305</v>
      </c>
      <c r="AN1865" t="s">
        <v>306</v>
      </c>
      <c r="AO1865" t="s">
        <v>508</v>
      </c>
    </row>
    <row r="1866" spans="37:41" x14ac:dyDescent="0.25">
      <c r="AK1866" s="32" t="s">
        <v>50</v>
      </c>
      <c r="AL1866" t="s">
        <v>343</v>
      </c>
      <c r="AM1866" t="s">
        <v>309</v>
      </c>
      <c r="AN1866" t="s">
        <v>310</v>
      </c>
      <c r="AO1866" t="s">
        <v>509</v>
      </c>
    </row>
    <row r="1867" spans="37:41" x14ac:dyDescent="0.25">
      <c r="AK1867" s="32" t="s">
        <v>50</v>
      </c>
      <c r="AL1867" t="s">
        <v>343</v>
      </c>
      <c r="AM1867" t="s">
        <v>312</v>
      </c>
      <c r="AN1867" t="s">
        <v>313</v>
      </c>
      <c r="AO1867" t="s">
        <v>504</v>
      </c>
    </row>
    <row r="1868" spans="37:41" x14ac:dyDescent="0.25">
      <c r="AK1868" s="32" t="s">
        <v>50</v>
      </c>
      <c r="AL1868" t="s">
        <v>343</v>
      </c>
      <c r="AM1868" t="s">
        <v>315</v>
      </c>
      <c r="AN1868" t="s">
        <v>316</v>
      </c>
      <c r="AO1868" t="s">
        <v>505</v>
      </c>
    </row>
    <row r="1869" spans="37:41" x14ac:dyDescent="0.25">
      <c r="AK1869" s="32" t="s">
        <v>50</v>
      </c>
      <c r="AL1869" t="s">
        <v>343</v>
      </c>
      <c r="AM1869" t="s">
        <v>319</v>
      </c>
      <c r="AN1869" t="s">
        <v>320</v>
      </c>
      <c r="AO1869" t="s">
        <v>506</v>
      </c>
    </row>
    <row r="1870" spans="37:41" x14ac:dyDescent="0.25">
      <c r="AK1870" s="32" t="s">
        <v>50</v>
      </c>
      <c r="AL1870" t="s">
        <v>343</v>
      </c>
      <c r="AM1870" t="s">
        <v>323</v>
      </c>
      <c r="AN1870" t="s">
        <v>324</v>
      </c>
      <c r="AO1870" t="s">
        <v>508</v>
      </c>
    </row>
    <row r="1871" spans="37:41" x14ac:dyDescent="0.25">
      <c r="AK1871" s="32" t="s">
        <v>50</v>
      </c>
      <c r="AL1871" t="s">
        <v>343</v>
      </c>
      <c r="AM1871" t="s">
        <v>326</v>
      </c>
      <c r="AN1871" t="s">
        <v>327</v>
      </c>
      <c r="AO1871" t="s">
        <v>509</v>
      </c>
    </row>
    <row r="1872" spans="37:41" x14ac:dyDescent="0.25">
      <c r="AK1872" s="32" t="s">
        <v>50</v>
      </c>
      <c r="AL1872" t="s">
        <v>343</v>
      </c>
      <c r="AM1872" t="s">
        <v>330</v>
      </c>
      <c r="AN1872" t="s">
        <v>331</v>
      </c>
      <c r="AO1872" t="s">
        <v>510</v>
      </c>
    </row>
    <row r="1873" spans="37:41" x14ac:dyDescent="0.25">
      <c r="AK1873" s="32" t="s">
        <v>50</v>
      </c>
      <c r="AL1873" t="s">
        <v>343</v>
      </c>
      <c r="AM1873" t="s">
        <v>335</v>
      </c>
      <c r="AN1873" t="s">
        <v>336</v>
      </c>
      <c r="AO1873" t="s">
        <v>511</v>
      </c>
    </row>
    <row r="1874" spans="37:41" x14ac:dyDescent="0.25">
      <c r="AK1874" s="32" t="s">
        <v>50</v>
      </c>
      <c r="AL1874" t="s">
        <v>343</v>
      </c>
      <c r="AM1874" t="s">
        <v>340</v>
      </c>
      <c r="AN1874" t="s">
        <v>341</v>
      </c>
      <c r="AO1874" t="s">
        <v>505</v>
      </c>
    </row>
    <row r="1875" spans="37:41" x14ac:dyDescent="0.25">
      <c r="AK1875" s="32" t="s">
        <v>50</v>
      </c>
      <c r="AL1875" t="s">
        <v>343</v>
      </c>
      <c r="AM1875" t="s">
        <v>344</v>
      </c>
      <c r="AN1875" t="s">
        <v>345</v>
      </c>
      <c r="AO1875" t="s">
        <v>506</v>
      </c>
    </row>
    <row r="1876" spans="37:41" x14ac:dyDescent="0.25">
      <c r="AK1876" s="32" t="s">
        <v>50</v>
      </c>
      <c r="AL1876" t="s">
        <v>343</v>
      </c>
      <c r="AM1876" t="s">
        <v>348</v>
      </c>
      <c r="AN1876" t="s">
        <v>349</v>
      </c>
      <c r="AO1876" t="s">
        <v>507</v>
      </c>
    </row>
    <row r="1877" spans="37:41" x14ac:dyDescent="0.25">
      <c r="AK1877" s="32" t="s">
        <v>50</v>
      </c>
      <c r="AL1877" t="s">
        <v>343</v>
      </c>
      <c r="AM1877" t="s">
        <v>352</v>
      </c>
      <c r="AN1877" t="s">
        <v>353</v>
      </c>
      <c r="AO1877" t="s">
        <v>509</v>
      </c>
    </row>
    <row r="1878" spans="37:41" x14ac:dyDescent="0.25">
      <c r="AK1878" s="32" t="s">
        <v>50</v>
      </c>
      <c r="AL1878" t="s">
        <v>343</v>
      </c>
      <c r="AM1878" t="s">
        <v>356</v>
      </c>
      <c r="AN1878" t="s">
        <v>357</v>
      </c>
      <c r="AO1878" t="s">
        <v>510</v>
      </c>
    </row>
    <row r="1879" spans="37:41" x14ac:dyDescent="0.25">
      <c r="AK1879" s="32" t="s">
        <v>50</v>
      </c>
      <c r="AL1879" t="s">
        <v>343</v>
      </c>
      <c r="AM1879" t="s">
        <v>359</v>
      </c>
      <c r="AN1879" t="s">
        <v>360</v>
      </c>
      <c r="AO1879" t="s">
        <v>511</v>
      </c>
    </row>
    <row r="1880" spans="37:41" x14ac:dyDescent="0.25">
      <c r="AK1880" s="32" t="s">
        <v>50</v>
      </c>
      <c r="AL1880" t="s">
        <v>343</v>
      </c>
      <c r="AM1880" t="s">
        <v>362</v>
      </c>
      <c r="AN1880" t="s">
        <v>363</v>
      </c>
      <c r="AO1880" t="s">
        <v>512</v>
      </c>
    </row>
    <row r="1881" spans="37:41" x14ac:dyDescent="0.25">
      <c r="AK1881" s="32" t="s">
        <v>50</v>
      </c>
      <c r="AL1881" t="s">
        <v>343</v>
      </c>
      <c r="AM1881" t="s">
        <v>365</v>
      </c>
      <c r="AN1881" t="s">
        <v>366</v>
      </c>
      <c r="AO1881" t="s">
        <v>505</v>
      </c>
    </row>
    <row r="1882" spans="37:41" x14ac:dyDescent="0.25">
      <c r="AK1882" s="32" t="s">
        <v>50</v>
      </c>
      <c r="AL1882" t="s">
        <v>343</v>
      </c>
      <c r="AM1882" t="s">
        <v>367</v>
      </c>
      <c r="AN1882" t="s">
        <v>368</v>
      </c>
      <c r="AO1882" t="s">
        <v>506</v>
      </c>
    </row>
    <row r="1883" spans="37:41" x14ac:dyDescent="0.25">
      <c r="AK1883" s="32" t="s">
        <v>50</v>
      </c>
      <c r="AL1883" t="s">
        <v>343</v>
      </c>
      <c r="AM1883" t="s">
        <v>369</v>
      </c>
      <c r="AN1883" t="s">
        <v>370</v>
      </c>
      <c r="AO1883" t="s">
        <v>507</v>
      </c>
    </row>
    <row r="1884" spans="37:41" x14ac:dyDescent="0.25">
      <c r="AK1884" s="32" t="s">
        <v>50</v>
      </c>
      <c r="AL1884" t="s">
        <v>343</v>
      </c>
      <c r="AM1884" t="s">
        <v>371</v>
      </c>
      <c r="AN1884" t="s">
        <v>372</v>
      </c>
      <c r="AO1884" t="s">
        <v>508</v>
      </c>
    </row>
    <row r="1885" spans="37:41" x14ac:dyDescent="0.25">
      <c r="AK1885" s="32" t="s">
        <v>50</v>
      </c>
      <c r="AL1885" t="s">
        <v>343</v>
      </c>
      <c r="AM1885" t="s">
        <v>374</v>
      </c>
      <c r="AN1885" t="s">
        <v>375</v>
      </c>
      <c r="AO1885" t="s">
        <v>510</v>
      </c>
    </row>
    <row r="1886" spans="37:41" x14ac:dyDescent="0.25">
      <c r="AK1886" s="32" t="s">
        <v>50</v>
      </c>
      <c r="AL1886" t="s">
        <v>343</v>
      </c>
      <c r="AM1886" t="s">
        <v>376</v>
      </c>
      <c r="AN1886" t="s">
        <v>377</v>
      </c>
      <c r="AO1886" t="s">
        <v>511</v>
      </c>
    </row>
    <row r="1887" spans="37:41" x14ac:dyDescent="0.25">
      <c r="AK1887" s="32" t="s">
        <v>50</v>
      </c>
      <c r="AL1887" t="s">
        <v>343</v>
      </c>
      <c r="AM1887" t="s">
        <v>379</v>
      </c>
      <c r="AN1887" t="s">
        <v>380</v>
      </c>
      <c r="AO1887" t="s">
        <v>512</v>
      </c>
    </row>
    <row r="1888" spans="37:41" x14ac:dyDescent="0.25">
      <c r="AK1888" s="32" t="s">
        <v>50</v>
      </c>
      <c r="AL1888" t="s">
        <v>343</v>
      </c>
      <c r="AM1888" t="s">
        <v>381</v>
      </c>
      <c r="AN1888" t="s">
        <v>382</v>
      </c>
      <c r="AO1888" t="s">
        <v>506</v>
      </c>
    </row>
    <row r="1889" spans="37:41" x14ac:dyDescent="0.25">
      <c r="AK1889" s="32" t="s">
        <v>50</v>
      </c>
      <c r="AL1889" t="s">
        <v>343</v>
      </c>
      <c r="AM1889" t="s">
        <v>383</v>
      </c>
      <c r="AN1889" t="s">
        <v>384</v>
      </c>
      <c r="AO1889" t="s">
        <v>507</v>
      </c>
    </row>
    <row r="1890" spans="37:41" x14ac:dyDescent="0.25">
      <c r="AK1890" s="32" t="s">
        <v>50</v>
      </c>
      <c r="AL1890" t="s">
        <v>343</v>
      </c>
      <c r="AM1890" t="s">
        <v>385</v>
      </c>
      <c r="AN1890" t="s">
        <v>386</v>
      </c>
      <c r="AO1890" t="s">
        <v>508</v>
      </c>
    </row>
    <row r="1891" spans="37:41" x14ac:dyDescent="0.25">
      <c r="AK1891" s="32" t="s">
        <v>50</v>
      </c>
      <c r="AL1891" t="s">
        <v>343</v>
      </c>
      <c r="AM1891" t="s">
        <v>387</v>
      </c>
      <c r="AN1891" t="s">
        <v>388</v>
      </c>
      <c r="AO1891" t="s">
        <v>509</v>
      </c>
    </row>
    <row r="1892" spans="37:41" x14ac:dyDescent="0.25">
      <c r="AK1892" s="32" t="s">
        <v>50</v>
      </c>
      <c r="AL1892" t="s">
        <v>343</v>
      </c>
      <c r="AM1892" t="s">
        <v>389</v>
      </c>
      <c r="AN1892" t="s">
        <v>390</v>
      </c>
      <c r="AO1892" t="s">
        <v>511</v>
      </c>
    </row>
    <row r="1893" spans="37:41" x14ac:dyDescent="0.25">
      <c r="AK1893" s="32" t="s">
        <v>50</v>
      </c>
      <c r="AL1893" t="s">
        <v>343</v>
      </c>
      <c r="AM1893" t="s">
        <v>391</v>
      </c>
      <c r="AN1893" t="s">
        <v>392</v>
      </c>
      <c r="AO1893" t="s">
        <v>512</v>
      </c>
    </row>
    <row r="1894" spans="37:41" x14ac:dyDescent="0.25">
      <c r="AK1894" s="32" t="s">
        <v>50</v>
      </c>
      <c r="AL1894" t="s">
        <v>343</v>
      </c>
      <c r="AM1894" t="s">
        <v>393</v>
      </c>
      <c r="AN1894" t="s">
        <v>394</v>
      </c>
      <c r="AO1894" t="s">
        <v>507</v>
      </c>
    </row>
    <row r="1895" spans="37:41" x14ac:dyDescent="0.25">
      <c r="AK1895" s="32" t="s">
        <v>50</v>
      </c>
      <c r="AL1895" t="s">
        <v>343</v>
      </c>
      <c r="AM1895" t="s">
        <v>395</v>
      </c>
      <c r="AN1895" t="s">
        <v>396</v>
      </c>
      <c r="AO1895" t="s">
        <v>508</v>
      </c>
    </row>
    <row r="1896" spans="37:41" x14ac:dyDescent="0.25">
      <c r="AK1896" s="32" t="s">
        <v>50</v>
      </c>
      <c r="AL1896" t="s">
        <v>343</v>
      </c>
      <c r="AM1896" t="s">
        <v>397</v>
      </c>
      <c r="AN1896" t="s">
        <v>398</v>
      </c>
      <c r="AO1896" t="s">
        <v>509</v>
      </c>
    </row>
    <row r="1897" spans="37:41" x14ac:dyDescent="0.25">
      <c r="AK1897" s="32" t="s">
        <v>50</v>
      </c>
      <c r="AL1897" t="s">
        <v>343</v>
      </c>
      <c r="AM1897" t="s">
        <v>399</v>
      </c>
      <c r="AN1897" t="s">
        <v>400</v>
      </c>
      <c r="AO1897" t="s">
        <v>510</v>
      </c>
    </row>
    <row r="1898" spans="37:41" x14ac:dyDescent="0.25">
      <c r="AK1898" s="32" t="s">
        <v>50</v>
      </c>
      <c r="AL1898" t="s">
        <v>343</v>
      </c>
      <c r="AM1898" t="s">
        <v>401</v>
      </c>
      <c r="AN1898" t="s">
        <v>402</v>
      </c>
      <c r="AO1898" t="s">
        <v>512</v>
      </c>
    </row>
    <row r="1899" spans="37:41" x14ac:dyDescent="0.25">
      <c r="AK1899" s="32" t="s">
        <v>50</v>
      </c>
      <c r="AL1899" t="s">
        <v>343</v>
      </c>
      <c r="AM1899" t="s">
        <v>403</v>
      </c>
      <c r="AN1899" t="s">
        <v>404</v>
      </c>
      <c r="AO1899" t="s">
        <v>507</v>
      </c>
    </row>
    <row r="1900" spans="37:41" x14ac:dyDescent="0.25">
      <c r="AK1900" s="32" t="s">
        <v>50</v>
      </c>
      <c r="AL1900" t="s">
        <v>343</v>
      </c>
      <c r="AM1900" t="s">
        <v>405</v>
      </c>
      <c r="AN1900" t="s">
        <v>406</v>
      </c>
      <c r="AO1900" t="s">
        <v>508</v>
      </c>
    </row>
    <row r="1901" spans="37:41" x14ac:dyDescent="0.25">
      <c r="AK1901" s="32" t="s">
        <v>50</v>
      </c>
      <c r="AL1901" t="s">
        <v>343</v>
      </c>
      <c r="AM1901" t="s">
        <v>407</v>
      </c>
      <c r="AN1901" t="s">
        <v>408</v>
      </c>
      <c r="AO1901" t="s">
        <v>509</v>
      </c>
    </row>
    <row r="1902" spans="37:41" x14ac:dyDescent="0.25">
      <c r="AK1902" s="32" t="s">
        <v>50</v>
      </c>
      <c r="AL1902" t="s">
        <v>343</v>
      </c>
      <c r="AM1902" t="s">
        <v>409</v>
      </c>
      <c r="AN1902" t="s">
        <v>410</v>
      </c>
      <c r="AO1902" t="s">
        <v>510</v>
      </c>
    </row>
    <row r="1903" spans="37:41" x14ac:dyDescent="0.25">
      <c r="AO1903" t="s">
        <v>511</v>
      </c>
    </row>
    <row r="1905" spans="37:40" x14ac:dyDescent="0.25">
      <c r="AK1905" t="s">
        <v>50</v>
      </c>
      <c r="AL1905" t="s">
        <v>347</v>
      </c>
      <c r="AM1905" t="s">
        <v>51</v>
      </c>
      <c r="AN1905" t="s">
        <v>513</v>
      </c>
    </row>
    <row r="1906" spans="37:40" x14ac:dyDescent="0.25">
      <c r="AK1906" t="s">
        <v>50</v>
      </c>
      <c r="AL1906" t="s">
        <v>347</v>
      </c>
      <c r="AM1906" t="s">
        <v>80</v>
      </c>
      <c r="AN1906" t="s">
        <v>514</v>
      </c>
    </row>
    <row r="1907" spans="37:40" x14ac:dyDescent="0.25">
      <c r="AK1907" t="s">
        <v>50</v>
      </c>
      <c r="AL1907" t="s">
        <v>347</v>
      </c>
      <c r="AM1907" t="s">
        <v>104</v>
      </c>
      <c r="AN1907" t="s">
        <v>515</v>
      </c>
    </row>
    <row r="1908" spans="37:40" x14ac:dyDescent="0.25">
      <c r="AK1908" t="s">
        <v>50</v>
      </c>
      <c r="AL1908" t="s">
        <v>347</v>
      </c>
      <c r="AM1908" t="s">
        <v>119</v>
      </c>
      <c r="AN1908" t="s">
        <v>516</v>
      </c>
    </row>
    <row r="1909" spans="37:40" x14ac:dyDescent="0.25">
      <c r="AK1909" t="s">
        <v>50</v>
      </c>
      <c r="AL1909" t="s">
        <v>347</v>
      </c>
      <c r="AM1909" t="s">
        <v>137</v>
      </c>
      <c r="AN1909" t="s">
        <v>517</v>
      </c>
    </row>
    <row r="1910" spans="37:40" x14ac:dyDescent="0.25">
      <c r="AK1910" t="s">
        <v>50</v>
      </c>
      <c r="AL1910" t="s">
        <v>347</v>
      </c>
      <c r="AM1910" t="s">
        <v>149</v>
      </c>
      <c r="AN1910" t="s">
        <v>518</v>
      </c>
    </row>
    <row r="1911" spans="37:40" x14ac:dyDescent="0.25">
      <c r="AK1911" t="s">
        <v>50</v>
      </c>
      <c r="AL1911" t="s">
        <v>347</v>
      </c>
      <c r="AM1911" t="s">
        <v>162</v>
      </c>
      <c r="AN1911" t="s">
        <v>519</v>
      </c>
    </row>
    <row r="1912" spans="37:40" x14ac:dyDescent="0.25">
      <c r="AK1912" t="s">
        <v>50</v>
      </c>
      <c r="AL1912" t="s">
        <v>347</v>
      </c>
      <c r="AM1912" t="s">
        <v>174</v>
      </c>
      <c r="AN1912" t="s">
        <v>520</v>
      </c>
    </row>
    <row r="1913" spans="37:40" x14ac:dyDescent="0.25">
      <c r="AK1913" t="s">
        <v>50</v>
      </c>
      <c r="AL1913" t="s">
        <v>347</v>
      </c>
      <c r="AM1913" t="s">
        <v>187</v>
      </c>
      <c r="AN1913" t="s">
        <v>521</v>
      </c>
    </row>
    <row r="1914" spans="37:40" x14ac:dyDescent="0.25">
      <c r="AK1914" t="s">
        <v>50</v>
      </c>
      <c r="AL1914" t="s">
        <v>347</v>
      </c>
      <c r="AM1914" t="s">
        <v>199</v>
      </c>
      <c r="AN1914" t="s">
        <v>522</v>
      </c>
    </row>
    <row r="1915" spans="37:40" x14ac:dyDescent="0.25">
      <c r="AK1915" t="s">
        <v>50</v>
      </c>
      <c r="AL1915" t="s">
        <v>347</v>
      </c>
      <c r="AM1915" t="s">
        <v>211</v>
      </c>
      <c r="AN1915" t="s">
        <v>523</v>
      </c>
    </row>
    <row r="1916" spans="37:40" x14ac:dyDescent="0.25">
      <c r="AK1916" t="s">
        <v>50</v>
      </c>
      <c r="AL1916" t="s">
        <v>347</v>
      </c>
      <c r="AM1916" t="s">
        <v>223</v>
      </c>
      <c r="AN1916" t="s">
        <v>524</v>
      </c>
    </row>
    <row r="1917" spans="37:40" x14ac:dyDescent="0.25">
      <c r="AK1917" t="s">
        <v>50</v>
      </c>
      <c r="AL1917" t="s">
        <v>347</v>
      </c>
      <c r="AM1917" t="s">
        <v>232</v>
      </c>
      <c r="AN1917" t="s">
        <v>525</v>
      </c>
    </row>
    <row r="1918" spans="37:40" x14ac:dyDescent="0.25">
      <c r="AK1918" t="s">
        <v>50</v>
      </c>
      <c r="AL1918" t="s">
        <v>347</v>
      </c>
      <c r="AM1918" s="37" t="s">
        <v>362</v>
      </c>
      <c r="AN1918" t="s">
        <v>523</v>
      </c>
    </row>
    <row r="1919" spans="37:40" x14ac:dyDescent="0.25">
      <c r="AK1919" t="s">
        <v>50</v>
      </c>
      <c r="AL1919" t="s">
        <v>347</v>
      </c>
      <c r="AM1919" t="s">
        <v>239</v>
      </c>
      <c r="AN1919" t="s">
        <v>526</v>
      </c>
    </row>
    <row r="1920" spans="37:40" x14ac:dyDescent="0.25">
      <c r="AK1920" t="s">
        <v>50</v>
      </c>
      <c r="AL1920" t="s">
        <v>347</v>
      </c>
      <c r="AM1920" t="s">
        <v>246</v>
      </c>
      <c r="AN1920" t="s">
        <v>527</v>
      </c>
    </row>
    <row r="1921" spans="37:40" x14ac:dyDescent="0.25">
      <c r="AK1921" t="s">
        <v>50</v>
      </c>
      <c r="AL1921" t="s">
        <v>347</v>
      </c>
      <c r="AM1921" t="s">
        <v>254</v>
      </c>
      <c r="AN1921" t="s">
        <v>528</v>
      </c>
    </row>
    <row r="1922" spans="37:40" x14ac:dyDescent="0.25">
      <c r="AK1922" t="s">
        <v>50</v>
      </c>
      <c r="AL1922" t="s">
        <v>347</v>
      </c>
      <c r="AM1922" t="s">
        <v>365</v>
      </c>
      <c r="AN1922" t="s">
        <v>529</v>
      </c>
    </row>
    <row r="1923" spans="37:40" x14ac:dyDescent="0.25">
      <c r="AK1923" t="s">
        <v>50</v>
      </c>
      <c r="AL1923" t="s">
        <v>347</v>
      </c>
      <c r="AM1923" s="37" t="s">
        <v>367</v>
      </c>
      <c r="AN1923" t="s">
        <v>524</v>
      </c>
    </row>
    <row r="1924" spans="37:40" x14ac:dyDescent="0.25">
      <c r="AK1924" t="s">
        <v>50</v>
      </c>
      <c r="AL1924" t="s">
        <v>347</v>
      </c>
      <c r="AM1924" s="37" t="s">
        <v>369</v>
      </c>
      <c r="AN1924" t="s">
        <v>526</v>
      </c>
    </row>
    <row r="1925" spans="37:40" x14ac:dyDescent="0.25">
      <c r="AK1925" t="s">
        <v>50</v>
      </c>
      <c r="AL1925" t="s">
        <v>347</v>
      </c>
      <c r="AM1925" t="s">
        <v>262</v>
      </c>
      <c r="AN1925" t="s">
        <v>530</v>
      </c>
    </row>
    <row r="1926" spans="37:40" x14ac:dyDescent="0.25">
      <c r="AK1926" t="s">
        <v>50</v>
      </c>
      <c r="AL1926" t="s">
        <v>347</v>
      </c>
      <c r="AM1926" t="s">
        <v>270</v>
      </c>
      <c r="AN1926" t="s">
        <v>531</v>
      </c>
    </row>
    <row r="1927" spans="37:40" x14ac:dyDescent="0.25">
      <c r="AK1927" t="s">
        <v>50</v>
      </c>
      <c r="AL1927" t="s">
        <v>347</v>
      </c>
      <c r="AM1927" t="s">
        <v>277</v>
      </c>
      <c r="AN1927" t="s">
        <v>532</v>
      </c>
    </row>
    <row r="1928" spans="37:40" x14ac:dyDescent="0.25">
      <c r="AK1928" t="s">
        <v>50</v>
      </c>
      <c r="AL1928" t="s">
        <v>347</v>
      </c>
      <c r="AM1928" s="37" t="s">
        <v>371</v>
      </c>
      <c r="AN1928" s="39" t="s">
        <v>525</v>
      </c>
    </row>
    <row r="1929" spans="37:40" x14ac:dyDescent="0.25">
      <c r="AK1929" t="s">
        <v>50</v>
      </c>
      <c r="AL1929" t="s">
        <v>347</v>
      </c>
      <c r="AM1929" s="37" t="s">
        <v>374</v>
      </c>
      <c r="AN1929" s="39" t="s">
        <v>527</v>
      </c>
    </row>
    <row r="1930" spans="37:40" x14ac:dyDescent="0.25">
      <c r="AK1930" t="s">
        <v>50</v>
      </c>
      <c r="AL1930" t="s">
        <v>347</v>
      </c>
      <c r="AM1930" s="37" t="s">
        <v>376</v>
      </c>
      <c r="AN1930" s="39" t="s">
        <v>530</v>
      </c>
    </row>
    <row r="1931" spans="37:40" x14ac:dyDescent="0.25">
      <c r="AK1931" t="s">
        <v>50</v>
      </c>
      <c r="AL1931" t="s">
        <v>347</v>
      </c>
      <c r="AM1931" s="37" t="s">
        <v>284</v>
      </c>
      <c r="AN1931" s="39" t="s">
        <v>533</v>
      </c>
    </row>
    <row r="1932" spans="37:40" x14ac:dyDescent="0.25">
      <c r="AK1932" t="s">
        <v>50</v>
      </c>
      <c r="AL1932" t="s">
        <v>347</v>
      </c>
      <c r="AM1932" t="s">
        <v>291</v>
      </c>
      <c r="AN1932" t="s">
        <v>534</v>
      </c>
    </row>
    <row r="1933" spans="37:40" x14ac:dyDescent="0.25">
      <c r="AK1933" t="s">
        <v>50</v>
      </c>
      <c r="AL1933" t="s">
        <v>347</v>
      </c>
      <c r="AM1933" s="37" t="s">
        <v>298</v>
      </c>
      <c r="AN1933" s="39" t="s">
        <v>535</v>
      </c>
    </row>
    <row r="1934" spans="37:40" x14ac:dyDescent="0.25">
      <c r="AK1934" t="s">
        <v>50</v>
      </c>
      <c r="AL1934" t="s">
        <v>347</v>
      </c>
      <c r="AM1934" t="s">
        <v>379</v>
      </c>
      <c r="AN1934" t="s">
        <v>536</v>
      </c>
    </row>
    <row r="1935" spans="37:40" x14ac:dyDescent="0.25">
      <c r="AK1935" t="s">
        <v>50</v>
      </c>
      <c r="AL1935" t="s">
        <v>347</v>
      </c>
      <c r="AM1935" s="37" t="s">
        <v>381</v>
      </c>
      <c r="AN1935" s="39" t="s">
        <v>528</v>
      </c>
    </row>
    <row r="1936" spans="37:40" x14ac:dyDescent="0.25">
      <c r="AK1936" t="s">
        <v>50</v>
      </c>
      <c r="AL1936" t="s">
        <v>347</v>
      </c>
      <c r="AM1936" s="37" t="s">
        <v>383</v>
      </c>
      <c r="AN1936" s="59" t="s">
        <v>531</v>
      </c>
    </row>
    <row r="1937" spans="37:40" x14ac:dyDescent="0.25">
      <c r="AK1937" t="s">
        <v>50</v>
      </c>
      <c r="AL1937" t="s">
        <v>347</v>
      </c>
      <c r="AM1937" s="37" t="s">
        <v>385</v>
      </c>
      <c r="AN1937" s="39" t="s">
        <v>537</v>
      </c>
    </row>
    <row r="1938" spans="37:40" x14ac:dyDescent="0.25">
      <c r="AK1938" t="s">
        <v>50</v>
      </c>
      <c r="AL1938" t="s">
        <v>347</v>
      </c>
      <c r="AM1938" t="s">
        <v>305</v>
      </c>
      <c r="AN1938" t="s">
        <v>538</v>
      </c>
    </row>
    <row r="1939" spans="37:40" x14ac:dyDescent="0.25">
      <c r="AK1939" t="s">
        <v>50</v>
      </c>
      <c r="AL1939" t="s">
        <v>347</v>
      </c>
      <c r="AM1939" s="37" t="s">
        <v>309</v>
      </c>
      <c r="AN1939" s="39" t="s">
        <v>539</v>
      </c>
    </row>
    <row r="1940" spans="37:40" x14ac:dyDescent="0.25">
      <c r="AK1940" t="s">
        <v>50</v>
      </c>
      <c r="AL1940" t="s">
        <v>347</v>
      </c>
      <c r="AM1940" t="s">
        <v>312</v>
      </c>
      <c r="AN1940" t="s">
        <v>540</v>
      </c>
    </row>
    <row r="1941" spans="37:40" x14ac:dyDescent="0.25">
      <c r="AK1941" t="s">
        <v>50</v>
      </c>
      <c r="AL1941" t="s">
        <v>347</v>
      </c>
      <c r="AM1941" t="s">
        <v>387</v>
      </c>
      <c r="AN1941" t="s">
        <v>541</v>
      </c>
    </row>
    <row r="1942" spans="37:40" x14ac:dyDescent="0.25">
      <c r="AK1942" t="s">
        <v>50</v>
      </c>
      <c r="AL1942" t="s">
        <v>347</v>
      </c>
      <c r="AM1942" s="37" t="s">
        <v>389</v>
      </c>
      <c r="AN1942" s="39" t="s">
        <v>529</v>
      </c>
    </row>
    <row r="1943" spans="37:40" x14ac:dyDescent="0.25">
      <c r="AK1943" t="s">
        <v>50</v>
      </c>
      <c r="AL1943" t="s">
        <v>347</v>
      </c>
      <c r="AM1943" s="37" t="s">
        <v>391</v>
      </c>
      <c r="AN1943" s="39" t="s">
        <v>532</v>
      </c>
    </row>
    <row r="1944" spans="37:40" x14ac:dyDescent="0.25">
      <c r="AK1944" t="s">
        <v>50</v>
      </c>
      <c r="AL1944" t="s">
        <v>347</v>
      </c>
      <c r="AM1944" s="37" t="s">
        <v>393</v>
      </c>
      <c r="AN1944" s="39" t="s">
        <v>534</v>
      </c>
    </row>
    <row r="1945" spans="37:40" x14ac:dyDescent="0.25">
      <c r="AK1945" t="s">
        <v>50</v>
      </c>
      <c r="AL1945" t="s">
        <v>347</v>
      </c>
      <c r="AM1945" s="37" t="s">
        <v>395</v>
      </c>
      <c r="AN1945" s="39" t="s">
        <v>538</v>
      </c>
    </row>
    <row r="1946" spans="37:40" x14ac:dyDescent="0.25">
      <c r="AK1946" t="s">
        <v>50</v>
      </c>
      <c r="AL1946" t="s">
        <v>347</v>
      </c>
      <c r="AM1946" t="s">
        <v>315</v>
      </c>
      <c r="AN1946" t="s">
        <v>542</v>
      </c>
    </row>
    <row r="1947" spans="37:40" x14ac:dyDescent="0.25">
      <c r="AK1947" t="s">
        <v>50</v>
      </c>
      <c r="AL1947" t="s">
        <v>347</v>
      </c>
      <c r="AM1947" t="s">
        <v>319</v>
      </c>
      <c r="AN1947" t="s">
        <v>543</v>
      </c>
    </row>
    <row r="1948" spans="37:40" x14ac:dyDescent="0.25">
      <c r="AK1948" t="s">
        <v>50</v>
      </c>
      <c r="AL1948" t="s">
        <v>347</v>
      </c>
      <c r="AM1948" t="s">
        <v>323</v>
      </c>
      <c r="AN1948" t="s">
        <v>544</v>
      </c>
    </row>
    <row r="1949" spans="37:40" x14ac:dyDescent="0.25">
      <c r="AK1949" t="s">
        <v>50</v>
      </c>
      <c r="AL1949" t="s">
        <v>347</v>
      </c>
      <c r="AM1949" s="37" t="s">
        <v>397</v>
      </c>
      <c r="AN1949" s="39" t="s">
        <v>545</v>
      </c>
    </row>
    <row r="1950" spans="37:40" x14ac:dyDescent="0.25">
      <c r="AK1950" t="s">
        <v>50</v>
      </c>
      <c r="AL1950" t="s">
        <v>347</v>
      </c>
      <c r="AM1950" s="37" t="s">
        <v>399</v>
      </c>
      <c r="AN1950" s="39" t="s">
        <v>546</v>
      </c>
    </row>
    <row r="1951" spans="37:40" x14ac:dyDescent="0.25">
      <c r="AK1951" t="s">
        <v>50</v>
      </c>
      <c r="AL1951" t="s">
        <v>347</v>
      </c>
      <c r="AM1951" s="37" t="s">
        <v>401</v>
      </c>
      <c r="AN1951" s="39" t="s">
        <v>547</v>
      </c>
    </row>
    <row r="1952" spans="37:40" x14ac:dyDescent="0.25">
      <c r="AK1952" t="s">
        <v>50</v>
      </c>
      <c r="AL1952" t="s">
        <v>347</v>
      </c>
      <c r="AM1952" s="37" t="s">
        <v>335</v>
      </c>
      <c r="AN1952" s="39" t="s">
        <v>542</v>
      </c>
    </row>
    <row r="1953" spans="37:40" x14ac:dyDescent="0.25">
      <c r="AK1953" t="s">
        <v>50</v>
      </c>
      <c r="AL1953" t="s">
        <v>347</v>
      </c>
      <c r="AM1953" s="37" t="s">
        <v>326</v>
      </c>
      <c r="AN1953" s="39" t="s">
        <v>548</v>
      </c>
    </row>
    <row r="1954" spans="37:40" x14ac:dyDescent="0.25">
      <c r="AK1954" t="s">
        <v>50</v>
      </c>
      <c r="AL1954" t="s">
        <v>347</v>
      </c>
      <c r="AM1954" t="s">
        <v>330</v>
      </c>
      <c r="AN1954" t="s">
        <v>549</v>
      </c>
    </row>
    <row r="1955" spans="37:40" x14ac:dyDescent="0.25">
      <c r="AK1955" t="s">
        <v>50</v>
      </c>
      <c r="AL1955" t="s">
        <v>347</v>
      </c>
      <c r="AM1955" s="37" t="s">
        <v>403</v>
      </c>
      <c r="AN1955" s="39" t="s">
        <v>536</v>
      </c>
    </row>
    <row r="1956" spans="37:40" x14ac:dyDescent="0.25">
      <c r="AK1956" t="s">
        <v>50</v>
      </c>
      <c r="AL1956" t="s">
        <v>347</v>
      </c>
      <c r="AM1956" s="37" t="s">
        <v>405</v>
      </c>
      <c r="AN1956" s="39" t="s">
        <v>540</v>
      </c>
    </row>
    <row r="1957" spans="37:40" x14ac:dyDescent="0.25">
      <c r="AK1957" t="s">
        <v>50</v>
      </c>
      <c r="AL1957" t="s">
        <v>347</v>
      </c>
      <c r="AM1957" s="37" t="s">
        <v>348</v>
      </c>
      <c r="AN1957" s="39" t="s">
        <v>543</v>
      </c>
    </row>
    <row r="1958" spans="37:40" x14ac:dyDescent="0.25">
      <c r="AK1958" t="s">
        <v>50</v>
      </c>
      <c r="AL1958" t="s">
        <v>347</v>
      </c>
      <c r="AM1958" s="37" t="s">
        <v>344</v>
      </c>
      <c r="AN1958" s="39" t="s">
        <v>550</v>
      </c>
    </row>
    <row r="1959" spans="37:40" x14ac:dyDescent="0.25">
      <c r="AK1959" t="s">
        <v>50</v>
      </c>
      <c r="AL1959" t="s">
        <v>347</v>
      </c>
      <c r="AM1959" t="s">
        <v>340</v>
      </c>
      <c r="AN1959" t="s">
        <v>551</v>
      </c>
    </row>
    <row r="1960" spans="37:40" x14ac:dyDescent="0.25">
      <c r="AK1960" t="s">
        <v>50</v>
      </c>
      <c r="AL1960" t="s">
        <v>347</v>
      </c>
      <c r="AM1960" s="37" t="s">
        <v>407</v>
      </c>
      <c r="AN1960" s="39" t="s">
        <v>552</v>
      </c>
    </row>
    <row r="1961" spans="37:40" x14ac:dyDescent="0.25">
      <c r="AK1961" t="s">
        <v>50</v>
      </c>
      <c r="AL1961" t="s">
        <v>347</v>
      </c>
      <c r="AM1961" s="37" t="s">
        <v>409</v>
      </c>
      <c r="AN1961" s="39" t="s">
        <v>541</v>
      </c>
    </row>
    <row r="1962" spans="37:40" x14ac:dyDescent="0.25">
      <c r="AK1962" t="s">
        <v>50</v>
      </c>
      <c r="AL1962" t="s">
        <v>347</v>
      </c>
      <c r="AM1962" s="37" t="s">
        <v>359</v>
      </c>
      <c r="AN1962" s="39" t="s">
        <v>544</v>
      </c>
    </row>
    <row r="1963" spans="37:40" x14ac:dyDescent="0.25">
      <c r="AK1963" t="s">
        <v>50</v>
      </c>
      <c r="AL1963" t="s">
        <v>347</v>
      </c>
      <c r="AM1963" s="37" t="s">
        <v>356</v>
      </c>
      <c r="AN1963" s="39" t="s">
        <v>549</v>
      </c>
    </row>
    <row r="1964" spans="37:40" x14ac:dyDescent="0.25">
      <c r="AK1964" t="s">
        <v>50</v>
      </c>
      <c r="AL1964" t="s">
        <v>347</v>
      </c>
      <c r="AM1964" s="37" t="s">
        <v>352</v>
      </c>
      <c r="AN1964" s="39" t="s">
        <v>551</v>
      </c>
    </row>
    <row r="1966" spans="37:40" x14ac:dyDescent="0.25">
      <c r="AK1966" s="32" t="s">
        <v>50</v>
      </c>
      <c r="AL1966" t="s">
        <v>351</v>
      </c>
      <c r="AM1966" t="s">
        <v>51</v>
      </c>
      <c r="AN1966" t="s">
        <v>52</v>
      </c>
    </row>
    <row r="1967" spans="37:40" x14ac:dyDescent="0.25">
      <c r="AK1967" s="32" t="s">
        <v>50</v>
      </c>
      <c r="AL1967" t="s">
        <v>351</v>
      </c>
      <c r="AM1967" t="s">
        <v>80</v>
      </c>
      <c r="AN1967" t="s">
        <v>81</v>
      </c>
    </row>
    <row r="1968" spans="37:40" x14ac:dyDescent="0.25">
      <c r="AK1968" s="32" t="s">
        <v>50</v>
      </c>
      <c r="AL1968" t="s">
        <v>351</v>
      </c>
      <c r="AM1968" t="s">
        <v>104</v>
      </c>
      <c r="AN1968" t="s">
        <v>105</v>
      </c>
    </row>
    <row r="1969" spans="37:40" x14ac:dyDescent="0.25">
      <c r="AK1969" s="32" t="s">
        <v>50</v>
      </c>
      <c r="AL1969" t="s">
        <v>351</v>
      </c>
      <c r="AM1969" t="s">
        <v>119</v>
      </c>
      <c r="AN1969" t="s">
        <v>120</v>
      </c>
    </row>
    <row r="1970" spans="37:40" x14ac:dyDescent="0.25">
      <c r="AK1970" s="32" t="s">
        <v>50</v>
      </c>
      <c r="AL1970" t="s">
        <v>351</v>
      </c>
      <c r="AM1970" t="s">
        <v>137</v>
      </c>
      <c r="AN1970" t="s">
        <v>138</v>
      </c>
    </row>
    <row r="1971" spans="37:40" x14ac:dyDescent="0.25">
      <c r="AK1971" s="32" t="s">
        <v>50</v>
      </c>
      <c r="AL1971" t="s">
        <v>351</v>
      </c>
      <c r="AM1971" t="s">
        <v>149</v>
      </c>
      <c r="AN1971" t="s">
        <v>150</v>
      </c>
    </row>
    <row r="1972" spans="37:40" x14ac:dyDescent="0.25">
      <c r="AK1972" s="32" t="s">
        <v>50</v>
      </c>
      <c r="AL1972" t="s">
        <v>351</v>
      </c>
      <c r="AM1972" t="s">
        <v>162</v>
      </c>
      <c r="AN1972" t="s">
        <v>163</v>
      </c>
    </row>
    <row r="1973" spans="37:40" x14ac:dyDescent="0.25">
      <c r="AK1973" s="32" t="s">
        <v>50</v>
      </c>
      <c r="AL1973" t="s">
        <v>351</v>
      </c>
      <c r="AM1973" t="s">
        <v>174</v>
      </c>
      <c r="AN1973" t="s">
        <v>175</v>
      </c>
    </row>
    <row r="1974" spans="37:40" x14ac:dyDescent="0.25">
      <c r="AK1974" s="32" t="s">
        <v>50</v>
      </c>
      <c r="AL1974" t="s">
        <v>351</v>
      </c>
      <c r="AM1974" t="s">
        <v>187</v>
      </c>
      <c r="AN1974" t="s">
        <v>188</v>
      </c>
    </row>
    <row r="1975" spans="37:40" x14ac:dyDescent="0.25">
      <c r="AK1975" s="32" t="s">
        <v>50</v>
      </c>
      <c r="AL1975" t="s">
        <v>351</v>
      </c>
      <c r="AM1975" t="s">
        <v>199</v>
      </c>
      <c r="AN1975" t="s">
        <v>200</v>
      </c>
    </row>
    <row r="1976" spans="37:40" x14ac:dyDescent="0.25">
      <c r="AK1976" s="32" t="s">
        <v>50</v>
      </c>
      <c r="AL1976" t="s">
        <v>351</v>
      </c>
      <c r="AM1976" t="s">
        <v>211</v>
      </c>
      <c r="AN1976" t="s">
        <v>212</v>
      </c>
    </row>
    <row r="1977" spans="37:40" x14ac:dyDescent="0.25">
      <c r="AK1977" s="32" t="s">
        <v>50</v>
      </c>
      <c r="AL1977" t="s">
        <v>351</v>
      </c>
      <c r="AM1977" t="s">
        <v>223</v>
      </c>
      <c r="AN1977" t="s">
        <v>224</v>
      </c>
    </row>
    <row r="1978" spans="37:40" x14ac:dyDescent="0.25">
      <c r="AK1978" s="32" t="s">
        <v>50</v>
      </c>
      <c r="AL1978" t="s">
        <v>351</v>
      </c>
      <c r="AM1978" t="s">
        <v>232</v>
      </c>
      <c r="AN1978" t="s">
        <v>233</v>
      </c>
    </row>
    <row r="1979" spans="37:40" x14ac:dyDescent="0.25">
      <c r="AK1979" s="32" t="s">
        <v>50</v>
      </c>
      <c r="AL1979" t="s">
        <v>351</v>
      </c>
      <c r="AM1979" t="s">
        <v>239</v>
      </c>
      <c r="AN1979" t="s">
        <v>240</v>
      </c>
    </row>
    <row r="1980" spans="37:40" x14ac:dyDescent="0.25">
      <c r="AK1980" s="32" t="s">
        <v>50</v>
      </c>
      <c r="AL1980" t="s">
        <v>351</v>
      </c>
      <c r="AM1980" t="s">
        <v>246</v>
      </c>
      <c r="AN1980" t="s">
        <v>247</v>
      </c>
    </row>
    <row r="1981" spans="37:40" x14ac:dyDescent="0.25">
      <c r="AK1981" s="32" t="s">
        <v>50</v>
      </c>
      <c r="AL1981" t="s">
        <v>351</v>
      </c>
      <c r="AM1981" t="s">
        <v>254</v>
      </c>
      <c r="AN1981" t="s">
        <v>255</v>
      </c>
    </row>
    <row r="1982" spans="37:40" x14ac:dyDescent="0.25">
      <c r="AK1982" s="32" t="s">
        <v>50</v>
      </c>
      <c r="AL1982" t="s">
        <v>351</v>
      </c>
      <c r="AM1982" t="s">
        <v>262</v>
      </c>
      <c r="AN1982" t="s">
        <v>263</v>
      </c>
    </row>
    <row r="1983" spans="37:40" x14ac:dyDescent="0.25">
      <c r="AK1983" s="32" t="s">
        <v>50</v>
      </c>
      <c r="AL1983" t="s">
        <v>351</v>
      </c>
      <c r="AM1983" t="s">
        <v>270</v>
      </c>
      <c r="AN1983" t="s">
        <v>271</v>
      </c>
    </row>
    <row r="1984" spans="37:40" x14ac:dyDescent="0.25">
      <c r="AK1984" s="32" t="s">
        <v>50</v>
      </c>
      <c r="AL1984" t="s">
        <v>351</v>
      </c>
      <c r="AM1984" t="s">
        <v>277</v>
      </c>
      <c r="AN1984" t="s">
        <v>278</v>
      </c>
    </row>
    <row r="1985" spans="37:40" x14ac:dyDescent="0.25">
      <c r="AK1985" s="32" t="s">
        <v>50</v>
      </c>
      <c r="AL1985" t="s">
        <v>351</v>
      </c>
      <c r="AM1985" t="s">
        <v>284</v>
      </c>
      <c r="AN1985" t="s">
        <v>285</v>
      </c>
    </row>
    <row r="1986" spans="37:40" x14ac:dyDescent="0.25">
      <c r="AK1986" s="32" t="s">
        <v>50</v>
      </c>
      <c r="AL1986" t="s">
        <v>351</v>
      </c>
      <c r="AM1986" t="s">
        <v>291</v>
      </c>
      <c r="AN1986" t="s">
        <v>292</v>
      </c>
    </row>
    <row r="1987" spans="37:40" x14ac:dyDescent="0.25">
      <c r="AK1987" s="32" t="s">
        <v>50</v>
      </c>
      <c r="AL1987" t="s">
        <v>351</v>
      </c>
      <c r="AM1987" t="s">
        <v>298</v>
      </c>
      <c r="AN1987" t="s">
        <v>299</v>
      </c>
    </row>
    <row r="1988" spans="37:40" x14ac:dyDescent="0.25">
      <c r="AK1988" s="32" t="s">
        <v>50</v>
      </c>
      <c r="AL1988" t="s">
        <v>351</v>
      </c>
      <c r="AM1988" t="s">
        <v>305</v>
      </c>
      <c r="AN1988" t="s">
        <v>306</v>
      </c>
    </row>
    <row r="1989" spans="37:40" x14ac:dyDescent="0.25">
      <c r="AK1989" s="32" t="s">
        <v>50</v>
      </c>
      <c r="AL1989" t="s">
        <v>351</v>
      </c>
      <c r="AM1989" t="s">
        <v>309</v>
      </c>
      <c r="AN1989" t="s">
        <v>310</v>
      </c>
    </row>
    <row r="1990" spans="37:40" x14ac:dyDescent="0.25">
      <c r="AK1990" s="32" t="s">
        <v>50</v>
      </c>
      <c r="AL1990" t="s">
        <v>351</v>
      </c>
      <c r="AM1990" t="s">
        <v>312</v>
      </c>
      <c r="AN1990" t="s">
        <v>313</v>
      </c>
    </row>
    <row r="1991" spans="37:40" x14ac:dyDescent="0.25">
      <c r="AK1991" s="32" t="s">
        <v>50</v>
      </c>
      <c r="AL1991" t="s">
        <v>351</v>
      </c>
      <c r="AM1991" t="s">
        <v>315</v>
      </c>
      <c r="AN1991" t="s">
        <v>316</v>
      </c>
    </row>
    <row r="1992" spans="37:40" x14ac:dyDescent="0.25">
      <c r="AK1992" s="32" t="s">
        <v>50</v>
      </c>
      <c r="AL1992" t="s">
        <v>351</v>
      </c>
      <c r="AM1992" t="s">
        <v>319</v>
      </c>
      <c r="AN1992" t="s">
        <v>320</v>
      </c>
    </row>
    <row r="1993" spans="37:40" x14ac:dyDescent="0.25">
      <c r="AK1993" s="32" t="s">
        <v>50</v>
      </c>
      <c r="AL1993" t="s">
        <v>351</v>
      </c>
      <c r="AM1993" t="s">
        <v>323</v>
      </c>
      <c r="AN1993" t="s">
        <v>324</v>
      </c>
    </row>
    <row r="1994" spans="37:40" x14ac:dyDescent="0.25">
      <c r="AK1994" s="32" t="s">
        <v>50</v>
      </c>
      <c r="AL1994" t="s">
        <v>351</v>
      </c>
      <c r="AM1994" t="s">
        <v>326</v>
      </c>
      <c r="AN1994" t="s">
        <v>327</v>
      </c>
    </row>
    <row r="1995" spans="37:40" x14ac:dyDescent="0.25">
      <c r="AK1995" s="32" t="s">
        <v>50</v>
      </c>
      <c r="AL1995" t="s">
        <v>351</v>
      </c>
      <c r="AM1995" t="s">
        <v>330</v>
      </c>
      <c r="AN1995" t="s">
        <v>331</v>
      </c>
    </row>
    <row r="1996" spans="37:40" x14ac:dyDescent="0.25">
      <c r="AK1996" s="32" t="s">
        <v>50</v>
      </c>
      <c r="AL1996" t="s">
        <v>351</v>
      </c>
      <c r="AM1996" t="s">
        <v>335</v>
      </c>
      <c r="AN1996" t="s">
        <v>336</v>
      </c>
    </row>
    <row r="1997" spans="37:40" x14ac:dyDescent="0.25">
      <c r="AK1997" s="32" t="s">
        <v>50</v>
      </c>
      <c r="AL1997" t="s">
        <v>351</v>
      </c>
      <c r="AM1997" t="s">
        <v>340</v>
      </c>
      <c r="AN1997" t="s">
        <v>341</v>
      </c>
    </row>
    <row r="1998" spans="37:40" x14ac:dyDescent="0.25">
      <c r="AK1998" s="32" t="s">
        <v>50</v>
      </c>
      <c r="AL1998" t="s">
        <v>351</v>
      </c>
      <c r="AM1998" t="s">
        <v>344</v>
      </c>
      <c r="AN1998" t="s">
        <v>345</v>
      </c>
    </row>
    <row r="1999" spans="37:40" x14ac:dyDescent="0.25">
      <c r="AK1999" s="32" t="s">
        <v>50</v>
      </c>
      <c r="AL1999" t="s">
        <v>351</v>
      </c>
      <c r="AM1999" t="s">
        <v>348</v>
      </c>
      <c r="AN1999" t="s">
        <v>349</v>
      </c>
    </row>
    <row r="2000" spans="37:40" x14ac:dyDescent="0.25">
      <c r="AK2000" s="32" t="s">
        <v>50</v>
      </c>
      <c r="AL2000" t="s">
        <v>351</v>
      </c>
      <c r="AM2000" t="s">
        <v>352</v>
      </c>
      <c r="AN2000" t="s">
        <v>353</v>
      </c>
    </row>
    <row r="2001" spans="37:40" x14ac:dyDescent="0.25">
      <c r="AK2001" s="32" t="s">
        <v>50</v>
      </c>
      <c r="AL2001" t="s">
        <v>351</v>
      </c>
      <c r="AM2001" t="s">
        <v>356</v>
      </c>
      <c r="AN2001" t="s">
        <v>357</v>
      </c>
    </row>
    <row r="2002" spans="37:40" x14ac:dyDescent="0.25">
      <c r="AK2002" s="32" t="s">
        <v>50</v>
      </c>
      <c r="AL2002" t="s">
        <v>351</v>
      </c>
      <c r="AM2002" t="s">
        <v>359</v>
      </c>
      <c r="AN2002" t="s">
        <v>360</v>
      </c>
    </row>
    <row r="2003" spans="37:40" x14ac:dyDescent="0.25">
      <c r="AK2003" s="32" t="s">
        <v>50</v>
      </c>
      <c r="AL2003" t="s">
        <v>351</v>
      </c>
      <c r="AM2003" t="s">
        <v>362</v>
      </c>
      <c r="AN2003" t="s">
        <v>363</v>
      </c>
    </row>
    <row r="2004" spans="37:40" x14ac:dyDescent="0.25">
      <c r="AK2004" s="32" t="s">
        <v>50</v>
      </c>
      <c r="AL2004" t="s">
        <v>351</v>
      </c>
      <c r="AM2004" t="s">
        <v>365</v>
      </c>
      <c r="AN2004" t="s">
        <v>366</v>
      </c>
    </row>
    <row r="2005" spans="37:40" x14ac:dyDescent="0.25">
      <c r="AK2005" s="32" t="s">
        <v>50</v>
      </c>
      <c r="AL2005" t="s">
        <v>351</v>
      </c>
      <c r="AM2005" t="s">
        <v>367</v>
      </c>
      <c r="AN2005" t="s">
        <v>368</v>
      </c>
    </row>
    <row r="2006" spans="37:40" x14ac:dyDescent="0.25">
      <c r="AK2006" s="32" t="s">
        <v>50</v>
      </c>
      <c r="AL2006" t="s">
        <v>351</v>
      </c>
      <c r="AM2006" t="s">
        <v>369</v>
      </c>
      <c r="AN2006" t="s">
        <v>370</v>
      </c>
    </row>
    <row r="2007" spans="37:40" x14ac:dyDescent="0.25">
      <c r="AK2007" s="32" t="s">
        <v>50</v>
      </c>
      <c r="AL2007" t="s">
        <v>351</v>
      </c>
      <c r="AM2007" t="s">
        <v>371</v>
      </c>
      <c r="AN2007" t="s">
        <v>372</v>
      </c>
    </row>
    <row r="2008" spans="37:40" x14ac:dyDescent="0.25">
      <c r="AK2008" s="32" t="s">
        <v>50</v>
      </c>
      <c r="AL2008" t="s">
        <v>351</v>
      </c>
      <c r="AM2008" t="s">
        <v>374</v>
      </c>
      <c r="AN2008" t="s">
        <v>375</v>
      </c>
    </row>
    <row r="2009" spans="37:40" x14ac:dyDescent="0.25">
      <c r="AK2009" s="32" t="s">
        <v>50</v>
      </c>
      <c r="AL2009" t="s">
        <v>351</v>
      </c>
      <c r="AM2009" t="s">
        <v>376</v>
      </c>
      <c r="AN2009" t="s">
        <v>377</v>
      </c>
    </row>
    <row r="2010" spans="37:40" x14ac:dyDescent="0.25">
      <c r="AK2010" s="32" t="s">
        <v>50</v>
      </c>
      <c r="AL2010" t="s">
        <v>351</v>
      </c>
      <c r="AM2010" t="s">
        <v>379</v>
      </c>
      <c r="AN2010" t="s">
        <v>380</v>
      </c>
    </row>
    <row r="2011" spans="37:40" x14ac:dyDescent="0.25">
      <c r="AK2011" s="32" t="s">
        <v>50</v>
      </c>
      <c r="AL2011" t="s">
        <v>351</v>
      </c>
      <c r="AM2011" t="s">
        <v>381</v>
      </c>
      <c r="AN2011" t="s">
        <v>382</v>
      </c>
    </row>
    <row r="2012" spans="37:40" x14ac:dyDescent="0.25">
      <c r="AK2012" s="32" t="s">
        <v>50</v>
      </c>
      <c r="AL2012" t="s">
        <v>351</v>
      </c>
      <c r="AM2012" t="s">
        <v>383</v>
      </c>
      <c r="AN2012" t="s">
        <v>384</v>
      </c>
    </row>
    <row r="2013" spans="37:40" x14ac:dyDescent="0.25">
      <c r="AK2013" s="32" t="s">
        <v>50</v>
      </c>
      <c r="AL2013" t="s">
        <v>351</v>
      </c>
      <c r="AM2013" t="s">
        <v>385</v>
      </c>
      <c r="AN2013" t="s">
        <v>386</v>
      </c>
    </row>
    <row r="2014" spans="37:40" x14ac:dyDescent="0.25">
      <c r="AK2014" s="32" t="s">
        <v>50</v>
      </c>
      <c r="AL2014" t="s">
        <v>351</v>
      </c>
      <c r="AM2014" t="s">
        <v>387</v>
      </c>
      <c r="AN2014" t="s">
        <v>388</v>
      </c>
    </row>
    <row r="2015" spans="37:40" x14ac:dyDescent="0.25">
      <c r="AK2015" s="32" t="s">
        <v>50</v>
      </c>
      <c r="AL2015" t="s">
        <v>351</v>
      </c>
      <c r="AM2015" t="s">
        <v>389</v>
      </c>
      <c r="AN2015" t="s">
        <v>390</v>
      </c>
    </row>
    <row r="2016" spans="37:40" x14ac:dyDescent="0.25">
      <c r="AK2016" s="32" t="s">
        <v>50</v>
      </c>
      <c r="AL2016" t="s">
        <v>351</v>
      </c>
      <c r="AM2016" t="s">
        <v>391</v>
      </c>
      <c r="AN2016" t="s">
        <v>392</v>
      </c>
    </row>
    <row r="2017" spans="37:40" x14ac:dyDescent="0.25">
      <c r="AK2017" s="32" t="s">
        <v>50</v>
      </c>
      <c r="AL2017" t="s">
        <v>351</v>
      </c>
      <c r="AM2017" t="s">
        <v>393</v>
      </c>
      <c r="AN2017" t="s">
        <v>394</v>
      </c>
    </row>
    <row r="2018" spans="37:40" x14ac:dyDescent="0.25">
      <c r="AK2018" s="32" t="s">
        <v>50</v>
      </c>
      <c r="AL2018" t="s">
        <v>351</v>
      </c>
      <c r="AM2018" t="s">
        <v>395</v>
      </c>
      <c r="AN2018" t="s">
        <v>396</v>
      </c>
    </row>
    <row r="2019" spans="37:40" x14ac:dyDescent="0.25">
      <c r="AK2019" s="32" t="s">
        <v>50</v>
      </c>
      <c r="AL2019" t="s">
        <v>351</v>
      </c>
      <c r="AM2019" t="s">
        <v>397</v>
      </c>
      <c r="AN2019" t="s">
        <v>398</v>
      </c>
    </row>
    <row r="2020" spans="37:40" x14ac:dyDescent="0.25">
      <c r="AK2020" s="32" t="s">
        <v>50</v>
      </c>
      <c r="AL2020" t="s">
        <v>351</v>
      </c>
      <c r="AM2020" t="s">
        <v>399</v>
      </c>
      <c r="AN2020" t="s">
        <v>400</v>
      </c>
    </row>
    <row r="2021" spans="37:40" x14ac:dyDescent="0.25">
      <c r="AK2021" s="32" t="s">
        <v>50</v>
      </c>
      <c r="AL2021" t="s">
        <v>351</v>
      </c>
      <c r="AM2021" t="s">
        <v>401</v>
      </c>
      <c r="AN2021" t="s">
        <v>402</v>
      </c>
    </row>
    <row r="2022" spans="37:40" x14ac:dyDescent="0.25">
      <c r="AK2022" s="32" t="s">
        <v>50</v>
      </c>
      <c r="AL2022" t="s">
        <v>351</v>
      </c>
      <c r="AM2022" t="s">
        <v>403</v>
      </c>
      <c r="AN2022" t="s">
        <v>404</v>
      </c>
    </row>
    <row r="2023" spans="37:40" x14ac:dyDescent="0.25">
      <c r="AK2023" s="32" t="s">
        <v>50</v>
      </c>
      <c r="AL2023" t="s">
        <v>351</v>
      </c>
      <c r="AM2023" t="s">
        <v>405</v>
      </c>
      <c r="AN2023" t="s">
        <v>406</v>
      </c>
    </row>
    <row r="2024" spans="37:40" x14ac:dyDescent="0.25">
      <c r="AK2024" s="32" t="s">
        <v>50</v>
      </c>
      <c r="AL2024" t="s">
        <v>351</v>
      </c>
      <c r="AM2024" t="s">
        <v>407</v>
      </c>
      <c r="AN2024" t="s">
        <v>408</v>
      </c>
    </row>
    <row r="2025" spans="37:40" x14ac:dyDescent="0.25">
      <c r="AK2025" s="32" t="s">
        <v>50</v>
      </c>
      <c r="AL2025" t="s">
        <v>351</v>
      </c>
      <c r="AM2025" t="s">
        <v>409</v>
      </c>
      <c r="AN2025" t="s">
        <v>410</v>
      </c>
    </row>
    <row r="2028" spans="37:40" x14ac:dyDescent="0.25">
      <c r="AK2028" s="32" t="s">
        <v>50</v>
      </c>
      <c r="AL2028" t="s">
        <v>355</v>
      </c>
      <c r="AM2028" t="s">
        <v>51</v>
      </c>
      <c r="AN2028" t="s">
        <v>52</v>
      </c>
    </row>
    <row r="2029" spans="37:40" x14ac:dyDescent="0.25">
      <c r="AK2029" s="32" t="s">
        <v>50</v>
      </c>
      <c r="AL2029" t="s">
        <v>355</v>
      </c>
      <c r="AM2029" t="s">
        <v>80</v>
      </c>
      <c r="AN2029" t="s">
        <v>81</v>
      </c>
    </row>
    <row r="2030" spans="37:40" x14ac:dyDescent="0.25">
      <c r="AK2030" s="32" t="s">
        <v>50</v>
      </c>
      <c r="AL2030" t="s">
        <v>355</v>
      </c>
      <c r="AM2030" t="s">
        <v>104</v>
      </c>
      <c r="AN2030" t="s">
        <v>105</v>
      </c>
    </row>
    <row r="2031" spans="37:40" x14ac:dyDescent="0.25">
      <c r="AK2031" s="32" t="s">
        <v>50</v>
      </c>
      <c r="AL2031" t="s">
        <v>355</v>
      </c>
      <c r="AM2031" t="s">
        <v>119</v>
      </c>
      <c r="AN2031" t="s">
        <v>120</v>
      </c>
    </row>
    <row r="2032" spans="37:40" x14ac:dyDescent="0.25">
      <c r="AK2032" s="32" t="s">
        <v>50</v>
      </c>
      <c r="AL2032" t="s">
        <v>355</v>
      </c>
      <c r="AM2032" t="s">
        <v>137</v>
      </c>
      <c r="AN2032" t="s">
        <v>138</v>
      </c>
    </row>
    <row r="2033" spans="37:40" x14ac:dyDescent="0.25">
      <c r="AK2033" s="32" t="s">
        <v>50</v>
      </c>
      <c r="AL2033" t="s">
        <v>355</v>
      </c>
      <c r="AM2033" t="s">
        <v>149</v>
      </c>
      <c r="AN2033" t="s">
        <v>150</v>
      </c>
    </row>
    <row r="2034" spans="37:40" x14ac:dyDescent="0.25">
      <c r="AK2034" s="32" t="s">
        <v>50</v>
      </c>
      <c r="AL2034" t="s">
        <v>355</v>
      </c>
      <c r="AM2034" t="s">
        <v>162</v>
      </c>
      <c r="AN2034" t="s">
        <v>163</v>
      </c>
    </row>
    <row r="2035" spans="37:40" x14ac:dyDescent="0.25">
      <c r="AK2035" s="32" t="s">
        <v>50</v>
      </c>
      <c r="AL2035" t="s">
        <v>355</v>
      </c>
      <c r="AM2035" t="s">
        <v>174</v>
      </c>
      <c r="AN2035" t="s">
        <v>175</v>
      </c>
    </row>
    <row r="2036" spans="37:40" x14ac:dyDescent="0.25">
      <c r="AK2036" s="32" t="s">
        <v>50</v>
      </c>
      <c r="AL2036" t="s">
        <v>355</v>
      </c>
      <c r="AM2036" t="s">
        <v>187</v>
      </c>
      <c r="AN2036" t="s">
        <v>188</v>
      </c>
    </row>
    <row r="2037" spans="37:40" x14ac:dyDescent="0.25">
      <c r="AK2037" s="32" t="s">
        <v>50</v>
      </c>
      <c r="AL2037" t="s">
        <v>355</v>
      </c>
      <c r="AM2037" t="s">
        <v>199</v>
      </c>
      <c r="AN2037" t="s">
        <v>200</v>
      </c>
    </row>
    <row r="2038" spans="37:40" x14ac:dyDescent="0.25">
      <c r="AK2038" s="32" t="s">
        <v>50</v>
      </c>
      <c r="AL2038" t="s">
        <v>355</v>
      </c>
      <c r="AM2038" t="s">
        <v>211</v>
      </c>
      <c r="AN2038" t="s">
        <v>212</v>
      </c>
    </row>
    <row r="2039" spans="37:40" x14ac:dyDescent="0.25">
      <c r="AK2039" s="32" t="s">
        <v>50</v>
      </c>
      <c r="AL2039" t="s">
        <v>355</v>
      </c>
      <c r="AM2039" t="s">
        <v>223</v>
      </c>
      <c r="AN2039" t="s">
        <v>224</v>
      </c>
    </row>
    <row r="2040" spans="37:40" x14ac:dyDescent="0.25">
      <c r="AK2040" s="32" t="s">
        <v>50</v>
      </c>
      <c r="AL2040" t="s">
        <v>355</v>
      </c>
      <c r="AM2040" t="s">
        <v>232</v>
      </c>
      <c r="AN2040" t="s">
        <v>233</v>
      </c>
    </row>
    <row r="2041" spans="37:40" x14ac:dyDescent="0.25">
      <c r="AK2041" s="32" t="s">
        <v>50</v>
      </c>
      <c r="AL2041" t="s">
        <v>355</v>
      </c>
      <c r="AM2041" t="s">
        <v>239</v>
      </c>
      <c r="AN2041" t="s">
        <v>240</v>
      </c>
    </row>
    <row r="2042" spans="37:40" x14ac:dyDescent="0.25">
      <c r="AK2042" s="32" t="s">
        <v>50</v>
      </c>
      <c r="AL2042" t="s">
        <v>355</v>
      </c>
      <c r="AM2042" t="s">
        <v>246</v>
      </c>
      <c r="AN2042" t="s">
        <v>247</v>
      </c>
    </row>
    <row r="2043" spans="37:40" x14ac:dyDescent="0.25">
      <c r="AK2043" s="32" t="s">
        <v>50</v>
      </c>
      <c r="AL2043" t="s">
        <v>355</v>
      </c>
      <c r="AM2043" t="s">
        <v>254</v>
      </c>
      <c r="AN2043" t="s">
        <v>255</v>
      </c>
    </row>
    <row r="2044" spans="37:40" x14ac:dyDescent="0.25">
      <c r="AK2044" s="32" t="s">
        <v>50</v>
      </c>
      <c r="AL2044" t="s">
        <v>355</v>
      </c>
      <c r="AM2044" t="s">
        <v>262</v>
      </c>
      <c r="AN2044" t="s">
        <v>263</v>
      </c>
    </row>
    <row r="2045" spans="37:40" x14ac:dyDescent="0.25">
      <c r="AK2045" s="32" t="s">
        <v>50</v>
      </c>
      <c r="AL2045" t="s">
        <v>355</v>
      </c>
      <c r="AM2045" t="s">
        <v>270</v>
      </c>
      <c r="AN2045" t="s">
        <v>271</v>
      </c>
    </row>
    <row r="2046" spans="37:40" x14ac:dyDescent="0.25">
      <c r="AK2046" s="32" t="s">
        <v>50</v>
      </c>
      <c r="AL2046" t="s">
        <v>355</v>
      </c>
      <c r="AM2046" t="s">
        <v>277</v>
      </c>
      <c r="AN2046" t="s">
        <v>278</v>
      </c>
    </row>
    <row r="2047" spans="37:40" x14ac:dyDescent="0.25">
      <c r="AK2047" s="32" t="s">
        <v>50</v>
      </c>
      <c r="AL2047" t="s">
        <v>355</v>
      </c>
      <c r="AM2047" t="s">
        <v>284</v>
      </c>
      <c r="AN2047" t="s">
        <v>285</v>
      </c>
    </row>
    <row r="2048" spans="37:40" x14ac:dyDescent="0.25">
      <c r="AK2048" s="32" t="s">
        <v>50</v>
      </c>
      <c r="AL2048" t="s">
        <v>355</v>
      </c>
      <c r="AM2048" t="s">
        <v>291</v>
      </c>
      <c r="AN2048" t="s">
        <v>292</v>
      </c>
    </row>
    <row r="2049" spans="37:40" x14ac:dyDescent="0.25">
      <c r="AK2049" s="32" t="s">
        <v>50</v>
      </c>
      <c r="AL2049" t="s">
        <v>355</v>
      </c>
      <c r="AM2049" t="s">
        <v>298</v>
      </c>
      <c r="AN2049" t="s">
        <v>299</v>
      </c>
    </row>
    <row r="2050" spans="37:40" x14ac:dyDescent="0.25">
      <c r="AK2050" s="32" t="s">
        <v>50</v>
      </c>
      <c r="AL2050" t="s">
        <v>355</v>
      </c>
      <c r="AM2050" t="s">
        <v>305</v>
      </c>
      <c r="AN2050" t="s">
        <v>306</v>
      </c>
    </row>
    <row r="2051" spans="37:40" x14ac:dyDescent="0.25">
      <c r="AK2051" s="32" t="s">
        <v>50</v>
      </c>
      <c r="AL2051" t="s">
        <v>355</v>
      </c>
      <c r="AM2051" t="s">
        <v>309</v>
      </c>
      <c r="AN2051" t="s">
        <v>310</v>
      </c>
    </row>
    <row r="2052" spans="37:40" x14ac:dyDescent="0.25">
      <c r="AK2052" s="32" t="s">
        <v>50</v>
      </c>
      <c r="AL2052" t="s">
        <v>355</v>
      </c>
      <c r="AM2052" t="s">
        <v>312</v>
      </c>
      <c r="AN2052" t="s">
        <v>313</v>
      </c>
    </row>
    <row r="2053" spans="37:40" x14ac:dyDescent="0.25">
      <c r="AK2053" s="32" t="s">
        <v>50</v>
      </c>
      <c r="AL2053" t="s">
        <v>355</v>
      </c>
      <c r="AM2053" t="s">
        <v>315</v>
      </c>
      <c r="AN2053" t="s">
        <v>316</v>
      </c>
    </row>
    <row r="2054" spans="37:40" x14ac:dyDescent="0.25">
      <c r="AK2054" s="32" t="s">
        <v>50</v>
      </c>
      <c r="AL2054" t="s">
        <v>355</v>
      </c>
      <c r="AM2054" t="s">
        <v>319</v>
      </c>
      <c r="AN2054" t="s">
        <v>320</v>
      </c>
    </row>
    <row r="2055" spans="37:40" x14ac:dyDescent="0.25">
      <c r="AK2055" s="32" t="s">
        <v>50</v>
      </c>
      <c r="AL2055" t="s">
        <v>355</v>
      </c>
      <c r="AM2055" t="s">
        <v>323</v>
      </c>
      <c r="AN2055" t="s">
        <v>324</v>
      </c>
    </row>
    <row r="2056" spans="37:40" x14ac:dyDescent="0.25">
      <c r="AK2056" s="32" t="s">
        <v>50</v>
      </c>
      <c r="AL2056" t="s">
        <v>355</v>
      </c>
      <c r="AM2056" t="s">
        <v>326</v>
      </c>
      <c r="AN2056" t="s">
        <v>327</v>
      </c>
    </row>
    <row r="2057" spans="37:40" x14ac:dyDescent="0.25">
      <c r="AK2057" s="32" t="s">
        <v>50</v>
      </c>
      <c r="AL2057" t="s">
        <v>355</v>
      </c>
      <c r="AM2057" t="s">
        <v>330</v>
      </c>
      <c r="AN2057" t="s">
        <v>331</v>
      </c>
    </row>
    <row r="2058" spans="37:40" x14ac:dyDescent="0.25">
      <c r="AK2058" s="32" t="s">
        <v>50</v>
      </c>
      <c r="AL2058" t="s">
        <v>355</v>
      </c>
      <c r="AM2058" t="s">
        <v>335</v>
      </c>
      <c r="AN2058" t="s">
        <v>336</v>
      </c>
    </row>
    <row r="2059" spans="37:40" x14ac:dyDescent="0.25">
      <c r="AK2059" s="32" t="s">
        <v>50</v>
      </c>
      <c r="AL2059" t="s">
        <v>355</v>
      </c>
      <c r="AM2059" t="s">
        <v>340</v>
      </c>
      <c r="AN2059" t="s">
        <v>341</v>
      </c>
    </row>
    <row r="2060" spans="37:40" x14ac:dyDescent="0.25">
      <c r="AK2060" s="32" t="s">
        <v>50</v>
      </c>
      <c r="AL2060" t="s">
        <v>355</v>
      </c>
      <c r="AM2060" t="s">
        <v>344</v>
      </c>
      <c r="AN2060" t="s">
        <v>345</v>
      </c>
    </row>
    <row r="2061" spans="37:40" x14ac:dyDescent="0.25">
      <c r="AK2061" s="32" t="s">
        <v>50</v>
      </c>
      <c r="AL2061" t="s">
        <v>355</v>
      </c>
      <c r="AM2061" t="s">
        <v>348</v>
      </c>
      <c r="AN2061" t="s">
        <v>349</v>
      </c>
    </row>
    <row r="2062" spans="37:40" x14ac:dyDescent="0.25">
      <c r="AK2062" s="32" t="s">
        <v>50</v>
      </c>
      <c r="AL2062" t="s">
        <v>355</v>
      </c>
      <c r="AM2062" t="s">
        <v>352</v>
      </c>
      <c r="AN2062" t="s">
        <v>353</v>
      </c>
    </row>
    <row r="2063" spans="37:40" x14ac:dyDescent="0.25">
      <c r="AK2063" s="32" t="s">
        <v>50</v>
      </c>
      <c r="AL2063" t="s">
        <v>355</v>
      </c>
      <c r="AM2063" t="s">
        <v>356</v>
      </c>
      <c r="AN2063" t="s">
        <v>357</v>
      </c>
    </row>
    <row r="2064" spans="37:40" x14ac:dyDescent="0.25">
      <c r="AK2064" s="32" t="s">
        <v>50</v>
      </c>
      <c r="AL2064" t="s">
        <v>355</v>
      </c>
      <c r="AM2064" t="s">
        <v>359</v>
      </c>
      <c r="AN2064" t="s">
        <v>360</v>
      </c>
    </row>
    <row r="2065" spans="37:40" x14ac:dyDescent="0.25">
      <c r="AK2065" s="32" t="s">
        <v>50</v>
      </c>
      <c r="AL2065" t="s">
        <v>355</v>
      </c>
      <c r="AM2065" t="s">
        <v>362</v>
      </c>
      <c r="AN2065" t="s">
        <v>363</v>
      </c>
    </row>
    <row r="2066" spans="37:40" x14ac:dyDescent="0.25">
      <c r="AK2066" s="32" t="s">
        <v>50</v>
      </c>
      <c r="AL2066" t="s">
        <v>355</v>
      </c>
      <c r="AM2066" t="s">
        <v>365</v>
      </c>
      <c r="AN2066" t="s">
        <v>366</v>
      </c>
    </row>
    <row r="2067" spans="37:40" x14ac:dyDescent="0.25">
      <c r="AK2067" s="32" t="s">
        <v>50</v>
      </c>
      <c r="AL2067" t="s">
        <v>355</v>
      </c>
      <c r="AM2067" t="s">
        <v>367</v>
      </c>
      <c r="AN2067" t="s">
        <v>368</v>
      </c>
    </row>
    <row r="2068" spans="37:40" x14ac:dyDescent="0.25">
      <c r="AK2068" s="32" t="s">
        <v>50</v>
      </c>
      <c r="AL2068" t="s">
        <v>355</v>
      </c>
      <c r="AM2068" t="s">
        <v>369</v>
      </c>
      <c r="AN2068" t="s">
        <v>370</v>
      </c>
    </row>
    <row r="2069" spans="37:40" x14ac:dyDescent="0.25">
      <c r="AK2069" s="32" t="s">
        <v>50</v>
      </c>
      <c r="AL2069" t="s">
        <v>355</v>
      </c>
      <c r="AM2069" t="s">
        <v>371</v>
      </c>
      <c r="AN2069" t="s">
        <v>372</v>
      </c>
    </row>
    <row r="2070" spans="37:40" x14ac:dyDescent="0.25">
      <c r="AK2070" s="32" t="s">
        <v>50</v>
      </c>
      <c r="AL2070" t="s">
        <v>355</v>
      </c>
      <c r="AM2070" t="s">
        <v>374</v>
      </c>
      <c r="AN2070" t="s">
        <v>375</v>
      </c>
    </row>
    <row r="2071" spans="37:40" x14ac:dyDescent="0.25">
      <c r="AK2071" s="32" t="s">
        <v>50</v>
      </c>
      <c r="AL2071" t="s">
        <v>355</v>
      </c>
      <c r="AM2071" t="s">
        <v>376</v>
      </c>
      <c r="AN2071" t="s">
        <v>377</v>
      </c>
    </row>
    <row r="2072" spans="37:40" x14ac:dyDescent="0.25">
      <c r="AK2072" s="32" t="s">
        <v>50</v>
      </c>
      <c r="AL2072" t="s">
        <v>355</v>
      </c>
      <c r="AM2072" t="s">
        <v>379</v>
      </c>
      <c r="AN2072" t="s">
        <v>380</v>
      </c>
    </row>
    <row r="2073" spans="37:40" x14ac:dyDescent="0.25">
      <c r="AK2073" s="32" t="s">
        <v>50</v>
      </c>
      <c r="AL2073" t="s">
        <v>355</v>
      </c>
      <c r="AM2073" t="s">
        <v>381</v>
      </c>
      <c r="AN2073" t="s">
        <v>382</v>
      </c>
    </row>
    <row r="2074" spans="37:40" x14ac:dyDescent="0.25">
      <c r="AK2074" s="32" t="s">
        <v>50</v>
      </c>
      <c r="AL2074" t="s">
        <v>355</v>
      </c>
      <c r="AM2074" t="s">
        <v>383</v>
      </c>
      <c r="AN2074" t="s">
        <v>384</v>
      </c>
    </row>
    <row r="2075" spans="37:40" x14ac:dyDescent="0.25">
      <c r="AK2075" s="32" t="s">
        <v>50</v>
      </c>
      <c r="AL2075" t="s">
        <v>355</v>
      </c>
      <c r="AM2075" t="s">
        <v>385</v>
      </c>
      <c r="AN2075" t="s">
        <v>386</v>
      </c>
    </row>
    <row r="2076" spans="37:40" x14ac:dyDescent="0.25">
      <c r="AK2076" s="32" t="s">
        <v>50</v>
      </c>
      <c r="AL2076" t="s">
        <v>355</v>
      </c>
      <c r="AM2076" t="s">
        <v>387</v>
      </c>
      <c r="AN2076" t="s">
        <v>388</v>
      </c>
    </row>
    <row r="2077" spans="37:40" x14ac:dyDescent="0.25">
      <c r="AK2077" s="32" t="s">
        <v>50</v>
      </c>
      <c r="AL2077" t="s">
        <v>355</v>
      </c>
      <c r="AM2077" t="s">
        <v>389</v>
      </c>
      <c r="AN2077" t="s">
        <v>390</v>
      </c>
    </row>
    <row r="2078" spans="37:40" x14ac:dyDescent="0.25">
      <c r="AK2078" s="32" t="s">
        <v>50</v>
      </c>
      <c r="AL2078" t="s">
        <v>355</v>
      </c>
      <c r="AM2078" t="s">
        <v>391</v>
      </c>
      <c r="AN2078" t="s">
        <v>392</v>
      </c>
    </row>
    <row r="2079" spans="37:40" x14ac:dyDescent="0.25">
      <c r="AK2079" s="32" t="s">
        <v>50</v>
      </c>
      <c r="AL2079" t="s">
        <v>355</v>
      </c>
      <c r="AM2079" t="s">
        <v>393</v>
      </c>
      <c r="AN2079" t="s">
        <v>394</v>
      </c>
    </row>
    <row r="2080" spans="37:40" x14ac:dyDescent="0.25">
      <c r="AK2080" s="32" t="s">
        <v>50</v>
      </c>
      <c r="AL2080" t="s">
        <v>355</v>
      </c>
      <c r="AM2080" t="s">
        <v>395</v>
      </c>
      <c r="AN2080" t="s">
        <v>396</v>
      </c>
    </row>
    <row r="2081" spans="37:40" x14ac:dyDescent="0.25">
      <c r="AK2081" s="32" t="s">
        <v>50</v>
      </c>
      <c r="AL2081" t="s">
        <v>355</v>
      </c>
      <c r="AM2081" t="s">
        <v>397</v>
      </c>
      <c r="AN2081" t="s">
        <v>398</v>
      </c>
    </row>
    <row r="2082" spans="37:40" x14ac:dyDescent="0.25">
      <c r="AK2082" s="32" t="s">
        <v>50</v>
      </c>
      <c r="AL2082" t="s">
        <v>355</v>
      </c>
      <c r="AM2082" t="s">
        <v>399</v>
      </c>
      <c r="AN2082" t="s">
        <v>400</v>
      </c>
    </row>
    <row r="2083" spans="37:40" x14ac:dyDescent="0.25">
      <c r="AK2083" s="32" t="s">
        <v>50</v>
      </c>
      <c r="AL2083" t="s">
        <v>355</v>
      </c>
      <c r="AM2083" t="s">
        <v>401</v>
      </c>
      <c r="AN2083" t="s">
        <v>402</v>
      </c>
    </row>
    <row r="2084" spans="37:40" x14ac:dyDescent="0.25">
      <c r="AK2084" s="32" t="s">
        <v>50</v>
      </c>
      <c r="AL2084" t="s">
        <v>355</v>
      </c>
      <c r="AM2084" t="s">
        <v>403</v>
      </c>
      <c r="AN2084" t="s">
        <v>404</v>
      </c>
    </row>
    <row r="2085" spans="37:40" x14ac:dyDescent="0.25">
      <c r="AK2085" s="32" t="s">
        <v>50</v>
      </c>
      <c r="AL2085" t="s">
        <v>355</v>
      </c>
      <c r="AM2085" t="s">
        <v>405</v>
      </c>
      <c r="AN2085" t="s">
        <v>406</v>
      </c>
    </row>
    <row r="2086" spans="37:40" x14ac:dyDescent="0.25">
      <c r="AK2086" s="32" t="s">
        <v>50</v>
      </c>
      <c r="AL2086" t="s">
        <v>355</v>
      </c>
      <c r="AM2086" t="s">
        <v>407</v>
      </c>
      <c r="AN2086" t="s">
        <v>408</v>
      </c>
    </row>
    <row r="2087" spans="37:40" x14ac:dyDescent="0.25">
      <c r="AK2087" s="32" t="s">
        <v>50</v>
      </c>
      <c r="AL2087" t="s">
        <v>355</v>
      </c>
      <c r="AM2087" t="s">
        <v>409</v>
      </c>
      <c r="AN2087" t="s">
        <v>410</v>
      </c>
    </row>
    <row r="2090" spans="37:40" x14ac:dyDescent="0.25">
      <c r="AK2090" s="32" t="s">
        <v>50</v>
      </c>
      <c r="AL2090" t="s">
        <v>358</v>
      </c>
      <c r="AM2090" t="s">
        <v>51</v>
      </c>
      <c r="AN2090" t="s">
        <v>52</v>
      </c>
    </row>
    <row r="2091" spans="37:40" x14ac:dyDescent="0.25">
      <c r="AK2091" s="32" t="s">
        <v>50</v>
      </c>
      <c r="AL2091" t="s">
        <v>358</v>
      </c>
      <c r="AM2091" t="s">
        <v>80</v>
      </c>
      <c r="AN2091" t="s">
        <v>81</v>
      </c>
    </row>
    <row r="2092" spans="37:40" x14ac:dyDescent="0.25">
      <c r="AK2092" s="32" t="s">
        <v>50</v>
      </c>
      <c r="AL2092" t="s">
        <v>358</v>
      </c>
      <c r="AM2092" t="s">
        <v>104</v>
      </c>
      <c r="AN2092" t="s">
        <v>105</v>
      </c>
    </row>
    <row r="2093" spans="37:40" x14ac:dyDescent="0.25">
      <c r="AK2093" s="32" t="s">
        <v>50</v>
      </c>
      <c r="AL2093" t="s">
        <v>358</v>
      </c>
      <c r="AM2093" t="s">
        <v>119</v>
      </c>
      <c r="AN2093" t="s">
        <v>120</v>
      </c>
    </row>
    <row r="2094" spans="37:40" x14ac:dyDescent="0.25">
      <c r="AK2094" s="32" t="s">
        <v>50</v>
      </c>
      <c r="AL2094" t="s">
        <v>358</v>
      </c>
      <c r="AM2094" t="s">
        <v>137</v>
      </c>
      <c r="AN2094" t="s">
        <v>138</v>
      </c>
    </row>
    <row r="2095" spans="37:40" x14ac:dyDescent="0.25">
      <c r="AK2095" s="32" t="s">
        <v>50</v>
      </c>
      <c r="AL2095" t="s">
        <v>358</v>
      </c>
      <c r="AM2095" t="s">
        <v>149</v>
      </c>
      <c r="AN2095" t="s">
        <v>150</v>
      </c>
    </row>
    <row r="2096" spans="37:40" x14ac:dyDescent="0.25">
      <c r="AK2096" s="32" t="s">
        <v>50</v>
      </c>
      <c r="AL2096" t="s">
        <v>358</v>
      </c>
      <c r="AM2096" t="s">
        <v>162</v>
      </c>
      <c r="AN2096" t="s">
        <v>163</v>
      </c>
    </row>
    <row r="2097" spans="37:40" x14ac:dyDescent="0.25">
      <c r="AK2097" s="32" t="s">
        <v>50</v>
      </c>
      <c r="AL2097" t="s">
        <v>358</v>
      </c>
      <c r="AM2097" t="s">
        <v>174</v>
      </c>
      <c r="AN2097" t="s">
        <v>175</v>
      </c>
    </row>
    <row r="2098" spans="37:40" x14ac:dyDescent="0.25">
      <c r="AK2098" s="32" t="s">
        <v>50</v>
      </c>
      <c r="AL2098" t="s">
        <v>358</v>
      </c>
      <c r="AM2098" t="s">
        <v>187</v>
      </c>
      <c r="AN2098" t="s">
        <v>188</v>
      </c>
    </row>
    <row r="2099" spans="37:40" x14ac:dyDescent="0.25">
      <c r="AK2099" s="32" t="s">
        <v>50</v>
      </c>
      <c r="AL2099" t="s">
        <v>358</v>
      </c>
      <c r="AM2099" t="s">
        <v>199</v>
      </c>
      <c r="AN2099" t="s">
        <v>200</v>
      </c>
    </row>
    <row r="2100" spans="37:40" x14ac:dyDescent="0.25">
      <c r="AK2100" s="32" t="s">
        <v>50</v>
      </c>
      <c r="AL2100" t="s">
        <v>358</v>
      </c>
      <c r="AM2100" t="s">
        <v>211</v>
      </c>
      <c r="AN2100" t="s">
        <v>212</v>
      </c>
    </row>
    <row r="2101" spans="37:40" x14ac:dyDescent="0.25">
      <c r="AK2101" s="32" t="s">
        <v>50</v>
      </c>
      <c r="AL2101" t="s">
        <v>358</v>
      </c>
      <c r="AM2101" t="s">
        <v>223</v>
      </c>
      <c r="AN2101" t="s">
        <v>224</v>
      </c>
    </row>
    <row r="2102" spans="37:40" x14ac:dyDescent="0.25">
      <c r="AK2102" s="32" t="s">
        <v>50</v>
      </c>
      <c r="AL2102" t="s">
        <v>358</v>
      </c>
      <c r="AM2102" t="s">
        <v>232</v>
      </c>
      <c r="AN2102" t="s">
        <v>233</v>
      </c>
    </row>
    <row r="2103" spans="37:40" x14ac:dyDescent="0.25">
      <c r="AK2103" s="32" t="s">
        <v>50</v>
      </c>
      <c r="AL2103" t="s">
        <v>358</v>
      </c>
      <c r="AM2103" t="s">
        <v>239</v>
      </c>
      <c r="AN2103" t="s">
        <v>240</v>
      </c>
    </row>
    <row r="2104" spans="37:40" x14ac:dyDescent="0.25">
      <c r="AK2104" s="32" t="s">
        <v>50</v>
      </c>
      <c r="AL2104" t="s">
        <v>358</v>
      </c>
      <c r="AM2104" t="s">
        <v>246</v>
      </c>
      <c r="AN2104" t="s">
        <v>247</v>
      </c>
    </row>
    <row r="2105" spans="37:40" x14ac:dyDescent="0.25">
      <c r="AK2105" s="32" t="s">
        <v>50</v>
      </c>
      <c r="AL2105" t="s">
        <v>358</v>
      </c>
      <c r="AM2105" t="s">
        <v>254</v>
      </c>
      <c r="AN2105" t="s">
        <v>255</v>
      </c>
    </row>
    <row r="2106" spans="37:40" x14ac:dyDescent="0.25">
      <c r="AK2106" s="32" t="s">
        <v>50</v>
      </c>
      <c r="AL2106" t="s">
        <v>358</v>
      </c>
      <c r="AM2106" t="s">
        <v>262</v>
      </c>
      <c r="AN2106" t="s">
        <v>263</v>
      </c>
    </row>
    <row r="2107" spans="37:40" x14ac:dyDescent="0.25">
      <c r="AK2107" s="32" t="s">
        <v>50</v>
      </c>
      <c r="AL2107" t="s">
        <v>358</v>
      </c>
      <c r="AM2107" t="s">
        <v>270</v>
      </c>
      <c r="AN2107" t="s">
        <v>271</v>
      </c>
    </row>
    <row r="2108" spans="37:40" x14ac:dyDescent="0.25">
      <c r="AK2108" s="32" t="s">
        <v>50</v>
      </c>
      <c r="AL2108" t="s">
        <v>358</v>
      </c>
      <c r="AM2108" t="s">
        <v>277</v>
      </c>
      <c r="AN2108" t="s">
        <v>278</v>
      </c>
    </row>
    <row r="2109" spans="37:40" x14ac:dyDescent="0.25">
      <c r="AK2109" s="32" t="s">
        <v>50</v>
      </c>
      <c r="AL2109" t="s">
        <v>358</v>
      </c>
      <c r="AM2109" t="s">
        <v>284</v>
      </c>
      <c r="AN2109" t="s">
        <v>285</v>
      </c>
    </row>
    <row r="2110" spans="37:40" x14ac:dyDescent="0.25">
      <c r="AK2110" s="32" t="s">
        <v>50</v>
      </c>
      <c r="AL2110" t="s">
        <v>358</v>
      </c>
      <c r="AM2110" t="s">
        <v>291</v>
      </c>
      <c r="AN2110" t="s">
        <v>292</v>
      </c>
    </row>
    <row r="2111" spans="37:40" x14ac:dyDescent="0.25">
      <c r="AK2111" s="32" t="s">
        <v>50</v>
      </c>
      <c r="AL2111" t="s">
        <v>358</v>
      </c>
      <c r="AM2111" t="s">
        <v>298</v>
      </c>
      <c r="AN2111" t="s">
        <v>299</v>
      </c>
    </row>
    <row r="2112" spans="37:40" x14ac:dyDescent="0.25">
      <c r="AK2112" s="32" t="s">
        <v>50</v>
      </c>
      <c r="AL2112" t="s">
        <v>358</v>
      </c>
      <c r="AM2112" t="s">
        <v>305</v>
      </c>
      <c r="AN2112" t="s">
        <v>306</v>
      </c>
    </row>
    <row r="2113" spans="37:40" x14ac:dyDescent="0.25">
      <c r="AK2113" s="32" t="s">
        <v>50</v>
      </c>
      <c r="AL2113" t="s">
        <v>358</v>
      </c>
      <c r="AM2113" t="s">
        <v>309</v>
      </c>
      <c r="AN2113" t="s">
        <v>310</v>
      </c>
    </row>
    <row r="2114" spans="37:40" x14ac:dyDescent="0.25">
      <c r="AK2114" s="32" t="s">
        <v>50</v>
      </c>
      <c r="AL2114" t="s">
        <v>358</v>
      </c>
      <c r="AM2114" t="s">
        <v>312</v>
      </c>
      <c r="AN2114" t="s">
        <v>313</v>
      </c>
    </row>
    <row r="2115" spans="37:40" x14ac:dyDescent="0.25">
      <c r="AK2115" s="32" t="s">
        <v>50</v>
      </c>
      <c r="AL2115" t="s">
        <v>358</v>
      </c>
      <c r="AM2115" t="s">
        <v>315</v>
      </c>
      <c r="AN2115" t="s">
        <v>316</v>
      </c>
    </row>
    <row r="2116" spans="37:40" x14ac:dyDescent="0.25">
      <c r="AK2116" s="32" t="s">
        <v>50</v>
      </c>
      <c r="AL2116" t="s">
        <v>358</v>
      </c>
      <c r="AM2116" t="s">
        <v>319</v>
      </c>
      <c r="AN2116" t="s">
        <v>320</v>
      </c>
    </row>
    <row r="2117" spans="37:40" x14ac:dyDescent="0.25">
      <c r="AK2117" s="32" t="s">
        <v>50</v>
      </c>
      <c r="AL2117" t="s">
        <v>358</v>
      </c>
      <c r="AM2117" t="s">
        <v>323</v>
      </c>
      <c r="AN2117" t="s">
        <v>324</v>
      </c>
    </row>
    <row r="2118" spans="37:40" x14ac:dyDescent="0.25">
      <c r="AK2118" s="32" t="s">
        <v>50</v>
      </c>
      <c r="AL2118" t="s">
        <v>358</v>
      </c>
      <c r="AM2118" t="s">
        <v>326</v>
      </c>
      <c r="AN2118" t="s">
        <v>327</v>
      </c>
    </row>
    <row r="2119" spans="37:40" x14ac:dyDescent="0.25">
      <c r="AK2119" s="32" t="s">
        <v>50</v>
      </c>
      <c r="AL2119" t="s">
        <v>358</v>
      </c>
      <c r="AM2119" t="s">
        <v>330</v>
      </c>
      <c r="AN2119" t="s">
        <v>331</v>
      </c>
    </row>
    <row r="2120" spans="37:40" x14ac:dyDescent="0.25">
      <c r="AK2120" s="32" t="s">
        <v>50</v>
      </c>
      <c r="AL2120" t="s">
        <v>358</v>
      </c>
      <c r="AM2120" t="s">
        <v>335</v>
      </c>
      <c r="AN2120" t="s">
        <v>336</v>
      </c>
    </row>
    <row r="2121" spans="37:40" x14ac:dyDescent="0.25">
      <c r="AK2121" s="32" t="s">
        <v>50</v>
      </c>
      <c r="AL2121" t="s">
        <v>358</v>
      </c>
      <c r="AM2121" t="s">
        <v>340</v>
      </c>
      <c r="AN2121" t="s">
        <v>341</v>
      </c>
    </row>
    <row r="2122" spans="37:40" x14ac:dyDescent="0.25">
      <c r="AK2122" s="32" t="s">
        <v>50</v>
      </c>
      <c r="AL2122" t="s">
        <v>358</v>
      </c>
      <c r="AM2122" t="s">
        <v>344</v>
      </c>
      <c r="AN2122" t="s">
        <v>345</v>
      </c>
    </row>
    <row r="2123" spans="37:40" x14ac:dyDescent="0.25">
      <c r="AK2123" s="32" t="s">
        <v>50</v>
      </c>
      <c r="AL2123" t="s">
        <v>358</v>
      </c>
      <c r="AM2123" t="s">
        <v>348</v>
      </c>
      <c r="AN2123" t="s">
        <v>349</v>
      </c>
    </row>
    <row r="2124" spans="37:40" x14ac:dyDescent="0.25">
      <c r="AK2124" s="32" t="s">
        <v>50</v>
      </c>
      <c r="AL2124" t="s">
        <v>358</v>
      </c>
      <c r="AM2124" t="s">
        <v>352</v>
      </c>
      <c r="AN2124" t="s">
        <v>353</v>
      </c>
    </row>
    <row r="2125" spans="37:40" x14ac:dyDescent="0.25">
      <c r="AK2125" s="32" t="s">
        <v>50</v>
      </c>
      <c r="AL2125" t="s">
        <v>358</v>
      </c>
      <c r="AM2125" t="s">
        <v>356</v>
      </c>
      <c r="AN2125" t="s">
        <v>357</v>
      </c>
    </row>
    <row r="2126" spans="37:40" x14ac:dyDescent="0.25">
      <c r="AK2126" s="32" t="s">
        <v>50</v>
      </c>
      <c r="AL2126" t="s">
        <v>358</v>
      </c>
      <c r="AM2126" t="s">
        <v>359</v>
      </c>
      <c r="AN2126" t="s">
        <v>360</v>
      </c>
    </row>
    <row r="2127" spans="37:40" x14ac:dyDescent="0.25">
      <c r="AK2127" s="32" t="s">
        <v>50</v>
      </c>
      <c r="AL2127" t="s">
        <v>358</v>
      </c>
      <c r="AM2127" t="s">
        <v>362</v>
      </c>
      <c r="AN2127" t="s">
        <v>363</v>
      </c>
    </row>
    <row r="2128" spans="37:40" x14ac:dyDescent="0.25">
      <c r="AK2128" s="32" t="s">
        <v>50</v>
      </c>
      <c r="AL2128" t="s">
        <v>358</v>
      </c>
      <c r="AM2128" t="s">
        <v>365</v>
      </c>
      <c r="AN2128" t="s">
        <v>366</v>
      </c>
    </row>
    <row r="2129" spans="37:40" x14ac:dyDescent="0.25">
      <c r="AK2129" s="32" t="s">
        <v>50</v>
      </c>
      <c r="AL2129" t="s">
        <v>358</v>
      </c>
      <c r="AM2129" t="s">
        <v>367</v>
      </c>
      <c r="AN2129" t="s">
        <v>368</v>
      </c>
    </row>
    <row r="2130" spans="37:40" x14ac:dyDescent="0.25">
      <c r="AK2130" s="32" t="s">
        <v>50</v>
      </c>
      <c r="AL2130" t="s">
        <v>358</v>
      </c>
      <c r="AM2130" t="s">
        <v>369</v>
      </c>
      <c r="AN2130" t="s">
        <v>370</v>
      </c>
    </row>
    <row r="2131" spans="37:40" x14ac:dyDescent="0.25">
      <c r="AK2131" s="32" t="s">
        <v>50</v>
      </c>
      <c r="AL2131" t="s">
        <v>358</v>
      </c>
      <c r="AM2131" t="s">
        <v>371</v>
      </c>
      <c r="AN2131" t="s">
        <v>372</v>
      </c>
    </row>
    <row r="2132" spans="37:40" x14ac:dyDescent="0.25">
      <c r="AK2132" s="32" t="s">
        <v>50</v>
      </c>
      <c r="AL2132" t="s">
        <v>358</v>
      </c>
      <c r="AM2132" t="s">
        <v>374</v>
      </c>
      <c r="AN2132" t="s">
        <v>375</v>
      </c>
    </row>
    <row r="2133" spans="37:40" x14ac:dyDescent="0.25">
      <c r="AK2133" s="32" t="s">
        <v>50</v>
      </c>
      <c r="AL2133" t="s">
        <v>358</v>
      </c>
      <c r="AM2133" t="s">
        <v>376</v>
      </c>
      <c r="AN2133" t="s">
        <v>377</v>
      </c>
    </row>
    <row r="2134" spans="37:40" x14ac:dyDescent="0.25">
      <c r="AK2134" s="32" t="s">
        <v>50</v>
      </c>
      <c r="AL2134" t="s">
        <v>358</v>
      </c>
      <c r="AM2134" t="s">
        <v>379</v>
      </c>
      <c r="AN2134" t="s">
        <v>380</v>
      </c>
    </row>
    <row r="2135" spans="37:40" x14ac:dyDescent="0.25">
      <c r="AK2135" s="32" t="s">
        <v>50</v>
      </c>
      <c r="AL2135" t="s">
        <v>358</v>
      </c>
      <c r="AM2135" t="s">
        <v>381</v>
      </c>
      <c r="AN2135" t="s">
        <v>382</v>
      </c>
    </row>
    <row r="2136" spans="37:40" x14ac:dyDescent="0.25">
      <c r="AK2136" s="32" t="s">
        <v>50</v>
      </c>
      <c r="AL2136" t="s">
        <v>358</v>
      </c>
      <c r="AM2136" t="s">
        <v>383</v>
      </c>
      <c r="AN2136" t="s">
        <v>384</v>
      </c>
    </row>
    <row r="2137" spans="37:40" x14ac:dyDescent="0.25">
      <c r="AK2137" s="32" t="s">
        <v>50</v>
      </c>
      <c r="AL2137" t="s">
        <v>358</v>
      </c>
      <c r="AM2137" t="s">
        <v>385</v>
      </c>
      <c r="AN2137" t="s">
        <v>386</v>
      </c>
    </row>
    <row r="2138" spans="37:40" x14ac:dyDescent="0.25">
      <c r="AK2138" s="32" t="s">
        <v>50</v>
      </c>
      <c r="AL2138" t="s">
        <v>358</v>
      </c>
      <c r="AM2138" t="s">
        <v>387</v>
      </c>
      <c r="AN2138" t="s">
        <v>388</v>
      </c>
    </row>
    <row r="2139" spans="37:40" x14ac:dyDescent="0.25">
      <c r="AK2139" s="32" t="s">
        <v>50</v>
      </c>
      <c r="AL2139" t="s">
        <v>358</v>
      </c>
      <c r="AM2139" t="s">
        <v>389</v>
      </c>
      <c r="AN2139" t="s">
        <v>390</v>
      </c>
    </row>
    <row r="2140" spans="37:40" x14ac:dyDescent="0.25">
      <c r="AK2140" s="32" t="s">
        <v>50</v>
      </c>
      <c r="AL2140" t="s">
        <v>358</v>
      </c>
      <c r="AM2140" t="s">
        <v>391</v>
      </c>
      <c r="AN2140" t="s">
        <v>392</v>
      </c>
    </row>
    <row r="2141" spans="37:40" x14ac:dyDescent="0.25">
      <c r="AK2141" s="32" t="s">
        <v>50</v>
      </c>
      <c r="AL2141" t="s">
        <v>358</v>
      </c>
      <c r="AM2141" t="s">
        <v>393</v>
      </c>
      <c r="AN2141" t="s">
        <v>394</v>
      </c>
    </row>
    <row r="2142" spans="37:40" x14ac:dyDescent="0.25">
      <c r="AK2142" s="32" t="s">
        <v>50</v>
      </c>
      <c r="AL2142" t="s">
        <v>358</v>
      </c>
      <c r="AM2142" t="s">
        <v>395</v>
      </c>
      <c r="AN2142" t="s">
        <v>396</v>
      </c>
    </row>
    <row r="2143" spans="37:40" x14ac:dyDescent="0.25">
      <c r="AK2143" s="32" t="s">
        <v>50</v>
      </c>
      <c r="AL2143" t="s">
        <v>358</v>
      </c>
      <c r="AM2143" t="s">
        <v>397</v>
      </c>
      <c r="AN2143" t="s">
        <v>398</v>
      </c>
    </row>
    <row r="2144" spans="37:40" x14ac:dyDescent="0.25">
      <c r="AK2144" s="32" t="s">
        <v>50</v>
      </c>
      <c r="AL2144" t="s">
        <v>358</v>
      </c>
      <c r="AM2144" t="s">
        <v>399</v>
      </c>
      <c r="AN2144" t="s">
        <v>400</v>
      </c>
    </row>
    <row r="2145" spans="37:40" x14ac:dyDescent="0.25">
      <c r="AK2145" s="32" t="s">
        <v>50</v>
      </c>
      <c r="AL2145" t="s">
        <v>358</v>
      </c>
      <c r="AM2145" t="s">
        <v>401</v>
      </c>
      <c r="AN2145" t="s">
        <v>402</v>
      </c>
    </row>
    <row r="2146" spans="37:40" x14ac:dyDescent="0.25">
      <c r="AK2146" s="32" t="s">
        <v>50</v>
      </c>
      <c r="AL2146" t="s">
        <v>358</v>
      </c>
      <c r="AM2146" t="s">
        <v>403</v>
      </c>
      <c r="AN2146" t="s">
        <v>404</v>
      </c>
    </row>
    <row r="2147" spans="37:40" x14ac:dyDescent="0.25">
      <c r="AK2147" s="32" t="s">
        <v>50</v>
      </c>
      <c r="AL2147" t="s">
        <v>358</v>
      </c>
      <c r="AM2147" t="s">
        <v>405</v>
      </c>
      <c r="AN2147" t="s">
        <v>406</v>
      </c>
    </row>
    <row r="2148" spans="37:40" x14ac:dyDescent="0.25">
      <c r="AK2148" s="32" t="s">
        <v>50</v>
      </c>
      <c r="AL2148" t="s">
        <v>358</v>
      </c>
      <c r="AM2148" t="s">
        <v>407</v>
      </c>
      <c r="AN2148" t="s">
        <v>408</v>
      </c>
    </row>
    <row r="2149" spans="37:40" x14ac:dyDescent="0.25">
      <c r="AK2149" s="32" t="s">
        <v>50</v>
      </c>
      <c r="AL2149" t="s">
        <v>358</v>
      </c>
      <c r="AM2149" t="s">
        <v>409</v>
      </c>
      <c r="AN2149" t="s">
        <v>410</v>
      </c>
    </row>
    <row r="2152" spans="37:40" x14ac:dyDescent="0.25">
      <c r="AK2152" s="32" t="s">
        <v>50</v>
      </c>
      <c r="AL2152" t="s">
        <v>364</v>
      </c>
      <c r="AM2152" t="s">
        <v>51</v>
      </c>
      <c r="AN2152" t="s">
        <v>52</v>
      </c>
    </row>
    <row r="2153" spans="37:40" x14ac:dyDescent="0.25">
      <c r="AK2153" s="32" t="s">
        <v>50</v>
      </c>
      <c r="AL2153" t="s">
        <v>364</v>
      </c>
      <c r="AM2153" t="s">
        <v>80</v>
      </c>
      <c r="AN2153" t="s">
        <v>81</v>
      </c>
    </row>
    <row r="2154" spans="37:40" x14ac:dyDescent="0.25">
      <c r="AK2154" s="32" t="s">
        <v>50</v>
      </c>
      <c r="AL2154" t="s">
        <v>364</v>
      </c>
      <c r="AM2154" t="s">
        <v>104</v>
      </c>
      <c r="AN2154" t="s">
        <v>105</v>
      </c>
    </row>
    <row r="2155" spans="37:40" x14ac:dyDescent="0.25">
      <c r="AK2155" s="32" t="s">
        <v>50</v>
      </c>
      <c r="AL2155" t="s">
        <v>364</v>
      </c>
      <c r="AM2155" t="s">
        <v>119</v>
      </c>
      <c r="AN2155" t="s">
        <v>120</v>
      </c>
    </row>
    <row r="2156" spans="37:40" x14ac:dyDescent="0.25">
      <c r="AK2156" s="32" t="s">
        <v>50</v>
      </c>
      <c r="AL2156" t="s">
        <v>364</v>
      </c>
      <c r="AM2156" t="s">
        <v>137</v>
      </c>
      <c r="AN2156" t="s">
        <v>138</v>
      </c>
    </row>
    <row r="2157" spans="37:40" x14ac:dyDescent="0.25">
      <c r="AK2157" s="32" t="s">
        <v>50</v>
      </c>
      <c r="AL2157" t="s">
        <v>364</v>
      </c>
      <c r="AM2157" t="s">
        <v>149</v>
      </c>
      <c r="AN2157" t="s">
        <v>150</v>
      </c>
    </row>
    <row r="2158" spans="37:40" x14ac:dyDescent="0.25">
      <c r="AK2158" s="32" t="s">
        <v>50</v>
      </c>
      <c r="AL2158" t="s">
        <v>364</v>
      </c>
      <c r="AM2158" t="s">
        <v>162</v>
      </c>
      <c r="AN2158" t="s">
        <v>163</v>
      </c>
    </row>
    <row r="2159" spans="37:40" x14ac:dyDescent="0.25">
      <c r="AK2159" s="32" t="s">
        <v>50</v>
      </c>
      <c r="AL2159" t="s">
        <v>364</v>
      </c>
      <c r="AM2159" t="s">
        <v>174</v>
      </c>
      <c r="AN2159" t="s">
        <v>175</v>
      </c>
    </row>
    <row r="2160" spans="37:40" x14ac:dyDescent="0.25">
      <c r="AK2160" s="32" t="s">
        <v>50</v>
      </c>
      <c r="AL2160" t="s">
        <v>364</v>
      </c>
      <c r="AM2160" t="s">
        <v>187</v>
      </c>
      <c r="AN2160" t="s">
        <v>188</v>
      </c>
    </row>
    <row r="2161" spans="37:40" x14ac:dyDescent="0.25">
      <c r="AK2161" s="32" t="s">
        <v>50</v>
      </c>
      <c r="AL2161" t="s">
        <v>364</v>
      </c>
      <c r="AM2161" t="s">
        <v>199</v>
      </c>
      <c r="AN2161" t="s">
        <v>200</v>
      </c>
    </row>
    <row r="2162" spans="37:40" x14ac:dyDescent="0.25">
      <c r="AK2162" s="32" t="s">
        <v>50</v>
      </c>
      <c r="AL2162" t="s">
        <v>364</v>
      </c>
      <c r="AM2162" t="s">
        <v>211</v>
      </c>
      <c r="AN2162" t="s">
        <v>212</v>
      </c>
    </row>
    <row r="2163" spans="37:40" x14ac:dyDescent="0.25">
      <c r="AK2163" s="32" t="s">
        <v>50</v>
      </c>
      <c r="AL2163" t="s">
        <v>364</v>
      </c>
      <c r="AM2163" t="s">
        <v>223</v>
      </c>
      <c r="AN2163" t="s">
        <v>224</v>
      </c>
    </row>
    <row r="2164" spans="37:40" x14ac:dyDescent="0.25">
      <c r="AK2164" s="32" t="s">
        <v>50</v>
      </c>
      <c r="AL2164" t="s">
        <v>364</v>
      </c>
      <c r="AM2164" t="s">
        <v>232</v>
      </c>
      <c r="AN2164" t="s">
        <v>233</v>
      </c>
    </row>
    <row r="2165" spans="37:40" x14ac:dyDescent="0.25">
      <c r="AK2165" s="32" t="s">
        <v>50</v>
      </c>
      <c r="AL2165" t="s">
        <v>364</v>
      </c>
      <c r="AM2165" t="s">
        <v>239</v>
      </c>
      <c r="AN2165" t="s">
        <v>240</v>
      </c>
    </row>
    <row r="2166" spans="37:40" x14ac:dyDescent="0.25">
      <c r="AK2166" s="32" t="s">
        <v>50</v>
      </c>
      <c r="AL2166" t="s">
        <v>364</v>
      </c>
      <c r="AM2166" t="s">
        <v>246</v>
      </c>
      <c r="AN2166" t="s">
        <v>247</v>
      </c>
    </row>
    <row r="2167" spans="37:40" x14ac:dyDescent="0.25">
      <c r="AK2167" s="32" t="s">
        <v>50</v>
      </c>
      <c r="AL2167" t="s">
        <v>364</v>
      </c>
      <c r="AM2167" t="s">
        <v>254</v>
      </c>
      <c r="AN2167" t="s">
        <v>255</v>
      </c>
    </row>
    <row r="2168" spans="37:40" x14ac:dyDescent="0.25">
      <c r="AK2168" s="32" t="s">
        <v>50</v>
      </c>
      <c r="AL2168" t="s">
        <v>364</v>
      </c>
      <c r="AM2168" t="s">
        <v>262</v>
      </c>
      <c r="AN2168" t="s">
        <v>263</v>
      </c>
    </row>
    <row r="2169" spans="37:40" x14ac:dyDescent="0.25">
      <c r="AK2169" s="32" t="s">
        <v>50</v>
      </c>
      <c r="AL2169" t="s">
        <v>364</v>
      </c>
      <c r="AM2169" t="s">
        <v>270</v>
      </c>
      <c r="AN2169" t="s">
        <v>271</v>
      </c>
    </row>
    <row r="2170" spans="37:40" x14ac:dyDescent="0.25">
      <c r="AK2170" s="32" t="s">
        <v>50</v>
      </c>
      <c r="AL2170" t="s">
        <v>364</v>
      </c>
      <c r="AM2170" t="s">
        <v>277</v>
      </c>
      <c r="AN2170" t="s">
        <v>278</v>
      </c>
    </row>
    <row r="2171" spans="37:40" x14ac:dyDescent="0.25">
      <c r="AK2171" s="32" t="s">
        <v>50</v>
      </c>
      <c r="AL2171" t="s">
        <v>364</v>
      </c>
      <c r="AM2171" t="s">
        <v>284</v>
      </c>
      <c r="AN2171" t="s">
        <v>285</v>
      </c>
    </row>
    <row r="2172" spans="37:40" x14ac:dyDescent="0.25">
      <c r="AK2172" s="32" t="s">
        <v>50</v>
      </c>
      <c r="AL2172" t="s">
        <v>364</v>
      </c>
      <c r="AM2172" t="s">
        <v>291</v>
      </c>
      <c r="AN2172" t="s">
        <v>292</v>
      </c>
    </row>
    <row r="2173" spans="37:40" x14ac:dyDescent="0.25">
      <c r="AK2173" s="32" t="s">
        <v>50</v>
      </c>
      <c r="AL2173" t="s">
        <v>364</v>
      </c>
      <c r="AM2173" t="s">
        <v>298</v>
      </c>
      <c r="AN2173" t="s">
        <v>299</v>
      </c>
    </row>
    <row r="2174" spans="37:40" x14ac:dyDescent="0.25">
      <c r="AK2174" s="32" t="s">
        <v>50</v>
      </c>
      <c r="AL2174" t="s">
        <v>364</v>
      </c>
      <c r="AM2174" t="s">
        <v>305</v>
      </c>
      <c r="AN2174" t="s">
        <v>306</v>
      </c>
    </row>
    <row r="2175" spans="37:40" x14ac:dyDescent="0.25">
      <c r="AK2175" s="32" t="s">
        <v>50</v>
      </c>
      <c r="AL2175" t="s">
        <v>364</v>
      </c>
      <c r="AM2175" t="s">
        <v>309</v>
      </c>
      <c r="AN2175" t="s">
        <v>310</v>
      </c>
    </row>
    <row r="2176" spans="37:40" x14ac:dyDescent="0.25">
      <c r="AK2176" s="32" t="s">
        <v>50</v>
      </c>
      <c r="AL2176" t="s">
        <v>364</v>
      </c>
      <c r="AM2176" t="s">
        <v>312</v>
      </c>
      <c r="AN2176" t="s">
        <v>313</v>
      </c>
    </row>
    <row r="2177" spans="37:40" x14ac:dyDescent="0.25">
      <c r="AK2177" s="32" t="s">
        <v>50</v>
      </c>
      <c r="AL2177" t="s">
        <v>364</v>
      </c>
      <c r="AM2177" t="s">
        <v>315</v>
      </c>
      <c r="AN2177" t="s">
        <v>316</v>
      </c>
    </row>
    <row r="2178" spans="37:40" x14ac:dyDescent="0.25">
      <c r="AK2178" s="32" t="s">
        <v>50</v>
      </c>
      <c r="AL2178" t="s">
        <v>364</v>
      </c>
      <c r="AM2178" t="s">
        <v>319</v>
      </c>
      <c r="AN2178" t="s">
        <v>320</v>
      </c>
    </row>
    <row r="2179" spans="37:40" x14ac:dyDescent="0.25">
      <c r="AK2179" s="32" t="s">
        <v>50</v>
      </c>
      <c r="AL2179" t="s">
        <v>364</v>
      </c>
      <c r="AM2179" t="s">
        <v>323</v>
      </c>
      <c r="AN2179" t="s">
        <v>324</v>
      </c>
    </row>
    <row r="2180" spans="37:40" x14ac:dyDescent="0.25">
      <c r="AK2180" s="32" t="s">
        <v>50</v>
      </c>
      <c r="AL2180" t="s">
        <v>364</v>
      </c>
      <c r="AM2180" t="s">
        <v>326</v>
      </c>
      <c r="AN2180" t="s">
        <v>327</v>
      </c>
    </row>
    <row r="2181" spans="37:40" x14ac:dyDescent="0.25">
      <c r="AK2181" s="32" t="s">
        <v>50</v>
      </c>
      <c r="AL2181" t="s">
        <v>364</v>
      </c>
      <c r="AM2181" t="s">
        <v>330</v>
      </c>
      <c r="AN2181" t="s">
        <v>331</v>
      </c>
    </row>
    <row r="2182" spans="37:40" x14ac:dyDescent="0.25">
      <c r="AK2182" s="32" t="s">
        <v>50</v>
      </c>
      <c r="AL2182" t="s">
        <v>364</v>
      </c>
      <c r="AM2182" t="s">
        <v>335</v>
      </c>
      <c r="AN2182" t="s">
        <v>336</v>
      </c>
    </row>
    <row r="2183" spans="37:40" x14ac:dyDescent="0.25">
      <c r="AK2183" s="32" t="s">
        <v>50</v>
      </c>
      <c r="AL2183" t="s">
        <v>364</v>
      </c>
      <c r="AM2183" t="s">
        <v>340</v>
      </c>
      <c r="AN2183" t="s">
        <v>341</v>
      </c>
    </row>
    <row r="2184" spans="37:40" x14ac:dyDescent="0.25">
      <c r="AK2184" s="32" t="s">
        <v>50</v>
      </c>
      <c r="AL2184" t="s">
        <v>364</v>
      </c>
      <c r="AM2184" t="s">
        <v>344</v>
      </c>
      <c r="AN2184" t="s">
        <v>345</v>
      </c>
    </row>
    <row r="2185" spans="37:40" x14ac:dyDescent="0.25">
      <c r="AK2185" s="32" t="s">
        <v>50</v>
      </c>
      <c r="AL2185" t="s">
        <v>364</v>
      </c>
      <c r="AM2185" t="s">
        <v>348</v>
      </c>
      <c r="AN2185" t="s">
        <v>349</v>
      </c>
    </row>
    <row r="2186" spans="37:40" x14ac:dyDescent="0.25">
      <c r="AK2186" s="32" t="s">
        <v>50</v>
      </c>
      <c r="AL2186" t="s">
        <v>364</v>
      </c>
      <c r="AM2186" t="s">
        <v>352</v>
      </c>
      <c r="AN2186" t="s">
        <v>353</v>
      </c>
    </row>
    <row r="2187" spans="37:40" x14ac:dyDescent="0.25">
      <c r="AK2187" s="32" t="s">
        <v>50</v>
      </c>
      <c r="AL2187" t="s">
        <v>364</v>
      </c>
      <c r="AM2187" t="s">
        <v>356</v>
      </c>
      <c r="AN2187" t="s">
        <v>357</v>
      </c>
    </row>
    <row r="2188" spans="37:40" x14ac:dyDescent="0.25">
      <c r="AK2188" s="32" t="s">
        <v>50</v>
      </c>
      <c r="AL2188" t="s">
        <v>364</v>
      </c>
      <c r="AM2188" t="s">
        <v>359</v>
      </c>
      <c r="AN2188" t="s">
        <v>360</v>
      </c>
    </row>
    <row r="2189" spans="37:40" x14ac:dyDescent="0.25">
      <c r="AK2189" s="32" t="s">
        <v>50</v>
      </c>
      <c r="AL2189" t="s">
        <v>364</v>
      </c>
      <c r="AM2189" t="s">
        <v>362</v>
      </c>
      <c r="AN2189" t="s">
        <v>363</v>
      </c>
    </row>
    <row r="2190" spans="37:40" x14ac:dyDescent="0.25">
      <c r="AK2190" s="32" t="s">
        <v>50</v>
      </c>
      <c r="AL2190" t="s">
        <v>364</v>
      </c>
      <c r="AM2190" t="s">
        <v>365</v>
      </c>
      <c r="AN2190" t="s">
        <v>366</v>
      </c>
    </row>
    <row r="2191" spans="37:40" x14ac:dyDescent="0.25">
      <c r="AK2191" s="32" t="s">
        <v>50</v>
      </c>
      <c r="AL2191" t="s">
        <v>364</v>
      </c>
      <c r="AM2191" t="s">
        <v>367</v>
      </c>
      <c r="AN2191" t="s">
        <v>368</v>
      </c>
    </row>
    <row r="2192" spans="37:40" x14ac:dyDescent="0.25">
      <c r="AK2192" s="32" t="s">
        <v>50</v>
      </c>
      <c r="AL2192" t="s">
        <v>364</v>
      </c>
      <c r="AM2192" t="s">
        <v>369</v>
      </c>
      <c r="AN2192" t="s">
        <v>370</v>
      </c>
    </row>
    <row r="2193" spans="37:40" x14ac:dyDescent="0.25">
      <c r="AK2193" s="32" t="s">
        <v>50</v>
      </c>
      <c r="AL2193" t="s">
        <v>364</v>
      </c>
      <c r="AM2193" t="s">
        <v>371</v>
      </c>
      <c r="AN2193" t="s">
        <v>372</v>
      </c>
    </row>
    <row r="2194" spans="37:40" x14ac:dyDescent="0.25">
      <c r="AK2194" s="32" t="s">
        <v>50</v>
      </c>
      <c r="AL2194" t="s">
        <v>364</v>
      </c>
      <c r="AM2194" t="s">
        <v>374</v>
      </c>
      <c r="AN2194" t="s">
        <v>375</v>
      </c>
    </row>
    <row r="2195" spans="37:40" x14ac:dyDescent="0.25">
      <c r="AK2195" s="32" t="s">
        <v>50</v>
      </c>
      <c r="AL2195" t="s">
        <v>364</v>
      </c>
      <c r="AM2195" t="s">
        <v>376</v>
      </c>
      <c r="AN2195" t="s">
        <v>377</v>
      </c>
    </row>
    <row r="2196" spans="37:40" x14ac:dyDescent="0.25">
      <c r="AK2196" s="32" t="s">
        <v>50</v>
      </c>
      <c r="AL2196" t="s">
        <v>364</v>
      </c>
      <c r="AM2196" t="s">
        <v>379</v>
      </c>
      <c r="AN2196" t="s">
        <v>380</v>
      </c>
    </row>
    <row r="2197" spans="37:40" x14ac:dyDescent="0.25">
      <c r="AK2197" s="32" t="s">
        <v>50</v>
      </c>
      <c r="AL2197" t="s">
        <v>364</v>
      </c>
      <c r="AM2197" t="s">
        <v>381</v>
      </c>
      <c r="AN2197" t="s">
        <v>382</v>
      </c>
    </row>
    <row r="2198" spans="37:40" x14ac:dyDescent="0.25">
      <c r="AK2198" s="32" t="s">
        <v>50</v>
      </c>
      <c r="AL2198" t="s">
        <v>364</v>
      </c>
      <c r="AM2198" t="s">
        <v>383</v>
      </c>
      <c r="AN2198" t="s">
        <v>384</v>
      </c>
    </row>
    <row r="2199" spans="37:40" x14ac:dyDescent="0.25">
      <c r="AK2199" s="32" t="s">
        <v>50</v>
      </c>
      <c r="AL2199" t="s">
        <v>364</v>
      </c>
      <c r="AM2199" t="s">
        <v>385</v>
      </c>
      <c r="AN2199" t="s">
        <v>386</v>
      </c>
    </row>
    <row r="2200" spans="37:40" x14ac:dyDescent="0.25">
      <c r="AK2200" s="32" t="s">
        <v>50</v>
      </c>
      <c r="AL2200" t="s">
        <v>364</v>
      </c>
      <c r="AM2200" t="s">
        <v>387</v>
      </c>
      <c r="AN2200" t="s">
        <v>388</v>
      </c>
    </row>
    <row r="2201" spans="37:40" x14ac:dyDescent="0.25">
      <c r="AK2201" s="32" t="s">
        <v>50</v>
      </c>
      <c r="AL2201" t="s">
        <v>364</v>
      </c>
      <c r="AM2201" t="s">
        <v>389</v>
      </c>
      <c r="AN2201" t="s">
        <v>390</v>
      </c>
    </row>
    <row r="2202" spans="37:40" x14ac:dyDescent="0.25">
      <c r="AK2202" s="32" t="s">
        <v>50</v>
      </c>
      <c r="AL2202" t="s">
        <v>364</v>
      </c>
      <c r="AM2202" t="s">
        <v>391</v>
      </c>
      <c r="AN2202" t="s">
        <v>392</v>
      </c>
    </row>
    <row r="2203" spans="37:40" x14ac:dyDescent="0.25">
      <c r="AK2203" s="32" t="s">
        <v>50</v>
      </c>
      <c r="AL2203" t="s">
        <v>364</v>
      </c>
      <c r="AM2203" t="s">
        <v>393</v>
      </c>
      <c r="AN2203" t="s">
        <v>394</v>
      </c>
    </row>
    <row r="2204" spans="37:40" x14ac:dyDescent="0.25">
      <c r="AK2204" s="32" t="s">
        <v>50</v>
      </c>
      <c r="AL2204" t="s">
        <v>364</v>
      </c>
      <c r="AM2204" t="s">
        <v>395</v>
      </c>
      <c r="AN2204" t="s">
        <v>396</v>
      </c>
    </row>
    <row r="2205" spans="37:40" x14ac:dyDescent="0.25">
      <c r="AK2205" s="32" t="s">
        <v>50</v>
      </c>
      <c r="AL2205" t="s">
        <v>364</v>
      </c>
      <c r="AM2205" t="s">
        <v>397</v>
      </c>
      <c r="AN2205" t="s">
        <v>398</v>
      </c>
    </row>
    <row r="2206" spans="37:40" x14ac:dyDescent="0.25">
      <c r="AK2206" s="32" t="s">
        <v>50</v>
      </c>
      <c r="AL2206" t="s">
        <v>364</v>
      </c>
      <c r="AM2206" t="s">
        <v>399</v>
      </c>
      <c r="AN2206" t="s">
        <v>400</v>
      </c>
    </row>
    <row r="2207" spans="37:40" x14ac:dyDescent="0.25">
      <c r="AK2207" s="32" t="s">
        <v>50</v>
      </c>
      <c r="AL2207" t="s">
        <v>364</v>
      </c>
      <c r="AM2207" t="s">
        <v>401</v>
      </c>
      <c r="AN2207" t="s">
        <v>402</v>
      </c>
    </row>
    <row r="2208" spans="37:40" x14ac:dyDescent="0.25">
      <c r="AK2208" s="32" t="s">
        <v>50</v>
      </c>
      <c r="AL2208" t="s">
        <v>364</v>
      </c>
      <c r="AM2208" t="s">
        <v>403</v>
      </c>
      <c r="AN2208" t="s">
        <v>404</v>
      </c>
    </row>
    <row r="2209" spans="37:40" x14ac:dyDescent="0.25">
      <c r="AK2209" s="32" t="s">
        <v>50</v>
      </c>
      <c r="AL2209" t="s">
        <v>364</v>
      </c>
      <c r="AM2209" t="s">
        <v>405</v>
      </c>
      <c r="AN2209" t="s">
        <v>406</v>
      </c>
    </row>
    <row r="2210" spans="37:40" x14ac:dyDescent="0.25">
      <c r="AK2210" s="32" t="s">
        <v>50</v>
      </c>
      <c r="AL2210" t="s">
        <v>364</v>
      </c>
      <c r="AM2210" t="s">
        <v>407</v>
      </c>
      <c r="AN2210" t="s">
        <v>408</v>
      </c>
    </row>
    <row r="2211" spans="37:40" x14ac:dyDescent="0.25">
      <c r="AK2211" s="32" t="s">
        <v>50</v>
      </c>
      <c r="AL2211" t="s">
        <v>364</v>
      </c>
      <c r="AM2211" t="s">
        <v>409</v>
      </c>
      <c r="AN2211" t="s">
        <v>410</v>
      </c>
    </row>
    <row r="2220" spans="37:40" x14ac:dyDescent="0.25">
      <c r="AL2220" s="18"/>
      <c r="AM2220" s="18"/>
      <c r="AN2220" s="18"/>
    </row>
    <row r="2221" spans="37:40" x14ac:dyDescent="0.25">
      <c r="AL2221" s="18"/>
      <c r="AM2221" s="18"/>
      <c r="AN2221" s="18"/>
    </row>
    <row r="2222" spans="37:40" x14ac:dyDescent="0.25">
      <c r="AL2222" s="18"/>
      <c r="AM2222" s="18"/>
      <c r="AN2222" s="18"/>
    </row>
    <row r="2223" spans="37:40" x14ac:dyDescent="0.25">
      <c r="AL2223" s="18"/>
      <c r="AM2223" s="18"/>
      <c r="AN2223" s="18"/>
    </row>
    <row r="2224" spans="37:40" x14ac:dyDescent="0.25">
      <c r="AL2224" s="18"/>
      <c r="AM2224" s="18"/>
      <c r="AN2224" s="18"/>
    </row>
    <row r="2225" spans="38:40" x14ac:dyDescent="0.25">
      <c r="AL2225" s="18"/>
      <c r="AM2225" s="18"/>
      <c r="AN2225" s="18"/>
    </row>
    <row r="2226" spans="38:40" x14ac:dyDescent="0.25">
      <c r="AL2226" s="18"/>
      <c r="AM2226" s="18"/>
      <c r="AN2226" s="18"/>
    </row>
    <row r="2227" spans="38:40" x14ac:dyDescent="0.25">
      <c r="AL2227" s="18"/>
      <c r="AM2227" s="18"/>
      <c r="AN2227" s="18"/>
    </row>
    <row r="2228" spans="38:40" x14ac:dyDescent="0.25">
      <c r="AL2228" s="18"/>
      <c r="AM2228" s="18"/>
      <c r="AN2228" s="18"/>
    </row>
    <row r="2229" spans="38:40" x14ac:dyDescent="0.25">
      <c r="AL2229" s="18"/>
      <c r="AM2229" s="18"/>
      <c r="AN2229" s="18"/>
    </row>
    <row r="2230" spans="38:40" x14ac:dyDescent="0.25">
      <c r="AL2230" s="18"/>
      <c r="AM2230" s="18"/>
      <c r="AN2230" s="18"/>
    </row>
    <row r="2231" spans="38:40" x14ac:dyDescent="0.25">
      <c r="AL2231" s="18"/>
      <c r="AM2231" s="18"/>
      <c r="AN2231" s="18"/>
    </row>
    <row r="2232" spans="38:40" x14ac:dyDescent="0.25">
      <c r="AL2232" s="18"/>
      <c r="AM2232" s="18"/>
      <c r="AN2232" s="18"/>
    </row>
    <row r="2233" spans="38:40" x14ac:dyDescent="0.25">
      <c r="AL2233" s="18"/>
      <c r="AM2233" s="18"/>
      <c r="AN2233" s="18"/>
    </row>
    <row r="2234" spans="38:40" x14ac:dyDescent="0.25">
      <c r="AL2234" s="18"/>
      <c r="AM2234" s="18"/>
      <c r="AN2234" s="18"/>
    </row>
    <row r="2235" spans="38:40" x14ac:dyDescent="0.25">
      <c r="AL2235" s="18"/>
      <c r="AM2235" s="18"/>
      <c r="AN2235" s="18"/>
    </row>
    <row r="2236" spans="38:40" x14ac:dyDescent="0.25">
      <c r="AL2236" s="18"/>
      <c r="AM2236" s="18"/>
      <c r="AN2236" s="18"/>
    </row>
    <row r="2237" spans="38:40" x14ac:dyDescent="0.25">
      <c r="AL2237" s="18"/>
      <c r="AM2237" s="18"/>
      <c r="AN2237" s="18"/>
    </row>
    <row r="2238" spans="38:40" x14ac:dyDescent="0.25">
      <c r="AL2238" s="18"/>
      <c r="AM2238" s="18"/>
      <c r="AN2238" s="18"/>
    </row>
    <row r="2239" spans="38:40" x14ac:dyDescent="0.25">
      <c r="AL2239" s="18"/>
      <c r="AM2239" s="18"/>
      <c r="AN2239" s="18"/>
    </row>
    <row r="2240" spans="38:40" x14ac:dyDescent="0.25">
      <c r="AL2240" s="18"/>
      <c r="AM2240" s="18"/>
      <c r="AN2240" s="18"/>
    </row>
    <row r="2241" spans="38:40" x14ac:dyDescent="0.25">
      <c r="AL2241" s="18"/>
      <c r="AM2241" s="18"/>
      <c r="AN2241" s="18"/>
    </row>
    <row r="2242" spans="38:40" x14ac:dyDescent="0.25">
      <c r="AL2242" s="18"/>
      <c r="AM2242" s="18"/>
      <c r="AN2242" s="18"/>
    </row>
    <row r="2243" spans="38:40" x14ac:dyDescent="0.25">
      <c r="AL2243" s="18"/>
      <c r="AM2243" s="18"/>
      <c r="AN2243" s="18"/>
    </row>
    <row r="2244" spans="38:40" x14ac:dyDescent="0.25">
      <c r="AL2244" s="18"/>
      <c r="AM2244" s="18"/>
      <c r="AN2244" s="18"/>
    </row>
    <row r="2245" spans="38:40" x14ac:dyDescent="0.25">
      <c r="AL2245" s="18"/>
      <c r="AM2245" s="18"/>
      <c r="AN2245" s="18"/>
    </row>
    <row r="2246" spans="38:40" x14ac:dyDescent="0.25">
      <c r="AL2246" s="18"/>
      <c r="AM2246" s="18"/>
      <c r="AN2246" s="18"/>
    </row>
    <row r="2247" spans="38:40" x14ac:dyDescent="0.25">
      <c r="AL2247" s="18"/>
      <c r="AM2247" s="18"/>
      <c r="AN2247" s="18"/>
    </row>
    <row r="2248" spans="38:40" x14ac:dyDescent="0.25">
      <c r="AL2248" s="18"/>
      <c r="AM2248" s="18"/>
      <c r="AN2248" s="18"/>
    </row>
    <row r="2249" spans="38:40" x14ac:dyDescent="0.25">
      <c r="AL2249" s="18"/>
      <c r="AM2249" s="18"/>
      <c r="AN2249" s="18"/>
    </row>
    <row r="2250" spans="38:40" x14ac:dyDescent="0.25">
      <c r="AL2250" s="18"/>
      <c r="AM2250" s="18"/>
      <c r="AN2250" s="18"/>
    </row>
    <row r="2251" spans="38:40" x14ac:dyDescent="0.25">
      <c r="AL2251" s="18"/>
      <c r="AM2251" s="18"/>
      <c r="AN2251" s="18"/>
    </row>
    <row r="2252" spans="38:40" x14ac:dyDescent="0.25">
      <c r="AL2252" s="18"/>
      <c r="AM2252" s="18"/>
      <c r="AN2252" s="18"/>
    </row>
  </sheetData>
  <autoFilter ref="AK1:AN2252" xr:uid="{00000000-0009-0000-0000-000000000000}"/>
  <sortState xmlns:xlrd2="http://schemas.microsoft.com/office/spreadsheetml/2017/richdata2" ref="AE2:AE10">
    <sortCondition ref="AE2"/>
  </sortState>
  <phoneticPr fontId="9" type="noConversion"/>
  <conditionalFormatting sqref="AM1134:AM1193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4:D45"/>
  <sheetViews>
    <sheetView workbookViewId="0">
      <selection activeCell="C20" sqref="C20"/>
    </sheetView>
  </sheetViews>
  <sheetFormatPr defaultRowHeight="15" x14ac:dyDescent="0.25"/>
  <cols>
    <col min="2" max="2" width="39" customWidth="1"/>
    <col min="3" max="3" width="27" bestFit="1" customWidth="1"/>
    <col min="4" max="4" width="17.85546875" bestFit="1" customWidth="1"/>
    <col min="6" max="6" width="116" bestFit="1" customWidth="1"/>
    <col min="7" max="7" width="54.5703125" bestFit="1" customWidth="1"/>
    <col min="8" max="8" width="36.42578125" bestFit="1" customWidth="1"/>
    <col min="12" max="12" width="10.42578125" bestFit="1" customWidth="1"/>
    <col min="13" max="13" width="14.28515625" bestFit="1" customWidth="1"/>
    <col min="14" max="14" width="16.42578125" bestFit="1" customWidth="1"/>
    <col min="16" max="16" width="14.5703125" bestFit="1" customWidth="1"/>
    <col min="18" max="18" width="11" bestFit="1" customWidth="1"/>
    <col min="19" max="19" width="11.28515625" bestFit="1" customWidth="1"/>
    <col min="20" max="20" width="12.5703125" bestFit="1" customWidth="1"/>
  </cols>
  <sheetData>
    <row r="4" spans="2:4" x14ac:dyDescent="0.25">
      <c r="B4" s="1" t="s">
        <v>92</v>
      </c>
      <c r="C4" s="5"/>
    </row>
    <row r="5" spans="2:4" x14ac:dyDescent="0.25">
      <c r="B5" s="2" t="s">
        <v>114</v>
      </c>
      <c r="C5" s="5" t="s">
        <v>566</v>
      </c>
      <c r="D5" s="2"/>
    </row>
    <row r="6" spans="2:4" x14ac:dyDescent="0.25">
      <c r="B6" s="2" t="s">
        <v>131</v>
      </c>
      <c r="C6" s="5">
        <v>123</v>
      </c>
      <c r="D6" s="2"/>
    </row>
    <row r="7" spans="2:4" x14ac:dyDescent="0.25">
      <c r="B7" s="2" t="s">
        <v>1</v>
      </c>
      <c r="C7" s="5" t="s">
        <v>39</v>
      </c>
      <c r="D7" s="2"/>
    </row>
    <row r="8" spans="2:4" x14ac:dyDescent="0.25">
      <c r="B8" s="2" t="s">
        <v>0</v>
      </c>
      <c r="C8" s="5" t="s">
        <v>222</v>
      </c>
    </row>
    <row r="9" spans="2:4" x14ac:dyDescent="0.25">
      <c r="B9" s="2" t="s">
        <v>171</v>
      </c>
      <c r="C9" t="s">
        <v>37</v>
      </c>
    </row>
    <row r="10" spans="2:4" x14ac:dyDescent="0.25">
      <c r="B10" s="2" t="s">
        <v>184</v>
      </c>
      <c r="C10">
        <v>5000</v>
      </c>
      <c r="D10" s="6"/>
    </row>
    <row r="11" spans="2:4" x14ac:dyDescent="0.25">
      <c r="B11" s="2" t="s">
        <v>567</v>
      </c>
      <c r="C11" s="5" t="s">
        <v>40</v>
      </c>
      <c r="D11" s="6"/>
    </row>
    <row r="12" spans="2:4" x14ac:dyDescent="0.25">
      <c r="B12" s="2" t="s">
        <v>209</v>
      </c>
      <c r="C12" s="5" t="s">
        <v>568</v>
      </c>
    </row>
    <row r="13" spans="2:4" x14ac:dyDescent="0.25">
      <c r="B13" s="2" t="s">
        <v>221</v>
      </c>
      <c r="C13" s="19" t="s">
        <v>569</v>
      </c>
    </row>
    <row r="14" spans="2:4" x14ac:dyDescent="0.25">
      <c r="B14" s="2" t="s">
        <v>230</v>
      </c>
      <c r="C14" s="19" t="s">
        <v>570</v>
      </c>
    </row>
    <row r="15" spans="2:4" x14ac:dyDescent="0.25">
      <c r="C15" s="5"/>
    </row>
    <row r="16" spans="2:4" x14ac:dyDescent="0.25">
      <c r="C16" s="5"/>
    </row>
    <row r="17" spans="2:3" x14ac:dyDescent="0.25">
      <c r="B17" s="1" t="s">
        <v>252</v>
      </c>
      <c r="C17" s="5"/>
    </row>
    <row r="18" spans="2:3" x14ac:dyDescent="0.25">
      <c r="B18" s="2" t="s">
        <v>260</v>
      </c>
    </row>
    <row r="19" spans="2:3" x14ac:dyDescent="0.25">
      <c r="B19" s="2" t="s">
        <v>268</v>
      </c>
      <c r="C19" t="s">
        <v>11</v>
      </c>
    </row>
    <row r="20" spans="2:3" x14ac:dyDescent="0.25">
      <c r="B20" s="2" t="s">
        <v>275</v>
      </c>
      <c r="C20" t="s">
        <v>42</v>
      </c>
    </row>
    <row r="21" spans="2:3" x14ac:dyDescent="0.25">
      <c r="B21" s="2" t="s">
        <v>282</v>
      </c>
      <c r="C21" s="5"/>
    </row>
    <row r="22" spans="2:3" x14ac:dyDescent="0.25">
      <c r="B22" s="2" t="s">
        <v>289</v>
      </c>
      <c r="C22" s="19"/>
    </row>
    <row r="23" spans="2:3" x14ac:dyDescent="0.25">
      <c r="B23" s="2" t="s">
        <v>296</v>
      </c>
      <c r="C23" s="19"/>
    </row>
    <row r="24" spans="2:3" x14ac:dyDescent="0.25">
      <c r="B24" s="2" t="s">
        <v>303</v>
      </c>
      <c r="C24" s="19"/>
    </row>
    <row r="25" spans="2:3" x14ac:dyDescent="0.25">
      <c r="B25" s="2" t="s">
        <v>307</v>
      </c>
      <c r="C25" s="19"/>
    </row>
    <row r="26" spans="2:3" x14ac:dyDescent="0.25">
      <c r="B26" s="2" t="s">
        <v>94</v>
      </c>
      <c r="C26" t="s">
        <v>43</v>
      </c>
    </row>
    <row r="27" spans="2:3" x14ac:dyDescent="0.25">
      <c r="B27" s="2"/>
      <c r="C27" s="5"/>
    </row>
    <row r="28" spans="2:3" x14ac:dyDescent="0.25">
      <c r="B28" s="1" t="s">
        <v>252</v>
      </c>
      <c r="C28" s="5"/>
    </row>
    <row r="29" spans="2:3" x14ac:dyDescent="0.25">
      <c r="B29" s="2" t="s">
        <v>321</v>
      </c>
      <c r="C29" t="s">
        <v>11</v>
      </c>
    </row>
    <row r="30" spans="2:3" x14ac:dyDescent="0.25">
      <c r="B30" s="2" t="s">
        <v>267</v>
      </c>
      <c r="C30" t="s">
        <v>71</v>
      </c>
    </row>
    <row r="31" spans="2:3" x14ac:dyDescent="0.25">
      <c r="B31" s="2" t="s">
        <v>328</v>
      </c>
      <c r="C31" s="5" t="s">
        <v>48</v>
      </c>
    </row>
    <row r="32" spans="2:3" x14ac:dyDescent="0.25">
      <c r="B32" s="2" t="s">
        <v>332</v>
      </c>
    </row>
    <row r="33" spans="2:3" x14ac:dyDescent="0.25">
      <c r="B33" s="2" t="s">
        <v>337</v>
      </c>
    </row>
    <row r="34" spans="2:3" x14ac:dyDescent="0.25">
      <c r="B34" s="2" t="s">
        <v>342</v>
      </c>
    </row>
    <row r="35" spans="2:3" x14ac:dyDescent="0.25">
      <c r="B35" s="2" t="s">
        <v>346</v>
      </c>
      <c r="C35" s="19"/>
    </row>
    <row r="36" spans="2:3" x14ac:dyDescent="0.25">
      <c r="B36" s="2" t="s">
        <v>350</v>
      </c>
      <c r="C36" s="5">
        <v>2</v>
      </c>
    </row>
    <row r="37" spans="2:3" x14ac:dyDescent="0.25">
      <c r="C37" s="5">
        <v>3</v>
      </c>
    </row>
    <row r="38" spans="2:3" x14ac:dyDescent="0.25">
      <c r="C38" s="5"/>
    </row>
    <row r="39" spans="2:3" x14ac:dyDescent="0.25">
      <c r="C39" s="5"/>
    </row>
    <row r="40" spans="2:3" x14ac:dyDescent="0.25">
      <c r="C40" t="s">
        <v>45</v>
      </c>
    </row>
    <row r="41" spans="2:3" x14ac:dyDescent="0.25">
      <c r="C41" t="s">
        <v>45</v>
      </c>
    </row>
    <row r="42" spans="2:3" x14ac:dyDescent="0.25">
      <c r="C42" s="15" t="s">
        <v>42</v>
      </c>
    </row>
    <row r="43" spans="2:3" x14ac:dyDescent="0.25">
      <c r="C43" s="15" t="s">
        <v>46</v>
      </c>
    </row>
    <row r="44" spans="2:3" x14ac:dyDescent="0.25">
      <c r="C44" s="5"/>
    </row>
    <row r="45" spans="2:3" x14ac:dyDescent="0.25">
      <c r="C45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workbookViewId="0">
      <selection activeCell="A2" sqref="A2:C15"/>
    </sheetView>
  </sheetViews>
  <sheetFormatPr defaultRowHeight="15" x14ac:dyDescent="0.25"/>
  <cols>
    <col min="1" max="1" width="15.42578125" bestFit="1" customWidth="1"/>
    <col min="2" max="2" width="10.42578125" bestFit="1" customWidth="1"/>
    <col min="3" max="3" width="6.140625" bestFit="1" customWidth="1"/>
    <col min="5" max="5" width="10.28515625" bestFit="1" customWidth="1"/>
  </cols>
  <sheetData>
    <row r="1" spans="1:3" x14ac:dyDescent="0.25">
      <c r="A1" t="s">
        <v>571</v>
      </c>
      <c r="B1" t="s">
        <v>572</v>
      </c>
      <c r="C1" t="s">
        <v>573</v>
      </c>
    </row>
    <row r="2" spans="1:3" x14ac:dyDescent="0.25">
      <c r="A2" t="s">
        <v>664</v>
      </c>
      <c r="B2" t="s">
        <v>665</v>
      </c>
      <c r="C2" t="s">
        <v>666</v>
      </c>
    </row>
    <row r="3" spans="1:3" x14ac:dyDescent="0.25">
      <c r="A3" t="s">
        <v>667</v>
      </c>
      <c r="B3" t="s">
        <v>668</v>
      </c>
      <c r="C3" t="s">
        <v>669</v>
      </c>
    </row>
    <row r="4" spans="1:3" x14ac:dyDescent="0.25">
      <c r="A4" t="s">
        <v>670</v>
      </c>
      <c r="B4" t="s">
        <v>671</v>
      </c>
      <c r="C4" t="s">
        <v>669</v>
      </c>
    </row>
    <row r="5" spans="1:3" x14ac:dyDescent="0.25">
      <c r="A5" t="s">
        <v>672</v>
      </c>
      <c r="B5" t="s">
        <v>673</v>
      </c>
      <c r="C5" t="s">
        <v>669</v>
      </c>
    </row>
    <row r="6" spans="1:3" x14ac:dyDescent="0.25">
      <c r="A6" t="s">
        <v>674</v>
      </c>
      <c r="B6" t="s">
        <v>675</v>
      </c>
      <c r="C6" t="s">
        <v>669</v>
      </c>
    </row>
    <row r="7" spans="1:3" x14ac:dyDescent="0.25">
      <c r="A7" t="s">
        <v>676</v>
      </c>
      <c r="B7" t="s">
        <v>677</v>
      </c>
      <c r="C7" t="s">
        <v>669</v>
      </c>
    </row>
    <row r="8" spans="1:3" x14ac:dyDescent="0.25">
      <c r="A8" t="s">
        <v>678</v>
      </c>
      <c r="B8" t="s">
        <v>679</v>
      </c>
      <c r="C8" t="s">
        <v>669</v>
      </c>
    </row>
    <row r="9" spans="1:3" x14ac:dyDescent="0.25">
      <c r="A9" t="s">
        <v>680</v>
      </c>
      <c r="B9" t="s">
        <v>681</v>
      </c>
      <c r="C9" t="s">
        <v>669</v>
      </c>
    </row>
    <row r="10" spans="1:3" x14ac:dyDescent="0.25">
      <c r="A10" t="s">
        <v>682</v>
      </c>
      <c r="B10" t="s">
        <v>683</v>
      </c>
      <c r="C10" t="s">
        <v>669</v>
      </c>
    </row>
    <row r="11" spans="1:3" x14ac:dyDescent="0.25">
      <c r="A11" t="s">
        <v>684</v>
      </c>
      <c r="B11" t="s">
        <v>685</v>
      </c>
      <c r="C11" t="s">
        <v>669</v>
      </c>
    </row>
    <row r="12" spans="1:3" x14ac:dyDescent="0.25">
      <c r="A12" t="s">
        <v>686</v>
      </c>
      <c r="B12" t="s">
        <v>687</v>
      </c>
      <c r="C12" t="s">
        <v>669</v>
      </c>
    </row>
    <row r="13" spans="1:3" x14ac:dyDescent="0.25">
      <c r="A13" t="s">
        <v>688</v>
      </c>
      <c r="B13" t="s">
        <v>689</v>
      </c>
      <c r="C13" t="s">
        <v>669</v>
      </c>
    </row>
    <row r="14" spans="1:3" x14ac:dyDescent="0.25">
      <c r="A14" t="s">
        <v>690</v>
      </c>
      <c r="B14" t="s">
        <v>691</v>
      </c>
      <c r="C14" t="s">
        <v>692</v>
      </c>
    </row>
    <row r="15" spans="1:3" x14ac:dyDescent="0.25">
      <c r="A15" t="s">
        <v>693</v>
      </c>
      <c r="B15" t="s">
        <v>694</v>
      </c>
      <c r="C15" t="s">
        <v>695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2"/>
  <sheetViews>
    <sheetView workbookViewId="0">
      <selection activeCell="H6" sqref="H6"/>
    </sheetView>
  </sheetViews>
  <sheetFormatPr defaultRowHeight="15" x14ac:dyDescent="0.25"/>
  <cols>
    <col min="1" max="2" width="12.7109375" customWidth="1"/>
    <col min="7" max="7" width="12" customWidth="1"/>
  </cols>
  <sheetData>
    <row r="1" spans="1:7" x14ac:dyDescent="0.25">
      <c r="A1" s="3"/>
      <c r="B1" s="3"/>
    </row>
    <row r="2" spans="1:7" x14ac:dyDescent="0.25">
      <c r="F2" t="s">
        <v>53</v>
      </c>
      <c r="G2" t="s">
        <v>37</v>
      </c>
    </row>
    <row r="3" spans="1:7" x14ac:dyDescent="0.25">
      <c r="A3" s="13"/>
      <c r="F3" s="13" t="s">
        <v>82</v>
      </c>
      <c r="G3" t="s">
        <v>37</v>
      </c>
    </row>
    <row r="4" spans="1:7" x14ac:dyDescent="0.25">
      <c r="A4" s="13"/>
      <c r="F4" s="13" t="s">
        <v>106</v>
      </c>
      <c r="G4" t="s">
        <v>37</v>
      </c>
    </row>
    <row r="5" spans="1:7" x14ac:dyDescent="0.25">
      <c r="A5" s="13"/>
      <c r="F5" s="13" t="s">
        <v>121</v>
      </c>
      <c r="G5" t="s">
        <v>37</v>
      </c>
    </row>
    <row r="6" spans="1:7" x14ac:dyDescent="0.25">
      <c r="A6" s="13"/>
      <c r="F6" s="13" t="s">
        <v>139</v>
      </c>
      <c r="G6" t="s">
        <v>69</v>
      </c>
    </row>
    <row r="7" spans="1:7" x14ac:dyDescent="0.25">
      <c r="A7" s="13"/>
      <c r="F7" t="s">
        <v>151</v>
      </c>
      <c r="G7" t="s">
        <v>69</v>
      </c>
    </row>
    <row r="8" spans="1:7" x14ac:dyDescent="0.25">
      <c r="A8" s="13"/>
      <c r="F8" t="s">
        <v>164</v>
      </c>
      <c r="G8" t="s">
        <v>69</v>
      </c>
    </row>
    <row r="9" spans="1:7" x14ac:dyDescent="0.25">
      <c r="F9" t="s">
        <v>176</v>
      </c>
      <c r="G9" t="s">
        <v>69</v>
      </c>
    </row>
    <row r="10" spans="1:7" x14ac:dyDescent="0.25">
      <c r="F10" t="s">
        <v>189</v>
      </c>
      <c r="G10" t="s">
        <v>69</v>
      </c>
    </row>
    <row r="11" spans="1:7" x14ac:dyDescent="0.25">
      <c r="F11" t="s">
        <v>201</v>
      </c>
      <c r="G11" t="s">
        <v>69</v>
      </c>
    </row>
    <row r="12" spans="1:7" x14ac:dyDescent="0.25">
      <c r="F12" t="s">
        <v>213</v>
      </c>
      <c r="G12" t="s">
        <v>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F30"/>
  <sheetViews>
    <sheetView workbookViewId="0">
      <selection activeCell="A3" sqref="A3:XFD14"/>
    </sheetView>
  </sheetViews>
  <sheetFormatPr defaultRowHeight="15" x14ac:dyDescent="0.25"/>
  <cols>
    <col min="1" max="31" width="10.140625" customWidth="1"/>
  </cols>
  <sheetData>
    <row r="1" spans="1:58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</row>
    <row r="2" spans="1:58" x14ac:dyDescent="0.25">
      <c r="B2" t="s">
        <v>574</v>
      </c>
      <c r="C2" t="s">
        <v>575</v>
      </c>
      <c r="D2" t="s">
        <v>576</v>
      </c>
    </row>
    <row r="3" spans="1:58" x14ac:dyDescent="0.25">
      <c r="A3" s="2" t="s">
        <v>3</v>
      </c>
      <c r="B3" s="2">
        <v>3000</v>
      </c>
      <c r="C3" s="2"/>
      <c r="D3" s="2"/>
      <c r="E3" s="2">
        <v>3500</v>
      </c>
      <c r="F3" s="2"/>
      <c r="G3" s="2"/>
      <c r="H3" s="2">
        <v>4000</v>
      </c>
      <c r="I3" s="2"/>
      <c r="J3" s="2"/>
      <c r="K3" s="2">
        <v>4500</v>
      </c>
      <c r="L3" s="2"/>
      <c r="M3" s="2"/>
      <c r="N3" s="2">
        <v>5000</v>
      </c>
      <c r="O3" s="2"/>
      <c r="P3" s="2"/>
      <c r="Q3" s="2">
        <v>5500</v>
      </c>
      <c r="R3" s="2"/>
      <c r="S3" s="2"/>
      <c r="T3" s="2">
        <v>6000</v>
      </c>
      <c r="U3" s="2"/>
      <c r="V3" s="2"/>
      <c r="W3" s="2">
        <v>6500</v>
      </c>
      <c r="X3" s="2"/>
      <c r="Y3" s="2"/>
      <c r="Z3" s="2">
        <v>7000</v>
      </c>
      <c r="AA3" s="2"/>
      <c r="AB3" s="2"/>
      <c r="AC3" s="2">
        <v>7500</v>
      </c>
      <c r="AF3" s="2">
        <v>8000</v>
      </c>
      <c r="AG3" s="2"/>
      <c r="AH3" s="2"/>
      <c r="AI3" s="2">
        <v>8500</v>
      </c>
      <c r="AJ3" s="2"/>
      <c r="AK3" s="2"/>
      <c r="AL3" s="2">
        <v>9000</v>
      </c>
      <c r="AM3" s="2"/>
      <c r="AN3" s="2"/>
      <c r="AO3" s="2">
        <v>9500</v>
      </c>
      <c r="AP3" s="2"/>
      <c r="AQ3" s="2"/>
      <c r="AR3" s="2">
        <v>10000</v>
      </c>
      <c r="AS3" s="2"/>
      <c r="AT3" s="2"/>
      <c r="AU3" s="2">
        <v>10500</v>
      </c>
      <c r="AV3" s="2"/>
      <c r="AW3" s="2"/>
      <c r="AX3" s="2">
        <v>11000</v>
      </c>
      <c r="AY3" s="2"/>
      <c r="AZ3" s="2"/>
      <c r="BA3" s="2">
        <v>11500</v>
      </c>
      <c r="BB3" s="2"/>
      <c r="BC3" s="2"/>
      <c r="BD3" s="2">
        <v>12000</v>
      </c>
    </row>
    <row r="4" spans="1:58" s="15" customFormat="1" x14ac:dyDescent="0.25">
      <c r="A4" s="15" t="s">
        <v>53</v>
      </c>
      <c r="AR4" s="15" t="s">
        <v>696</v>
      </c>
      <c r="AS4" s="15" t="s">
        <v>570</v>
      </c>
      <c r="AT4" s="15" t="s">
        <v>697</v>
      </c>
    </row>
    <row r="5" spans="1:58" s="15" customFormat="1" x14ac:dyDescent="0.25">
      <c r="A5" s="15" t="s">
        <v>82</v>
      </c>
      <c r="AR5" s="15" t="s">
        <v>570</v>
      </c>
      <c r="AS5" s="15" t="s">
        <v>698</v>
      </c>
      <c r="AT5" s="15" t="s">
        <v>699</v>
      </c>
    </row>
    <row r="6" spans="1:58" s="15" customFormat="1" x14ac:dyDescent="0.25">
      <c r="A6" s="15" t="s">
        <v>106</v>
      </c>
      <c r="AR6" s="15" t="s">
        <v>699</v>
      </c>
      <c r="AS6" s="15" t="s">
        <v>700</v>
      </c>
      <c r="AT6" s="15" t="s">
        <v>701</v>
      </c>
    </row>
    <row r="7" spans="1:58" s="15" customFormat="1" x14ac:dyDescent="0.25">
      <c r="A7" s="15" t="s">
        <v>121</v>
      </c>
      <c r="AR7" s="15" t="s">
        <v>660</v>
      </c>
      <c r="AS7" s="15" t="s">
        <v>702</v>
      </c>
      <c r="AT7" s="15" t="s">
        <v>703</v>
      </c>
    </row>
    <row r="8" spans="1:58" s="15" customFormat="1" x14ac:dyDescent="0.25">
      <c r="A8" s="15" t="s">
        <v>139</v>
      </c>
      <c r="AR8" s="15" t="s">
        <v>704</v>
      </c>
      <c r="AS8" s="15" t="s">
        <v>705</v>
      </c>
      <c r="AT8" s="15" t="s">
        <v>706</v>
      </c>
    </row>
    <row r="9" spans="1:58" s="15" customFormat="1" x14ac:dyDescent="0.25">
      <c r="A9" s="15" t="s">
        <v>151</v>
      </c>
      <c r="AR9" s="15" t="s">
        <v>702</v>
      </c>
      <c r="AS9" s="15" t="s">
        <v>707</v>
      </c>
      <c r="AT9" s="15" t="s">
        <v>708</v>
      </c>
    </row>
    <row r="10" spans="1:58" s="15" customFormat="1" x14ac:dyDescent="0.25">
      <c r="A10" s="15" t="s">
        <v>164</v>
      </c>
      <c r="AR10" s="15" t="s">
        <v>709</v>
      </c>
      <c r="AS10" s="15" t="s">
        <v>710</v>
      </c>
      <c r="AT10" s="15" t="s">
        <v>711</v>
      </c>
    </row>
    <row r="11" spans="1:58" s="15" customFormat="1" x14ac:dyDescent="0.25">
      <c r="A11" s="15" t="s">
        <v>176</v>
      </c>
      <c r="AR11" s="15" t="s">
        <v>712</v>
      </c>
      <c r="AS11" s="15" t="s">
        <v>713</v>
      </c>
      <c r="AT11" s="15" t="s">
        <v>714</v>
      </c>
    </row>
    <row r="12" spans="1:58" s="15" customFormat="1" x14ac:dyDescent="0.25">
      <c r="A12" s="15" t="s">
        <v>189</v>
      </c>
      <c r="AR12" s="15" t="s">
        <v>711</v>
      </c>
      <c r="AS12" s="15" t="s">
        <v>715</v>
      </c>
      <c r="AT12" s="15" t="s">
        <v>716</v>
      </c>
    </row>
    <row r="13" spans="1:58" s="15" customFormat="1" x14ac:dyDescent="0.25">
      <c r="A13" s="15" t="s">
        <v>201</v>
      </c>
      <c r="AR13" s="15" t="s">
        <v>663</v>
      </c>
      <c r="AS13" s="15" t="s">
        <v>663</v>
      </c>
      <c r="AT13" s="15" t="s">
        <v>663</v>
      </c>
    </row>
    <row r="14" spans="1:58" s="15" customFormat="1" x14ac:dyDescent="0.25">
      <c r="A14" s="15" t="s">
        <v>213</v>
      </c>
      <c r="AR14" s="15" t="s">
        <v>663</v>
      </c>
      <c r="AS14" s="15" t="s">
        <v>663</v>
      </c>
      <c r="AT14" s="15" t="s">
        <v>663</v>
      </c>
    </row>
    <row r="15" spans="1:58" s="15" customFormat="1" x14ac:dyDescent="0.25"/>
    <row r="19" spans="1:56" x14ac:dyDescent="0.25">
      <c r="A19" s="2"/>
    </row>
    <row r="20" spans="1:56" s="15" customFormat="1" x14ac:dyDescent="0.25">
      <c r="B20" s="22"/>
      <c r="C20"/>
      <c r="E20" s="22"/>
      <c r="H20" s="22"/>
      <c r="K20" s="22"/>
      <c r="N20" s="22"/>
      <c r="T20" s="22"/>
      <c r="Z20" s="22"/>
      <c r="AF20" s="22"/>
    </row>
    <row r="21" spans="1:56" s="15" customFormat="1" x14ac:dyDescent="0.25">
      <c r="B21" s="22"/>
      <c r="C21"/>
      <c r="E21" s="22"/>
      <c r="H21" s="22"/>
      <c r="K21" s="22"/>
      <c r="N21" s="22"/>
      <c r="T21" s="22"/>
      <c r="Z21" s="22"/>
      <c r="AF21" s="22"/>
      <c r="AR21" s="22"/>
      <c r="BD21" s="22"/>
    </row>
    <row r="22" spans="1:56" s="15" customFormat="1" x14ac:dyDescent="0.25">
      <c r="B22" s="22"/>
      <c r="C22"/>
      <c r="E22" s="22"/>
      <c r="H22" s="22"/>
      <c r="K22" s="22"/>
      <c r="N22" s="22"/>
      <c r="T22" s="22"/>
      <c r="Z22" s="22"/>
      <c r="AF22" s="22"/>
    </row>
    <row r="23" spans="1:56" s="15" customFormat="1" x14ac:dyDescent="0.25">
      <c r="B23" s="22"/>
      <c r="C23"/>
      <c r="E23" s="22"/>
      <c r="H23" s="22"/>
      <c r="K23" s="22"/>
      <c r="N23" s="22"/>
      <c r="T23" s="22"/>
      <c r="Z23" s="22"/>
      <c r="AF23" s="22"/>
      <c r="AR23" s="22"/>
      <c r="BD23" s="22"/>
    </row>
    <row r="24" spans="1:56" s="15" customFormat="1" x14ac:dyDescent="0.25">
      <c r="B24" s="22"/>
      <c r="C24"/>
      <c r="E24" s="22"/>
      <c r="H24" s="22"/>
      <c r="K24" s="22"/>
      <c r="N24" s="22"/>
      <c r="T24" s="22"/>
      <c r="Z24" s="22"/>
      <c r="AF24" s="22"/>
      <c r="AR24" s="22"/>
      <c r="BD24" s="22"/>
    </row>
    <row r="25" spans="1:56" s="15" customFormat="1" x14ac:dyDescent="0.25">
      <c r="B25" s="22"/>
      <c r="C25"/>
      <c r="E25" s="22"/>
      <c r="H25" s="22"/>
      <c r="K25" s="22"/>
      <c r="N25" s="22"/>
      <c r="T25" s="22"/>
      <c r="Z25" s="22"/>
      <c r="AF25" s="22"/>
      <c r="AR25" s="22"/>
      <c r="BD25" s="22"/>
    </row>
    <row r="26" spans="1:56" s="15" customFormat="1" x14ac:dyDescent="0.25">
      <c r="B26" s="22"/>
      <c r="C26"/>
      <c r="E26" s="22"/>
      <c r="H26" s="22"/>
      <c r="K26" s="22"/>
      <c r="N26" s="22"/>
      <c r="T26" s="22"/>
      <c r="Z26" s="22"/>
      <c r="AF26" s="22"/>
      <c r="AR26" s="22"/>
      <c r="BD26" s="22"/>
    </row>
    <row r="27" spans="1:56" s="15" customFormat="1" x14ac:dyDescent="0.25">
      <c r="B27" s="22"/>
      <c r="C27"/>
      <c r="E27" s="22"/>
      <c r="H27" s="22"/>
      <c r="K27" s="22"/>
      <c r="N27" s="22"/>
      <c r="T27" s="22"/>
      <c r="Z27" s="22"/>
      <c r="AF27" s="22"/>
      <c r="AR27" s="22"/>
      <c r="BD27" s="22"/>
    </row>
    <row r="28" spans="1:56" s="15" customFormat="1" x14ac:dyDescent="0.25">
      <c r="B28" s="22"/>
      <c r="C28"/>
      <c r="E28" s="22"/>
      <c r="H28" s="22"/>
      <c r="K28" s="22"/>
      <c r="T28" s="22"/>
      <c r="Z28" s="22"/>
      <c r="AF28" s="22"/>
    </row>
    <row r="29" spans="1:56" s="15" customFormat="1" x14ac:dyDescent="0.25">
      <c r="C29"/>
      <c r="E29" s="22"/>
      <c r="H29" s="22"/>
      <c r="K29" s="22"/>
      <c r="N29" s="22"/>
      <c r="T29" s="22"/>
      <c r="Z29" s="22"/>
      <c r="AF29" s="22"/>
    </row>
    <row r="30" spans="1:56" s="15" customFormat="1" x14ac:dyDescent="0.25">
      <c r="B30" s="22"/>
      <c r="C30"/>
      <c r="E30" s="22"/>
      <c r="H30" s="22"/>
      <c r="K30" s="22"/>
      <c r="N30" s="22"/>
      <c r="T30" s="22"/>
      <c r="Z30" s="22"/>
      <c r="AF30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O12"/>
  <sheetViews>
    <sheetView workbookViewId="0"/>
  </sheetViews>
  <sheetFormatPr defaultRowHeight="15" x14ac:dyDescent="0.25"/>
  <cols>
    <col min="1" max="15" width="17.140625" customWidth="1"/>
  </cols>
  <sheetData>
    <row r="1" spans="1:15" x14ac:dyDescent="0.25">
      <c r="A1" s="17" t="s">
        <v>47</v>
      </c>
      <c r="D1" s="17" t="s">
        <v>577</v>
      </c>
      <c r="G1" s="18" t="s">
        <v>47</v>
      </c>
      <c r="I1" s="17" t="s">
        <v>578</v>
      </c>
      <c r="L1" s="17" t="s">
        <v>579</v>
      </c>
      <c r="O1" s="18"/>
    </row>
    <row r="2" spans="1:15" x14ac:dyDescent="0.25">
      <c r="B2" t="s">
        <v>53</v>
      </c>
    </row>
    <row r="3" spans="1:15" x14ac:dyDescent="0.25">
      <c r="B3" t="s">
        <v>82</v>
      </c>
    </row>
    <row r="4" spans="1:15" x14ac:dyDescent="0.25">
      <c r="B4" t="s">
        <v>106</v>
      </c>
    </row>
    <row r="5" spans="1:15" x14ac:dyDescent="0.25">
      <c r="B5" t="s">
        <v>121</v>
      </c>
    </row>
    <row r="6" spans="1:15" x14ac:dyDescent="0.25">
      <c r="B6" t="s">
        <v>139</v>
      </c>
    </row>
    <row r="7" spans="1:15" x14ac:dyDescent="0.25">
      <c r="B7" t="s">
        <v>151</v>
      </c>
    </row>
    <row r="8" spans="1:15" x14ac:dyDescent="0.25">
      <c r="B8" t="s">
        <v>164</v>
      </c>
    </row>
    <row r="9" spans="1:15" x14ac:dyDescent="0.25">
      <c r="B9" t="s">
        <v>176</v>
      </c>
    </row>
    <row r="10" spans="1:15" x14ac:dyDescent="0.25">
      <c r="B10" t="s">
        <v>189</v>
      </c>
    </row>
    <row r="11" spans="1:15" x14ac:dyDescent="0.25">
      <c r="B11" t="s">
        <v>201</v>
      </c>
    </row>
    <row r="12" spans="1:15" x14ac:dyDescent="0.25">
      <c r="B12" t="s">
        <v>213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C1"/>
  <sheetViews>
    <sheetView workbookViewId="0"/>
  </sheetViews>
  <sheetFormatPr defaultRowHeight="15" x14ac:dyDescent="0.25"/>
  <cols>
    <col min="1" max="1" width="11.140625" bestFit="1" customWidth="1"/>
    <col min="4" max="4" width="13.140625" customWidth="1"/>
    <col min="5" max="5" width="24.5703125" customWidth="1"/>
  </cols>
  <sheetData>
    <row r="1" spans="1:3" x14ac:dyDescent="0.25">
      <c r="A1" t="s">
        <v>47</v>
      </c>
      <c r="B1" s="14"/>
      <c r="C1" t="s">
        <v>577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P228"/>
  <sheetViews>
    <sheetView workbookViewId="0">
      <selection activeCell="O20" sqref="O20"/>
    </sheetView>
  </sheetViews>
  <sheetFormatPr defaultRowHeight="15" x14ac:dyDescent="0.25"/>
  <cols>
    <col min="1" max="1" width="5.42578125" bestFit="1" customWidth="1"/>
    <col min="2" max="2" width="8.28515625" bestFit="1" customWidth="1"/>
    <col min="3" max="3" width="7" bestFit="1" customWidth="1"/>
    <col min="4" max="4" width="9" bestFit="1" customWidth="1"/>
    <col min="5" max="5" width="7.28515625" bestFit="1" customWidth="1"/>
    <col min="6" max="6" width="8.28515625" bestFit="1" customWidth="1"/>
    <col min="7" max="7" width="7.28515625" bestFit="1" customWidth="1"/>
    <col min="8" max="8" width="7" bestFit="1" customWidth="1"/>
    <col min="9" max="9" width="3.7109375" bestFit="1" customWidth="1"/>
    <col min="10" max="10" width="4.140625" bestFit="1" customWidth="1"/>
    <col min="11" max="11" width="9" bestFit="1" customWidth="1"/>
    <col min="12" max="12" width="8.28515625" bestFit="1" customWidth="1"/>
    <col min="13" max="13" width="4.140625" bestFit="1" customWidth="1"/>
    <col min="14" max="14" width="9" bestFit="1" customWidth="1"/>
    <col min="15" max="15" width="4.140625" bestFit="1" customWidth="1"/>
    <col min="16" max="16" width="9" bestFit="1" customWidth="1"/>
  </cols>
  <sheetData>
    <row r="1" spans="1:16" x14ac:dyDescent="0.25">
      <c r="A1" t="s">
        <v>62</v>
      </c>
      <c r="B1" t="s">
        <v>89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128</v>
      </c>
      <c r="J1" t="s">
        <v>586</v>
      </c>
      <c r="K1" t="s">
        <v>587</v>
      </c>
      <c r="L1" t="s">
        <v>588</v>
      </c>
    </row>
    <row r="2" spans="1:16" x14ac:dyDescent="0.25">
      <c r="A2">
        <v>1</v>
      </c>
      <c r="B2" t="s">
        <v>664</v>
      </c>
      <c r="C2" t="s">
        <v>717</v>
      </c>
      <c r="D2" t="s">
        <v>718</v>
      </c>
      <c r="E2" t="s">
        <v>719</v>
      </c>
      <c r="F2" t="s">
        <v>720</v>
      </c>
      <c r="G2" t="s">
        <v>719</v>
      </c>
      <c r="H2" t="s">
        <v>721</v>
      </c>
      <c r="P2">
        <v>14</v>
      </c>
    </row>
    <row r="3" spans="1:16" x14ac:dyDescent="0.25">
      <c r="A3">
        <v>10</v>
      </c>
      <c r="B3" t="s">
        <v>664</v>
      </c>
      <c r="C3" t="s">
        <v>722</v>
      </c>
      <c r="D3" t="s">
        <v>723</v>
      </c>
      <c r="E3" t="s">
        <v>719</v>
      </c>
      <c r="F3" t="s">
        <v>724</v>
      </c>
      <c r="G3" t="s">
        <v>719</v>
      </c>
      <c r="H3" t="s">
        <v>725</v>
      </c>
      <c r="P3">
        <v>6</v>
      </c>
    </row>
    <row r="4" spans="1:16" x14ac:dyDescent="0.25">
      <c r="A4">
        <v>11</v>
      </c>
      <c r="B4" t="s">
        <v>664</v>
      </c>
      <c r="C4" t="s">
        <v>722</v>
      </c>
      <c r="D4" t="s">
        <v>723</v>
      </c>
      <c r="E4" t="s">
        <v>719</v>
      </c>
      <c r="F4" t="s">
        <v>724</v>
      </c>
      <c r="G4" t="s">
        <v>719</v>
      </c>
      <c r="H4" t="s">
        <v>725</v>
      </c>
      <c r="P4">
        <v>6</v>
      </c>
    </row>
    <row r="5" spans="1:16" x14ac:dyDescent="0.25">
      <c r="A5">
        <v>12</v>
      </c>
      <c r="B5" t="s">
        <v>664</v>
      </c>
      <c r="C5" t="s">
        <v>726</v>
      </c>
      <c r="D5" t="s">
        <v>727</v>
      </c>
      <c r="E5" t="s">
        <v>719</v>
      </c>
      <c r="F5" t="s">
        <v>720</v>
      </c>
      <c r="G5" t="s">
        <v>719</v>
      </c>
      <c r="H5" t="s">
        <v>728</v>
      </c>
      <c r="P5">
        <v>12</v>
      </c>
    </row>
    <row r="6" spans="1:16" x14ac:dyDescent="0.25">
      <c r="A6">
        <v>13</v>
      </c>
      <c r="B6" t="s">
        <v>664</v>
      </c>
      <c r="C6" t="s">
        <v>726</v>
      </c>
      <c r="D6" t="s">
        <v>727</v>
      </c>
      <c r="E6" t="s">
        <v>719</v>
      </c>
      <c r="F6" t="s">
        <v>720</v>
      </c>
      <c r="G6" t="s">
        <v>719</v>
      </c>
      <c r="H6" t="s">
        <v>728</v>
      </c>
      <c r="P6">
        <v>12</v>
      </c>
    </row>
    <row r="7" spans="1:16" x14ac:dyDescent="0.25">
      <c r="A7">
        <v>14</v>
      </c>
      <c r="B7" t="s">
        <v>664</v>
      </c>
      <c r="C7" t="s">
        <v>726</v>
      </c>
      <c r="D7" t="s">
        <v>727</v>
      </c>
      <c r="E7" t="s">
        <v>719</v>
      </c>
      <c r="F7" t="s">
        <v>720</v>
      </c>
      <c r="G7" t="s">
        <v>719</v>
      </c>
      <c r="H7" t="s">
        <v>728</v>
      </c>
      <c r="P7">
        <v>12</v>
      </c>
    </row>
    <row r="8" spans="1:16" x14ac:dyDescent="0.25">
      <c r="A8">
        <v>15</v>
      </c>
      <c r="B8" t="s">
        <v>664</v>
      </c>
      <c r="C8" t="s">
        <v>726</v>
      </c>
      <c r="D8" t="s">
        <v>729</v>
      </c>
      <c r="E8" t="s">
        <v>730</v>
      </c>
      <c r="F8" t="s">
        <v>731</v>
      </c>
      <c r="G8" t="s">
        <v>730</v>
      </c>
      <c r="H8" t="s">
        <v>732</v>
      </c>
      <c r="P8">
        <v>16</v>
      </c>
    </row>
    <row r="9" spans="1:16" x14ac:dyDescent="0.25">
      <c r="A9">
        <v>16</v>
      </c>
      <c r="B9" t="s">
        <v>664</v>
      </c>
      <c r="C9" t="s">
        <v>733</v>
      </c>
      <c r="D9" t="s">
        <v>727</v>
      </c>
      <c r="E9" t="s">
        <v>719</v>
      </c>
      <c r="F9" t="s">
        <v>720</v>
      </c>
      <c r="G9" t="s">
        <v>719</v>
      </c>
      <c r="H9" t="s">
        <v>728</v>
      </c>
      <c r="P9">
        <v>12</v>
      </c>
    </row>
    <row r="10" spans="1:16" x14ac:dyDescent="0.25">
      <c r="A10">
        <v>17</v>
      </c>
      <c r="B10" t="s">
        <v>664</v>
      </c>
      <c r="C10" t="s">
        <v>733</v>
      </c>
      <c r="D10" t="s">
        <v>723</v>
      </c>
      <c r="E10" t="s">
        <v>719</v>
      </c>
      <c r="F10" t="s">
        <v>720</v>
      </c>
      <c r="G10" t="s">
        <v>719</v>
      </c>
      <c r="H10" t="s">
        <v>725</v>
      </c>
      <c r="P10">
        <v>6</v>
      </c>
    </row>
    <row r="11" spans="1:16" x14ac:dyDescent="0.25">
      <c r="A11">
        <v>18</v>
      </c>
      <c r="B11" t="s">
        <v>664</v>
      </c>
      <c r="C11" t="s">
        <v>733</v>
      </c>
      <c r="D11" t="s">
        <v>727</v>
      </c>
      <c r="E11" t="s">
        <v>719</v>
      </c>
      <c r="F11" t="s">
        <v>720</v>
      </c>
      <c r="G11" t="s">
        <v>719</v>
      </c>
      <c r="H11" t="s">
        <v>728</v>
      </c>
      <c r="P11">
        <v>12</v>
      </c>
    </row>
    <row r="12" spans="1:16" x14ac:dyDescent="0.25">
      <c r="A12">
        <v>19</v>
      </c>
      <c r="B12" t="s">
        <v>664</v>
      </c>
      <c r="C12" t="s">
        <v>726</v>
      </c>
      <c r="D12" t="s">
        <v>727</v>
      </c>
      <c r="E12" t="s">
        <v>719</v>
      </c>
      <c r="F12" t="s">
        <v>720</v>
      </c>
      <c r="G12" t="s">
        <v>719</v>
      </c>
      <c r="H12" t="s">
        <v>728</v>
      </c>
      <c r="P12">
        <v>12</v>
      </c>
    </row>
    <row r="13" spans="1:16" x14ac:dyDescent="0.25">
      <c r="A13">
        <v>2</v>
      </c>
      <c r="B13" t="s">
        <v>664</v>
      </c>
      <c r="C13" t="s">
        <v>734</v>
      </c>
      <c r="D13" t="s">
        <v>735</v>
      </c>
      <c r="E13" t="s">
        <v>719</v>
      </c>
      <c r="F13" t="s">
        <v>720</v>
      </c>
      <c r="G13" t="s">
        <v>719</v>
      </c>
      <c r="H13" t="s">
        <v>736</v>
      </c>
      <c r="P13">
        <v>8</v>
      </c>
    </row>
    <row r="14" spans="1:16" x14ac:dyDescent="0.25">
      <c r="A14">
        <v>20</v>
      </c>
      <c r="B14" t="s">
        <v>664</v>
      </c>
      <c r="C14" t="s">
        <v>726</v>
      </c>
      <c r="D14" t="s">
        <v>727</v>
      </c>
      <c r="E14" t="s">
        <v>719</v>
      </c>
      <c r="F14" t="s">
        <v>720</v>
      </c>
      <c r="G14" t="s">
        <v>719</v>
      </c>
      <c r="H14" t="s">
        <v>728</v>
      </c>
      <c r="P14">
        <v>12</v>
      </c>
    </row>
    <row r="15" spans="1:16" x14ac:dyDescent="0.25">
      <c r="A15">
        <v>21</v>
      </c>
      <c r="B15" t="s">
        <v>664</v>
      </c>
      <c r="C15" t="s">
        <v>726</v>
      </c>
      <c r="D15" t="s">
        <v>727</v>
      </c>
      <c r="E15" t="s">
        <v>719</v>
      </c>
      <c r="F15" t="s">
        <v>720</v>
      </c>
      <c r="G15" t="s">
        <v>719</v>
      </c>
      <c r="H15" t="s">
        <v>728</v>
      </c>
      <c r="P15">
        <v>12</v>
      </c>
    </row>
    <row r="16" spans="1:16" x14ac:dyDescent="0.25">
      <c r="A16">
        <v>22</v>
      </c>
      <c r="B16" t="s">
        <v>664</v>
      </c>
      <c r="C16" t="s">
        <v>726</v>
      </c>
      <c r="D16" t="s">
        <v>737</v>
      </c>
      <c r="E16" t="s">
        <v>719</v>
      </c>
      <c r="F16" t="s">
        <v>720</v>
      </c>
      <c r="G16" t="s">
        <v>719</v>
      </c>
      <c r="H16" t="s">
        <v>738</v>
      </c>
      <c r="P16">
        <v>18</v>
      </c>
    </row>
    <row r="17" spans="1:16" x14ac:dyDescent="0.25">
      <c r="A17">
        <v>23</v>
      </c>
      <c r="B17" t="s">
        <v>664</v>
      </c>
      <c r="C17" t="s">
        <v>733</v>
      </c>
      <c r="D17" t="s">
        <v>723</v>
      </c>
      <c r="E17" t="s">
        <v>719</v>
      </c>
      <c r="F17" t="s">
        <v>720</v>
      </c>
      <c r="G17" t="s">
        <v>719</v>
      </c>
      <c r="H17" t="s">
        <v>725</v>
      </c>
      <c r="P17">
        <v>6</v>
      </c>
    </row>
    <row r="18" spans="1:16" x14ac:dyDescent="0.25">
      <c r="A18">
        <v>24</v>
      </c>
      <c r="B18" t="s">
        <v>664</v>
      </c>
      <c r="C18" t="s">
        <v>733</v>
      </c>
      <c r="D18" t="s">
        <v>723</v>
      </c>
      <c r="E18" t="s">
        <v>719</v>
      </c>
      <c r="F18" t="s">
        <v>720</v>
      </c>
      <c r="G18" t="s">
        <v>719</v>
      </c>
      <c r="H18" t="s">
        <v>725</v>
      </c>
      <c r="P18">
        <v>6</v>
      </c>
    </row>
    <row r="19" spans="1:16" x14ac:dyDescent="0.25">
      <c r="A19">
        <v>25</v>
      </c>
      <c r="B19" t="s">
        <v>664</v>
      </c>
      <c r="C19" t="s">
        <v>733</v>
      </c>
      <c r="D19" t="s">
        <v>723</v>
      </c>
      <c r="E19" t="s">
        <v>719</v>
      </c>
      <c r="F19" t="s">
        <v>720</v>
      </c>
      <c r="G19" t="s">
        <v>719</v>
      </c>
      <c r="H19" t="s">
        <v>725</v>
      </c>
      <c r="P19">
        <v>6</v>
      </c>
    </row>
    <row r="20" spans="1:16" x14ac:dyDescent="0.25">
      <c r="A20">
        <v>26</v>
      </c>
      <c r="B20" t="s">
        <v>664</v>
      </c>
      <c r="C20" t="s">
        <v>726</v>
      </c>
      <c r="D20" t="s">
        <v>739</v>
      </c>
      <c r="E20" t="s">
        <v>719</v>
      </c>
      <c r="F20" t="s">
        <v>720</v>
      </c>
      <c r="G20" t="s">
        <v>719</v>
      </c>
      <c r="H20" t="s">
        <v>736</v>
      </c>
      <c r="P20">
        <v>8</v>
      </c>
    </row>
    <row r="21" spans="1:16" x14ac:dyDescent="0.25">
      <c r="A21">
        <v>26</v>
      </c>
      <c r="B21" t="s">
        <v>667</v>
      </c>
      <c r="C21" t="s">
        <v>740</v>
      </c>
      <c r="D21" t="s">
        <v>741</v>
      </c>
      <c r="E21" t="s">
        <v>719</v>
      </c>
      <c r="F21" t="s">
        <v>720</v>
      </c>
      <c r="G21" t="s">
        <v>719</v>
      </c>
      <c r="H21" t="s">
        <v>740</v>
      </c>
      <c r="P21">
        <v>10</v>
      </c>
    </row>
    <row r="22" spans="1:16" x14ac:dyDescent="0.25">
      <c r="A22">
        <v>26</v>
      </c>
      <c r="B22" t="s">
        <v>670</v>
      </c>
      <c r="C22" t="s">
        <v>742</v>
      </c>
      <c r="D22" t="s">
        <v>743</v>
      </c>
      <c r="E22" t="s">
        <v>719</v>
      </c>
      <c r="F22" t="s">
        <v>720</v>
      </c>
      <c r="G22" t="s">
        <v>719</v>
      </c>
      <c r="H22" t="s">
        <v>742</v>
      </c>
      <c r="P22">
        <v>6</v>
      </c>
    </row>
    <row r="23" spans="1:16" x14ac:dyDescent="0.25">
      <c r="A23">
        <v>26</v>
      </c>
      <c r="B23" t="s">
        <v>672</v>
      </c>
      <c r="C23" t="s">
        <v>742</v>
      </c>
      <c r="D23" t="s">
        <v>743</v>
      </c>
      <c r="E23" t="s">
        <v>719</v>
      </c>
      <c r="F23" t="s">
        <v>720</v>
      </c>
      <c r="G23" t="s">
        <v>719</v>
      </c>
      <c r="H23" t="s">
        <v>742</v>
      </c>
      <c r="P23">
        <v>6</v>
      </c>
    </row>
    <row r="24" spans="1:16" x14ac:dyDescent="0.25">
      <c r="A24">
        <v>26</v>
      </c>
      <c r="B24" t="s">
        <v>674</v>
      </c>
      <c r="C24" t="s">
        <v>742</v>
      </c>
      <c r="D24" t="s">
        <v>743</v>
      </c>
      <c r="E24" t="s">
        <v>719</v>
      </c>
      <c r="F24" t="s">
        <v>720</v>
      </c>
      <c r="G24" t="s">
        <v>719</v>
      </c>
      <c r="H24" t="s">
        <v>742</v>
      </c>
      <c r="P24">
        <v>6</v>
      </c>
    </row>
    <row r="25" spans="1:16" x14ac:dyDescent="0.25">
      <c r="A25">
        <v>26</v>
      </c>
      <c r="B25" t="s">
        <v>676</v>
      </c>
      <c r="C25" t="s">
        <v>742</v>
      </c>
      <c r="D25" t="s">
        <v>743</v>
      </c>
      <c r="E25" t="s">
        <v>719</v>
      </c>
      <c r="F25" t="s">
        <v>720</v>
      </c>
      <c r="G25" t="s">
        <v>719</v>
      </c>
      <c r="H25" t="s">
        <v>742</v>
      </c>
      <c r="P25">
        <v>6</v>
      </c>
    </row>
    <row r="26" spans="1:16" x14ac:dyDescent="0.25">
      <c r="A26">
        <v>26</v>
      </c>
      <c r="B26" t="s">
        <v>678</v>
      </c>
      <c r="C26" t="s">
        <v>742</v>
      </c>
      <c r="D26" t="s">
        <v>743</v>
      </c>
      <c r="E26" t="s">
        <v>719</v>
      </c>
      <c r="F26" t="s">
        <v>720</v>
      </c>
      <c r="G26" t="s">
        <v>719</v>
      </c>
      <c r="H26" t="s">
        <v>742</v>
      </c>
      <c r="P26">
        <v>6</v>
      </c>
    </row>
    <row r="27" spans="1:16" x14ac:dyDescent="0.25">
      <c r="A27">
        <v>26</v>
      </c>
      <c r="B27" t="s">
        <v>680</v>
      </c>
      <c r="C27" t="s">
        <v>742</v>
      </c>
      <c r="D27" t="s">
        <v>743</v>
      </c>
      <c r="E27" t="s">
        <v>719</v>
      </c>
      <c r="F27" t="s">
        <v>720</v>
      </c>
      <c r="G27" t="s">
        <v>719</v>
      </c>
      <c r="H27" t="s">
        <v>742</v>
      </c>
      <c r="P27">
        <v>6</v>
      </c>
    </row>
    <row r="28" spans="1:16" x14ac:dyDescent="0.25">
      <c r="A28">
        <v>26</v>
      </c>
      <c r="B28" t="s">
        <v>682</v>
      </c>
      <c r="C28" t="s">
        <v>742</v>
      </c>
      <c r="D28" t="s">
        <v>743</v>
      </c>
      <c r="E28" t="s">
        <v>719</v>
      </c>
      <c r="F28" t="s">
        <v>720</v>
      </c>
      <c r="G28" t="s">
        <v>719</v>
      </c>
      <c r="H28" t="s">
        <v>742</v>
      </c>
      <c r="P28">
        <v>6</v>
      </c>
    </row>
    <row r="29" spans="1:16" x14ac:dyDescent="0.25">
      <c r="A29">
        <v>26</v>
      </c>
      <c r="B29" t="s">
        <v>684</v>
      </c>
      <c r="C29" t="s">
        <v>742</v>
      </c>
      <c r="D29" t="s">
        <v>743</v>
      </c>
      <c r="E29" t="s">
        <v>719</v>
      </c>
      <c r="F29" t="s">
        <v>720</v>
      </c>
      <c r="G29" t="s">
        <v>719</v>
      </c>
      <c r="H29" t="s">
        <v>742</v>
      </c>
      <c r="P29">
        <v>6</v>
      </c>
    </row>
    <row r="30" spans="1:16" x14ac:dyDescent="0.25">
      <c r="A30">
        <v>26</v>
      </c>
      <c r="B30" t="s">
        <v>686</v>
      </c>
      <c r="C30" t="s">
        <v>742</v>
      </c>
      <c r="D30" t="s">
        <v>743</v>
      </c>
      <c r="E30" t="s">
        <v>719</v>
      </c>
      <c r="F30" t="s">
        <v>720</v>
      </c>
      <c r="G30" t="s">
        <v>719</v>
      </c>
      <c r="H30" t="s">
        <v>742</v>
      </c>
      <c r="P30">
        <v>6</v>
      </c>
    </row>
    <row r="31" spans="1:16" x14ac:dyDescent="0.25">
      <c r="A31">
        <v>26</v>
      </c>
      <c r="B31" t="s">
        <v>688</v>
      </c>
      <c r="C31" t="s">
        <v>742</v>
      </c>
      <c r="D31" t="s">
        <v>744</v>
      </c>
      <c r="E31" t="s">
        <v>719</v>
      </c>
      <c r="F31" t="s">
        <v>720</v>
      </c>
      <c r="G31" t="s">
        <v>719</v>
      </c>
      <c r="H31" t="s">
        <v>742</v>
      </c>
      <c r="P31">
        <v>10</v>
      </c>
    </row>
    <row r="32" spans="1:16" x14ac:dyDescent="0.25">
      <c r="A32">
        <v>27</v>
      </c>
      <c r="B32" t="s">
        <v>664</v>
      </c>
      <c r="C32" t="s">
        <v>726</v>
      </c>
      <c r="D32" t="s">
        <v>739</v>
      </c>
      <c r="E32" t="s">
        <v>719</v>
      </c>
      <c r="F32" t="s">
        <v>720</v>
      </c>
      <c r="G32" t="s">
        <v>719</v>
      </c>
      <c r="H32" t="s">
        <v>736</v>
      </c>
      <c r="P32">
        <v>8</v>
      </c>
    </row>
    <row r="33" spans="1:16" x14ac:dyDescent="0.25">
      <c r="A33">
        <v>27</v>
      </c>
      <c r="B33" t="s">
        <v>667</v>
      </c>
      <c r="C33" t="s">
        <v>745</v>
      </c>
      <c r="D33" t="s">
        <v>746</v>
      </c>
      <c r="E33" t="s">
        <v>719</v>
      </c>
      <c r="F33" t="s">
        <v>720</v>
      </c>
      <c r="G33" t="s">
        <v>719</v>
      </c>
      <c r="H33" t="s">
        <v>747</v>
      </c>
      <c r="P33">
        <v>10</v>
      </c>
    </row>
    <row r="34" spans="1:16" x14ac:dyDescent="0.25">
      <c r="A34">
        <v>27</v>
      </c>
      <c r="B34" t="s">
        <v>670</v>
      </c>
      <c r="C34" t="s">
        <v>745</v>
      </c>
      <c r="D34" t="s">
        <v>746</v>
      </c>
      <c r="E34" t="s">
        <v>719</v>
      </c>
      <c r="F34" t="s">
        <v>720</v>
      </c>
      <c r="G34" t="s">
        <v>719</v>
      </c>
      <c r="H34" t="s">
        <v>747</v>
      </c>
      <c r="P34">
        <v>10</v>
      </c>
    </row>
    <row r="35" spans="1:16" x14ac:dyDescent="0.25">
      <c r="A35">
        <v>27</v>
      </c>
      <c r="B35" t="s">
        <v>672</v>
      </c>
      <c r="C35" t="s">
        <v>745</v>
      </c>
      <c r="D35" t="s">
        <v>746</v>
      </c>
      <c r="E35" t="s">
        <v>719</v>
      </c>
      <c r="F35" t="s">
        <v>720</v>
      </c>
      <c r="G35" t="s">
        <v>719</v>
      </c>
      <c r="H35" t="s">
        <v>747</v>
      </c>
      <c r="P35">
        <v>10</v>
      </c>
    </row>
    <row r="36" spans="1:16" x14ac:dyDescent="0.25">
      <c r="A36">
        <v>27</v>
      </c>
      <c r="B36" t="s">
        <v>674</v>
      </c>
      <c r="C36" t="s">
        <v>745</v>
      </c>
      <c r="D36" t="s">
        <v>746</v>
      </c>
      <c r="E36" t="s">
        <v>719</v>
      </c>
      <c r="F36" t="s">
        <v>720</v>
      </c>
      <c r="G36" t="s">
        <v>719</v>
      </c>
      <c r="H36" t="s">
        <v>747</v>
      </c>
      <c r="P36">
        <v>10</v>
      </c>
    </row>
    <row r="37" spans="1:16" x14ac:dyDescent="0.25">
      <c r="A37">
        <v>27</v>
      </c>
      <c r="B37" t="s">
        <v>676</v>
      </c>
      <c r="C37" t="s">
        <v>745</v>
      </c>
      <c r="D37" t="s">
        <v>746</v>
      </c>
      <c r="E37" t="s">
        <v>719</v>
      </c>
      <c r="F37" t="s">
        <v>720</v>
      </c>
      <c r="G37" t="s">
        <v>719</v>
      </c>
      <c r="H37" t="s">
        <v>747</v>
      </c>
      <c r="P37">
        <v>10</v>
      </c>
    </row>
    <row r="38" spans="1:16" x14ac:dyDescent="0.25">
      <c r="A38">
        <v>27</v>
      </c>
      <c r="B38" t="s">
        <v>678</v>
      </c>
      <c r="C38" t="s">
        <v>745</v>
      </c>
      <c r="D38" t="s">
        <v>746</v>
      </c>
      <c r="E38" t="s">
        <v>719</v>
      </c>
      <c r="F38" t="s">
        <v>720</v>
      </c>
      <c r="G38" t="s">
        <v>719</v>
      </c>
      <c r="H38" t="s">
        <v>747</v>
      </c>
      <c r="P38">
        <v>10</v>
      </c>
    </row>
    <row r="39" spans="1:16" x14ac:dyDescent="0.25">
      <c r="A39">
        <v>27</v>
      </c>
      <c r="B39" t="s">
        <v>680</v>
      </c>
      <c r="C39" t="s">
        <v>745</v>
      </c>
      <c r="D39" t="s">
        <v>746</v>
      </c>
      <c r="E39" t="s">
        <v>719</v>
      </c>
      <c r="F39" t="s">
        <v>720</v>
      </c>
      <c r="G39" t="s">
        <v>719</v>
      </c>
      <c r="H39" t="s">
        <v>747</v>
      </c>
      <c r="P39">
        <v>10</v>
      </c>
    </row>
    <row r="40" spans="1:16" x14ac:dyDescent="0.25">
      <c r="A40">
        <v>27</v>
      </c>
      <c r="B40" t="s">
        <v>682</v>
      </c>
      <c r="C40" t="s">
        <v>745</v>
      </c>
      <c r="D40" t="s">
        <v>746</v>
      </c>
      <c r="E40" t="s">
        <v>719</v>
      </c>
      <c r="F40" t="s">
        <v>720</v>
      </c>
      <c r="G40" t="s">
        <v>719</v>
      </c>
      <c r="H40" t="s">
        <v>747</v>
      </c>
      <c r="P40">
        <v>10</v>
      </c>
    </row>
    <row r="41" spans="1:16" x14ac:dyDescent="0.25">
      <c r="A41">
        <v>27</v>
      </c>
      <c r="B41" t="s">
        <v>684</v>
      </c>
      <c r="C41" t="s">
        <v>745</v>
      </c>
      <c r="D41" t="s">
        <v>746</v>
      </c>
      <c r="E41" t="s">
        <v>719</v>
      </c>
      <c r="F41" t="s">
        <v>720</v>
      </c>
      <c r="G41" t="s">
        <v>719</v>
      </c>
      <c r="H41" t="s">
        <v>747</v>
      </c>
      <c r="P41">
        <v>10</v>
      </c>
    </row>
    <row r="42" spans="1:16" x14ac:dyDescent="0.25">
      <c r="A42">
        <v>27</v>
      </c>
      <c r="B42" t="s">
        <v>686</v>
      </c>
      <c r="C42" t="s">
        <v>745</v>
      </c>
      <c r="D42" t="s">
        <v>746</v>
      </c>
      <c r="E42" t="s">
        <v>719</v>
      </c>
      <c r="F42" t="s">
        <v>720</v>
      </c>
      <c r="G42" t="s">
        <v>719</v>
      </c>
      <c r="H42" t="s">
        <v>747</v>
      </c>
      <c r="P42">
        <v>10</v>
      </c>
    </row>
    <row r="43" spans="1:16" x14ac:dyDescent="0.25">
      <c r="A43">
        <v>27</v>
      </c>
      <c r="B43" t="s">
        <v>688</v>
      </c>
      <c r="C43" t="s">
        <v>745</v>
      </c>
      <c r="D43" t="s">
        <v>746</v>
      </c>
      <c r="E43" t="s">
        <v>719</v>
      </c>
      <c r="F43" t="s">
        <v>720</v>
      </c>
      <c r="G43" t="s">
        <v>719</v>
      </c>
      <c r="H43" t="s">
        <v>747</v>
      </c>
      <c r="P43">
        <v>10</v>
      </c>
    </row>
    <row r="44" spans="1:16" x14ac:dyDescent="0.25">
      <c r="A44">
        <v>28</v>
      </c>
      <c r="B44" t="s">
        <v>664</v>
      </c>
      <c r="C44" t="s">
        <v>733</v>
      </c>
      <c r="D44" t="s">
        <v>723</v>
      </c>
      <c r="E44" t="s">
        <v>719</v>
      </c>
      <c r="F44" t="s">
        <v>720</v>
      </c>
      <c r="G44" t="s">
        <v>719</v>
      </c>
      <c r="H44" t="s">
        <v>725</v>
      </c>
      <c r="P44">
        <v>6</v>
      </c>
    </row>
    <row r="45" spans="1:16" x14ac:dyDescent="0.25">
      <c r="A45">
        <v>29</v>
      </c>
      <c r="B45" t="s">
        <v>664</v>
      </c>
      <c r="C45" t="s">
        <v>726</v>
      </c>
      <c r="D45" t="s">
        <v>739</v>
      </c>
      <c r="E45" t="s">
        <v>719</v>
      </c>
      <c r="F45" t="s">
        <v>720</v>
      </c>
      <c r="G45" t="s">
        <v>719</v>
      </c>
      <c r="H45" t="s">
        <v>736</v>
      </c>
      <c r="P45">
        <v>8</v>
      </c>
    </row>
    <row r="46" spans="1:16" x14ac:dyDescent="0.25">
      <c r="A46">
        <v>29</v>
      </c>
      <c r="B46" t="s">
        <v>667</v>
      </c>
      <c r="C46" t="s">
        <v>740</v>
      </c>
      <c r="D46" t="s">
        <v>741</v>
      </c>
      <c r="E46" t="s">
        <v>719</v>
      </c>
      <c r="F46" t="s">
        <v>720</v>
      </c>
      <c r="G46" t="s">
        <v>719</v>
      </c>
      <c r="H46" t="s">
        <v>740</v>
      </c>
      <c r="P46">
        <v>10</v>
      </c>
    </row>
    <row r="47" spans="1:16" x14ac:dyDescent="0.25">
      <c r="A47">
        <v>29</v>
      </c>
      <c r="B47" t="s">
        <v>670</v>
      </c>
      <c r="C47" t="s">
        <v>742</v>
      </c>
      <c r="D47" t="s">
        <v>743</v>
      </c>
      <c r="E47" t="s">
        <v>719</v>
      </c>
      <c r="F47" t="s">
        <v>720</v>
      </c>
      <c r="G47" t="s">
        <v>719</v>
      </c>
      <c r="H47" t="s">
        <v>742</v>
      </c>
      <c r="P47">
        <v>6</v>
      </c>
    </row>
    <row r="48" spans="1:16" x14ac:dyDescent="0.25">
      <c r="A48">
        <v>29</v>
      </c>
      <c r="B48" t="s">
        <v>672</v>
      </c>
      <c r="C48" t="s">
        <v>742</v>
      </c>
      <c r="D48" t="s">
        <v>743</v>
      </c>
      <c r="E48" t="s">
        <v>719</v>
      </c>
      <c r="F48" t="s">
        <v>720</v>
      </c>
      <c r="G48" t="s">
        <v>719</v>
      </c>
      <c r="H48" t="s">
        <v>742</v>
      </c>
      <c r="P48">
        <v>6</v>
      </c>
    </row>
    <row r="49" spans="1:16" x14ac:dyDescent="0.25">
      <c r="A49">
        <v>29</v>
      </c>
      <c r="B49" t="s">
        <v>674</v>
      </c>
      <c r="C49" t="s">
        <v>742</v>
      </c>
      <c r="D49" t="s">
        <v>743</v>
      </c>
      <c r="E49" t="s">
        <v>719</v>
      </c>
      <c r="F49" t="s">
        <v>720</v>
      </c>
      <c r="G49" t="s">
        <v>719</v>
      </c>
      <c r="H49" t="s">
        <v>742</v>
      </c>
      <c r="P49">
        <v>6</v>
      </c>
    </row>
    <row r="50" spans="1:16" x14ac:dyDescent="0.25">
      <c r="A50">
        <v>29</v>
      </c>
      <c r="B50" t="s">
        <v>676</v>
      </c>
      <c r="C50" t="s">
        <v>742</v>
      </c>
      <c r="D50" t="s">
        <v>743</v>
      </c>
      <c r="E50" t="s">
        <v>719</v>
      </c>
      <c r="F50" t="s">
        <v>720</v>
      </c>
      <c r="G50" t="s">
        <v>719</v>
      </c>
      <c r="H50" t="s">
        <v>742</v>
      </c>
      <c r="P50">
        <v>6</v>
      </c>
    </row>
    <row r="51" spans="1:16" x14ac:dyDescent="0.25">
      <c r="A51">
        <v>29</v>
      </c>
      <c r="B51" t="s">
        <v>678</v>
      </c>
      <c r="C51" t="s">
        <v>742</v>
      </c>
      <c r="D51" t="s">
        <v>743</v>
      </c>
      <c r="E51" t="s">
        <v>719</v>
      </c>
      <c r="F51" t="s">
        <v>720</v>
      </c>
      <c r="G51" t="s">
        <v>719</v>
      </c>
      <c r="H51" t="s">
        <v>742</v>
      </c>
      <c r="P51">
        <v>6</v>
      </c>
    </row>
    <row r="52" spans="1:16" x14ac:dyDescent="0.25">
      <c r="A52">
        <v>29</v>
      </c>
      <c r="B52" t="s">
        <v>680</v>
      </c>
      <c r="C52" t="s">
        <v>742</v>
      </c>
      <c r="D52" t="s">
        <v>743</v>
      </c>
      <c r="E52" t="s">
        <v>719</v>
      </c>
      <c r="F52" t="s">
        <v>720</v>
      </c>
      <c r="G52" t="s">
        <v>719</v>
      </c>
      <c r="H52" t="s">
        <v>742</v>
      </c>
      <c r="P52">
        <v>6</v>
      </c>
    </row>
    <row r="53" spans="1:16" x14ac:dyDescent="0.25">
      <c r="A53">
        <v>29</v>
      </c>
      <c r="B53" t="s">
        <v>682</v>
      </c>
      <c r="C53" t="s">
        <v>742</v>
      </c>
      <c r="D53" t="s">
        <v>743</v>
      </c>
      <c r="E53" t="s">
        <v>719</v>
      </c>
      <c r="F53" t="s">
        <v>720</v>
      </c>
      <c r="G53" t="s">
        <v>719</v>
      </c>
      <c r="H53" t="s">
        <v>742</v>
      </c>
      <c r="P53">
        <v>6</v>
      </c>
    </row>
    <row r="54" spans="1:16" x14ac:dyDescent="0.25">
      <c r="A54">
        <v>29</v>
      </c>
      <c r="B54" t="s">
        <v>684</v>
      </c>
      <c r="C54" t="s">
        <v>742</v>
      </c>
      <c r="D54" t="s">
        <v>743</v>
      </c>
      <c r="E54" t="s">
        <v>719</v>
      </c>
      <c r="F54" t="s">
        <v>720</v>
      </c>
      <c r="G54" t="s">
        <v>719</v>
      </c>
      <c r="H54" t="s">
        <v>742</v>
      </c>
      <c r="P54">
        <v>6</v>
      </c>
    </row>
    <row r="55" spans="1:16" x14ac:dyDescent="0.25">
      <c r="A55">
        <v>29</v>
      </c>
      <c r="B55" t="s">
        <v>686</v>
      </c>
      <c r="C55" t="s">
        <v>742</v>
      </c>
      <c r="D55" t="s">
        <v>743</v>
      </c>
      <c r="E55" t="s">
        <v>719</v>
      </c>
      <c r="F55" t="s">
        <v>720</v>
      </c>
      <c r="G55" t="s">
        <v>719</v>
      </c>
      <c r="H55" t="s">
        <v>742</v>
      </c>
      <c r="P55">
        <v>6</v>
      </c>
    </row>
    <row r="56" spans="1:16" x14ac:dyDescent="0.25">
      <c r="A56">
        <v>29</v>
      </c>
      <c r="B56" t="s">
        <v>688</v>
      </c>
      <c r="C56" t="s">
        <v>742</v>
      </c>
      <c r="D56" t="s">
        <v>744</v>
      </c>
      <c r="E56" t="s">
        <v>719</v>
      </c>
      <c r="F56" t="s">
        <v>720</v>
      </c>
      <c r="G56" t="s">
        <v>719</v>
      </c>
      <c r="H56" t="s">
        <v>742</v>
      </c>
      <c r="P56">
        <v>10</v>
      </c>
    </row>
    <row r="57" spans="1:16" x14ac:dyDescent="0.25">
      <c r="A57">
        <v>3</v>
      </c>
      <c r="B57" t="s">
        <v>664</v>
      </c>
      <c r="C57" t="s">
        <v>722</v>
      </c>
      <c r="D57" t="s">
        <v>723</v>
      </c>
      <c r="E57" t="s">
        <v>719</v>
      </c>
      <c r="F57" t="s">
        <v>724</v>
      </c>
      <c r="G57" t="s">
        <v>719</v>
      </c>
      <c r="H57" t="s">
        <v>725</v>
      </c>
      <c r="P57">
        <v>6</v>
      </c>
    </row>
    <row r="58" spans="1:16" x14ac:dyDescent="0.25">
      <c r="A58">
        <v>30</v>
      </c>
      <c r="B58" t="s">
        <v>664</v>
      </c>
      <c r="C58" t="s">
        <v>726</v>
      </c>
      <c r="D58" t="s">
        <v>739</v>
      </c>
      <c r="E58" t="s">
        <v>719</v>
      </c>
      <c r="F58" t="s">
        <v>720</v>
      </c>
      <c r="G58" t="s">
        <v>719</v>
      </c>
      <c r="H58" t="s">
        <v>736</v>
      </c>
      <c r="P58">
        <v>8</v>
      </c>
    </row>
    <row r="59" spans="1:16" x14ac:dyDescent="0.25">
      <c r="A59">
        <v>30</v>
      </c>
      <c r="B59" t="s">
        <v>667</v>
      </c>
      <c r="C59" t="s">
        <v>748</v>
      </c>
      <c r="D59" t="s">
        <v>739</v>
      </c>
      <c r="E59" t="s">
        <v>719</v>
      </c>
      <c r="F59" t="s">
        <v>720</v>
      </c>
      <c r="G59" t="s">
        <v>719</v>
      </c>
      <c r="H59" t="s">
        <v>736</v>
      </c>
      <c r="P59">
        <v>8</v>
      </c>
    </row>
    <row r="60" spans="1:16" x14ac:dyDescent="0.25">
      <c r="A60">
        <v>30</v>
      </c>
      <c r="B60" t="s">
        <v>670</v>
      </c>
      <c r="C60" t="s">
        <v>748</v>
      </c>
      <c r="D60" t="s">
        <v>739</v>
      </c>
      <c r="E60" t="s">
        <v>719</v>
      </c>
      <c r="F60" t="s">
        <v>720</v>
      </c>
      <c r="G60" t="s">
        <v>719</v>
      </c>
      <c r="H60" t="s">
        <v>736</v>
      </c>
      <c r="P60">
        <v>8</v>
      </c>
    </row>
    <row r="61" spans="1:16" x14ac:dyDescent="0.25">
      <c r="A61">
        <v>30</v>
      </c>
      <c r="B61" t="s">
        <v>672</v>
      </c>
      <c r="C61" t="s">
        <v>748</v>
      </c>
      <c r="D61" t="s">
        <v>739</v>
      </c>
      <c r="E61" t="s">
        <v>719</v>
      </c>
      <c r="F61" t="s">
        <v>720</v>
      </c>
      <c r="G61" t="s">
        <v>719</v>
      </c>
      <c r="H61" t="s">
        <v>736</v>
      </c>
      <c r="P61">
        <v>8</v>
      </c>
    </row>
    <row r="62" spans="1:16" x14ac:dyDescent="0.25">
      <c r="A62">
        <v>30</v>
      </c>
      <c r="B62" t="s">
        <v>674</v>
      </c>
      <c r="C62" t="s">
        <v>748</v>
      </c>
      <c r="D62" t="s">
        <v>739</v>
      </c>
      <c r="E62" t="s">
        <v>719</v>
      </c>
      <c r="F62" t="s">
        <v>720</v>
      </c>
      <c r="G62" t="s">
        <v>719</v>
      </c>
      <c r="H62" t="s">
        <v>736</v>
      </c>
      <c r="P62">
        <v>8</v>
      </c>
    </row>
    <row r="63" spans="1:16" x14ac:dyDescent="0.25">
      <c r="A63">
        <v>30</v>
      </c>
      <c r="B63" t="s">
        <v>676</v>
      </c>
      <c r="C63" t="s">
        <v>748</v>
      </c>
      <c r="D63" t="s">
        <v>739</v>
      </c>
      <c r="E63" t="s">
        <v>719</v>
      </c>
      <c r="F63" t="s">
        <v>720</v>
      </c>
      <c r="G63" t="s">
        <v>719</v>
      </c>
      <c r="H63" t="s">
        <v>736</v>
      </c>
      <c r="P63">
        <v>8</v>
      </c>
    </row>
    <row r="64" spans="1:16" x14ac:dyDescent="0.25">
      <c r="A64">
        <v>30</v>
      </c>
      <c r="B64" t="s">
        <v>678</v>
      </c>
      <c r="C64" t="s">
        <v>748</v>
      </c>
      <c r="D64" t="s">
        <v>739</v>
      </c>
      <c r="E64" t="s">
        <v>719</v>
      </c>
      <c r="F64" t="s">
        <v>720</v>
      </c>
      <c r="G64" t="s">
        <v>719</v>
      </c>
      <c r="H64" t="s">
        <v>736</v>
      </c>
      <c r="P64">
        <v>8</v>
      </c>
    </row>
    <row r="65" spans="1:16" x14ac:dyDescent="0.25">
      <c r="A65">
        <v>30</v>
      </c>
      <c r="B65" t="s">
        <v>680</v>
      </c>
      <c r="C65" t="s">
        <v>748</v>
      </c>
      <c r="D65" t="s">
        <v>739</v>
      </c>
      <c r="E65" t="s">
        <v>719</v>
      </c>
      <c r="F65" t="s">
        <v>720</v>
      </c>
      <c r="G65" t="s">
        <v>719</v>
      </c>
      <c r="H65" t="s">
        <v>736</v>
      </c>
      <c r="P65">
        <v>8</v>
      </c>
    </row>
    <row r="66" spans="1:16" x14ac:dyDescent="0.25">
      <c r="A66">
        <v>30</v>
      </c>
      <c r="B66" t="s">
        <v>682</v>
      </c>
      <c r="C66" t="s">
        <v>748</v>
      </c>
      <c r="D66" t="s">
        <v>739</v>
      </c>
      <c r="E66" t="s">
        <v>719</v>
      </c>
      <c r="F66" t="s">
        <v>720</v>
      </c>
      <c r="G66" t="s">
        <v>719</v>
      </c>
      <c r="H66" t="s">
        <v>736</v>
      </c>
      <c r="P66">
        <v>8</v>
      </c>
    </row>
    <row r="67" spans="1:16" x14ac:dyDescent="0.25">
      <c r="A67">
        <v>30</v>
      </c>
      <c r="B67" t="s">
        <v>684</v>
      </c>
      <c r="C67" t="s">
        <v>748</v>
      </c>
      <c r="D67" t="s">
        <v>739</v>
      </c>
      <c r="E67" t="s">
        <v>719</v>
      </c>
      <c r="F67" t="s">
        <v>720</v>
      </c>
      <c r="G67" t="s">
        <v>719</v>
      </c>
      <c r="H67" t="s">
        <v>736</v>
      </c>
      <c r="P67">
        <v>8</v>
      </c>
    </row>
    <row r="68" spans="1:16" x14ac:dyDescent="0.25">
      <c r="A68">
        <v>30</v>
      </c>
      <c r="B68" t="s">
        <v>686</v>
      </c>
      <c r="C68" t="s">
        <v>748</v>
      </c>
      <c r="D68" t="s">
        <v>739</v>
      </c>
      <c r="E68" t="s">
        <v>719</v>
      </c>
      <c r="F68" t="s">
        <v>720</v>
      </c>
      <c r="G68" t="s">
        <v>719</v>
      </c>
      <c r="H68" t="s">
        <v>736</v>
      </c>
      <c r="P68">
        <v>8</v>
      </c>
    </row>
    <row r="69" spans="1:16" x14ac:dyDescent="0.25">
      <c r="A69">
        <v>30</v>
      </c>
      <c r="B69" t="s">
        <v>688</v>
      </c>
      <c r="C69" t="s">
        <v>748</v>
      </c>
      <c r="D69" t="s">
        <v>727</v>
      </c>
      <c r="E69" t="s">
        <v>719</v>
      </c>
      <c r="F69" t="s">
        <v>720</v>
      </c>
      <c r="G69" t="s">
        <v>719</v>
      </c>
      <c r="H69" t="s">
        <v>728</v>
      </c>
      <c r="P69">
        <v>12</v>
      </c>
    </row>
    <row r="70" spans="1:16" x14ac:dyDescent="0.25">
      <c r="A70">
        <v>31</v>
      </c>
      <c r="B70" t="s">
        <v>664</v>
      </c>
      <c r="C70" t="s">
        <v>749</v>
      </c>
      <c r="D70" t="s">
        <v>743</v>
      </c>
      <c r="E70" t="s">
        <v>719</v>
      </c>
      <c r="F70" t="s">
        <v>720</v>
      </c>
      <c r="G70" t="s">
        <v>719</v>
      </c>
      <c r="H70" t="s">
        <v>725</v>
      </c>
      <c r="P70">
        <v>6</v>
      </c>
    </row>
    <row r="71" spans="1:16" x14ac:dyDescent="0.25">
      <c r="A71">
        <v>31</v>
      </c>
      <c r="B71" t="s">
        <v>667</v>
      </c>
      <c r="C71" t="s">
        <v>750</v>
      </c>
      <c r="D71" t="s">
        <v>751</v>
      </c>
      <c r="E71" t="s">
        <v>719</v>
      </c>
      <c r="F71" t="s">
        <v>720</v>
      </c>
      <c r="G71" t="s">
        <v>719</v>
      </c>
      <c r="H71" t="s">
        <v>728</v>
      </c>
      <c r="P71">
        <v>12</v>
      </c>
    </row>
    <row r="72" spans="1:16" x14ac:dyDescent="0.25">
      <c r="A72">
        <v>31</v>
      </c>
      <c r="B72" t="s">
        <v>670</v>
      </c>
      <c r="C72" t="s">
        <v>750</v>
      </c>
      <c r="D72" t="s">
        <v>751</v>
      </c>
      <c r="E72" t="s">
        <v>719</v>
      </c>
      <c r="F72" t="s">
        <v>720</v>
      </c>
      <c r="G72" t="s">
        <v>719</v>
      </c>
      <c r="H72" t="s">
        <v>728</v>
      </c>
      <c r="P72">
        <v>12</v>
      </c>
    </row>
    <row r="73" spans="1:16" x14ac:dyDescent="0.25">
      <c r="A73">
        <v>31</v>
      </c>
      <c r="B73" t="s">
        <v>672</v>
      </c>
      <c r="C73" t="s">
        <v>750</v>
      </c>
      <c r="D73" t="s">
        <v>751</v>
      </c>
      <c r="E73" t="s">
        <v>719</v>
      </c>
      <c r="F73" t="s">
        <v>720</v>
      </c>
      <c r="G73" t="s">
        <v>719</v>
      </c>
      <c r="H73" t="s">
        <v>728</v>
      </c>
      <c r="P73">
        <v>12</v>
      </c>
    </row>
    <row r="74" spans="1:16" x14ac:dyDescent="0.25">
      <c r="A74">
        <v>31</v>
      </c>
      <c r="B74" t="s">
        <v>674</v>
      </c>
      <c r="C74" t="s">
        <v>750</v>
      </c>
      <c r="D74" t="s">
        <v>751</v>
      </c>
      <c r="E74" t="s">
        <v>719</v>
      </c>
      <c r="F74" t="s">
        <v>720</v>
      </c>
      <c r="G74" t="s">
        <v>719</v>
      </c>
      <c r="H74" t="s">
        <v>728</v>
      </c>
      <c r="P74">
        <v>12</v>
      </c>
    </row>
    <row r="75" spans="1:16" x14ac:dyDescent="0.25">
      <c r="A75">
        <v>31</v>
      </c>
      <c r="B75" t="s">
        <v>676</v>
      </c>
      <c r="C75" t="s">
        <v>750</v>
      </c>
      <c r="D75" t="s">
        <v>751</v>
      </c>
      <c r="E75" t="s">
        <v>719</v>
      </c>
      <c r="F75" t="s">
        <v>720</v>
      </c>
      <c r="G75" t="s">
        <v>719</v>
      </c>
      <c r="H75" t="s">
        <v>728</v>
      </c>
      <c r="P75">
        <v>12</v>
      </c>
    </row>
    <row r="76" spans="1:16" x14ac:dyDescent="0.25">
      <c r="A76">
        <v>31</v>
      </c>
      <c r="B76" t="s">
        <v>678</v>
      </c>
      <c r="C76" t="s">
        <v>750</v>
      </c>
      <c r="D76" t="s">
        <v>751</v>
      </c>
      <c r="E76" t="s">
        <v>719</v>
      </c>
      <c r="F76" t="s">
        <v>720</v>
      </c>
      <c r="G76" t="s">
        <v>719</v>
      </c>
      <c r="H76" t="s">
        <v>728</v>
      </c>
      <c r="P76">
        <v>12</v>
      </c>
    </row>
    <row r="77" spans="1:16" x14ac:dyDescent="0.25">
      <c r="A77">
        <v>31</v>
      </c>
      <c r="B77" t="s">
        <v>680</v>
      </c>
      <c r="C77" t="s">
        <v>750</v>
      </c>
      <c r="D77" t="s">
        <v>751</v>
      </c>
      <c r="E77" t="s">
        <v>719</v>
      </c>
      <c r="F77" t="s">
        <v>720</v>
      </c>
      <c r="G77" t="s">
        <v>719</v>
      </c>
      <c r="H77" t="s">
        <v>728</v>
      </c>
      <c r="P77">
        <v>12</v>
      </c>
    </row>
    <row r="78" spans="1:16" x14ac:dyDescent="0.25">
      <c r="A78">
        <v>31</v>
      </c>
      <c r="B78" t="s">
        <v>682</v>
      </c>
      <c r="C78" t="s">
        <v>750</v>
      </c>
      <c r="D78" t="s">
        <v>751</v>
      </c>
      <c r="E78" t="s">
        <v>719</v>
      </c>
      <c r="F78" t="s">
        <v>720</v>
      </c>
      <c r="G78" t="s">
        <v>719</v>
      </c>
      <c r="H78" t="s">
        <v>728</v>
      </c>
      <c r="P78">
        <v>12</v>
      </c>
    </row>
    <row r="79" spans="1:16" x14ac:dyDescent="0.25">
      <c r="A79">
        <v>31</v>
      </c>
      <c r="B79" t="s">
        <v>684</v>
      </c>
      <c r="C79" t="s">
        <v>750</v>
      </c>
      <c r="D79" t="s">
        <v>751</v>
      </c>
      <c r="E79" t="s">
        <v>719</v>
      </c>
      <c r="F79" t="s">
        <v>720</v>
      </c>
      <c r="G79" t="s">
        <v>719</v>
      </c>
      <c r="H79" t="s">
        <v>728</v>
      </c>
      <c r="P79">
        <v>12</v>
      </c>
    </row>
    <row r="80" spans="1:16" x14ac:dyDescent="0.25">
      <c r="A80">
        <v>31</v>
      </c>
      <c r="B80" t="s">
        <v>686</v>
      </c>
      <c r="C80" t="s">
        <v>750</v>
      </c>
      <c r="D80" t="s">
        <v>752</v>
      </c>
      <c r="E80" t="s">
        <v>719</v>
      </c>
      <c r="F80" t="s">
        <v>720</v>
      </c>
      <c r="G80" t="s">
        <v>719</v>
      </c>
      <c r="H80" t="s">
        <v>732</v>
      </c>
      <c r="P80">
        <v>16</v>
      </c>
    </row>
    <row r="81" spans="1:16" x14ac:dyDescent="0.25">
      <c r="A81">
        <v>32</v>
      </c>
      <c r="B81" t="s">
        <v>664</v>
      </c>
      <c r="C81" t="s">
        <v>733</v>
      </c>
      <c r="D81" t="s">
        <v>723</v>
      </c>
      <c r="E81" t="s">
        <v>719</v>
      </c>
      <c r="F81" t="s">
        <v>720</v>
      </c>
      <c r="G81" t="s">
        <v>719</v>
      </c>
      <c r="H81" t="s">
        <v>725</v>
      </c>
      <c r="P81">
        <v>6</v>
      </c>
    </row>
    <row r="82" spans="1:16" x14ac:dyDescent="0.25">
      <c r="A82">
        <v>33</v>
      </c>
      <c r="B82" t="s">
        <v>664</v>
      </c>
      <c r="C82" t="s">
        <v>733</v>
      </c>
      <c r="D82" t="s">
        <v>723</v>
      </c>
      <c r="E82" t="s">
        <v>719</v>
      </c>
      <c r="F82" t="s">
        <v>720</v>
      </c>
      <c r="G82" t="s">
        <v>719</v>
      </c>
      <c r="H82" t="s">
        <v>725</v>
      </c>
      <c r="P82">
        <v>6</v>
      </c>
    </row>
    <row r="83" spans="1:16" x14ac:dyDescent="0.25">
      <c r="A83">
        <v>34</v>
      </c>
      <c r="B83" t="s">
        <v>664</v>
      </c>
      <c r="C83" t="s">
        <v>740</v>
      </c>
      <c r="D83" t="s">
        <v>741</v>
      </c>
      <c r="E83" t="s">
        <v>719</v>
      </c>
      <c r="F83" t="s">
        <v>720</v>
      </c>
      <c r="G83" t="s">
        <v>719</v>
      </c>
      <c r="H83" t="s">
        <v>740</v>
      </c>
      <c r="P83">
        <v>10</v>
      </c>
    </row>
    <row r="84" spans="1:16" x14ac:dyDescent="0.25">
      <c r="A84">
        <v>34</v>
      </c>
      <c r="B84" t="s">
        <v>667</v>
      </c>
      <c r="C84" t="s">
        <v>740</v>
      </c>
      <c r="D84" t="s">
        <v>741</v>
      </c>
      <c r="E84" t="s">
        <v>719</v>
      </c>
      <c r="F84" t="s">
        <v>720</v>
      </c>
      <c r="G84" t="s">
        <v>719</v>
      </c>
      <c r="H84" t="s">
        <v>740</v>
      </c>
      <c r="P84">
        <v>10</v>
      </c>
    </row>
    <row r="85" spans="1:16" x14ac:dyDescent="0.25">
      <c r="A85">
        <v>34</v>
      </c>
      <c r="B85" t="s">
        <v>670</v>
      </c>
      <c r="C85" t="s">
        <v>742</v>
      </c>
      <c r="D85" t="s">
        <v>743</v>
      </c>
      <c r="E85" t="s">
        <v>719</v>
      </c>
      <c r="F85" t="s">
        <v>720</v>
      </c>
      <c r="G85" t="s">
        <v>719</v>
      </c>
      <c r="H85" t="s">
        <v>742</v>
      </c>
      <c r="P85">
        <v>6</v>
      </c>
    </row>
    <row r="86" spans="1:16" x14ac:dyDescent="0.25">
      <c r="A86">
        <v>34</v>
      </c>
      <c r="B86" t="s">
        <v>672</v>
      </c>
      <c r="C86" t="s">
        <v>742</v>
      </c>
      <c r="D86" t="s">
        <v>743</v>
      </c>
      <c r="E86" t="s">
        <v>719</v>
      </c>
      <c r="F86" t="s">
        <v>720</v>
      </c>
      <c r="G86" t="s">
        <v>719</v>
      </c>
      <c r="H86" t="s">
        <v>742</v>
      </c>
      <c r="P86">
        <v>6</v>
      </c>
    </row>
    <row r="87" spans="1:16" x14ac:dyDescent="0.25">
      <c r="A87">
        <v>34</v>
      </c>
      <c r="B87" t="s">
        <v>674</v>
      </c>
      <c r="C87" t="s">
        <v>742</v>
      </c>
      <c r="D87" t="s">
        <v>743</v>
      </c>
      <c r="E87" t="s">
        <v>719</v>
      </c>
      <c r="F87" t="s">
        <v>720</v>
      </c>
      <c r="G87" t="s">
        <v>719</v>
      </c>
      <c r="H87" t="s">
        <v>742</v>
      </c>
      <c r="P87">
        <v>6</v>
      </c>
    </row>
    <row r="88" spans="1:16" x14ac:dyDescent="0.25">
      <c r="A88">
        <v>34</v>
      </c>
      <c r="B88" t="s">
        <v>676</v>
      </c>
      <c r="C88" t="s">
        <v>742</v>
      </c>
      <c r="D88" t="s">
        <v>743</v>
      </c>
      <c r="E88" t="s">
        <v>719</v>
      </c>
      <c r="F88" t="s">
        <v>720</v>
      </c>
      <c r="G88" t="s">
        <v>719</v>
      </c>
      <c r="H88" t="s">
        <v>742</v>
      </c>
      <c r="P88">
        <v>6</v>
      </c>
    </row>
    <row r="89" spans="1:16" x14ac:dyDescent="0.25">
      <c r="A89">
        <v>34</v>
      </c>
      <c r="B89" t="s">
        <v>678</v>
      </c>
      <c r="C89" t="s">
        <v>742</v>
      </c>
      <c r="D89" t="s">
        <v>743</v>
      </c>
      <c r="E89" t="s">
        <v>719</v>
      </c>
      <c r="F89" t="s">
        <v>720</v>
      </c>
      <c r="G89" t="s">
        <v>719</v>
      </c>
      <c r="H89" t="s">
        <v>742</v>
      </c>
      <c r="P89">
        <v>6</v>
      </c>
    </row>
    <row r="90" spans="1:16" x14ac:dyDescent="0.25">
      <c r="A90">
        <v>34</v>
      </c>
      <c r="B90" t="s">
        <v>680</v>
      </c>
      <c r="C90" t="s">
        <v>742</v>
      </c>
      <c r="D90" t="s">
        <v>743</v>
      </c>
      <c r="E90" t="s">
        <v>719</v>
      </c>
      <c r="F90" t="s">
        <v>720</v>
      </c>
      <c r="G90" t="s">
        <v>719</v>
      </c>
      <c r="H90" t="s">
        <v>742</v>
      </c>
      <c r="P90">
        <v>6</v>
      </c>
    </row>
    <row r="91" spans="1:16" x14ac:dyDescent="0.25">
      <c r="A91">
        <v>34</v>
      </c>
      <c r="B91" t="s">
        <v>682</v>
      </c>
      <c r="C91" t="s">
        <v>742</v>
      </c>
      <c r="D91" t="s">
        <v>743</v>
      </c>
      <c r="E91" t="s">
        <v>719</v>
      </c>
      <c r="F91" t="s">
        <v>720</v>
      </c>
      <c r="G91" t="s">
        <v>719</v>
      </c>
      <c r="H91" t="s">
        <v>742</v>
      </c>
      <c r="P91">
        <v>6</v>
      </c>
    </row>
    <row r="92" spans="1:16" x14ac:dyDescent="0.25">
      <c r="A92">
        <v>34</v>
      </c>
      <c r="B92" t="s">
        <v>684</v>
      </c>
      <c r="C92" t="s">
        <v>742</v>
      </c>
      <c r="D92" t="s">
        <v>743</v>
      </c>
      <c r="E92" t="s">
        <v>719</v>
      </c>
      <c r="F92" t="s">
        <v>720</v>
      </c>
      <c r="G92" t="s">
        <v>719</v>
      </c>
      <c r="H92" t="s">
        <v>742</v>
      </c>
      <c r="P92">
        <v>6</v>
      </c>
    </row>
    <row r="93" spans="1:16" x14ac:dyDescent="0.25">
      <c r="A93">
        <v>34</v>
      </c>
      <c r="B93" t="s">
        <v>686</v>
      </c>
      <c r="C93" t="s">
        <v>742</v>
      </c>
      <c r="D93" t="s">
        <v>743</v>
      </c>
      <c r="E93" t="s">
        <v>719</v>
      </c>
      <c r="F93" t="s">
        <v>720</v>
      </c>
      <c r="G93" t="s">
        <v>719</v>
      </c>
      <c r="H93" t="s">
        <v>742</v>
      </c>
      <c r="P93">
        <v>6</v>
      </c>
    </row>
    <row r="94" spans="1:16" x14ac:dyDescent="0.25">
      <c r="A94">
        <v>34</v>
      </c>
      <c r="B94" t="s">
        <v>688</v>
      </c>
      <c r="C94" t="s">
        <v>742</v>
      </c>
      <c r="D94" t="s">
        <v>744</v>
      </c>
      <c r="E94" t="s">
        <v>719</v>
      </c>
      <c r="F94" t="s">
        <v>720</v>
      </c>
      <c r="G94" t="s">
        <v>719</v>
      </c>
      <c r="H94" t="s">
        <v>742</v>
      </c>
      <c r="P94">
        <v>10</v>
      </c>
    </row>
    <row r="95" spans="1:16" x14ac:dyDescent="0.25">
      <c r="A95">
        <v>35</v>
      </c>
      <c r="B95" t="s">
        <v>664</v>
      </c>
      <c r="C95" t="s">
        <v>733</v>
      </c>
      <c r="D95" t="s">
        <v>723</v>
      </c>
      <c r="E95" t="s">
        <v>719</v>
      </c>
      <c r="F95" t="s">
        <v>720</v>
      </c>
      <c r="G95" t="s">
        <v>719</v>
      </c>
      <c r="H95" t="s">
        <v>725</v>
      </c>
      <c r="P95">
        <v>6</v>
      </c>
    </row>
    <row r="96" spans="1:16" x14ac:dyDescent="0.25">
      <c r="A96">
        <v>36</v>
      </c>
      <c r="B96" t="s">
        <v>664</v>
      </c>
      <c r="C96" t="s">
        <v>734</v>
      </c>
      <c r="D96" t="s">
        <v>735</v>
      </c>
      <c r="E96" t="s">
        <v>719</v>
      </c>
      <c r="F96" t="s">
        <v>720</v>
      </c>
      <c r="G96" t="s">
        <v>719</v>
      </c>
      <c r="H96" t="s">
        <v>736</v>
      </c>
      <c r="P96">
        <v>8</v>
      </c>
    </row>
    <row r="97" spans="1:16" x14ac:dyDescent="0.25">
      <c r="A97">
        <v>37</v>
      </c>
      <c r="B97" t="s">
        <v>664</v>
      </c>
      <c r="C97" t="s">
        <v>726</v>
      </c>
      <c r="D97" t="s">
        <v>739</v>
      </c>
      <c r="E97" t="s">
        <v>719</v>
      </c>
      <c r="F97" t="s">
        <v>720</v>
      </c>
      <c r="G97" t="s">
        <v>719</v>
      </c>
      <c r="H97" t="s">
        <v>736</v>
      </c>
      <c r="P97">
        <v>8</v>
      </c>
    </row>
    <row r="98" spans="1:16" x14ac:dyDescent="0.25">
      <c r="A98">
        <v>37</v>
      </c>
      <c r="B98" t="s">
        <v>667</v>
      </c>
      <c r="C98" t="s">
        <v>740</v>
      </c>
      <c r="D98" t="s">
        <v>741</v>
      </c>
      <c r="E98" t="s">
        <v>719</v>
      </c>
      <c r="F98" t="s">
        <v>720</v>
      </c>
      <c r="G98" t="s">
        <v>719</v>
      </c>
      <c r="H98" t="s">
        <v>740</v>
      </c>
      <c r="P98">
        <v>10</v>
      </c>
    </row>
    <row r="99" spans="1:16" x14ac:dyDescent="0.25">
      <c r="A99">
        <v>37</v>
      </c>
      <c r="B99" t="s">
        <v>670</v>
      </c>
      <c r="C99" t="s">
        <v>742</v>
      </c>
      <c r="D99" t="s">
        <v>743</v>
      </c>
      <c r="E99" t="s">
        <v>719</v>
      </c>
      <c r="F99" t="s">
        <v>720</v>
      </c>
      <c r="G99" t="s">
        <v>719</v>
      </c>
      <c r="H99" t="s">
        <v>742</v>
      </c>
      <c r="P99">
        <v>6</v>
      </c>
    </row>
    <row r="100" spans="1:16" x14ac:dyDescent="0.25">
      <c r="A100">
        <v>37</v>
      </c>
      <c r="B100" t="s">
        <v>672</v>
      </c>
      <c r="C100" t="s">
        <v>742</v>
      </c>
      <c r="D100" t="s">
        <v>743</v>
      </c>
      <c r="E100" t="s">
        <v>719</v>
      </c>
      <c r="F100" t="s">
        <v>720</v>
      </c>
      <c r="G100" t="s">
        <v>719</v>
      </c>
      <c r="H100" t="s">
        <v>742</v>
      </c>
      <c r="P100">
        <v>6</v>
      </c>
    </row>
    <row r="101" spans="1:16" x14ac:dyDescent="0.25">
      <c r="A101">
        <v>37</v>
      </c>
      <c r="B101" t="s">
        <v>674</v>
      </c>
      <c r="C101" t="s">
        <v>742</v>
      </c>
      <c r="D101" t="s">
        <v>743</v>
      </c>
      <c r="E101" t="s">
        <v>719</v>
      </c>
      <c r="F101" t="s">
        <v>720</v>
      </c>
      <c r="G101" t="s">
        <v>719</v>
      </c>
      <c r="H101" t="s">
        <v>742</v>
      </c>
      <c r="P101">
        <v>6</v>
      </c>
    </row>
    <row r="102" spans="1:16" x14ac:dyDescent="0.25">
      <c r="A102">
        <v>37</v>
      </c>
      <c r="B102" t="s">
        <v>676</v>
      </c>
      <c r="C102" t="s">
        <v>742</v>
      </c>
      <c r="D102" t="s">
        <v>743</v>
      </c>
      <c r="E102" t="s">
        <v>719</v>
      </c>
      <c r="F102" t="s">
        <v>720</v>
      </c>
      <c r="G102" t="s">
        <v>719</v>
      </c>
      <c r="H102" t="s">
        <v>742</v>
      </c>
      <c r="P102">
        <v>6</v>
      </c>
    </row>
    <row r="103" spans="1:16" x14ac:dyDescent="0.25">
      <c r="A103">
        <v>37</v>
      </c>
      <c r="B103" t="s">
        <v>678</v>
      </c>
      <c r="C103" t="s">
        <v>742</v>
      </c>
      <c r="D103" t="s">
        <v>743</v>
      </c>
      <c r="E103" t="s">
        <v>719</v>
      </c>
      <c r="F103" t="s">
        <v>720</v>
      </c>
      <c r="G103" t="s">
        <v>719</v>
      </c>
      <c r="H103" t="s">
        <v>742</v>
      </c>
      <c r="P103">
        <v>6</v>
      </c>
    </row>
    <row r="104" spans="1:16" x14ac:dyDescent="0.25">
      <c r="A104">
        <v>37</v>
      </c>
      <c r="B104" t="s">
        <v>680</v>
      </c>
      <c r="C104" t="s">
        <v>742</v>
      </c>
      <c r="D104" t="s">
        <v>743</v>
      </c>
      <c r="E104" t="s">
        <v>719</v>
      </c>
      <c r="F104" t="s">
        <v>720</v>
      </c>
      <c r="G104" t="s">
        <v>719</v>
      </c>
      <c r="H104" t="s">
        <v>742</v>
      </c>
      <c r="P104">
        <v>6</v>
      </c>
    </row>
    <row r="105" spans="1:16" x14ac:dyDescent="0.25">
      <c r="A105">
        <v>37</v>
      </c>
      <c r="B105" t="s">
        <v>682</v>
      </c>
      <c r="C105" t="s">
        <v>742</v>
      </c>
      <c r="D105" t="s">
        <v>743</v>
      </c>
      <c r="E105" t="s">
        <v>719</v>
      </c>
      <c r="F105" t="s">
        <v>720</v>
      </c>
      <c r="G105" t="s">
        <v>719</v>
      </c>
      <c r="H105" t="s">
        <v>742</v>
      </c>
      <c r="P105">
        <v>6</v>
      </c>
    </row>
    <row r="106" spans="1:16" x14ac:dyDescent="0.25">
      <c r="A106">
        <v>37</v>
      </c>
      <c r="B106" t="s">
        <v>684</v>
      </c>
      <c r="C106" t="s">
        <v>742</v>
      </c>
      <c r="D106" t="s">
        <v>743</v>
      </c>
      <c r="E106" t="s">
        <v>719</v>
      </c>
      <c r="F106" t="s">
        <v>720</v>
      </c>
      <c r="G106" t="s">
        <v>719</v>
      </c>
      <c r="H106" t="s">
        <v>742</v>
      </c>
      <c r="P106">
        <v>6</v>
      </c>
    </row>
    <row r="107" spans="1:16" x14ac:dyDescent="0.25">
      <c r="A107">
        <v>37</v>
      </c>
      <c r="B107" t="s">
        <v>686</v>
      </c>
      <c r="C107" t="s">
        <v>742</v>
      </c>
      <c r="D107" t="s">
        <v>743</v>
      </c>
      <c r="E107" t="s">
        <v>719</v>
      </c>
      <c r="F107" t="s">
        <v>720</v>
      </c>
      <c r="G107" t="s">
        <v>719</v>
      </c>
      <c r="H107" t="s">
        <v>742</v>
      </c>
      <c r="P107">
        <v>6</v>
      </c>
    </row>
    <row r="108" spans="1:16" x14ac:dyDescent="0.25">
      <c r="A108">
        <v>37</v>
      </c>
      <c r="B108" t="s">
        <v>688</v>
      </c>
      <c r="C108" t="s">
        <v>742</v>
      </c>
      <c r="D108" t="s">
        <v>744</v>
      </c>
      <c r="E108" t="s">
        <v>719</v>
      </c>
      <c r="F108" t="s">
        <v>720</v>
      </c>
      <c r="G108" t="s">
        <v>719</v>
      </c>
      <c r="H108" t="s">
        <v>742</v>
      </c>
      <c r="P108">
        <v>10</v>
      </c>
    </row>
    <row r="109" spans="1:16" x14ac:dyDescent="0.25">
      <c r="A109">
        <v>38</v>
      </c>
      <c r="B109" t="s">
        <v>664</v>
      </c>
      <c r="C109" t="s">
        <v>733</v>
      </c>
      <c r="D109" t="s">
        <v>723</v>
      </c>
      <c r="E109" t="s">
        <v>719</v>
      </c>
      <c r="F109" t="s">
        <v>720</v>
      </c>
      <c r="G109" t="s">
        <v>719</v>
      </c>
      <c r="H109" t="s">
        <v>725</v>
      </c>
      <c r="P109">
        <v>6</v>
      </c>
    </row>
    <row r="110" spans="1:16" x14ac:dyDescent="0.25">
      <c r="A110">
        <v>39</v>
      </c>
      <c r="B110" t="s">
        <v>664</v>
      </c>
      <c r="C110" t="s">
        <v>733</v>
      </c>
      <c r="D110" t="s">
        <v>723</v>
      </c>
      <c r="E110" t="s">
        <v>719</v>
      </c>
      <c r="F110" t="s">
        <v>720</v>
      </c>
      <c r="G110" t="s">
        <v>719</v>
      </c>
      <c r="H110" t="s">
        <v>725</v>
      </c>
      <c r="P110">
        <v>6</v>
      </c>
    </row>
    <row r="111" spans="1:16" x14ac:dyDescent="0.25">
      <c r="A111">
        <v>4</v>
      </c>
      <c r="B111" t="s">
        <v>664</v>
      </c>
      <c r="C111" t="s">
        <v>717</v>
      </c>
      <c r="D111" t="s">
        <v>718</v>
      </c>
      <c r="E111" t="s">
        <v>719</v>
      </c>
      <c r="F111" t="s">
        <v>720</v>
      </c>
      <c r="G111" t="s">
        <v>719</v>
      </c>
      <c r="H111" t="s">
        <v>721</v>
      </c>
      <c r="P111">
        <v>14</v>
      </c>
    </row>
    <row r="112" spans="1:16" x14ac:dyDescent="0.25">
      <c r="A112">
        <v>40</v>
      </c>
      <c r="B112" t="s">
        <v>664</v>
      </c>
      <c r="C112" t="s">
        <v>733</v>
      </c>
      <c r="D112" t="s">
        <v>727</v>
      </c>
      <c r="E112" t="s">
        <v>719</v>
      </c>
      <c r="F112" t="s">
        <v>720</v>
      </c>
      <c r="G112" t="s">
        <v>719</v>
      </c>
      <c r="H112" t="s">
        <v>728</v>
      </c>
      <c r="P112">
        <v>12</v>
      </c>
    </row>
    <row r="113" spans="1:16" x14ac:dyDescent="0.25">
      <c r="A113">
        <v>41</v>
      </c>
      <c r="B113" t="s">
        <v>664</v>
      </c>
      <c r="C113" t="s">
        <v>742</v>
      </c>
      <c r="D113" t="s">
        <v>753</v>
      </c>
      <c r="E113" t="s">
        <v>719</v>
      </c>
      <c r="F113" t="s">
        <v>720</v>
      </c>
      <c r="G113" t="s">
        <v>719</v>
      </c>
      <c r="H113" t="s">
        <v>742</v>
      </c>
      <c r="P113">
        <v>8</v>
      </c>
    </row>
    <row r="114" spans="1:16" x14ac:dyDescent="0.25">
      <c r="A114">
        <v>42</v>
      </c>
      <c r="B114" t="s">
        <v>664</v>
      </c>
      <c r="C114" t="s">
        <v>734</v>
      </c>
      <c r="D114" t="s">
        <v>735</v>
      </c>
      <c r="E114" t="s">
        <v>719</v>
      </c>
      <c r="F114" t="s">
        <v>720</v>
      </c>
      <c r="G114" t="s">
        <v>719</v>
      </c>
      <c r="H114" t="s">
        <v>736</v>
      </c>
      <c r="P114">
        <v>8</v>
      </c>
    </row>
    <row r="115" spans="1:16" x14ac:dyDescent="0.25">
      <c r="A115">
        <v>43</v>
      </c>
      <c r="B115" t="s">
        <v>664</v>
      </c>
      <c r="C115" t="s">
        <v>734</v>
      </c>
      <c r="D115" t="s">
        <v>735</v>
      </c>
      <c r="E115" t="s">
        <v>719</v>
      </c>
      <c r="F115" t="s">
        <v>720</v>
      </c>
      <c r="G115" t="s">
        <v>719</v>
      </c>
      <c r="H115" t="s">
        <v>736</v>
      </c>
      <c r="P115">
        <v>8</v>
      </c>
    </row>
    <row r="116" spans="1:16" x14ac:dyDescent="0.25">
      <c r="A116">
        <v>44</v>
      </c>
      <c r="B116" t="s">
        <v>664</v>
      </c>
      <c r="C116" t="s">
        <v>734</v>
      </c>
      <c r="D116" t="s">
        <v>735</v>
      </c>
      <c r="E116" t="s">
        <v>719</v>
      </c>
      <c r="F116" t="s">
        <v>720</v>
      </c>
      <c r="G116" t="s">
        <v>719</v>
      </c>
      <c r="H116" t="s">
        <v>736</v>
      </c>
      <c r="P116">
        <v>8</v>
      </c>
    </row>
    <row r="117" spans="1:16" x14ac:dyDescent="0.25">
      <c r="A117">
        <v>45</v>
      </c>
      <c r="B117" t="s">
        <v>664</v>
      </c>
      <c r="C117" t="s">
        <v>740</v>
      </c>
      <c r="D117" t="s">
        <v>741</v>
      </c>
      <c r="E117" t="s">
        <v>719</v>
      </c>
      <c r="F117" t="s">
        <v>720</v>
      </c>
      <c r="G117" t="s">
        <v>719</v>
      </c>
      <c r="H117" t="s">
        <v>740</v>
      </c>
      <c r="P117">
        <v>10</v>
      </c>
    </row>
    <row r="118" spans="1:16" x14ac:dyDescent="0.25">
      <c r="A118">
        <v>45</v>
      </c>
      <c r="B118" t="s">
        <v>667</v>
      </c>
      <c r="C118" t="s">
        <v>740</v>
      </c>
      <c r="D118" t="s">
        <v>741</v>
      </c>
      <c r="E118" t="s">
        <v>719</v>
      </c>
      <c r="F118" t="s">
        <v>720</v>
      </c>
      <c r="G118" t="s">
        <v>719</v>
      </c>
      <c r="H118" t="s">
        <v>740</v>
      </c>
      <c r="P118">
        <v>10</v>
      </c>
    </row>
    <row r="119" spans="1:16" x14ac:dyDescent="0.25">
      <c r="A119">
        <v>45</v>
      </c>
      <c r="B119" t="s">
        <v>670</v>
      </c>
      <c r="C119" t="s">
        <v>742</v>
      </c>
      <c r="D119" t="s">
        <v>743</v>
      </c>
      <c r="E119" t="s">
        <v>719</v>
      </c>
      <c r="F119" t="s">
        <v>720</v>
      </c>
      <c r="G119" t="s">
        <v>719</v>
      </c>
      <c r="H119" t="s">
        <v>742</v>
      </c>
      <c r="P119">
        <v>6</v>
      </c>
    </row>
    <row r="120" spans="1:16" x14ac:dyDescent="0.25">
      <c r="A120">
        <v>45</v>
      </c>
      <c r="B120" t="s">
        <v>672</v>
      </c>
      <c r="C120" t="s">
        <v>742</v>
      </c>
      <c r="D120" t="s">
        <v>743</v>
      </c>
      <c r="E120" t="s">
        <v>719</v>
      </c>
      <c r="F120" t="s">
        <v>720</v>
      </c>
      <c r="G120" t="s">
        <v>719</v>
      </c>
      <c r="H120" t="s">
        <v>742</v>
      </c>
      <c r="P120">
        <v>6</v>
      </c>
    </row>
    <row r="121" spans="1:16" x14ac:dyDescent="0.25">
      <c r="A121">
        <v>45</v>
      </c>
      <c r="B121" t="s">
        <v>674</v>
      </c>
      <c r="C121" t="s">
        <v>742</v>
      </c>
      <c r="D121" t="s">
        <v>743</v>
      </c>
      <c r="E121" t="s">
        <v>719</v>
      </c>
      <c r="F121" t="s">
        <v>720</v>
      </c>
      <c r="G121" t="s">
        <v>719</v>
      </c>
      <c r="H121" t="s">
        <v>742</v>
      </c>
      <c r="P121">
        <v>6</v>
      </c>
    </row>
    <row r="122" spans="1:16" x14ac:dyDescent="0.25">
      <c r="A122">
        <v>45</v>
      </c>
      <c r="B122" t="s">
        <v>676</v>
      </c>
      <c r="C122" t="s">
        <v>742</v>
      </c>
      <c r="D122" t="s">
        <v>743</v>
      </c>
      <c r="E122" t="s">
        <v>719</v>
      </c>
      <c r="F122" t="s">
        <v>720</v>
      </c>
      <c r="G122" t="s">
        <v>719</v>
      </c>
      <c r="H122" t="s">
        <v>742</v>
      </c>
      <c r="P122">
        <v>6</v>
      </c>
    </row>
    <row r="123" spans="1:16" x14ac:dyDescent="0.25">
      <c r="A123">
        <v>45</v>
      </c>
      <c r="B123" t="s">
        <v>678</v>
      </c>
      <c r="C123" t="s">
        <v>742</v>
      </c>
      <c r="D123" t="s">
        <v>743</v>
      </c>
      <c r="E123" t="s">
        <v>719</v>
      </c>
      <c r="F123" t="s">
        <v>720</v>
      </c>
      <c r="G123" t="s">
        <v>719</v>
      </c>
      <c r="H123" t="s">
        <v>742</v>
      </c>
      <c r="P123">
        <v>6</v>
      </c>
    </row>
    <row r="124" spans="1:16" x14ac:dyDescent="0.25">
      <c r="A124">
        <v>45</v>
      </c>
      <c r="B124" t="s">
        <v>680</v>
      </c>
      <c r="C124" t="s">
        <v>742</v>
      </c>
      <c r="D124" t="s">
        <v>743</v>
      </c>
      <c r="E124" t="s">
        <v>719</v>
      </c>
      <c r="F124" t="s">
        <v>720</v>
      </c>
      <c r="G124" t="s">
        <v>719</v>
      </c>
      <c r="H124" t="s">
        <v>742</v>
      </c>
      <c r="P124">
        <v>6</v>
      </c>
    </row>
    <row r="125" spans="1:16" x14ac:dyDescent="0.25">
      <c r="A125">
        <v>45</v>
      </c>
      <c r="B125" t="s">
        <v>682</v>
      </c>
      <c r="C125" t="s">
        <v>742</v>
      </c>
      <c r="D125" t="s">
        <v>743</v>
      </c>
      <c r="E125" t="s">
        <v>719</v>
      </c>
      <c r="F125" t="s">
        <v>720</v>
      </c>
      <c r="G125" t="s">
        <v>719</v>
      </c>
      <c r="H125" t="s">
        <v>742</v>
      </c>
      <c r="P125">
        <v>6</v>
      </c>
    </row>
    <row r="126" spans="1:16" x14ac:dyDescent="0.25">
      <c r="A126">
        <v>45</v>
      </c>
      <c r="B126" t="s">
        <v>684</v>
      </c>
      <c r="C126" t="s">
        <v>742</v>
      </c>
      <c r="D126" t="s">
        <v>743</v>
      </c>
      <c r="E126" t="s">
        <v>719</v>
      </c>
      <c r="F126" t="s">
        <v>720</v>
      </c>
      <c r="G126" t="s">
        <v>719</v>
      </c>
      <c r="H126" t="s">
        <v>742</v>
      </c>
      <c r="P126">
        <v>6</v>
      </c>
    </row>
    <row r="127" spans="1:16" x14ac:dyDescent="0.25">
      <c r="A127">
        <v>45</v>
      </c>
      <c r="B127" t="s">
        <v>686</v>
      </c>
      <c r="C127" t="s">
        <v>742</v>
      </c>
      <c r="D127" t="s">
        <v>743</v>
      </c>
      <c r="E127" t="s">
        <v>719</v>
      </c>
      <c r="F127" t="s">
        <v>720</v>
      </c>
      <c r="G127" t="s">
        <v>719</v>
      </c>
      <c r="H127" t="s">
        <v>742</v>
      </c>
      <c r="P127">
        <v>6</v>
      </c>
    </row>
    <row r="128" spans="1:16" x14ac:dyDescent="0.25">
      <c r="A128">
        <v>45</v>
      </c>
      <c r="B128" t="s">
        <v>688</v>
      </c>
      <c r="C128" t="s">
        <v>742</v>
      </c>
      <c r="D128" t="s">
        <v>744</v>
      </c>
      <c r="E128" t="s">
        <v>719</v>
      </c>
      <c r="F128" t="s">
        <v>720</v>
      </c>
      <c r="G128" t="s">
        <v>719</v>
      </c>
      <c r="H128" t="s">
        <v>742</v>
      </c>
      <c r="P128">
        <v>10</v>
      </c>
    </row>
    <row r="129" spans="1:16" x14ac:dyDescent="0.25">
      <c r="A129">
        <v>46</v>
      </c>
      <c r="B129" t="s">
        <v>664</v>
      </c>
      <c r="C129" t="s">
        <v>740</v>
      </c>
      <c r="D129" t="s">
        <v>741</v>
      </c>
      <c r="E129" t="s">
        <v>719</v>
      </c>
      <c r="F129" t="s">
        <v>720</v>
      </c>
      <c r="G129" t="s">
        <v>719</v>
      </c>
      <c r="H129" t="s">
        <v>740</v>
      </c>
      <c r="P129">
        <v>10</v>
      </c>
    </row>
    <row r="130" spans="1:16" x14ac:dyDescent="0.25">
      <c r="A130">
        <v>46</v>
      </c>
      <c r="B130" t="s">
        <v>667</v>
      </c>
      <c r="C130" t="s">
        <v>740</v>
      </c>
      <c r="D130" t="s">
        <v>741</v>
      </c>
      <c r="E130" t="s">
        <v>719</v>
      </c>
      <c r="F130" t="s">
        <v>720</v>
      </c>
      <c r="G130" t="s">
        <v>719</v>
      </c>
      <c r="H130" t="s">
        <v>740</v>
      </c>
      <c r="P130">
        <v>10</v>
      </c>
    </row>
    <row r="131" spans="1:16" x14ac:dyDescent="0.25">
      <c r="A131">
        <v>46</v>
      </c>
      <c r="B131" t="s">
        <v>670</v>
      </c>
      <c r="C131" t="s">
        <v>742</v>
      </c>
      <c r="D131" t="s">
        <v>743</v>
      </c>
      <c r="E131" t="s">
        <v>719</v>
      </c>
      <c r="F131" t="s">
        <v>720</v>
      </c>
      <c r="G131" t="s">
        <v>719</v>
      </c>
      <c r="H131" t="s">
        <v>742</v>
      </c>
      <c r="P131">
        <v>6</v>
      </c>
    </row>
    <row r="132" spans="1:16" x14ac:dyDescent="0.25">
      <c r="A132">
        <v>46</v>
      </c>
      <c r="B132" t="s">
        <v>672</v>
      </c>
      <c r="C132" t="s">
        <v>742</v>
      </c>
      <c r="D132" t="s">
        <v>743</v>
      </c>
      <c r="E132" t="s">
        <v>719</v>
      </c>
      <c r="F132" t="s">
        <v>720</v>
      </c>
      <c r="G132" t="s">
        <v>719</v>
      </c>
      <c r="H132" t="s">
        <v>742</v>
      </c>
      <c r="P132">
        <v>6</v>
      </c>
    </row>
    <row r="133" spans="1:16" x14ac:dyDescent="0.25">
      <c r="A133">
        <v>46</v>
      </c>
      <c r="B133" t="s">
        <v>674</v>
      </c>
      <c r="C133" t="s">
        <v>742</v>
      </c>
      <c r="D133" t="s">
        <v>743</v>
      </c>
      <c r="E133" t="s">
        <v>719</v>
      </c>
      <c r="F133" t="s">
        <v>720</v>
      </c>
      <c r="G133" t="s">
        <v>719</v>
      </c>
      <c r="H133" t="s">
        <v>742</v>
      </c>
      <c r="P133">
        <v>6</v>
      </c>
    </row>
    <row r="134" spans="1:16" x14ac:dyDescent="0.25">
      <c r="A134">
        <v>46</v>
      </c>
      <c r="B134" t="s">
        <v>676</v>
      </c>
      <c r="C134" t="s">
        <v>742</v>
      </c>
      <c r="D134" t="s">
        <v>743</v>
      </c>
      <c r="E134" t="s">
        <v>719</v>
      </c>
      <c r="F134" t="s">
        <v>720</v>
      </c>
      <c r="G134" t="s">
        <v>719</v>
      </c>
      <c r="H134" t="s">
        <v>742</v>
      </c>
      <c r="P134">
        <v>6</v>
      </c>
    </row>
    <row r="135" spans="1:16" x14ac:dyDescent="0.25">
      <c r="A135">
        <v>46</v>
      </c>
      <c r="B135" t="s">
        <v>678</v>
      </c>
      <c r="C135" t="s">
        <v>742</v>
      </c>
      <c r="D135" t="s">
        <v>743</v>
      </c>
      <c r="E135" t="s">
        <v>719</v>
      </c>
      <c r="F135" t="s">
        <v>720</v>
      </c>
      <c r="G135" t="s">
        <v>719</v>
      </c>
      <c r="H135" t="s">
        <v>742</v>
      </c>
      <c r="P135">
        <v>6</v>
      </c>
    </row>
    <row r="136" spans="1:16" x14ac:dyDescent="0.25">
      <c r="A136">
        <v>46</v>
      </c>
      <c r="B136" t="s">
        <v>680</v>
      </c>
      <c r="C136" t="s">
        <v>742</v>
      </c>
      <c r="D136" t="s">
        <v>743</v>
      </c>
      <c r="E136" t="s">
        <v>719</v>
      </c>
      <c r="F136" t="s">
        <v>720</v>
      </c>
      <c r="G136" t="s">
        <v>719</v>
      </c>
      <c r="H136" t="s">
        <v>742</v>
      </c>
      <c r="P136">
        <v>6</v>
      </c>
    </row>
    <row r="137" spans="1:16" x14ac:dyDescent="0.25">
      <c r="A137">
        <v>46</v>
      </c>
      <c r="B137" t="s">
        <v>682</v>
      </c>
      <c r="C137" t="s">
        <v>742</v>
      </c>
      <c r="D137" t="s">
        <v>743</v>
      </c>
      <c r="E137" t="s">
        <v>719</v>
      </c>
      <c r="F137" t="s">
        <v>720</v>
      </c>
      <c r="G137" t="s">
        <v>719</v>
      </c>
      <c r="H137" t="s">
        <v>742</v>
      </c>
      <c r="P137">
        <v>6</v>
      </c>
    </row>
    <row r="138" spans="1:16" x14ac:dyDescent="0.25">
      <c r="A138">
        <v>46</v>
      </c>
      <c r="B138" t="s">
        <v>684</v>
      </c>
      <c r="C138" t="s">
        <v>742</v>
      </c>
      <c r="D138" t="s">
        <v>743</v>
      </c>
      <c r="E138" t="s">
        <v>719</v>
      </c>
      <c r="F138" t="s">
        <v>720</v>
      </c>
      <c r="G138" t="s">
        <v>719</v>
      </c>
      <c r="H138" t="s">
        <v>742</v>
      </c>
      <c r="P138">
        <v>6</v>
      </c>
    </row>
    <row r="139" spans="1:16" x14ac:dyDescent="0.25">
      <c r="A139">
        <v>46</v>
      </c>
      <c r="B139" t="s">
        <v>686</v>
      </c>
      <c r="C139" t="s">
        <v>742</v>
      </c>
      <c r="D139" t="s">
        <v>743</v>
      </c>
      <c r="E139" t="s">
        <v>719</v>
      </c>
      <c r="F139" t="s">
        <v>720</v>
      </c>
      <c r="G139" t="s">
        <v>719</v>
      </c>
      <c r="H139" t="s">
        <v>742</v>
      </c>
      <c r="P139">
        <v>6</v>
      </c>
    </row>
    <row r="140" spans="1:16" x14ac:dyDescent="0.25">
      <c r="A140">
        <v>46</v>
      </c>
      <c r="B140" t="s">
        <v>688</v>
      </c>
      <c r="C140" t="s">
        <v>742</v>
      </c>
      <c r="D140" t="s">
        <v>744</v>
      </c>
      <c r="E140" t="s">
        <v>719</v>
      </c>
      <c r="F140" t="s">
        <v>720</v>
      </c>
      <c r="G140" t="s">
        <v>719</v>
      </c>
      <c r="H140" t="s">
        <v>742</v>
      </c>
      <c r="P140">
        <v>10</v>
      </c>
    </row>
    <row r="141" spans="1:16" x14ac:dyDescent="0.25">
      <c r="A141">
        <v>47</v>
      </c>
      <c r="B141" t="s">
        <v>664</v>
      </c>
      <c r="C141" t="s">
        <v>740</v>
      </c>
      <c r="D141" t="s">
        <v>741</v>
      </c>
      <c r="E141" t="s">
        <v>719</v>
      </c>
      <c r="F141" t="s">
        <v>720</v>
      </c>
      <c r="G141" t="s">
        <v>719</v>
      </c>
      <c r="H141" t="s">
        <v>740</v>
      </c>
      <c r="P141">
        <v>10</v>
      </c>
    </row>
    <row r="142" spans="1:16" x14ac:dyDescent="0.25">
      <c r="A142">
        <v>47</v>
      </c>
      <c r="B142" t="s">
        <v>667</v>
      </c>
      <c r="C142" t="s">
        <v>740</v>
      </c>
      <c r="D142" t="s">
        <v>741</v>
      </c>
      <c r="E142" t="s">
        <v>719</v>
      </c>
      <c r="F142" t="s">
        <v>720</v>
      </c>
      <c r="G142" t="s">
        <v>719</v>
      </c>
      <c r="H142" t="s">
        <v>740</v>
      </c>
      <c r="P142">
        <v>10</v>
      </c>
    </row>
    <row r="143" spans="1:16" x14ac:dyDescent="0.25">
      <c r="A143">
        <v>47</v>
      </c>
      <c r="B143" t="s">
        <v>670</v>
      </c>
      <c r="C143" t="s">
        <v>742</v>
      </c>
      <c r="D143" t="s">
        <v>743</v>
      </c>
      <c r="E143" t="s">
        <v>719</v>
      </c>
      <c r="F143" t="s">
        <v>720</v>
      </c>
      <c r="G143" t="s">
        <v>719</v>
      </c>
      <c r="H143" t="s">
        <v>742</v>
      </c>
      <c r="P143">
        <v>6</v>
      </c>
    </row>
    <row r="144" spans="1:16" x14ac:dyDescent="0.25">
      <c r="A144">
        <v>47</v>
      </c>
      <c r="B144" t="s">
        <v>672</v>
      </c>
      <c r="C144" t="s">
        <v>742</v>
      </c>
      <c r="D144" t="s">
        <v>743</v>
      </c>
      <c r="E144" t="s">
        <v>719</v>
      </c>
      <c r="F144" t="s">
        <v>720</v>
      </c>
      <c r="G144" t="s">
        <v>719</v>
      </c>
      <c r="H144" t="s">
        <v>742</v>
      </c>
      <c r="P144">
        <v>6</v>
      </c>
    </row>
    <row r="145" spans="1:16" x14ac:dyDescent="0.25">
      <c r="A145">
        <v>47</v>
      </c>
      <c r="B145" t="s">
        <v>674</v>
      </c>
      <c r="C145" t="s">
        <v>742</v>
      </c>
      <c r="D145" t="s">
        <v>743</v>
      </c>
      <c r="E145" t="s">
        <v>719</v>
      </c>
      <c r="F145" t="s">
        <v>720</v>
      </c>
      <c r="G145" t="s">
        <v>719</v>
      </c>
      <c r="H145" t="s">
        <v>742</v>
      </c>
      <c r="P145">
        <v>6</v>
      </c>
    </row>
    <row r="146" spans="1:16" x14ac:dyDescent="0.25">
      <c r="A146">
        <v>47</v>
      </c>
      <c r="B146" t="s">
        <v>676</v>
      </c>
      <c r="C146" t="s">
        <v>742</v>
      </c>
      <c r="D146" t="s">
        <v>743</v>
      </c>
      <c r="E146" t="s">
        <v>719</v>
      </c>
      <c r="F146" t="s">
        <v>720</v>
      </c>
      <c r="G146" t="s">
        <v>719</v>
      </c>
      <c r="H146" t="s">
        <v>742</v>
      </c>
      <c r="P146">
        <v>6</v>
      </c>
    </row>
    <row r="147" spans="1:16" x14ac:dyDescent="0.25">
      <c r="A147">
        <v>47</v>
      </c>
      <c r="B147" t="s">
        <v>678</v>
      </c>
      <c r="C147" t="s">
        <v>742</v>
      </c>
      <c r="D147" t="s">
        <v>743</v>
      </c>
      <c r="E147" t="s">
        <v>719</v>
      </c>
      <c r="F147" t="s">
        <v>720</v>
      </c>
      <c r="G147" t="s">
        <v>719</v>
      </c>
      <c r="H147" t="s">
        <v>742</v>
      </c>
      <c r="P147">
        <v>6</v>
      </c>
    </row>
    <row r="148" spans="1:16" x14ac:dyDescent="0.25">
      <c r="A148">
        <v>47</v>
      </c>
      <c r="B148" t="s">
        <v>680</v>
      </c>
      <c r="C148" t="s">
        <v>742</v>
      </c>
      <c r="D148" t="s">
        <v>743</v>
      </c>
      <c r="E148" t="s">
        <v>719</v>
      </c>
      <c r="F148" t="s">
        <v>720</v>
      </c>
      <c r="G148" t="s">
        <v>719</v>
      </c>
      <c r="H148" t="s">
        <v>742</v>
      </c>
      <c r="P148">
        <v>6</v>
      </c>
    </row>
    <row r="149" spans="1:16" x14ac:dyDescent="0.25">
      <c r="A149">
        <v>47</v>
      </c>
      <c r="B149" t="s">
        <v>682</v>
      </c>
      <c r="C149" t="s">
        <v>742</v>
      </c>
      <c r="D149" t="s">
        <v>743</v>
      </c>
      <c r="E149" t="s">
        <v>719</v>
      </c>
      <c r="F149" t="s">
        <v>720</v>
      </c>
      <c r="G149" t="s">
        <v>719</v>
      </c>
      <c r="H149" t="s">
        <v>742</v>
      </c>
      <c r="P149">
        <v>6</v>
      </c>
    </row>
    <row r="150" spans="1:16" x14ac:dyDescent="0.25">
      <c r="A150">
        <v>47</v>
      </c>
      <c r="B150" t="s">
        <v>684</v>
      </c>
      <c r="C150" t="s">
        <v>742</v>
      </c>
      <c r="D150" t="s">
        <v>743</v>
      </c>
      <c r="E150" t="s">
        <v>719</v>
      </c>
      <c r="F150" t="s">
        <v>720</v>
      </c>
      <c r="G150" t="s">
        <v>719</v>
      </c>
      <c r="H150" t="s">
        <v>742</v>
      </c>
      <c r="P150">
        <v>6</v>
      </c>
    </row>
    <row r="151" spans="1:16" x14ac:dyDescent="0.25">
      <c r="A151">
        <v>47</v>
      </c>
      <c r="B151" t="s">
        <v>686</v>
      </c>
      <c r="C151" t="s">
        <v>742</v>
      </c>
      <c r="D151" t="s">
        <v>743</v>
      </c>
      <c r="E151" t="s">
        <v>719</v>
      </c>
      <c r="F151" t="s">
        <v>720</v>
      </c>
      <c r="G151" t="s">
        <v>719</v>
      </c>
      <c r="H151" t="s">
        <v>742</v>
      </c>
      <c r="P151">
        <v>6</v>
      </c>
    </row>
    <row r="152" spans="1:16" x14ac:dyDescent="0.25">
      <c r="A152">
        <v>47</v>
      </c>
      <c r="B152" t="s">
        <v>688</v>
      </c>
      <c r="C152" t="s">
        <v>742</v>
      </c>
      <c r="D152" t="s">
        <v>744</v>
      </c>
      <c r="E152" t="s">
        <v>719</v>
      </c>
      <c r="F152" t="s">
        <v>720</v>
      </c>
      <c r="G152" t="s">
        <v>719</v>
      </c>
      <c r="H152" t="s">
        <v>742</v>
      </c>
      <c r="P152">
        <v>10</v>
      </c>
    </row>
    <row r="153" spans="1:16" x14ac:dyDescent="0.25">
      <c r="A153">
        <v>48</v>
      </c>
      <c r="B153" t="s">
        <v>664</v>
      </c>
      <c r="C153" t="s">
        <v>754</v>
      </c>
      <c r="D153" t="s">
        <v>751</v>
      </c>
      <c r="E153" t="s">
        <v>719</v>
      </c>
      <c r="F153" t="s">
        <v>720</v>
      </c>
      <c r="G153" t="s">
        <v>719</v>
      </c>
      <c r="H153" t="s">
        <v>728</v>
      </c>
      <c r="P153">
        <v>12</v>
      </c>
    </row>
    <row r="154" spans="1:16" x14ac:dyDescent="0.25">
      <c r="A154">
        <v>48</v>
      </c>
      <c r="B154" t="s">
        <v>667</v>
      </c>
      <c r="C154" t="s">
        <v>740</v>
      </c>
      <c r="D154" t="s">
        <v>741</v>
      </c>
      <c r="E154" t="s">
        <v>719</v>
      </c>
      <c r="F154" t="s">
        <v>720</v>
      </c>
      <c r="G154" t="s">
        <v>719</v>
      </c>
      <c r="H154" t="s">
        <v>740</v>
      </c>
      <c r="P154">
        <v>10</v>
      </c>
    </row>
    <row r="155" spans="1:16" x14ac:dyDescent="0.25">
      <c r="A155">
        <v>48</v>
      </c>
      <c r="B155" t="s">
        <v>670</v>
      </c>
      <c r="C155" t="s">
        <v>742</v>
      </c>
      <c r="D155" t="s">
        <v>743</v>
      </c>
      <c r="E155" t="s">
        <v>719</v>
      </c>
      <c r="F155" t="s">
        <v>720</v>
      </c>
      <c r="G155" t="s">
        <v>719</v>
      </c>
      <c r="H155" t="s">
        <v>742</v>
      </c>
      <c r="P155">
        <v>6</v>
      </c>
    </row>
    <row r="156" spans="1:16" x14ac:dyDescent="0.25">
      <c r="A156">
        <v>48</v>
      </c>
      <c r="B156" t="s">
        <v>672</v>
      </c>
      <c r="C156" t="s">
        <v>742</v>
      </c>
      <c r="D156" t="s">
        <v>743</v>
      </c>
      <c r="E156" t="s">
        <v>719</v>
      </c>
      <c r="F156" t="s">
        <v>720</v>
      </c>
      <c r="G156" t="s">
        <v>719</v>
      </c>
      <c r="H156" t="s">
        <v>742</v>
      </c>
      <c r="P156">
        <v>6</v>
      </c>
    </row>
    <row r="157" spans="1:16" x14ac:dyDescent="0.25">
      <c r="A157">
        <v>48</v>
      </c>
      <c r="B157" t="s">
        <v>674</v>
      </c>
      <c r="C157" t="s">
        <v>742</v>
      </c>
      <c r="D157" t="s">
        <v>743</v>
      </c>
      <c r="E157" t="s">
        <v>719</v>
      </c>
      <c r="F157" t="s">
        <v>720</v>
      </c>
      <c r="G157" t="s">
        <v>719</v>
      </c>
      <c r="H157" t="s">
        <v>742</v>
      </c>
      <c r="P157">
        <v>6</v>
      </c>
    </row>
    <row r="158" spans="1:16" x14ac:dyDescent="0.25">
      <c r="A158">
        <v>48</v>
      </c>
      <c r="B158" t="s">
        <v>676</v>
      </c>
      <c r="C158" t="s">
        <v>742</v>
      </c>
      <c r="D158" t="s">
        <v>743</v>
      </c>
      <c r="E158" t="s">
        <v>719</v>
      </c>
      <c r="F158" t="s">
        <v>720</v>
      </c>
      <c r="G158" t="s">
        <v>719</v>
      </c>
      <c r="H158" t="s">
        <v>742</v>
      </c>
      <c r="P158">
        <v>6</v>
      </c>
    </row>
    <row r="159" spans="1:16" x14ac:dyDescent="0.25">
      <c r="A159">
        <v>48</v>
      </c>
      <c r="B159" t="s">
        <v>678</v>
      </c>
      <c r="C159" t="s">
        <v>742</v>
      </c>
      <c r="D159" t="s">
        <v>743</v>
      </c>
      <c r="E159" t="s">
        <v>719</v>
      </c>
      <c r="F159" t="s">
        <v>720</v>
      </c>
      <c r="G159" t="s">
        <v>719</v>
      </c>
      <c r="H159" t="s">
        <v>742</v>
      </c>
      <c r="P159">
        <v>6</v>
      </c>
    </row>
    <row r="160" spans="1:16" x14ac:dyDescent="0.25">
      <c r="A160">
        <v>48</v>
      </c>
      <c r="B160" t="s">
        <v>680</v>
      </c>
      <c r="C160" t="s">
        <v>742</v>
      </c>
      <c r="D160" t="s">
        <v>743</v>
      </c>
      <c r="E160" t="s">
        <v>719</v>
      </c>
      <c r="F160" t="s">
        <v>720</v>
      </c>
      <c r="G160" t="s">
        <v>719</v>
      </c>
      <c r="H160" t="s">
        <v>742</v>
      </c>
      <c r="P160">
        <v>6</v>
      </c>
    </row>
    <row r="161" spans="1:16" x14ac:dyDescent="0.25">
      <c r="A161">
        <v>48</v>
      </c>
      <c r="B161" t="s">
        <v>682</v>
      </c>
      <c r="C161" t="s">
        <v>742</v>
      </c>
      <c r="D161" t="s">
        <v>743</v>
      </c>
      <c r="E161" t="s">
        <v>719</v>
      </c>
      <c r="F161" t="s">
        <v>720</v>
      </c>
      <c r="G161" t="s">
        <v>719</v>
      </c>
      <c r="H161" t="s">
        <v>742</v>
      </c>
      <c r="P161">
        <v>6</v>
      </c>
    </row>
    <row r="162" spans="1:16" x14ac:dyDescent="0.25">
      <c r="A162">
        <v>48</v>
      </c>
      <c r="B162" t="s">
        <v>684</v>
      </c>
      <c r="C162" t="s">
        <v>742</v>
      </c>
      <c r="D162" t="s">
        <v>743</v>
      </c>
      <c r="E162" t="s">
        <v>719</v>
      </c>
      <c r="F162" t="s">
        <v>720</v>
      </c>
      <c r="G162" t="s">
        <v>719</v>
      </c>
      <c r="H162" t="s">
        <v>742</v>
      </c>
      <c r="P162">
        <v>6</v>
      </c>
    </row>
    <row r="163" spans="1:16" x14ac:dyDescent="0.25">
      <c r="A163">
        <v>48</v>
      </c>
      <c r="B163" t="s">
        <v>686</v>
      </c>
      <c r="C163" t="s">
        <v>742</v>
      </c>
      <c r="D163" t="s">
        <v>743</v>
      </c>
      <c r="E163" t="s">
        <v>719</v>
      </c>
      <c r="F163" t="s">
        <v>720</v>
      </c>
      <c r="G163" t="s">
        <v>719</v>
      </c>
      <c r="H163" t="s">
        <v>742</v>
      </c>
      <c r="P163">
        <v>6</v>
      </c>
    </row>
    <row r="164" spans="1:16" x14ac:dyDescent="0.25">
      <c r="A164">
        <v>48</v>
      </c>
      <c r="B164" t="s">
        <v>688</v>
      </c>
      <c r="C164" t="s">
        <v>742</v>
      </c>
      <c r="D164" t="s">
        <v>744</v>
      </c>
      <c r="E164" t="s">
        <v>719</v>
      </c>
      <c r="F164" t="s">
        <v>720</v>
      </c>
      <c r="G164" t="s">
        <v>719</v>
      </c>
      <c r="H164" t="s">
        <v>742</v>
      </c>
      <c r="P164">
        <v>10</v>
      </c>
    </row>
    <row r="165" spans="1:16" x14ac:dyDescent="0.25">
      <c r="A165">
        <v>49</v>
      </c>
      <c r="B165" t="s">
        <v>664</v>
      </c>
      <c r="C165" t="s">
        <v>755</v>
      </c>
      <c r="D165" t="s">
        <v>723</v>
      </c>
      <c r="E165" t="s">
        <v>719</v>
      </c>
      <c r="F165" t="s">
        <v>720</v>
      </c>
      <c r="G165" t="s">
        <v>719</v>
      </c>
      <c r="H165" t="s">
        <v>725</v>
      </c>
      <c r="P165">
        <v>6</v>
      </c>
    </row>
    <row r="166" spans="1:16" x14ac:dyDescent="0.25">
      <c r="A166">
        <v>5</v>
      </c>
      <c r="B166" t="s">
        <v>664</v>
      </c>
      <c r="C166" t="s">
        <v>717</v>
      </c>
      <c r="D166" t="s">
        <v>718</v>
      </c>
      <c r="E166" t="s">
        <v>719</v>
      </c>
      <c r="F166" t="s">
        <v>720</v>
      </c>
      <c r="G166" t="s">
        <v>719</v>
      </c>
      <c r="H166" t="s">
        <v>721</v>
      </c>
      <c r="P166">
        <v>14</v>
      </c>
    </row>
    <row r="167" spans="1:16" x14ac:dyDescent="0.25">
      <c r="A167">
        <v>50</v>
      </c>
      <c r="B167" t="s">
        <v>664</v>
      </c>
      <c r="C167" t="s">
        <v>733</v>
      </c>
      <c r="D167" t="s">
        <v>723</v>
      </c>
      <c r="E167" t="s">
        <v>719</v>
      </c>
      <c r="F167" t="s">
        <v>720</v>
      </c>
      <c r="G167" t="s">
        <v>719</v>
      </c>
      <c r="H167" t="s">
        <v>725</v>
      </c>
      <c r="P167">
        <v>6</v>
      </c>
    </row>
    <row r="168" spans="1:16" x14ac:dyDescent="0.25">
      <c r="A168">
        <v>51</v>
      </c>
      <c r="B168" t="s">
        <v>664</v>
      </c>
      <c r="C168" t="s">
        <v>733</v>
      </c>
      <c r="D168" t="s">
        <v>723</v>
      </c>
      <c r="E168" t="s">
        <v>719</v>
      </c>
      <c r="F168" t="s">
        <v>720</v>
      </c>
      <c r="G168" t="s">
        <v>719</v>
      </c>
      <c r="H168" t="s">
        <v>725</v>
      </c>
      <c r="P168">
        <v>6</v>
      </c>
    </row>
    <row r="169" spans="1:16" x14ac:dyDescent="0.25">
      <c r="A169">
        <v>52</v>
      </c>
      <c r="B169" t="s">
        <v>664</v>
      </c>
      <c r="C169" t="s">
        <v>756</v>
      </c>
      <c r="D169" t="s">
        <v>735</v>
      </c>
      <c r="E169" t="s">
        <v>719</v>
      </c>
      <c r="F169" t="s">
        <v>720</v>
      </c>
      <c r="G169" t="s">
        <v>719</v>
      </c>
      <c r="H169" t="s">
        <v>756</v>
      </c>
      <c r="P169">
        <v>8</v>
      </c>
    </row>
    <row r="170" spans="1:16" x14ac:dyDescent="0.25">
      <c r="A170">
        <v>53</v>
      </c>
      <c r="B170" t="s">
        <v>664</v>
      </c>
      <c r="C170" t="s">
        <v>756</v>
      </c>
      <c r="D170" t="s">
        <v>735</v>
      </c>
      <c r="E170" t="s">
        <v>719</v>
      </c>
      <c r="F170" t="s">
        <v>720</v>
      </c>
      <c r="G170" t="s">
        <v>719</v>
      </c>
      <c r="H170" t="s">
        <v>756</v>
      </c>
      <c r="P170">
        <v>8</v>
      </c>
    </row>
    <row r="171" spans="1:16" x14ac:dyDescent="0.25">
      <c r="A171">
        <v>54</v>
      </c>
      <c r="B171" t="s">
        <v>664</v>
      </c>
      <c r="C171" t="s">
        <v>756</v>
      </c>
      <c r="D171" t="s">
        <v>735</v>
      </c>
      <c r="E171" t="s">
        <v>719</v>
      </c>
      <c r="F171" t="s">
        <v>720</v>
      </c>
      <c r="G171" t="s">
        <v>719</v>
      </c>
      <c r="H171" t="s">
        <v>756</v>
      </c>
      <c r="P171">
        <v>8</v>
      </c>
    </row>
    <row r="172" spans="1:16" x14ac:dyDescent="0.25">
      <c r="A172">
        <v>55</v>
      </c>
      <c r="B172" t="s">
        <v>664</v>
      </c>
      <c r="C172" t="s">
        <v>756</v>
      </c>
      <c r="D172" t="s">
        <v>735</v>
      </c>
      <c r="E172" t="s">
        <v>719</v>
      </c>
      <c r="F172" t="s">
        <v>720</v>
      </c>
      <c r="G172" t="s">
        <v>719</v>
      </c>
      <c r="H172" t="s">
        <v>756</v>
      </c>
      <c r="P172">
        <v>8</v>
      </c>
    </row>
    <row r="173" spans="1:16" x14ac:dyDescent="0.25">
      <c r="A173">
        <v>56</v>
      </c>
      <c r="B173" t="s">
        <v>664</v>
      </c>
      <c r="C173" t="s">
        <v>745</v>
      </c>
      <c r="D173" t="s">
        <v>746</v>
      </c>
      <c r="E173" t="s">
        <v>719</v>
      </c>
      <c r="F173" t="s">
        <v>720</v>
      </c>
      <c r="G173" t="s">
        <v>719</v>
      </c>
      <c r="H173" t="s">
        <v>747</v>
      </c>
      <c r="P173">
        <v>10</v>
      </c>
    </row>
    <row r="174" spans="1:16" x14ac:dyDescent="0.25">
      <c r="A174">
        <v>57</v>
      </c>
      <c r="B174" t="s">
        <v>664</v>
      </c>
      <c r="C174" t="s">
        <v>733</v>
      </c>
      <c r="D174" t="s">
        <v>723</v>
      </c>
      <c r="E174" t="s">
        <v>719</v>
      </c>
      <c r="F174" t="s">
        <v>720</v>
      </c>
      <c r="G174" t="s">
        <v>719</v>
      </c>
      <c r="H174" t="s">
        <v>725</v>
      </c>
      <c r="P174">
        <v>6</v>
      </c>
    </row>
    <row r="175" spans="1:16" x14ac:dyDescent="0.25">
      <c r="A175">
        <v>58</v>
      </c>
      <c r="B175" t="s">
        <v>664</v>
      </c>
      <c r="C175" t="s">
        <v>733</v>
      </c>
      <c r="D175" t="s">
        <v>723</v>
      </c>
      <c r="E175" t="s">
        <v>719</v>
      </c>
      <c r="F175" t="s">
        <v>720</v>
      </c>
      <c r="G175" t="s">
        <v>719</v>
      </c>
      <c r="H175" t="s">
        <v>725</v>
      </c>
      <c r="P175">
        <v>6</v>
      </c>
    </row>
    <row r="176" spans="1:16" x14ac:dyDescent="0.25">
      <c r="A176">
        <v>59</v>
      </c>
      <c r="B176" t="s">
        <v>664</v>
      </c>
      <c r="C176" t="s">
        <v>733</v>
      </c>
      <c r="D176" t="s">
        <v>723</v>
      </c>
      <c r="E176" t="s">
        <v>719</v>
      </c>
      <c r="F176" t="s">
        <v>720</v>
      </c>
      <c r="G176" t="s">
        <v>719</v>
      </c>
      <c r="H176" t="s">
        <v>725</v>
      </c>
      <c r="P176">
        <v>6</v>
      </c>
    </row>
    <row r="177" spans="1:16" x14ac:dyDescent="0.25">
      <c r="A177">
        <v>6</v>
      </c>
      <c r="B177" t="s">
        <v>664</v>
      </c>
      <c r="C177" t="s">
        <v>726</v>
      </c>
      <c r="D177" t="s">
        <v>727</v>
      </c>
      <c r="E177" t="s">
        <v>719</v>
      </c>
      <c r="F177" t="s">
        <v>720</v>
      </c>
      <c r="G177" t="s">
        <v>719</v>
      </c>
      <c r="H177" t="s">
        <v>728</v>
      </c>
      <c r="P177">
        <v>12</v>
      </c>
    </row>
    <row r="178" spans="1:16" x14ac:dyDescent="0.25">
      <c r="A178">
        <v>60</v>
      </c>
      <c r="B178" t="s">
        <v>664</v>
      </c>
      <c r="C178" t="s">
        <v>717</v>
      </c>
      <c r="D178" t="s">
        <v>718</v>
      </c>
      <c r="E178" t="s">
        <v>719</v>
      </c>
      <c r="F178" t="s">
        <v>720</v>
      </c>
      <c r="G178" t="s">
        <v>719</v>
      </c>
      <c r="H178" t="s">
        <v>721</v>
      </c>
      <c r="P178">
        <v>14</v>
      </c>
    </row>
    <row r="179" spans="1:16" x14ac:dyDescent="0.25">
      <c r="A179">
        <v>61</v>
      </c>
      <c r="B179" t="s">
        <v>664</v>
      </c>
      <c r="C179" t="s">
        <v>733</v>
      </c>
      <c r="D179" t="s">
        <v>723</v>
      </c>
      <c r="E179" t="s">
        <v>719</v>
      </c>
      <c r="F179" t="s">
        <v>720</v>
      </c>
      <c r="G179" t="s">
        <v>719</v>
      </c>
      <c r="H179" t="s">
        <v>725</v>
      </c>
      <c r="P179">
        <v>6</v>
      </c>
    </row>
    <row r="180" spans="1:16" x14ac:dyDescent="0.25">
      <c r="A180">
        <v>62</v>
      </c>
      <c r="B180" t="s">
        <v>664</v>
      </c>
      <c r="C180" t="s">
        <v>733</v>
      </c>
      <c r="D180" t="s">
        <v>723</v>
      </c>
      <c r="E180" t="s">
        <v>719</v>
      </c>
      <c r="F180" t="s">
        <v>720</v>
      </c>
      <c r="G180" t="s">
        <v>719</v>
      </c>
      <c r="H180" t="s">
        <v>725</v>
      </c>
      <c r="P180">
        <v>6</v>
      </c>
    </row>
    <row r="181" spans="1:16" x14ac:dyDescent="0.25">
      <c r="A181">
        <v>63</v>
      </c>
      <c r="B181" t="s">
        <v>664</v>
      </c>
      <c r="C181" t="s">
        <v>717</v>
      </c>
      <c r="D181" t="s">
        <v>718</v>
      </c>
      <c r="E181" t="s">
        <v>719</v>
      </c>
      <c r="F181" t="s">
        <v>720</v>
      </c>
      <c r="G181" t="s">
        <v>719</v>
      </c>
      <c r="H181" t="s">
        <v>721</v>
      </c>
      <c r="P181">
        <v>14</v>
      </c>
    </row>
    <row r="182" spans="1:16" x14ac:dyDescent="0.25">
      <c r="A182">
        <v>64</v>
      </c>
      <c r="B182" t="s">
        <v>667</v>
      </c>
      <c r="C182" t="s">
        <v>740</v>
      </c>
      <c r="D182" t="s">
        <v>741</v>
      </c>
      <c r="E182" t="s">
        <v>719</v>
      </c>
      <c r="F182" t="s">
        <v>720</v>
      </c>
      <c r="G182" t="s">
        <v>719</v>
      </c>
      <c r="H182" t="s">
        <v>740</v>
      </c>
      <c r="P182">
        <v>10</v>
      </c>
    </row>
    <row r="183" spans="1:16" x14ac:dyDescent="0.25">
      <c r="A183">
        <v>64</v>
      </c>
      <c r="B183" t="s">
        <v>670</v>
      </c>
      <c r="C183" t="s">
        <v>742</v>
      </c>
      <c r="D183" t="s">
        <v>743</v>
      </c>
      <c r="E183" t="s">
        <v>719</v>
      </c>
      <c r="F183" t="s">
        <v>720</v>
      </c>
      <c r="G183" t="s">
        <v>719</v>
      </c>
      <c r="H183" t="s">
        <v>742</v>
      </c>
      <c r="P183">
        <v>6</v>
      </c>
    </row>
    <row r="184" spans="1:16" x14ac:dyDescent="0.25">
      <c r="A184">
        <v>64</v>
      </c>
      <c r="B184" t="s">
        <v>672</v>
      </c>
      <c r="C184" t="s">
        <v>742</v>
      </c>
      <c r="D184" t="s">
        <v>743</v>
      </c>
      <c r="E184" t="s">
        <v>719</v>
      </c>
      <c r="F184" t="s">
        <v>720</v>
      </c>
      <c r="G184" t="s">
        <v>719</v>
      </c>
      <c r="H184" t="s">
        <v>742</v>
      </c>
      <c r="P184">
        <v>6</v>
      </c>
    </row>
    <row r="185" spans="1:16" x14ac:dyDescent="0.25">
      <c r="A185">
        <v>64</v>
      </c>
      <c r="B185" t="s">
        <v>674</v>
      </c>
      <c r="C185" t="s">
        <v>742</v>
      </c>
      <c r="D185" t="s">
        <v>743</v>
      </c>
      <c r="E185" t="s">
        <v>719</v>
      </c>
      <c r="F185" t="s">
        <v>720</v>
      </c>
      <c r="G185" t="s">
        <v>719</v>
      </c>
      <c r="H185" t="s">
        <v>742</v>
      </c>
      <c r="P185">
        <v>6</v>
      </c>
    </row>
    <row r="186" spans="1:16" x14ac:dyDescent="0.25">
      <c r="A186">
        <v>64</v>
      </c>
      <c r="B186" t="s">
        <v>676</v>
      </c>
      <c r="C186" t="s">
        <v>742</v>
      </c>
      <c r="D186" t="s">
        <v>743</v>
      </c>
      <c r="E186" t="s">
        <v>719</v>
      </c>
      <c r="F186" t="s">
        <v>720</v>
      </c>
      <c r="G186" t="s">
        <v>719</v>
      </c>
      <c r="H186" t="s">
        <v>742</v>
      </c>
      <c r="P186">
        <v>6</v>
      </c>
    </row>
    <row r="187" spans="1:16" x14ac:dyDescent="0.25">
      <c r="A187">
        <v>64</v>
      </c>
      <c r="B187" t="s">
        <v>678</v>
      </c>
      <c r="C187" t="s">
        <v>742</v>
      </c>
      <c r="D187" t="s">
        <v>743</v>
      </c>
      <c r="E187" t="s">
        <v>719</v>
      </c>
      <c r="F187" t="s">
        <v>720</v>
      </c>
      <c r="G187" t="s">
        <v>719</v>
      </c>
      <c r="H187" t="s">
        <v>742</v>
      </c>
      <c r="P187">
        <v>6</v>
      </c>
    </row>
    <row r="188" spans="1:16" x14ac:dyDescent="0.25">
      <c r="A188">
        <v>64</v>
      </c>
      <c r="B188" t="s">
        <v>680</v>
      </c>
      <c r="C188" t="s">
        <v>742</v>
      </c>
      <c r="D188" t="s">
        <v>743</v>
      </c>
      <c r="E188" t="s">
        <v>719</v>
      </c>
      <c r="F188" t="s">
        <v>720</v>
      </c>
      <c r="G188" t="s">
        <v>719</v>
      </c>
      <c r="H188" t="s">
        <v>742</v>
      </c>
      <c r="P188">
        <v>6</v>
      </c>
    </row>
    <row r="189" spans="1:16" x14ac:dyDescent="0.25">
      <c r="A189">
        <v>64</v>
      </c>
      <c r="B189" t="s">
        <v>682</v>
      </c>
      <c r="C189" t="s">
        <v>742</v>
      </c>
      <c r="D189" t="s">
        <v>743</v>
      </c>
      <c r="E189" t="s">
        <v>719</v>
      </c>
      <c r="F189" t="s">
        <v>720</v>
      </c>
      <c r="G189" t="s">
        <v>719</v>
      </c>
      <c r="H189" t="s">
        <v>742</v>
      </c>
      <c r="P189">
        <v>6</v>
      </c>
    </row>
    <row r="190" spans="1:16" x14ac:dyDescent="0.25">
      <c r="A190">
        <v>64</v>
      </c>
      <c r="B190" t="s">
        <v>684</v>
      </c>
      <c r="C190" t="s">
        <v>742</v>
      </c>
      <c r="D190" t="s">
        <v>743</v>
      </c>
      <c r="E190" t="s">
        <v>719</v>
      </c>
      <c r="F190" t="s">
        <v>720</v>
      </c>
      <c r="G190" t="s">
        <v>719</v>
      </c>
      <c r="H190" t="s">
        <v>742</v>
      </c>
      <c r="P190">
        <v>6</v>
      </c>
    </row>
    <row r="191" spans="1:16" x14ac:dyDescent="0.25">
      <c r="A191">
        <v>64</v>
      </c>
      <c r="B191" t="s">
        <v>686</v>
      </c>
      <c r="C191" t="s">
        <v>742</v>
      </c>
      <c r="D191" t="s">
        <v>743</v>
      </c>
      <c r="E191" t="s">
        <v>719</v>
      </c>
      <c r="F191" t="s">
        <v>720</v>
      </c>
      <c r="G191" t="s">
        <v>719</v>
      </c>
      <c r="H191" t="s">
        <v>742</v>
      </c>
      <c r="P191">
        <v>6</v>
      </c>
    </row>
    <row r="192" spans="1:16" x14ac:dyDescent="0.25">
      <c r="A192">
        <v>64</v>
      </c>
      <c r="B192" t="s">
        <v>688</v>
      </c>
      <c r="C192" t="s">
        <v>742</v>
      </c>
      <c r="D192" t="s">
        <v>744</v>
      </c>
      <c r="E192" t="s">
        <v>719</v>
      </c>
      <c r="F192" t="s">
        <v>720</v>
      </c>
      <c r="G192" t="s">
        <v>719</v>
      </c>
      <c r="H192" t="s">
        <v>742</v>
      </c>
      <c r="P192">
        <v>10</v>
      </c>
    </row>
    <row r="193" spans="1:16" x14ac:dyDescent="0.25">
      <c r="A193">
        <v>65</v>
      </c>
      <c r="B193" t="s">
        <v>667</v>
      </c>
      <c r="C193" t="s">
        <v>740</v>
      </c>
      <c r="D193" t="s">
        <v>741</v>
      </c>
      <c r="E193" t="s">
        <v>719</v>
      </c>
      <c r="F193" t="s">
        <v>720</v>
      </c>
      <c r="G193" t="s">
        <v>719</v>
      </c>
      <c r="H193" t="s">
        <v>740</v>
      </c>
      <c r="P193">
        <v>10</v>
      </c>
    </row>
    <row r="194" spans="1:16" x14ac:dyDescent="0.25">
      <c r="A194">
        <v>65</v>
      </c>
      <c r="B194" t="s">
        <v>670</v>
      </c>
      <c r="C194" t="s">
        <v>742</v>
      </c>
      <c r="D194" t="s">
        <v>743</v>
      </c>
      <c r="E194" t="s">
        <v>719</v>
      </c>
      <c r="F194" t="s">
        <v>720</v>
      </c>
      <c r="G194" t="s">
        <v>719</v>
      </c>
      <c r="H194" t="s">
        <v>742</v>
      </c>
      <c r="P194">
        <v>6</v>
      </c>
    </row>
    <row r="195" spans="1:16" x14ac:dyDescent="0.25">
      <c r="A195">
        <v>65</v>
      </c>
      <c r="B195" t="s">
        <v>672</v>
      </c>
      <c r="C195" t="s">
        <v>742</v>
      </c>
      <c r="D195" t="s">
        <v>743</v>
      </c>
      <c r="E195" t="s">
        <v>719</v>
      </c>
      <c r="F195" t="s">
        <v>720</v>
      </c>
      <c r="G195" t="s">
        <v>719</v>
      </c>
      <c r="H195" t="s">
        <v>742</v>
      </c>
      <c r="P195">
        <v>6</v>
      </c>
    </row>
    <row r="196" spans="1:16" x14ac:dyDescent="0.25">
      <c r="A196">
        <v>65</v>
      </c>
      <c r="B196" t="s">
        <v>674</v>
      </c>
      <c r="C196" t="s">
        <v>742</v>
      </c>
      <c r="D196" t="s">
        <v>743</v>
      </c>
      <c r="E196" t="s">
        <v>719</v>
      </c>
      <c r="F196" t="s">
        <v>720</v>
      </c>
      <c r="G196" t="s">
        <v>719</v>
      </c>
      <c r="H196" t="s">
        <v>742</v>
      </c>
      <c r="P196">
        <v>6</v>
      </c>
    </row>
    <row r="197" spans="1:16" x14ac:dyDescent="0.25">
      <c r="A197">
        <v>65</v>
      </c>
      <c r="B197" t="s">
        <v>676</v>
      </c>
      <c r="C197" t="s">
        <v>742</v>
      </c>
      <c r="D197" t="s">
        <v>743</v>
      </c>
      <c r="E197" t="s">
        <v>719</v>
      </c>
      <c r="F197" t="s">
        <v>720</v>
      </c>
      <c r="G197" t="s">
        <v>719</v>
      </c>
      <c r="H197" t="s">
        <v>742</v>
      </c>
      <c r="P197">
        <v>6</v>
      </c>
    </row>
    <row r="198" spans="1:16" x14ac:dyDescent="0.25">
      <c r="A198">
        <v>65</v>
      </c>
      <c r="B198" t="s">
        <v>678</v>
      </c>
      <c r="C198" t="s">
        <v>742</v>
      </c>
      <c r="D198" t="s">
        <v>743</v>
      </c>
      <c r="E198" t="s">
        <v>719</v>
      </c>
      <c r="F198" t="s">
        <v>720</v>
      </c>
      <c r="G198" t="s">
        <v>719</v>
      </c>
      <c r="H198" t="s">
        <v>742</v>
      </c>
      <c r="P198">
        <v>6</v>
      </c>
    </row>
    <row r="199" spans="1:16" x14ac:dyDescent="0.25">
      <c r="A199">
        <v>65</v>
      </c>
      <c r="B199" t="s">
        <v>680</v>
      </c>
      <c r="C199" t="s">
        <v>742</v>
      </c>
      <c r="D199" t="s">
        <v>743</v>
      </c>
      <c r="E199" t="s">
        <v>719</v>
      </c>
      <c r="F199" t="s">
        <v>720</v>
      </c>
      <c r="G199" t="s">
        <v>719</v>
      </c>
      <c r="H199" t="s">
        <v>742</v>
      </c>
      <c r="P199">
        <v>6</v>
      </c>
    </row>
    <row r="200" spans="1:16" x14ac:dyDescent="0.25">
      <c r="A200">
        <v>65</v>
      </c>
      <c r="B200" t="s">
        <v>682</v>
      </c>
      <c r="C200" t="s">
        <v>742</v>
      </c>
      <c r="D200" t="s">
        <v>743</v>
      </c>
      <c r="E200" t="s">
        <v>719</v>
      </c>
      <c r="F200" t="s">
        <v>720</v>
      </c>
      <c r="G200" t="s">
        <v>719</v>
      </c>
      <c r="H200" t="s">
        <v>742</v>
      </c>
      <c r="P200">
        <v>6</v>
      </c>
    </row>
    <row r="201" spans="1:16" x14ac:dyDescent="0.25">
      <c r="A201">
        <v>65</v>
      </c>
      <c r="B201" t="s">
        <v>684</v>
      </c>
      <c r="C201" t="s">
        <v>742</v>
      </c>
      <c r="D201" t="s">
        <v>743</v>
      </c>
      <c r="E201" t="s">
        <v>719</v>
      </c>
      <c r="F201" t="s">
        <v>720</v>
      </c>
      <c r="G201" t="s">
        <v>719</v>
      </c>
      <c r="H201" t="s">
        <v>742</v>
      </c>
      <c r="P201">
        <v>6</v>
      </c>
    </row>
    <row r="202" spans="1:16" x14ac:dyDescent="0.25">
      <c r="A202">
        <v>65</v>
      </c>
      <c r="B202" t="s">
        <v>686</v>
      </c>
      <c r="C202" t="s">
        <v>742</v>
      </c>
      <c r="D202" t="s">
        <v>743</v>
      </c>
      <c r="E202" t="s">
        <v>719</v>
      </c>
      <c r="F202" t="s">
        <v>720</v>
      </c>
      <c r="G202" t="s">
        <v>719</v>
      </c>
      <c r="H202" t="s">
        <v>742</v>
      </c>
      <c r="P202">
        <v>6</v>
      </c>
    </row>
    <row r="203" spans="1:16" x14ac:dyDescent="0.25">
      <c r="A203">
        <v>65</v>
      </c>
      <c r="B203" t="s">
        <v>688</v>
      </c>
      <c r="C203" t="s">
        <v>742</v>
      </c>
      <c r="D203" t="s">
        <v>744</v>
      </c>
      <c r="E203" t="s">
        <v>719</v>
      </c>
      <c r="F203" t="s">
        <v>720</v>
      </c>
      <c r="G203" t="s">
        <v>719</v>
      </c>
      <c r="H203" t="s">
        <v>742</v>
      </c>
      <c r="P203">
        <v>10</v>
      </c>
    </row>
    <row r="204" spans="1:16" x14ac:dyDescent="0.25">
      <c r="A204">
        <v>66</v>
      </c>
      <c r="B204" t="s">
        <v>667</v>
      </c>
      <c r="C204" t="s">
        <v>740</v>
      </c>
      <c r="D204" t="s">
        <v>741</v>
      </c>
      <c r="E204" t="s">
        <v>719</v>
      </c>
      <c r="F204" t="s">
        <v>720</v>
      </c>
      <c r="G204" t="s">
        <v>719</v>
      </c>
      <c r="H204" t="s">
        <v>740</v>
      </c>
      <c r="P204">
        <v>10</v>
      </c>
    </row>
    <row r="205" spans="1:16" x14ac:dyDescent="0.25">
      <c r="A205">
        <v>66</v>
      </c>
      <c r="B205" t="s">
        <v>670</v>
      </c>
      <c r="C205" t="s">
        <v>742</v>
      </c>
      <c r="D205" t="s">
        <v>743</v>
      </c>
      <c r="E205" t="s">
        <v>719</v>
      </c>
      <c r="F205" t="s">
        <v>720</v>
      </c>
      <c r="G205" t="s">
        <v>719</v>
      </c>
      <c r="H205" t="s">
        <v>742</v>
      </c>
      <c r="P205">
        <v>6</v>
      </c>
    </row>
    <row r="206" spans="1:16" x14ac:dyDescent="0.25">
      <c r="A206">
        <v>66</v>
      </c>
      <c r="B206" t="s">
        <v>672</v>
      </c>
      <c r="C206" t="s">
        <v>742</v>
      </c>
      <c r="D206" t="s">
        <v>743</v>
      </c>
      <c r="E206" t="s">
        <v>719</v>
      </c>
      <c r="F206" t="s">
        <v>720</v>
      </c>
      <c r="G206" t="s">
        <v>719</v>
      </c>
      <c r="H206" t="s">
        <v>742</v>
      </c>
      <c r="P206">
        <v>6</v>
      </c>
    </row>
    <row r="207" spans="1:16" x14ac:dyDescent="0.25">
      <c r="A207">
        <v>66</v>
      </c>
      <c r="B207" t="s">
        <v>674</v>
      </c>
      <c r="C207" t="s">
        <v>742</v>
      </c>
      <c r="D207" t="s">
        <v>743</v>
      </c>
      <c r="E207" t="s">
        <v>719</v>
      </c>
      <c r="F207" t="s">
        <v>720</v>
      </c>
      <c r="G207" t="s">
        <v>719</v>
      </c>
      <c r="H207" t="s">
        <v>742</v>
      </c>
      <c r="P207">
        <v>6</v>
      </c>
    </row>
    <row r="208" spans="1:16" x14ac:dyDescent="0.25">
      <c r="A208">
        <v>66</v>
      </c>
      <c r="B208" t="s">
        <v>676</v>
      </c>
      <c r="C208" t="s">
        <v>742</v>
      </c>
      <c r="D208" t="s">
        <v>743</v>
      </c>
      <c r="E208" t="s">
        <v>719</v>
      </c>
      <c r="F208" t="s">
        <v>720</v>
      </c>
      <c r="G208" t="s">
        <v>719</v>
      </c>
      <c r="H208" t="s">
        <v>742</v>
      </c>
      <c r="P208">
        <v>6</v>
      </c>
    </row>
    <row r="209" spans="1:16" x14ac:dyDescent="0.25">
      <c r="A209">
        <v>66</v>
      </c>
      <c r="B209" t="s">
        <v>678</v>
      </c>
      <c r="C209" t="s">
        <v>742</v>
      </c>
      <c r="D209" t="s">
        <v>743</v>
      </c>
      <c r="E209" t="s">
        <v>719</v>
      </c>
      <c r="F209" t="s">
        <v>720</v>
      </c>
      <c r="G209" t="s">
        <v>719</v>
      </c>
      <c r="H209" t="s">
        <v>742</v>
      </c>
      <c r="P209">
        <v>6</v>
      </c>
    </row>
    <row r="210" spans="1:16" x14ac:dyDescent="0.25">
      <c r="A210">
        <v>66</v>
      </c>
      <c r="B210" t="s">
        <v>680</v>
      </c>
      <c r="C210" t="s">
        <v>742</v>
      </c>
      <c r="D210" t="s">
        <v>743</v>
      </c>
      <c r="E210" t="s">
        <v>719</v>
      </c>
      <c r="F210" t="s">
        <v>720</v>
      </c>
      <c r="G210" t="s">
        <v>719</v>
      </c>
      <c r="H210" t="s">
        <v>742</v>
      </c>
      <c r="P210">
        <v>6</v>
      </c>
    </row>
    <row r="211" spans="1:16" x14ac:dyDescent="0.25">
      <c r="A211">
        <v>66</v>
      </c>
      <c r="B211" t="s">
        <v>682</v>
      </c>
      <c r="C211" t="s">
        <v>742</v>
      </c>
      <c r="D211" t="s">
        <v>743</v>
      </c>
      <c r="E211" t="s">
        <v>719</v>
      </c>
      <c r="F211" t="s">
        <v>720</v>
      </c>
      <c r="G211" t="s">
        <v>719</v>
      </c>
      <c r="H211" t="s">
        <v>742</v>
      </c>
      <c r="P211">
        <v>6</v>
      </c>
    </row>
    <row r="212" spans="1:16" x14ac:dyDescent="0.25">
      <c r="A212">
        <v>66</v>
      </c>
      <c r="B212" t="s">
        <v>684</v>
      </c>
      <c r="C212" t="s">
        <v>742</v>
      </c>
      <c r="D212" t="s">
        <v>743</v>
      </c>
      <c r="E212" t="s">
        <v>719</v>
      </c>
      <c r="F212" t="s">
        <v>720</v>
      </c>
      <c r="G212" t="s">
        <v>719</v>
      </c>
      <c r="H212" t="s">
        <v>742</v>
      </c>
      <c r="P212">
        <v>6</v>
      </c>
    </row>
    <row r="213" spans="1:16" x14ac:dyDescent="0.25">
      <c r="A213">
        <v>66</v>
      </c>
      <c r="B213" t="s">
        <v>686</v>
      </c>
      <c r="C213" t="s">
        <v>742</v>
      </c>
      <c r="D213" t="s">
        <v>743</v>
      </c>
      <c r="E213" t="s">
        <v>719</v>
      </c>
      <c r="F213" t="s">
        <v>720</v>
      </c>
      <c r="G213" t="s">
        <v>719</v>
      </c>
      <c r="H213" t="s">
        <v>742</v>
      </c>
      <c r="P213">
        <v>6</v>
      </c>
    </row>
    <row r="214" spans="1:16" x14ac:dyDescent="0.25">
      <c r="A214">
        <v>66</v>
      </c>
      <c r="B214" t="s">
        <v>688</v>
      </c>
      <c r="C214" t="s">
        <v>742</v>
      </c>
      <c r="D214" t="s">
        <v>744</v>
      </c>
      <c r="E214" t="s">
        <v>719</v>
      </c>
      <c r="F214" t="s">
        <v>720</v>
      </c>
      <c r="G214" t="s">
        <v>719</v>
      </c>
      <c r="H214" t="s">
        <v>742</v>
      </c>
      <c r="P214">
        <v>10</v>
      </c>
    </row>
    <row r="215" spans="1:16" x14ac:dyDescent="0.25">
      <c r="A215">
        <v>67</v>
      </c>
      <c r="B215" t="s">
        <v>667</v>
      </c>
      <c r="C215" t="s">
        <v>740</v>
      </c>
      <c r="D215" t="s">
        <v>741</v>
      </c>
      <c r="E215" t="s">
        <v>719</v>
      </c>
      <c r="F215" t="s">
        <v>720</v>
      </c>
      <c r="G215" t="s">
        <v>719</v>
      </c>
      <c r="H215" t="s">
        <v>740</v>
      </c>
      <c r="P215">
        <v>10</v>
      </c>
    </row>
    <row r="216" spans="1:16" x14ac:dyDescent="0.25">
      <c r="A216">
        <v>67</v>
      </c>
      <c r="B216" t="s">
        <v>670</v>
      </c>
      <c r="C216" t="s">
        <v>742</v>
      </c>
      <c r="D216" t="s">
        <v>743</v>
      </c>
      <c r="E216" t="s">
        <v>719</v>
      </c>
      <c r="F216" t="s">
        <v>720</v>
      </c>
      <c r="G216" t="s">
        <v>719</v>
      </c>
      <c r="H216" t="s">
        <v>742</v>
      </c>
      <c r="P216">
        <v>6</v>
      </c>
    </row>
    <row r="217" spans="1:16" x14ac:dyDescent="0.25">
      <c r="A217">
        <v>67</v>
      </c>
      <c r="B217" t="s">
        <v>672</v>
      </c>
      <c r="C217" t="s">
        <v>742</v>
      </c>
      <c r="D217" t="s">
        <v>743</v>
      </c>
      <c r="E217" t="s">
        <v>719</v>
      </c>
      <c r="F217" t="s">
        <v>720</v>
      </c>
      <c r="G217" t="s">
        <v>719</v>
      </c>
      <c r="H217" t="s">
        <v>742</v>
      </c>
      <c r="P217">
        <v>6</v>
      </c>
    </row>
    <row r="218" spans="1:16" x14ac:dyDescent="0.25">
      <c r="A218">
        <v>67</v>
      </c>
      <c r="B218" t="s">
        <v>674</v>
      </c>
      <c r="C218" t="s">
        <v>742</v>
      </c>
      <c r="D218" t="s">
        <v>743</v>
      </c>
      <c r="E218" t="s">
        <v>719</v>
      </c>
      <c r="F218" t="s">
        <v>720</v>
      </c>
      <c r="G218" t="s">
        <v>719</v>
      </c>
      <c r="H218" t="s">
        <v>742</v>
      </c>
      <c r="P218">
        <v>6</v>
      </c>
    </row>
    <row r="219" spans="1:16" x14ac:dyDescent="0.25">
      <c r="A219">
        <v>67</v>
      </c>
      <c r="B219" t="s">
        <v>676</v>
      </c>
      <c r="C219" t="s">
        <v>742</v>
      </c>
      <c r="D219" t="s">
        <v>743</v>
      </c>
      <c r="E219" t="s">
        <v>719</v>
      </c>
      <c r="F219" t="s">
        <v>720</v>
      </c>
      <c r="G219" t="s">
        <v>719</v>
      </c>
      <c r="H219" t="s">
        <v>742</v>
      </c>
      <c r="P219">
        <v>6</v>
      </c>
    </row>
    <row r="220" spans="1:16" x14ac:dyDescent="0.25">
      <c r="A220">
        <v>67</v>
      </c>
      <c r="B220" t="s">
        <v>678</v>
      </c>
      <c r="C220" t="s">
        <v>742</v>
      </c>
      <c r="D220" t="s">
        <v>743</v>
      </c>
      <c r="E220" t="s">
        <v>719</v>
      </c>
      <c r="F220" t="s">
        <v>720</v>
      </c>
      <c r="G220" t="s">
        <v>719</v>
      </c>
      <c r="H220" t="s">
        <v>742</v>
      </c>
      <c r="P220">
        <v>6</v>
      </c>
    </row>
    <row r="221" spans="1:16" x14ac:dyDescent="0.25">
      <c r="A221">
        <v>67</v>
      </c>
      <c r="B221" t="s">
        <v>680</v>
      </c>
      <c r="C221" t="s">
        <v>742</v>
      </c>
      <c r="D221" t="s">
        <v>743</v>
      </c>
      <c r="E221" t="s">
        <v>719</v>
      </c>
      <c r="F221" t="s">
        <v>720</v>
      </c>
      <c r="G221" t="s">
        <v>719</v>
      </c>
      <c r="H221" t="s">
        <v>742</v>
      </c>
      <c r="P221">
        <v>6</v>
      </c>
    </row>
    <row r="222" spans="1:16" x14ac:dyDescent="0.25">
      <c r="A222">
        <v>67</v>
      </c>
      <c r="B222" t="s">
        <v>682</v>
      </c>
      <c r="C222" t="s">
        <v>742</v>
      </c>
      <c r="D222" t="s">
        <v>743</v>
      </c>
      <c r="E222" t="s">
        <v>719</v>
      </c>
      <c r="F222" t="s">
        <v>720</v>
      </c>
      <c r="G222" t="s">
        <v>719</v>
      </c>
      <c r="H222" t="s">
        <v>742</v>
      </c>
      <c r="P222">
        <v>6</v>
      </c>
    </row>
    <row r="223" spans="1:16" x14ac:dyDescent="0.25">
      <c r="A223">
        <v>67</v>
      </c>
      <c r="B223" t="s">
        <v>684</v>
      </c>
      <c r="C223" t="s">
        <v>742</v>
      </c>
      <c r="D223" t="s">
        <v>743</v>
      </c>
      <c r="E223" t="s">
        <v>719</v>
      </c>
      <c r="F223" t="s">
        <v>720</v>
      </c>
      <c r="G223" t="s">
        <v>719</v>
      </c>
      <c r="H223" t="s">
        <v>742</v>
      </c>
      <c r="P223">
        <v>6</v>
      </c>
    </row>
    <row r="224" spans="1:16" x14ac:dyDescent="0.25">
      <c r="A224">
        <v>67</v>
      </c>
      <c r="B224" t="s">
        <v>686</v>
      </c>
      <c r="C224" t="s">
        <v>742</v>
      </c>
      <c r="D224" t="s">
        <v>743</v>
      </c>
      <c r="E224" t="s">
        <v>719</v>
      </c>
      <c r="F224" t="s">
        <v>720</v>
      </c>
      <c r="G224" t="s">
        <v>719</v>
      </c>
      <c r="H224" t="s">
        <v>742</v>
      </c>
      <c r="P224">
        <v>6</v>
      </c>
    </row>
    <row r="225" spans="1:16" x14ac:dyDescent="0.25">
      <c r="A225">
        <v>67</v>
      </c>
      <c r="B225" t="s">
        <v>688</v>
      </c>
      <c r="C225" t="s">
        <v>742</v>
      </c>
      <c r="D225" t="s">
        <v>744</v>
      </c>
      <c r="E225" t="s">
        <v>719</v>
      </c>
      <c r="F225" t="s">
        <v>720</v>
      </c>
      <c r="G225" t="s">
        <v>719</v>
      </c>
      <c r="H225" t="s">
        <v>742</v>
      </c>
      <c r="P225">
        <v>10</v>
      </c>
    </row>
    <row r="226" spans="1:16" x14ac:dyDescent="0.25">
      <c r="A226">
        <v>7</v>
      </c>
      <c r="B226" t="s">
        <v>664</v>
      </c>
      <c r="C226" t="s">
        <v>726</v>
      </c>
      <c r="D226" t="s">
        <v>727</v>
      </c>
      <c r="E226" t="s">
        <v>719</v>
      </c>
      <c r="F226" t="s">
        <v>720</v>
      </c>
      <c r="G226" t="s">
        <v>719</v>
      </c>
      <c r="H226" t="s">
        <v>728</v>
      </c>
      <c r="P226">
        <v>12</v>
      </c>
    </row>
    <row r="227" spans="1:16" x14ac:dyDescent="0.25">
      <c r="A227">
        <v>8</v>
      </c>
      <c r="B227" t="s">
        <v>664</v>
      </c>
      <c r="C227" t="s">
        <v>726</v>
      </c>
      <c r="D227" t="s">
        <v>735</v>
      </c>
      <c r="E227" t="s">
        <v>719</v>
      </c>
      <c r="F227" t="s">
        <v>720</v>
      </c>
      <c r="G227" t="s">
        <v>719</v>
      </c>
      <c r="H227" t="s">
        <v>736</v>
      </c>
      <c r="P227">
        <v>8</v>
      </c>
    </row>
    <row r="228" spans="1:16" x14ac:dyDescent="0.25">
      <c r="A228">
        <v>9</v>
      </c>
      <c r="B228" t="s">
        <v>664</v>
      </c>
      <c r="C228" t="s">
        <v>733</v>
      </c>
      <c r="D228" t="s">
        <v>723</v>
      </c>
      <c r="E228" t="s">
        <v>719</v>
      </c>
      <c r="F228" t="s">
        <v>720</v>
      </c>
      <c r="G228" t="s">
        <v>719</v>
      </c>
      <c r="H228" t="s">
        <v>725</v>
      </c>
      <c r="P228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10"/>
  <sheetViews>
    <sheetView workbookViewId="0">
      <selection activeCell="P43" sqref="P43"/>
    </sheetView>
  </sheetViews>
  <sheetFormatPr defaultColWidth="6.5703125" defaultRowHeight="15" x14ac:dyDescent="0.25"/>
  <cols>
    <col min="1" max="2" width="4.7109375" bestFit="1" customWidth="1"/>
    <col min="3" max="3" width="5.28515625" bestFit="1" customWidth="1"/>
    <col min="4" max="4" width="4" bestFit="1" customWidth="1"/>
    <col min="5" max="6" width="5" bestFit="1" customWidth="1"/>
    <col min="7" max="7" width="10.140625" style="15" bestFit="1" customWidth="1"/>
    <col min="8" max="8" width="7.42578125" bestFit="1" customWidth="1"/>
    <col min="9" max="9" width="11.85546875" bestFit="1" customWidth="1"/>
    <col min="10" max="10" width="5.7109375" bestFit="1" customWidth="1"/>
    <col min="11" max="11" width="12" bestFit="1" customWidth="1"/>
    <col min="12" max="12" width="7.140625" bestFit="1" customWidth="1"/>
    <col min="13" max="13" width="9.140625" bestFit="1" customWidth="1"/>
    <col min="14" max="15" width="11.140625" bestFit="1" customWidth="1"/>
    <col min="16" max="16" width="9.28515625" bestFit="1" customWidth="1"/>
    <col min="17" max="18" width="11.28515625" bestFit="1" customWidth="1"/>
    <col min="19" max="19" width="7.7109375" bestFit="1" customWidth="1"/>
    <col min="20" max="20" width="4.42578125" bestFit="1" customWidth="1"/>
    <col min="21" max="21" width="14.42578125" bestFit="1" customWidth="1"/>
    <col min="22" max="22" width="14.5703125" bestFit="1" customWidth="1"/>
    <col min="23" max="23" width="8.140625" bestFit="1" customWidth="1"/>
    <col min="24" max="24" width="5.85546875" bestFit="1" customWidth="1"/>
    <col min="25" max="25" width="6" bestFit="1" customWidth="1"/>
    <col min="26" max="26" width="11.5703125" bestFit="1" customWidth="1"/>
    <col min="27" max="27" width="10.42578125" bestFit="1" customWidth="1"/>
    <col min="28" max="28" width="5.42578125" bestFit="1" customWidth="1"/>
  </cols>
  <sheetData>
    <row r="1" spans="1:28" x14ac:dyDescent="0.25">
      <c r="A1" s="74" t="s">
        <v>589</v>
      </c>
      <c r="B1" t="s">
        <v>590</v>
      </c>
      <c r="C1" t="s">
        <v>591</v>
      </c>
      <c r="D1" t="s">
        <v>54</v>
      </c>
      <c r="E1" t="s">
        <v>66</v>
      </c>
      <c r="F1" t="s">
        <v>64</v>
      </c>
      <c r="G1" s="15" t="s">
        <v>592</v>
      </c>
      <c r="H1" t="s">
        <v>593</v>
      </c>
      <c r="I1" t="s">
        <v>594</v>
      </c>
      <c r="J1" t="s">
        <v>333</v>
      </c>
      <c r="K1" t="s">
        <v>595</v>
      </c>
      <c r="L1" t="s">
        <v>596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597</v>
      </c>
      <c r="T1" t="s">
        <v>598</v>
      </c>
      <c r="U1" t="s">
        <v>599</v>
      </c>
      <c r="V1" t="s">
        <v>600</v>
      </c>
      <c r="W1" t="s">
        <v>601</v>
      </c>
      <c r="X1" t="s">
        <v>602</v>
      </c>
      <c r="Y1" t="s">
        <v>603</v>
      </c>
      <c r="Z1" t="s">
        <v>604</v>
      </c>
      <c r="AA1" t="s">
        <v>605</v>
      </c>
      <c r="AB1" t="s">
        <v>786</v>
      </c>
    </row>
    <row r="2" spans="1:28" x14ac:dyDescent="0.25">
      <c r="A2" t="s">
        <v>747</v>
      </c>
      <c r="B2">
        <v>3</v>
      </c>
      <c r="C2">
        <v>4</v>
      </c>
      <c r="D2">
        <v>3</v>
      </c>
      <c r="E2">
        <v>0</v>
      </c>
      <c r="F2">
        <v>5</v>
      </c>
      <c r="I2">
        <v>4</v>
      </c>
      <c r="J2">
        <v>0</v>
      </c>
      <c r="K2">
        <v>3</v>
      </c>
      <c r="L2">
        <v>0</v>
      </c>
      <c r="M2" t="s">
        <v>757</v>
      </c>
      <c r="N2" t="s">
        <v>64</v>
      </c>
      <c r="O2" t="s">
        <v>64</v>
      </c>
      <c r="P2" t="s">
        <v>758</v>
      </c>
      <c r="Q2" t="s">
        <v>759</v>
      </c>
      <c r="R2" t="s">
        <v>760</v>
      </c>
      <c r="S2">
        <v>10</v>
      </c>
      <c r="T2">
        <v>1</v>
      </c>
      <c r="U2" t="s">
        <v>63</v>
      </c>
      <c r="V2" t="s">
        <v>761</v>
      </c>
      <c r="W2" t="s">
        <v>71</v>
      </c>
    </row>
    <row r="3" spans="1:28" x14ac:dyDescent="0.25">
      <c r="A3" t="s">
        <v>728</v>
      </c>
      <c r="B3">
        <v>3</v>
      </c>
      <c r="C3">
        <v>5</v>
      </c>
      <c r="D3">
        <v>4</v>
      </c>
      <c r="E3">
        <v>0</v>
      </c>
      <c r="F3">
        <v>6</v>
      </c>
      <c r="I3">
        <v>5</v>
      </c>
      <c r="J3">
        <v>0</v>
      </c>
      <c r="K3">
        <v>3</v>
      </c>
      <c r="L3">
        <v>0</v>
      </c>
      <c r="M3" t="s">
        <v>762</v>
      </c>
      <c r="N3" t="s">
        <v>64</v>
      </c>
      <c r="O3" t="s">
        <v>64</v>
      </c>
      <c r="P3" t="s">
        <v>763</v>
      </c>
      <c r="Q3" t="s">
        <v>764</v>
      </c>
      <c r="R3" t="s">
        <v>765</v>
      </c>
      <c r="S3">
        <v>12</v>
      </c>
      <c r="T3">
        <v>1</v>
      </c>
      <c r="U3" t="s">
        <v>63</v>
      </c>
      <c r="V3" t="s">
        <v>766</v>
      </c>
      <c r="W3" t="s">
        <v>71</v>
      </c>
    </row>
    <row r="4" spans="1:28" x14ac:dyDescent="0.25">
      <c r="A4" t="s">
        <v>732</v>
      </c>
      <c r="B4">
        <v>4</v>
      </c>
      <c r="C4">
        <v>6</v>
      </c>
      <c r="D4">
        <v>6</v>
      </c>
      <c r="E4">
        <v>0</v>
      </c>
      <c r="F4">
        <v>8</v>
      </c>
      <c r="I4">
        <v>6</v>
      </c>
      <c r="J4">
        <v>0</v>
      </c>
      <c r="K4">
        <v>4</v>
      </c>
      <c r="L4">
        <v>0</v>
      </c>
      <c r="M4" t="s">
        <v>767</v>
      </c>
      <c r="N4" t="s">
        <v>64</v>
      </c>
      <c r="O4" t="s">
        <v>64</v>
      </c>
      <c r="P4" t="s">
        <v>768</v>
      </c>
      <c r="Q4" t="s">
        <v>769</v>
      </c>
      <c r="R4" t="s">
        <v>770</v>
      </c>
      <c r="S4">
        <v>16</v>
      </c>
      <c r="T4">
        <v>2</v>
      </c>
      <c r="U4" t="s">
        <v>63</v>
      </c>
      <c r="V4" t="s">
        <v>771</v>
      </c>
      <c r="W4" t="s">
        <v>71</v>
      </c>
    </row>
    <row r="5" spans="1:28" x14ac:dyDescent="0.25">
      <c r="A5" t="s">
        <v>725</v>
      </c>
      <c r="B5">
        <v>2</v>
      </c>
      <c r="C5">
        <v>3</v>
      </c>
      <c r="D5">
        <v>1</v>
      </c>
      <c r="E5">
        <v>0</v>
      </c>
      <c r="F5">
        <v>3</v>
      </c>
      <c r="I5">
        <v>3</v>
      </c>
      <c r="J5">
        <v>0</v>
      </c>
      <c r="K5">
        <v>2</v>
      </c>
      <c r="L5">
        <v>0</v>
      </c>
      <c r="M5" t="s">
        <v>772</v>
      </c>
      <c r="N5" t="s">
        <v>64</v>
      </c>
      <c r="O5" t="s">
        <v>64</v>
      </c>
      <c r="P5" t="s">
        <v>773</v>
      </c>
      <c r="Q5" t="s">
        <v>64</v>
      </c>
      <c r="R5" t="s">
        <v>54</v>
      </c>
      <c r="S5">
        <v>6</v>
      </c>
      <c r="U5" t="s">
        <v>63</v>
      </c>
      <c r="V5" t="s">
        <v>91</v>
      </c>
      <c r="W5" t="s">
        <v>71</v>
      </c>
    </row>
    <row r="6" spans="1:28" x14ac:dyDescent="0.25">
      <c r="A6" t="s">
        <v>736</v>
      </c>
      <c r="B6">
        <v>2</v>
      </c>
      <c r="C6">
        <v>4</v>
      </c>
      <c r="D6">
        <v>2</v>
      </c>
      <c r="E6">
        <v>0</v>
      </c>
      <c r="F6">
        <v>4</v>
      </c>
      <c r="I6">
        <v>4</v>
      </c>
      <c r="J6">
        <v>0</v>
      </c>
      <c r="K6">
        <v>2</v>
      </c>
      <c r="L6">
        <v>0</v>
      </c>
      <c r="M6" t="s">
        <v>774</v>
      </c>
      <c r="N6" t="s">
        <v>64</v>
      </c>
      <c r="O6" t="s">
        <v>64</v>
      </c>
      <c r="P6" t="s">
        <v>775</v>
      </c>
      <c r="Q6" t="s">
        <v>776</v>
      </c>
      <c r="R6" t="s">
        <v>777</v>
      </c>
      <c r="S6">
        <v>8</v>
      </c>
      <c r="U6" t="s">
        <v>63</v>
      </c>
      <c r="V6" t="s">
        <v>778</v>
      </c>
      <c r="W6" t="s">
        <v>71</v>
      </c>
    </row>
    <row r="7" spans="1:28" x14ac:dyDescent="0.25">
      <c r="A7" t="s">
        <v>738</v>
      </c>
      <c r="B7">
        <v>6</v>
      </c>
      <c r="C7">
        <v>3</v>
      </c>
      <c r="D7">
        <v>5</v>
      </c>
      <c r="E7">
        <v>0</v>
      </c>
      <c r="F7">
        <v>7</v>
      </c>
      <c r="I7">
        <v>5</v>
      </c>
      <c r="J7">
        <v>0</v>
      </c>
      <c r="K7">
        <v>6</v>
      </c>
      <c r="L7">
        <v>0</v>
      </c>
      <c r="M7" t="s">
        <v>779</v>
      </c>
      <c r="N7" t="s">
        <v>64</v>
      </c>
      <c r="O7" t="s">
        <v>64</v>
      </c>
      <c r="P7" t="s">
        <v>780</v>
      </c>
      <c r="Q7" t="s">
        <v>781</v>
      </c>
      <c r="R7" t="s">
        <v>782</v>
      </c>
      <c r="S7">
        <v>18</v>
      </c>
      <c r="T7">
        <v>4</v>
      </c>
      <c r="U7" t="s">
        <v>63</v>
      </c>
      <c r="V7" t="s">
        <v>783</v>
      </c>
      <c r="W7" t="s">
        <v>71</v>
      </c>
    </row>
    <row r="8" spans="1:28" x14ac:dyDescent="0.25">
      <c r="A8" t="s">
        <v>742</v>
      </c>
      <c r="F8">
        <v>2</v>
      </c>
      <c r="G8" s="15" t="s">
        <v>784</v>
      </c>
      <c r="H8" t="s">
        <v>593</v>
      </c>
      <c r="W8" t="s">
        <v>44</v>
      </c>
      <c r="Z8" t="s">
        <v>742</v>
      </c>
    </row>
    <row r="9" spans="1:28" x14ac:dyDescent="0.25">
      <c r="A9" t="s">
        <v>740</v>
      </c>
      <c r="F9">
        <v>2</v>
      </c>
      <c r="G9" s="15" t="s">
        <v>784</v>
      </c>
      <c r="H9" t="s">
        <v>593</v>
      </c>
      <c r="W9" t="s">
        <v>44</v>
      </c>
      <c r="Z9" t="s">
        <v>740</v>
      </c>
    </row>
    <row r="10" spans="1:28" x14ac:dyDescent="0.25">
      <c r="A10" t="s">
        <v>950</v>
      </c>
      <c r="B10">
        <v>2</v>
      </c>
      <c r="C10">
        <v>2</v>
      </c>
      <c r="D10">
        <v>0</v>
      </c>
      <c r="E10">
        <v>0</v>
      </c>
      <c r="F10">
        <v>4</v>
      </c>
      <c r="I10">
        <v>3</v>
      </c>
      <c r="J10">
        <v>0</v>
      </c>
      <c r="K10">
        <v>2</v>
      </c>
      <c r="L10">
        <v>0</v>
      </c>
      <c r="M10" t="s">
        <v>772</v>
      </c>
      <c r="N10" t="s">
        <v>776</v>
      </c>
      <c r="O10" t="s">
        <v>776</v>
      </c>
      <c r="S10">
        <v>6</v>
      </c>
      <c r="U10" t="s">
        <v>63</v>
      </c>
      <c r="W10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DU228"/>
  <sheetViews>
    <sheetView tabSelected="1" topLeftCell="V1" zoomScaleNormal="100" workbookViewId="0">
      <selection activeCell="AD3" sqref="AD3"/>
    </sheetView>
  </sheetViews>
  <sheetFormatPr defaultColWidth="7.5703125" defaultRowHeight="15" x14ac:dyDescent="0.25"/>
  <cols>
    <col min="1" max="1" width="7.7109375" bestFit="1" customWidth="1"/>
    <col min="2" max="2" width="8.28515625" bestFit="1" customWidth="1"/>
    <col min="3" max="3" width="14.7109375" style="15" bestFit="1" customWidth="1"/>
    <col min="4" max="4" width="10.42578125" customWidth="1"/>
    <col min="5" max="5" width="15.28515625" bestFit="1" customWidth="1"/>
    <col min="6" max="6" width="12" bestFit="1" customWidth="1"/>
    <col min="7" max="7" width="6.7109375" bestFit="1" customWidth="1"/>
    <col min="8" max="8" width="9.85546875" bestFit="1" customWidth="1"/>
    <col min="9" max="9" width="13.42578125" bestFit="1" customWidth="1"/>
    <col min="10" max="10" width="11.7109375" style="15" bestFit="1" customWidth="1"/>
    <col min="11" max="11" width="17.85546875" bestFit="1" customWidth="1"/>
    <col min="12" max="12" width="14.5703125" bestFit="1" customWidth="1"/>
    <col min="13" max="13" width="14.42578125" bestFit="1" customWidth="1"/>
    <col min="14" max="16" width="8.85546875" bestFit="1" customWidth="1"/>
    <col min="17" max="17" width="11.42578125" style="15" bestFit="1" customWidth="1"/>
    <col min="18" max="18" width="13.42578125" bestFit="1" customWidth="1"/>
    <col min="19" max="19" width="8.28515625" style="57" bestFit="1" customWidth="1"/>
    <col min="21" max="21" width="27.5703125" bestFit="1" customWidth="1"/>
    <col min="23" max="23" width="7" customWidth="1"/>
    <col min="24" max="24" width="8.85546875" bestFit="1" customWidth="1"/>
    <col min="25" max="25" width="5.7109375" bestFit="1" customWidth="1"/>
    <col min="26" max="26" width="6.28515625" bestFit="1" customWidth="1"/>
    <col min="27" max="27" width="8" style="24" bestFit="1" customWidth="1"/>
    <col min="28" max="28" width="7.5703125" style="24"/>
    <col min="30" max="30" width="9.5703125" bestFit="1" customWidth="1"/>
    <col min="31" max="31" width="10.28515625" bestFit="1" customWidth="1"/>
    <col min="32" max="32" width="4.7109375" style="29" bestFit="1" customWidth="1"/>
    <col min="33" max="33" width="5.42578125" style="29" bestFit="1" customWidth="1"/>
    <col min="34" max="34" width="4.140625" style="29" bestFit="1" customWidth="1"/>
    <col min="35" max="36" width="5.140625" style="29" bestFit="1" customWidth="1"/>
    <col min="37" max="37" width="8.28515625" style="70" bestFit="1" customWidth="1"/>
    <col min="38" max="38" width="10.7109375" style="34" bestFit="1" customWidth="1"/>
    <col min="39" max="39" width="7.7109375" style="29" bestFit="1" customWidth="1"/>
    <col min="40" max="40" width="12" style="29" bestFit="1" customWidth="1"/>
    <col min="41" max="41" width="5.85546875" style="29" bestFit="1" customWidth="1"/>
    <col min="42" max="42" width="12.28515625" style="29" bestFit="1" customWidth="1"/>
    <col min="43" max="43" width="5.85546875" style="29" bestFit="1" customWidth="1"/>
    <col min="45" max="45" width="13.7109375" style="30" bestFit="1" customWidth="1"/>
    <col min="46" max="46" width="15" style="30" bestFit="1" customWidth="1"/>
    <col min="47" max="47" width="10.28515625" bestFit="1" customWidth="1"/>
    <col min="48" max="48" width="7.5703125" style="24"/>
    <col min="49" max="49" width="15.5703125" style="24" bestFit="1" customWidth="1"/>
    <col min="50" max="50" width="10.140625" bestFit="1" customWidth="1"/>
    <col min="52" max="52" width="7.7109375" bestFit="1" customWidth="1"/>
    <col min="53" max="53" width="4.140625" bestFit="1" customWidth="1"/>
    <col min="54" max="56" width="12.5703125" bestFit="1" customWidth="1"/>
    <col min="57" max="57" width="13.28515625" bestFit="1" customWidth="1"/>
    <col min="58" max="60" width="13.42578125" bestFit="1" customWidth="1"/>
    <col min="62" max="64" width="11.28515625" bestFit="1" customWidth="1"/>
    <col min="66" max="66" width="4" bestFit="1" customWidth="1"/>
    <col min="67" max="68" width="5" bestFit="1" customWidth="1"/>
    <col min="69" max="69" width="11.85546875" style="24" bestFit="1" customWidth="1"/>
    <col min="70" max="70" width="4" bestFit="1" customWidth="1"/>
    <col min="71" max="72" width="5" bestFit="1" customWidth="1"/>
    <col min="73" max="73" width="11.85546875" style="24" bestFit="1" customWidth="1"/>
    <col min="75" max="75" width="10.42578125" bestFit="1" customWidth="1"/>
    <col min="76" max="76" width="9.85546875" bestFit="1" customWidth="1"/>
    <col min="77" max="77" width="7.28515625" bestFit="1" customWidth="1"/>
    <col min="78" max="79" width="7.7109375" bestFit="1" customWidth="1"/>
    <col min="80" max="80" width="2" bestFit="1" customWidth="1"/>
    <col min="81" max="81" width="4.5703125" style="24" bestFit="1" customWidth="1"/>
    <col min="82" max="82" width="10.5703125" bestFit="1" customWidth="1"/>
    <col min="83" max="83" width="8.85546875" bestFit="1" customWidth="1"/>
    <col min="84" max="84" width="7.28515625" bestFit="1" customWidth="1"/>
    <col min="85" max="85" width="9.42578125" bestFit="1" customWidth="1"/>
    <col min="86" max="86" width="12.5703125" bestFit="1" customWidth="1"/>
    <col min="87" max="87" width="11.5703125" bestFit="1" customWidth="1"/>
    <col min="88" max="88" width="8.85546875" bestFit="1" customWidth="1"/>
    <col min="89" max="89" width="7.28515625" bestFit="1" customWidth="1"/>
    <col min="90" max="90" width="9" bestFit="1" customWidth="1"/>
    <col min="92" max="92" width="8.140625" bestFit="1" customWidth="1"/>
    <col min="94" max="94" width="12.85546875" bestFit="1" customWidth="1"/>
    <col min="96" max="96" width="14.5703125" bestFit="1" customWidth="1"/>
    <col min="97" max="97" width="7.7109375" bestFit="1" customWidth="1"/>
    <col min="98" max="98" width="8.140625" bestFit="1" customWidth="1"/>
    <col min="99" max="99" width="7.7109375" bestFit="1" customWidth="1"/>
    <col min="100" max="101" width="2" bestFit="1" customWidth="1"/>
    <col min="102" max="102" width="10.85546875" bestFit="1" customWidth="1"/>
    <col min="103" max="103" width="13.28515625" bestFit="1" customWidth="1"/>
    <col min="105" max="105" width="8.28515625" bestFit="1" customWidth="1"/>
    <col min="106" max="106" width="9.42578125" bestFit="1" customWidth="1"/>
    <col min="107" max="107" width="8" style="24" customWidth="1"/>
    <col min="108" max="108" width="10.7109375" bestFit="1" customWidth="1"/>
    <col min="109" max="109" width="7.42578125" bestFit="1" customWidth="1"/>
    <col min="110" max="110" width="3.85546875" bestFit="1" customWidth="1"/>
    <col min="111" max="111" width="9.42578125" bestFit="1" customWidth="1"/>
    <col min="113" max="113" width="14.28515625" bestFit="1" customWidth="1"/>
    <col min="114" max="114" width="15.5703125" bestFit="1" customWidth="1"/>
    <col min="115" max="115" width="8.85546875" bestFit="1" customWidth="1"/>
    <col min="117" max="117" width="9.7109375" bestFit="1" customWidth="1"/>
    <col min="119" max="119" width="13.28515625" style="24" bestFit="1" customWidth="1"/>
    <col min="121" max="121" width="9.7109375" bestFit="1" customWidth="1"/>
    <col min="122" max="122" width="7" bestFit="1" customWidth="1"/>
    <col min="123" max="123" width="8.42578125" bestFit="1" customWidth="1"/>
    <col min="124" max="124" width="10.28515625" bestFit="1" customWidth="1"/>
    <col min="125" max="125" width="6.28515625" bestFit="1" customWidth="1"/>
  </cols>
  <sheetData>
    <row r="1" spans="1:125" ht="23.45" customHeight="1" x14ac:dyDescent="0.4">
      <c r="A1" s="21" t="s">
        <v>62</v>
      </c>
      <c r="B1" s="76" t="s">
        <v>89</v>
      </c>
      <c r="C1" s="75" t="s">
        <v>112</v>
      </c>
      <c r="D1" s="77" t="s">
        <v>128</v>
      </c>
      <c r="E1" s="10" t="s">
        <v>146</v>
      </c>
      <c r="F1" s="16" t="s">
        <v>158</v>
      </c>
      <c r="G1" s="21" t="s">
        <v>170</v>
      </c>
      <c r="H1" s="21" t="s">
        <v>183</v>
      </c>
      <c r="I1" s="7" t="s">
        <v>196</v>
      </c>
      <c r="J1" s="9" t="s">
        <v>208</v>
      </c>
      <c r="K1" s="10" t="s">
        <v>220</v>
      </c>
      <c r="L1" s="10" t="s">
        <v>229</v>
      </c>
      <c r="M1" s="10" t="s">
        <v>237</v>
      </c>
      <c r="N1" s="7" t="s">
        <v>244</v>
      </c>
      <c r="O1" s="7" t="s">
        <v>251</v>
      </c>
      <c r="P1" s="7" t="s">
        <v>259</v>
      </c>
      <c r="Q1" s="9" t="s">
        <v>606</v>
      </c>
      <c r="R1" s="21" t="s">
        <v>267</v>
      </c>
      <c r="S1" s="78" t="s">
        <v>607</v>
      </c>
      <c r="T1" s="20"/>
      <c r="U1" s="9" t="s">
        <v>608</v>
      </c>
      <c r="X1" t="s">
        <v>609</v>
      </c>
      <c r="Y1" t="s">
        <v>610</v>
      </c>
      <c r="Z1" t="s">
        <v>611</v>
      </c>
      <c r="AA1" s="27"/>
      <c r="AD1" s="35" t="s">
        <v>612</v>
      </c>
      <c r="AE1" t="s">
        <v>613</v>
      </c>
      <c r="AF1" s="28" t="s">
        <v>590</v>
      </c>
      <c r="AG1" s="28" t="s">
        <v>591</v>
      </c>
      <c r="AH1" s="28" t="s">
        <v>54</v>
      </c>
      <c r="AI1" s="28" t="s">
        <v>64</v>
      </c>
      <c r="AJ1" s="28" t="s">
        <v>66</v>
      </c>
      <c r="AK1" s="69" t="s">
        <v>614</v>
      </c>
      <c r="AL1" s="33" t="s">
        <v>615</v>
      </c>
      <c r="AM1" s="28" t="s">
        <v>593</v>
      </c>
      <c r="AN1" s="28" t="s">
        <v>594</v>
      </c>
      <c r="AO1" s="28" t="s">
        <v>333</v>
      </c>
      <c r="AP1" s="28" t="s">
        <v>595</v>
      </c>
      <c r="AQ1" s="28" t="s">
        <v>333</v>
      </c>
      <c r="AS1" s="17" t="s">
        <v>616</v>
      </c>
      <c r="AT1" s="36" t="s">
        <v>617</v>
      </c>
      <c r="AU1" t="s">
        <v>618</v>
      </c>
      <c r="AW1" s="24" t="s">
        <v>619</v>
      </c>
      <c r="AX1" t="s">
        <v>620</v>
      </c>
      <c r="AZ1" s="37" t="s">
        <v>621</v>
      </c>
      <c r="BA1" t="s">
        <v>586</v>
      </c>
      <c r="BB1" t="s">
        <v>622</v>
      </c>
      <c r="BC1" t="s">
        <v>623</v>
      </c>
      <c r="BD1" t="s">
        <v>624</v>
      </c>
      <c r="BE1" t="s">
        <v>625</v>
      </c>
      <c r="BF1" s="48" t="s">
        <v>626</v>
      </c>
      <c r="BG1" t="s">
        <v>627</v>
      </c>
      <c r="BH1" t="s">
        <v>628</v>
      </c>
      <c r="BJ1" t="s">
        <v>629</v>
      </c>
      <c r="BK1" t="s">
        <v>630</v>
      </c>
      <c r="BL1" t="s">
        <v>631</v>
      </c>
      <c r="BN1" s="38" t="s">
        <v>54</v>
      </c>
      <c r="BO1" s="38" t="s">
        <v>64</v>
      </c>
      <c r="BP1" s="38" t="s">
        <v>66</v>
      </c>
      <c r="BQ1" s="40" t="s">
        <v>632</v>
      </c>
      <c r="BR1" s="39" t="s">
        <v>54</v>
      </c>
      <c r="BS1" s="39" t="s">
        <v>64</v>
      </c>
      <c r="BT1" s="39" t="s">
        <v>66</v>
      </c>
      <c r="BU1" s="41" t="s">
        <v>632</v>
      </c>
      <c r="BW1" s="44" t="s">
        <v>633</v>
      </c>
      <c r="BX1" s="44" t="s">
        <v>634</v>
      </c>
      <c r="BY1" s="32" t="s">
        <v>3</v>
      </c>
      <c r="BZ1" s="32" t="s">
        <v>597</v>
      </c>
      <c r="CA1" s="32" t="s">
        <v>635</v>
      </c>
      <c r="CB1" s="80" t="s">
        <v>636</v>
      </c>
      <c r="CC1" s="81"/>
      <c r="CD1" s="32" t="s">
        <v>637</v>
      </c>
      <c r="CE1" s="32" t="s">
        <v>112</v>
      </c>
      <c r="CF1" s="32" t="s">
        <v>94</v>
      </c>
      <c r="CG1" s="66" t="s">
        <v>638</v>
      </c>
      <c r="CH1" s="66" t="s">
        <v>639</v>
      </c>
      <c r="CI1" s="66" t="s">
        <v>640</v>
      </c>
      <c r="CJ1" s="66" t="s">
        <v>112</v>
      </c>
      <c r="CK1" s="66" t="s">
        <v>94</v>
      </c>
      <c r="CL1" s="67" t="s">
        <v>641</v>
      </c>
      <c r="CN1" s="39" t="s">
        <v>642</v>
      </c>
      <c r="CP1" s="32" t="s">
        <v>643</v>
      </c>
      <c r="CR1" s="64" t="s">
        <v>644</v>
      </c>
      <c r="CS1" s="64" t="s">
        <v>3</v>
      </c>
      <c r="CT1" s="64" t="s">
        <v>597</v>
      </c>
      <c r="CU1" s="64" t="s">
        <v>635</v>
      </c>
      <c r="CV1" s="82" t="s">
        <v>636</v>
      </c>
      <c r="CW1" s="83"/>
      <c r="CX1" s="64" t="s">
        <v>637</v>
      </c>
      <c r="CY1" s="64" t="s">
        <v>643</v>
      </c>
      <c r="DA1" s="46" t="s">
        <v>645</v>
      </c>
      <c r="DB1" s="46" t="s">
        <v>646</v>
      </c>
      <c r="DC1" s="47"/>
      <c r="DD1" s="46" t="s">
        <v>647</v>
      </c>
      <c r="DE1" s="46" t="s">
        <v>648</v>
      </c>
      <c r="DF1" s="38"/>
      <c r="DG1" s="38"/>
      <c r="DI1" s="32" t="s">
        <v>649</v>
      </c>
      <c r="DJ1" s="42" t="s">
        <v>650</v>
      </c>
      <c r="DK1" s="58" t="s">
        <v>229</v>
      </c>
      <c r="DM1" s="62" t="s">
        <v>651</v>
      </c>
      <c r="DO1" s="63" t="s">
        <v>652</v>
      </c>
      <c r="DQ1" s="29" t="s">
        <v>653</v>
      </c>
      <c r="DR1" s="29" t="s">
        <v>654</v>
      </c>
      <c r="DS1" s="29" t="s">
        <v>655</v>
      </c>
      <c r="DT1" s="29" t="s">
        <v>656</v>
      </c>
      <c r="DU1" s="29" t="s">
        <v>657</v>
      </c>
    </row>
    <row r="2" spans="1:125" x14ac:dyDescent="0.25">
      <c r="A2" s="15">
        <v>1</v>
      </c>
      <c r="B2" s="15" t="s">
        <v>664</v>
      </c>
      <c r="C2" s="15">
        <v>2429</v>
      </c>
      <c r="D2" s="15">
        <v>10000</v>
      </c>
      <c r="E2" t="str">
        <f>IF(B2=Level!$A$2,SD!$C$14,SD!$C$13)</f>
        <v>3-0</v>
      </c>
      <c r="F2" s="15" t="s">
        <v>787</v>
      </c>
      <c r="G2" s="15" t="s">
        <v>717</v>
      </c>
      <c r="H2" t="str">
        <f>RIGHT(VLOOKUP(B2,Level!A:C,3,FALSE),LEN(VLOOKUP(B2,Level!A:C,3,FALSE))-1)</f>
        <v>22-1</v>
      </c>
      <c r="I2" t="s">
        <v>718</v>
      </c>
      <c r="J2" t="str">
        <f>IF(AND(SD!$C$19=SD!$H$2,Grade!$G$1="Per level"),VLOOKUP(B2,Grade!$E$1:$F$200,2,FALSE),IF(AND(SD!$C$19=SD!$H$2,Grade!$G$1="Per Bar Size"),VLOOKUP(W2,Grade!$B$1:$C$12,2,0),SD!$C$19))</f>
        <v>A615 Grade 60</v>
      </c>
      <c r="K2" t="s">
        <v>67</v>
      </c>
      <c r="L2" t="str">
        <f>IFERROR(IF(A2&lt;&gt;A3,"",IF(DF2="No Lap","",IF(K3="Lap",U2,IF(K3="Coupler",_xlfn._xlws.FILTER(CCoupler,(CCName=SD!$C$8)*(CBSize=IF(A1=A2,W2&amp;W3,W2&amp;W2))*(CCMFM="Male")),"")))),"N/A")</f>
        <v/>
      </c>
      <c r="M2" t="str">
        <f t="shared" ref="M2:M65" si="0">IF(A2=A3,IF(AND(IF(A2=A3,ABS(Y2-Y3),"0")&gt;6,IF(A2=A3,ABS(Z2-Z3),"0")&gt;6),I3,IF(OR(IF(A2=A3,ABS(Y2-Y3),"0")&gt;6,IF(A2=A3,ABS(Z2-Z3),"0")&gt;6),CONCATENATE(ROUNDUP(X3/2,0)," - ",W3),"")),"")</f>
        <v/>
      </c>
      <c r="N2" t="s">
        <v>719</v>
      </c>
      <c r="O2" t="s">
        <v>720</v>
      </c>
      <c r="P2" t="s">
        <v>719</v>
      </c>
      <c r="Q2" t="str">
        <f>IF(AND(SD!$C$29=SD!$P$2,Grade!$O$1="Per level"),VLOOKUP(B2,Grade!$M$1:$N$200,2,FALSE),IF(AND(SD!$C$29=SD!$P$2,Grade!$O$1="Per Bar Size"),VLOOKUP(LEFT(N2,FIND("@",N2)-2),Grade!$J$1:$K$12,2,0),SD!$C$29))</f>
        <v>A615 Grade 60</v>
      </c>
      <c r="R2" t="s">
        <v>721</v>
      </c>
      <c r="S2" s="79">
        <v>2</v>
      </c>
      <c r="U2" t="str">
        <f>IF(Data!$J2="",IFERROR(INDEX(IF(SD!$C$11="Create",Lap!$A$3:$BF$14,IF(SD!$C$11="Per Uploaded File",Lap!$A$19:$BF$30,"")),MATCH(W2,Lap!$A$3:$A$14,0),MATCH(VALUE(D2),Lap!$A$3:$BF$3,0)+IF(IFERROR(FIND("Grade 60",J2),0)&gt;0,0,IF(IFERROR(FIND("Grade 80",J2),0),1,IF(IFERROR(FIND("Grade 75",J2),0),2,"")))),""),Data!J2)</f>
        <v>3-6</v>
      </c>
      <c r="W2" t="s">
        <v>139</v>
      </c>
      <c r="X2">
        <v>14</v>
      </c>
      <c r="Y2" t="str">
        <f t="shared" ref="Y2:Y65" si="1">IFERROR(LEFT(G2,FIND(" dia",G2)-2),LEFT(G2,FIND("x",G2)-1))</f>
        <v xml:space="preserve">12 </v>
      </c>
      <c r="Z2" t="str">
        <f t="shared" ref="Z2:Z65" si="2">IFERROR(IF(FIND("dia",G2)&gt;0,0,ERROR.TYPE(#VALUE!)),RIGHT(G2,LEN(G2)-FIND("x",G2)))</f>
        <v xml:space="preserve"> 56</v>
      </c>
      <c r="AA2" s="24">
        <f t="shared" ref="AA2:AA65" si="3">IF(OR(K3="Coupler",A2&lt;&gt;A3),LEFT(H2,FIND("-",H2)-1)+(RIGHT(H2,LEN(H2)-FIND("-",H2))/12),LEFT(H2,FIND("-",H2)-1)+IFERROR(LEFT(L2,FIND("-",L2)-1),"0")+(RIGHT(H2,LEN(H2)-FIND("-",H2))+IFERROR(RIGHT(L2,LEN(L2)-FIND("-",L2)),"0"))/12)+IFERROR(IF(ISNUMBER(AE2),AE2,0),0)</f>
        <v>22.083333333333332</v>
      </c>
      <c r="AB2" s="25"/>
      <c r="AT2" s="31"/>
      <c r="BB2" t="e" cm="1">
        <f t="array" ref="BB2">_xlfn.LET(_xlpm.PartF,(_xlfn.LET(_xlpm.grade, Q2,_xlpm.gradeRange, IF(_xlpm.grade=SD!$H$3, A615GR60, IF(_xlpm.grade=SD!$H$4, A615GR75, IF(_xlpm.grade=SD!$H$5, A615GR80, IF(_xlpm.grade=SD!$H$6, A615GR100, IF(_xlpm.grade=SD!$H$7, A706GR60, IF(_xlpm.grade=SD!$H$8, A706GR80)))))),_xlpm.matchValue, MATCH(1, (SD!$AW:$AW=AS2)*(SD!$AX:$AX=SD!$C$8), 0),INDEX(_xlpm.gradeRange, _xlpm.matchValue))),IF(AM2="Spiral",CONCATENATE("SP",_xlpm.PartF),_xlpm.PartF))</f>
        <v>#N/A</v>
      </c>
      <c r="BC2" cm="1">
        <f t="array" ref="BC2">_xlfn.LET(_xlpm.leftPart, LEFT(O2, FIND("@", O2) - 2),_xlpm.grade,Q2,_xlpm.gradeRange,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" cm="1">
        <f t="array" ref="BD2">_xlfn.LET(_xlpm.leftPart, LEFT(P2, FIND("@", P2) - 2),_xlpm.grade, Q2,_xlpm.gradeRange,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">
        <f t="shared" ref="BE2:BE65" si="4">_xlfn.LET(_xlpm.auDiv6, AU2 / 6,_xlpm.maxValue, MAX(_xlpm.auDiv6 * 12, _xlfn.NUMBERVALUE(Y2), _xlfn.NUMBERVALUE(Z2), 18),_xlpm.maxValue / 12)</f>
        <v>4.666666666666667</v>
      </c>
      <c r="BF2">
        <f>IF(SD!$C$32=SD!$I$2,BE2,IF(SD!$C$32=SD!$I$3,DO2,IF(SD!$C$32=SD!$I$5,BA2,IF(SD!$C$32=SD!$I$6,(LEFT(SD!$C$35,FIND("-",SD!$C$35)-1)+RIGHT(SD!$C$35,LEN(SD!$C$35)-FIND("-",SD!$C$35))/12),IF(SD!$C$32=SD!$I$4,(AU2-(BG2+BH2)))))))</f>
        <v>0</v>
      </c>
      <c r="BG2">
        <f>IF(SD!$C$33=SD!$I$2,BE2,IF(SD!$C$33=SD!$I$3,DO2,IF(SD!$C$33=SD!$I$5,BA2,IF(SD!$C$33=SD!$I$6,(LEFT(SD!$C$35,FIND("-",SD!$C$35)-1)+RIGHT(SD!$C$35,LEN(SD!$C$35)-FIND("-",SD!$C$35))/12),IF(SD!$C$33=SD!$I$4,(AU2-(BF2+BH2)))))))</f>
        <v>-1</v>
      </c>
      <c r="BH2">
        <f>IF(SD!$C$34=SD!$I$2,BE2,IF(SD!$C$34=SD!$I$3,DO2,IF(SD!$C$34=SD!$I$5,BA2,IF(SD!$C$34=SD!$I$6,(LEFT(SD!$C$35,FIND("-",SD!$C$35)-1)+RIGHT(SD!$C$35,LEN(SD!$C$35)-FIND("-",SD!$C$35))/12),IF(SD!$C$34=SD!$I$4,(AU2-(BF2+BG2)))))))</f>
        <v>1</v>
      </c>
      <c r="BJ2">
        <f>IF(AM2="Spiral","1",MAX(ROUNDUP(IF(SD!$C$32="",AT2,BF2/(LEFT(RIGHT(N2,LEN(N2)-FIND("@",N2)),LEN(RIGHT(N2,LEN(N2)-FIND("@",N2)))-1)/12)+1),0),0))</f>
        <v>1</v>
      </c>
      <c r="BK2">
        <f>MAX(ROUNDUP(IF(SD!$C$33="","",BG2/(LEFT(RIGHT(O2,LEN(O2)-FIND("@",O2)),LEN(RIGHT(O2,LEN(O2)-FIND("@",O2)))-1)/12)+1),0),0)</f>
        <v>0</v>
      </c>
      <c r="BL2">
        <f>MAX(ROUNDUP(IF(SD!$C$34="","",BH2/(LEFT(RIGHT(P2,LEN(P2)-FIND("@",P2)),LEN(RIGHT(P2,LEN(P2)-FIND("@",P2)))-1)/12)+1),0),0)</f>
        <v>3</v>
      </c>
      <c r="BN2" t="e">
        <f t="shared" ref="BN2:BN65" si="5">_xlfn.LET(_xlpm.o_value, LEFT(O2, FIND("@", O2) - 2),_xlpm.vlookup1, INDEX(Ties_Type01, MATCH(AD2, INDEX(Ties_Type01, , 1), 0), 4),_xlpm.vlookup2, INDEX(S90Range, MATCH(_xlpm.o_value, INDEX(S90Range, , 1), 0), 4),_xlpm.result, (_xlpm.vlookup1 * _xlpm.vlookup2) * 12,_xlpm.result)</f>
        <v>#N/A</v>
      </c>
      <c r="BO2" t="e">
        <f t="shared" ref="BO2:BO65" si="6">_xlfn.LET(_xlpm.o_value, LEFT(O2, FIND("@", O2) - 2),_xlpm.index1, INDEX(Ties_Type01, MATCH(AD2, INDEX(Ties_Type01, , 1), 0), 5),_xlpm.index2, INDEX(S135Range, MATCH(_xlpm.o_value, INDEX(S135Range, , 1), 0), 3),_xlpm.result, (_xlpm.index1 * _xlpm.index2) * 12,_xlpm.result)</f>
        <v>#N/A</v>
      </c>
      <c r="BP2" t="e">
        <f t="shared" ref="BP2:BP65" si="7">_xlfn.LET(_xlpm.o_value, LEFT(O2, FIND("@", O2) - 2),_xlpm.index1, INDEX(Ties_Type01, MATCH(AD2, INDEX(Ties_Type01, , 1), 0), 6),_xlpm.index2, INDEX(S180Range, MATCH(_xlpm.o_value, INDEX(S180Range, , 1), 0), 3),_xlpm.result, (_xlpm.index1 * _xlpm.index2) * 12,_xlpm.result)</f>
        <v>#N/A</v>
      </c>
      <c r="BQ2" s="24" t="e">
        <f>IF(AM2=TRUE,(((Y2-(SD!$E$12*2))*3.14159265359)+BN2+BO2+BP2)/12+AL2,SUM(AF2:AG2,BN2,BO2,BP2,AO2,AQ2)/12)</f>
        <v>#N/A</v>
      </c>
      <c r="BR2" t="e">
        <f t="shared" ref="BR2:BR65" si="8">_xlfn.LET(_xlpm.p_value, LEFT(P2, FIND("@", P2) - 2),_xlpm.index1, INDEX(Ties_Type01, MATCH(AD2, INDEX(Ties_Type01, , 1), 0), 4),_xlpm.index2, INDEX(S90Range, MATCH(_xlpm.p_value, INDEX(S90Range, , 1), 0), 4),_xlpm.result, (_xlpm.index1 * _xlpm.index2) * 12,_xlpm.result)</f>
        <v>#N/A</v>
      </c>
      <c r="BS2" t="e">
        <f t="shared" ref="BS2:BS65" si="9">_xlfn.LET(_xlpm.p_value, LEFT(P2, FIND("@", P2) - 2),_xlpm.index1, INDEX(Ties_Type01, MATCH(AD2, INDEX(Ties_Type01, , 1), 0), 5),_xlpm.index2, INDEX(S135Range, MATCH(_xlpm.p_value, INDEX(S135Range, , 1), 0), 3),_xlpm.result, (_xlpm.index1 * _xlpm.index2) * 12,_xlpm.result)</f>
        <v>#N/A</v>
      </c>
      <c r="BT2" t="e">
        <f t="shared" ref="BT2:BT65" si="10">_xlfn.LET(_xlpm.p_value, LEFT(P2, FIND("@", P2) - 2),_xlpm.index1, INDEX(Ties_Type01, MATCH(AD2, INDEX(Ties_Type01, , 1), 0), 6),_xlpm.index2, INDEX(S180Range, MATCH(_xlpm.p_value, INDEX(S180Range, , 1), 0), 3),_xlpm.result, (_xlpm.index1 * _xlpm.index2) * 12,_xlpm.result)</f>
        <v>#N/A</v>
      </c>
      <c r="BU2" s="24" t="e">
        <f>IF(AM2=TRUE,(((Y2-(SD!$E$12*2))*3.14159265359)+BR2+BS2+BT2)/12+AL2,SUM(AF2:AG2,BR2,BS2,BT2,AO2,AQ2)/12)</f>
        <v>#N/A</v>
      </c>
      <c r="BW2" t="str">
        <f>IFERROR(LEFT(Data!L2,FIND(" -",Data!L2)-1),"")</f>
        <v/>
      </c>
      <c r="BX2" t="str">
        <f>IFERROR(IF(SD!$C$40=SD!$U$2,W2,IF(SD!$C$40=SD!$U$3,RIGHT(Data!L2,LEN(Data!L2)-(FIND("-",Data!L2)+1)),SD!$C$40)),"")</f>
        <v>#7</v>
      </c>
      <c r="BY2" cm="1">
        <f t="array" ref="BY2">IFERROR(_xlfn.LET(_xlpm.GRR,IF(AND(SD!$C$19=SD!$H$2,Grade!$G$1="Per level"),VLOOKUP(B2,Grade!$E$1:$F$200,2,FALSE),IF(AND(SD!$C$19=SD!$H$2,Grade!$G$1="Per Bar Size"),VLOOKUP(BX2,Grade!$B$1:$C$12,2,0),SD!$C$19)),_xlpm.is_equal, A1=A2,_xlpm.grade_range, IF(_xlpm.GRR=SD!$H$3, A615GR60,IF(_xlpm.GRR=SD!$H$4, A615GR75,IF(_xlpm.GRR=SD!$H$5, A615GR80,IF(_xlpm.GRR=SD!H6, A615GR100,IF(_xlpm.GRR=SD!$H$7, A706GR60,IF(_xlpm.GRR=SD!$H$8, A706GR80)))))),_xlpm.match_result, MATCH(1, (BSize=BX2)*(BCName=SD!$C$8), 0),_xlpm.final_result, INDEX(_xlpm.grade_range, _xlpm.match_result),IF(_xlpm.is_equal, "", _xlpm.final_result)),"")</f>
        <v>7</v>
      </c>
      <c r="BZ2">
        <f>IF(A1=A2,"",IF(SD!$C$41="Match Vertical Bars ",X2,IF(SD!$C$41=SD!$V$3,BW2,SD!$C$41)))</f>
        <v>14</v>
      </c>
      <c r="CA2" cm="1">
        <f t="array" ref="CA2">IF(A1=A2,"",IF(SD!$C$44="No T-Head",IF(SD!$C$42=SD!$Q$3,VLOOKUP(BX2,S90Range,3,FALSE),LEFT(SD!$C$42,FIND("-",SD!$C$42)-1)+(RIGHT(SD!$C$42,LEN(SD!$C$42)-FIND("-",SD!$C$42))/12)),IF(SD!$C$44="T-Head",_xlfn._xlws.FILTER(THead,(TCName=SD!$C$8)*(TSize=BX2)),IF(SD!$C$44="Level Wise",_xlfn.LET(_xlpm.result,_xlfn.XLOOKUP(B2,VDLevel,VDLevelStatus,"No"),IF(_xlpm.result="Yes",_xlfn._xlws.FILTER(THead,(TCName=SD!$C$8)*(TSize=BX2)),IF(SD!$C$42=SD!$Q$3,VLOOKUP(BX2,S90Range,3,FALSE),LEFT(SD!$C$42,FIND("-",SD!$C$42)-1)+(RIGHT(SD!$C$42,LEN(SD!$C$42)-FIND("-", SD!$C$42))/12)))),IF(SD!$C$44="BarSize Wise",_xlfn.LET(_xlpm.result,_xlfn.XLOOKUP(BX2,VDBarSize,VDBarSizeStatus,"No"),IF(_xlpm.result="Yes",_xlfn._xlws.FILTER(THead,(TCName=SD!$C$8)*(TSize=BX2)),IF(SD!$C$42=SD!$Q$3,VLOOKUP(BX2,S90Range,3,FALSE),LEFT(SD!$C$42,FIND("-",SD!$C$42)-1)+(RIGHT(SD!$C$42,LEN(SD!$C$42)-FIND("-",SD!$C$42))/12)))), "")))))</f>
        <v>1.1666666666666667</v>
      </c>
      <c r="CB2" t="str" cm="1">
        <f t="array" ref="CB2">_xlfn.LET(_xlpm.GRR,IF(AND(SD!$C$19=SD!$H$2,Grade!$G$1="Per level"),VLOOKUP(B2,Grade!$E$1:$F$200,2,FALSE),IF(AND(SD!$C$19=SD!$H$2,Grade!$G$1="Per Bar Size"),VLOOKUP(BX2,Grade!$B$1:$C$12,2,0),SD!$C$19)),_xlpm.is_coupler, K2="Coupler",_xlpm.condition1, SD!$C$43=SD!$W$2,_xlpm.data_j2_empty, Data!$J2="",_xlpm.lookup_table, IF(SD!$C$11="Create", Lap!$A$3:$BF$14, IF(SD!$C$11="Per Uploaded File", Lap!$A$19:$BF$30, "")),_xlpm.row_match, MATCH(BX2, Lap!$A$3:$A$14, 0),_xlpm.grade_offset, IF(IFERROR(FIND("Grade 60",_xlpm.GRR), 0) &gt; 0, 0, IF(IFERROR(FIND("Grade 80",_xlpm.GRR), 0), 1, IF(IFERROR(FIND("Grade 75",_xlpm.GRR), 0), 2, ""))),_xlpm.col_match, MATCH(VALUE(D2), Lap!$A$3:$BF$3, 0) + _xlpm.grade_offset,_xlpm.index_result, IFERROR(INDEX(_xlpm.lookup_table, _xlpm.row_match, _xlpm.col_match), Data!$J2),_xlpm.result_if_condition1, IF(_xlpm.data_j2_empty, _xlpm.index_result, Data!$J2),IF(_xlpm.is_coupler, 0, IF(_xlpm.condition1, _xlpm.result_if_condition1, SD!$C$43)))</f>
        <v>3-6</v>
      </c>
      <c r="CC2" s="24">
        <f t="shared" ref="CC2:CC65" si="11">_xlfn.LET(_xlpm.cb_value, CB2,_xlpm.is_number, ISNUMBER(_xlpm.cb_value),_xlpm.hyphen_pos, FIND("-", _xlpm.cb_value),_xlpm.left_part, LEFT(_xlpm.cb_value, _xlpm.hyphen_pos - 1),_xlpm.right_part, RIGHT(_xlpm.cb_value, LEN(_xlpm.cb_value) - _xlpm.hyphen_pos) / 12,_xlpm.calculated_value, _xlpm.left_part + _xlpm.right_part,_xlpm.result, IF(_xlpm.is_number, _xlpm.cb_value, _xlpm.calculated_value),IFERROR(_xlpm.result, 0))</f>
        <v>3.5</v>
      </c>
      <c r="CD2">
        <f t="shared" ref="CD2:CD65" si="12">_xlfn.LET(_xlpm.dep,(LEFT(E2,FIND("-",E2)-1)+(RIGHT(E2,LEN(E2)-FIND("-",E2))/12)),IF(ISNUMBER(CA2),CA2+CC2+_xlpm.dep,CC2+_xlpm.dep))</f>
        <v>7.666666666666667</v>
      </c>
      <c r="CE2" t="str" cm="1">
        <f t="array" ref="CE2">IF(BY2="","",_xlfn._xlws.FILTER(SAC,(CName=SD!$C$8)*(EName="Vert Dowels")))</f>
        <v>2200 CD</v>
      </c>
      <c r="CF2" t="str" cm="1">
        <f t="array" ref="CF2">IFERROR(IF(BY2="","",IF(K2="Coupler",_xlfn._xlws.FILTER(CCoupler,(CCName=SD!$C$8)*(CBSize=IF(A1=A2,W1&amp;W2,BX2&amp;W2))*(CCMFM="Male")),"")),"N/A")</f>
        <v/>
      </c>
      <c r="CG2" t="str">
        <f t="shared" ref="CG2:CG65" si="13">IFERROR(LEFT(M2,FIND(" -",M2)-1),"")</f>
        <v/>
      </c>
      <c r="CH2" t="str">
        <f t="shared" ref="CH2:CH65" si="14">IF(CG2="","",AZ3)</f>
        <v/>
      </c>
      <c r="CI2" t="str">
        <f>_xlfn.LET(_xlpm.u3_value, U3,_xlpm.hyphen_pos,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K3="Coupler",_xlpm.coupler_value, IF(_xlpm.is_coupler, 0, _xlpm.calculated_value),_xlpm.final_value, _xlpm.calculated_value + SD!$E$13 + _xlpm.coupler_value,IF(CG2="", "", _xlpm.final_value))</f>
        <v/>
      </c>
      <c r="CJ2" t="str" cm="1">
        <f t="array" ref="CJ2">IF(CG2="","",_xlfn._xlws.FILTER(SAC,(CName=SD!$C$8)*(EName="Loose Dowels")))</f>
        <v/>
      </c>
      <c r="CK2" t="str" cm="1">
        <f t="array" ref="CK2">IFERROR(IF(CG2="","",IF(K3="Coupler",_xlfn._xlws.FILTER(CCoupler,(CCName=SD!$C$8)*(CBSize=IF(A2=A3,W2&amp;W3,""))*(CCMFM="Male")),"")),"N/A")</f>
        <v/>
      </c>
      <c r="CL2">
        <f>IFERROR(IF(AM2="Spiral","",IF(A1=A2,"",IF(SD!$C$37=0,"",SD!$C$37))),"")</f>
        <v>3</v>
      </c>
      <c r="CN2">
        <f>IF(AM2="Spiral","",IFERROR(IF(SD!$C$36=0,"",SD!$C$36),""))</f>
        <v>5</v>
      </c>
      <c r="CP2">
        <f>IFERROR(IF(SD!$C$42=SD!$Q$3,'Take-off'!CA2,""),"")</f>
        <v>1.1666666666666667</v>
      </c>
      <c r="CR2">
        <f>IFERROR(IF(SD!$C$22=SD!$U$2,W2,SD!$C$22),"")</f>
        <v>0</v>
      </c>
      <c r="CS2" t="str" cm="1">
        <f t="array" ref="CS2">_xlfn.LET(_xlpm.GR,IF(AND(SD!$C$19=SD!$H$2,Grade!$G$1="Per level"),VLOOKUP(B2,Grade!$E$1:$F$200,2,FALSE),IF(AND(SD!$C$19=SD!$H$2,Grade!$G$1="Per Bar Size"),VLOOKUP(CR2,Grade!$B$1:$C$12,2,0),SD!$C$19)),IF(SD!$C$20=SD!$R$4,IF(A3=A2,"",INDEX(IF(_xlpm.GR=SD!$H$3,A615GR60,IF(_xlpm.GR=SD!$H$4,A615GR75,IF(_xlpm.GR=SD!$H$5,A615GR80,IF(_xlpm.GR=SD!H6,A615GR100,IF(_xlpm.GR=SD!$H$7,A706GR60,IF(_xlpm.GR=SD!$H$8,A706GR80)))))), MATCH(1, (BSize=CR2)*(BCName=SD!$C$8), 0))),""))</f>
        <v/>
      </c>
      <c r="CT2">
        <f>IF(A3=A2,"",IF(SD!$C$23="Match Vertical Bars ",X2,SD!$C$23))</f>
        <v>0</v>
      </c>
      <c r="CU2" t="str" cm="1">
        <f t="array" ref="CU2">IF(A3=A2,"",IF(SD!$C$20="Top dowels",IF(SD!$E$25="No T-Head",IF(SD!$C$24=SD!$Q$3,VLOOKUP(CR2,S90Range,3,FALSE),LEFT(SD!$C$24,FIND("-",SD!$C$24)-1)+(RIGHT(SD!$C$24,LEN(SD!$C$24)-FIND("-",SD!$C$24))/12)),IF(SD!$E$25="T-Head",_xlfn._xlws.FILTER(THead,(TCName=SD!$C$8)*(TSize=CR2)),IF(SD!$E$25="Level Wise",_xlfn.LET(_xlpm.result,_xlfn.XLOOKUP(B2,TDLevel,TDLevelStatus,"No"),IF(_xlpm.result="Yes",_xlfn._xlws.FILTER(THead,(TCName=SD!$C$8)*(TSize=CR2)),IF(SD!$C$24=SD!$Q$3,VLOOKUP(CR2,S90Range,3,FALSE),LEFT(SD!$C$24,FIND("-",SD!$C$24)-1)+(RIGHT(SD!$C$24,LEN(SD!$C$24)-FIND("-", SD!$C$24))/12)))),IF(SD!$E$25="BarSize Wise",_xlfn.LET(_xlpm.result,_xlfn.XLOOKUP(CR2,TDBarSize,TDBarSizeStatus,"No"),IF(_xlpm.result="Yes",_xlfn._xlws.FILTER(THead,(TCName=SD!$C$8)*(TSize=CR2)),IF(SD!$C$24=SD!$Q$3,VLOOKUP(CR2,S90Range,3,FALSE),LEFT(SD!$C$24,FIND("-",SD!$C$24)-1)+(RIGHT(SD!$C$24,LEN(SD!$C$24)-FIND("-",SD!$C$24))/12)))), "")))),""))</f>
        <v/>
      </c>
      <c r="CV2" t="str">
        <f>_xlfn.LET(_xlpm.GRR,IF(AND(SD!$C$19=SD!$H$2,Grade!$G$1="Per level"),VLOOKUP(B2,Grade!$E$1:$F$200,2,FALSE),IF(AND(SD!$C$19=SD!$H$2,Grade!$G$1="Per Bar Size"),VLOOKUP(CR2,Grade!$B$1:$C$12,2,0),SD!$C$19)),IF(SD!$C$25=SD!$W$2,IF(Data!$J2="",IFERROR(INDEX(IF(SD!$C$11="Create",Lap!$A$3:$BF$14,IF(SD!$C$11="Per Uploaded File",Lap!$A$19:$BF$30,"")),MATCH(CR2,Lap!$A$3:$A$14,0),MATCH(VALUE(D2),Lap!$A$3:$BF$3,0)+IF(IFERROR(FIND("Grade 60",_xlpm.GRR),0)&gt;0,0,IF(IFERROR(FIND("Grade 80",_xlpm.GRR),0),1,IF(IFERROR(FIND("Grade 75",_xlpm.GRR),0),2,"")))),""),Data!J2),SD!$C$43))</f>
        <v>Match Lap</v>
      </c>
      <c r="CW2">
        <f t="shared" ref="CW2:CW65" si="15">IFERROR(IF(ISNUMBER(CV2),CV2,LEFT(CV2,FIND("-",CV2)-1)+(RIGHT(CV2,LEN(CV2)-FIND("-",CV2))/12)),0)</f>
        <v>0</v>
      </c>
      <c r="CX2">
        <f t="shared" ref="CX2:CX65" si="16">IF(ISNUMBER(CU2),CU2+CW2,CW2)</f>
        <v>0</v>
      </c>
      <c r="CY2" t="str">
        <f t="shared" ref="CY2:CY65" si="17">IF(NOT(ISNUMBER(CU2)), CU2, "")</f>
        <v/>
      </c>
      <c r="DA2">
        <f t="shared" ref="DA2:DA65" si="18">IFERROR(IF(A1=A2,"",A2),"")</f>
        <v>1</v>
      </c>
      <c r="DB2" t="str">
        <f t="shared" ref="DB2:DB65" si="19">IFERROR(IF(DA2="","",INT(DC2) &amp; "-" &amp; ROUND((DC2-INT(DC2))*12, 0)),"")</f>
        <v>22-1</v>
      </c>
      <c r="DC2" s="24">
        <f t="shared" ref="DC2:DC65" si="20">IF(DA2="","",SUMIF(A:A,DA2,DD:DD))</f>
        <v>22.083333333333332</v>
      </c>
      <c r="DD2">
        <f t="shared" ref="DD2:DD65" si="21">IFERROR(LEFT(H2,FIND("-",H2)-1)+(RIGHT(H2,LEN(H2)-FIND("-",H2)))/12,"")</f>
        <v>22.083333333333332</v>
      </c>
      <c r="DE2" t="s">
        <v>717</v>
      </c>
      <c r="DF2" t="s">
        <v>67</v>
      </c>
      <c r="DG2" t="str">
        <f>VLOOKUP(W2,'Level Wise PSI'!$F$2:$G$12,2,FALSE)</f>
        <v>Double Lift</v>
      </c>
      <c r="DI2" t="str" cm="1">
        <f t="array" ref="DI2">_xlfn.LET(_xlpm.Coup,IFERROR(IF(BY2="","",IF(K2="Coupler",_xlfn._xlws.FILTER(CCFCoupler,(CCName=SD!$C$8)*(CBSize=IF(A1=A2,W1&amp;W2,BX2&amp;W2))),"")),"N/A"),IF(_xlpm.Coup=0,"",_xlpm.Coup))</f>
        <v/>
      </c>
      <c r="DJ2" t="str" cm="1">
        <f t="array" ref="DJ2">_xlfn.LET(_xlpm.Coup3,IFERROR(IF(CG2="","",IF(K3="Coupler",_xlfn._xlws.FILTER(CCFCoupler,(CCName=SD!$C$8)*(CBSize=IF(A2=A3,W2&amp;W3,""))),"")),"N/A"),IF(_xlpm.Coup3=0,"",_xlpm.Coup3))</f>
        <v/>
      </c>
      <c r="DK2" t="str" cm="1">
        <f t="array" ref="DK2">_xlfn.LET(_xlpm.Coup2,IFERROR(IF(A2&lt;&gt;A3,"",IF(DF2="No Lap","",IF(K3="Coupler",_xlfn._xlws.FILTER(CCFCoupler,(CCName=SD!$C$8)*(CBSize=IF(A1=A2,W2&amp;W3,W2&amp;W2))),""))),"N/A"),IF(_xlpm.Coup2=0,"",_xlpm.Coup2))</f>
        <v/>
      </c>
      <c r="DM2" t="str">
        <f>IF(AM2="Spiral","",IF(SD!$C$31=SD!$Y$3,SD!$E$32*2,""))</f>
        <v/>
      </c>
      <c r="DO2" s="24">
        <f t="shared" ref="DO2:DO65" si="22">_xlfn.LET(_xlpm.auDiv6, AU2 / 8,_xlpm.maxValue, MAX(_xlpm.auDiv6 * 12, _xlfn.NUMBERVALUE(Y2), _xlfn.NUMBERVALUE(Z2), 18),_xlpm.maxValue / 12)</f>
        <v>4.666666666666667</v>
      </c>
      <c r="DQ2" t="str">
        <f t="shared" ref="DQ2:DQ65" si="23">IF(AM2="Spiral","Spi","Lig")</f>
        <v>Lig</v>
      </c>
      <c r="DR2" t="str">
        <f>IF(AM2="Spiral",((Y2-(SD!$E$12*2))/12),"")</f>
        <v/>
      </c>
      <c r="DS2" t="str">
        <f t="shared" ref="DS2:DS65" si="24">IF(AM2="Spiral",(LEFT(RIGHT(N2,LEN(N2)-FIND("@",N2)),LEN(RIGHT(N2,LEN(N2)-FIND("@",N2)))-1)/12),"")</f>
        <v/>
      </c>
      <c r="DT2" t="str">
        <f t="shared" ref="DT2:DT65" si="25">IF(AM2="Spiral",AQ2,"")</f>
        <v/>
      </c>
      <c r="DU2" t="str">
        <f t="shared" ref="DU2:DU65" si="26">IF(AM2="Spiral","BT","")</f>
        <v/>
      </c>
    </row>
    <row r="3" spans="1:125" x14ac:dyDescent="0.25">
      <c r="A3">
        <v>10</v>
      </c>
      <c r="B3" t="s">
        <v>664</v>
      </c>
      <c r="C3" s="15">
        <v>2429</v>
      </c>
      <c r="D3" s="15">
        <v>10000</v>
      </c>
      <c r="E3" t="str">
        <f>IF(B3=Level!$A$2,SD!$C$14,SD!$C$13)</f>
        <v>3-0</v>
      </c>
      <c r="F3" s="15" t="s">
        <v>787</v>
      </c>
      <c r="G3" t="s">
        <v>722</v>
      </c>
      <c r="H3" s="15" t="s">
        <v>788</v>
      </c>
      <c r="I3" t="s">
        <v>723</v>
      </c>
      <c r="J3" t="str">
        <f>IF(AND(SD!$C$19=SD!$H$2,Grade!$G$1="Per level"),VLOOKUP(B3,Grade!$E$1:$F$200,2,FALSE),IF(AND(SD!$C$19=SD!$H$2,Grade!$G$1="Per Bar Size"),VLOOKUP(W3,Grade!$B$1:$C$12,2,0),SD!$C$19))</f>
        <v>A615 Grade 60</v>
      </c>
      <c r="K3" t="s">
        <v>67</v>
      </c>
      <c r="L3" t="str">
        <f>IFERROR(IF(A3&lt;&gt;A4,"",IF(DF3="No Lap","",IF(K4="Lap",U3,IF(K4="Coupler",_xlfn._xlws.FILTER(CCoupler,(CCName=SD!$C$8)*(CBSize=IF(A2=A3,W3&amp;W4,W3&amp;W3))*(CCMFM="Male")),"")))),"N/A")</f>
        <v/>
      </c>
      <c r="M3" t="str">
        <f t="shared" si="0"/>
        <v/>
      </c>
      <c r="N3" t="s">
        <v>719</v>
      </c>
      <c r="O3" t="s">
        <v>724</v>
      </c>
      <c r="P3" t="s">
        <v>719</v>
      </c>
      <c r="Q3" t="str">
        <f>IF(AND(SD!$C$29=SD!$P$2,Grade!$O$1="Per level"),VLOOKUP(B3,Grade!$M$1:$N$200,2,FALSE),IF(AND(SD!$C$29=SD!$P$2,Grade!$O$1="Per Bar Size"),VLOOKUP(LEFT(N3,FIND("@",N3)-2),Grade!$J$1:$K$12,2,0),SD!$C$29))</f>
        <v>A615 Grade 60</v>
      </c>
      <c r="R3" t="s">
        <v>725</v>
      </c>
      <c r="S3" s="57">
        <v>3</v>
      </c>
      <c r="U3" t="str">
        <f>IF(Data!$J3="",IFERROR(INDEX(IF(SD!$C$11="Create",Lap!$A$3:$BF$14,IF(SD!$C$11="Per Uploaded File",Lap!$A$19:$BF$30,"")),MATCH(W3,Lap!$A$3:$A$14,0),MATCH(VALUE(D3),Lap!$A$3:$BF$3,0)+IF(IFERROR(FIND("Grade 60",J3),0)&gt;0,0,IF(IFERROR(FIND("Grade 80",J3),0),1,IF(IFERROR(FIND("Grade 75",J3),0),2,"")))),""),Data!J3)</f>
        <v>3-6</v>
      </c>
      <c r="W3" t="s">
        <v>139</v>
      </c>
      <c r="X3">
        <v>6</v>
      </c>
      <c r="Y3" t="str">
        <f t="shared" si="1"/>
        <v xml:space="preserve">8 </v>
      </c>
      <c r="Z3" t="str">
        <f t="shared" si="2"/>
        <v xml:space="preserve"> 36</v>
      </c>
      <c r="AA3" s="24">
        <f t="shared" si="3"/>
        <v>19.583333333333332</v>
      </c>
      <c r="AB3" s="25"/>
      <c r="AT3" s="31"/>
      <c r="BB3" t="e" cm="1">
        <f t="array" ref="BB3">_xlfn.LET(_xlpm.PartF,(_xlfn.LET(_xlpm.grade, Q3,_xlpm.gradeRange, IF(_xlpm.grade=SD!$H$3, A615GR60, IF(_xlpm.grade=SD!$H$4, A615GR75, IF(_xlpm.grade=SD!$H$5, A615GR80, IF(_xlpm.grade=SD!$H$6, A615GR100, IF(_xlpm.grade=SD!$H$7, A706GR60, IF(_xlpm.grade=SD!$H$8, A706GR80)))))),_xlpm.matchValue, MATCH(1, (SD!$AW:$AW=AS3)*(SD!$AX:$AX=SD!$C$8), 0),INDEX(_xlpm.gradeRange, _xlpm.matchValue))),IF(AM3="Spiral",CONCATENATE("SP",_xlpm.PartF),_xlpm.PartF))</f>
        <v>#N/A</v>
      </c>
      <c r="BC3" cm="1">
        <f t="array" ref="BC3">_xlfn.LET(_xlpm.leftPart, LEFT(O3, FIND("@", O3) - 2),_xlpm.grade,Q3,_xlpm.gradeRange,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" cm="1">
        <f t="array" ref="BD3">_xlfn.LET(_xlpm.leftPart, LEFT(P3, FIND("@", P3) - 2),_xlpm.grade, Q3,_xlpm.gradeRange,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">
        <f t="shared" si="4"/>
        <v>3</v>
      </c>
      <c r="BF3">
        <f>IF(SD!$C$32=SD!$I$2,BE3,IF(SD!$C$32=SD!$I$3,DO3,IF(SD!$C$32=SD!$I$5,BA3,IF(SD!$C$32=SD!$I$6,(LEFT(SD!$C$35,FIND("-",SD!$C$35)-1)+RIGHT(SD!$C$35,LEN(SD!$C$35)-FIND("-",SD!$C$35))/12),IF(SD!$C$32=SD!$I$4,(AU3-(BG3+BH3)))))))</f>
        <v>0</v>
      </c>
      <c r="BG3">
        <f>IF(SD!$C$33=SD!$I$2,BE3,IF(SD!$C$33=SD!$I$3,DO3,IF(SD!$C$33=SD!$I$5,BA3,IF(SD!$C$33=SD!$I$6,(LEFT(SD!$C$35,FIND("-",SD!$C$35)-1)+RIGHT(SD!$C$35,LEN(SD!$C$35)-FIND("-",SD!$C$35))/12),IF(SD!$C$33=SD!$I$4,(AU3-(BF3+BH3)))))))</f>
        <v>-1</v>
      </c>
      <c r="BH3">
        <f>IF(SD!$C$34=SD!$I$2,BE3,IF(SD!$C$34=SD!$I$3,DO3,IF(SD!$C$34=SD!$I$5,BA3,IF(SD!$C$34=SD!$I$6,(LEFT(SD!$C$35,FIND("-",SD!$C$35)-1)+RIGHT(SD!$C$35,LEN(SD!$C$35)-FIND("-",SD!$C$35))/12),IF(SD!$C$34=SD!$I$4,(AU3-(BF3+BG3)))))))</f>
        <v>1</v>
      </c>
      <c r="BJ3">
        <f>IF(AM3="Spiral","1",MAX(ROUNDUP(IF(SD!$C$32="",AT3,BF3/(LEFT(RIGHT(N3,LEN(N3)-FIND("@",N3)),LEN(RIGHT(N3,LEN(N3)-FIND("@",N3)))-1)/12)+1),0),0))</f>
        <v>1</v>
      </c>
      <c r="BK3">
        <f>MAX(ROUNDUP(IF(SD!$C$33="","",BG3/(LEFT(RIGHT(O3,LEN(O3)-FIND("@",O3)),LEN(RIGHT(O3,LEN(O3)-FIND("@",O3)))-1)/12)+1),0),0)</f>
        <v>0</v>
      </c>
      <c r="BL3">
        <f>MAX(ROUNDUP(IF(SD!$C$34="","",BH3/(LEFT(RIGHT(P3,LEN(P3)-FIND("@",P3)),LEN(RIGHT(P3,LEN(P3)-FIND("@",P3)))-1)/12)+1),0),0)</f>
        <v>3</v>
      </c>
      <c r="BN3" t="e">
        <f t="shared" si="5"/>
        <v>#N/A</v>
      </c>
      <c r="BO3" t="e">
        <f t="shared" si="6"/>
        <v>#N/A</v>
      </c>
      <c r="BP3" t="e">
        <f t="shared" si="7"/>
        <v>#N/A</v>
      </c>
      <c r="BQ3" s="24" t="e">
        <f>IF(AM3=TRUE,(((Y3-(SD!$E$12*2))*3.14159265359)+BN3+BO3+BP3)/12+AL3,SUM(AF3:AG3,BN3,BO3,BP3,AO3,AQ3)/12)</f>
        <v>#N/A</v>
      </c>
      <c r="BR3" t="e">
        <f t="shared" si="8"/>
        <v>#N/A</v>
      </c>
      <c r="BS3" t="e">
        <f t="shared" si="9"/>
        <v>#N/A</v>
      </c>
      <c r="BT3" t="e">
        <f t="shared" si="10"/>
        <v>#N/A</v>
      </c>
      <c r="BU3" s="24" t="e">
        <f>IF(AM3=TRUE,(((Y3-(SD!$E$12*2))*3.14159265359)+BR3+BS3+BT3)/12+AL3,SUM(AF3:AG3,BR3,BS3,BT3,AO3,AQ3)/12)</f>
        <v>#N/A</v>
      </c>
      <c r="BW3" t="str">
        <f>IFERROR(LEFT(Data!L3,FIND(" -",Data!L3)-1),"")</f>
        <v/>
      </c>
      <c r="BX3" t="str">
        <f>IFERROR(IF(SD!$C$40=SD!$U$2,W3,IF(SD!$C$40=SD!$U$3,RIGHT(Data!L3,LEN(Data!L3)-(FIND("-",Data!L3)+1)),SD!$C$40)),"")</f>
        <v>#7</v>
      </c>
      <c r="BY3" cm="1">
        <f t="array" ref="BY3">IFERROR(_xlfn.LET(_xlpm.GRR,IF(AND(SD!$C$19=SD!$H$2,Grade!$G$1="Per level"),VLOOKUP(B3,Grade!$E$1:$F$200,2,FALSE),IF(AND(SD!$C$19=SD!$H$2,Grade!$G$1="Per Bar Size"),VLOOKUP(BX3,Grade!$B$1:$C$12,2,0),SD!$C$19)),_xlpm.is_equal, A2=A3,_xlpm.grade_range, IF(_xlpm.GRR=SD!$H$3, A615GR60,IF(_xlpm.GRR=SD!$H$4, A615GR75,IF(_xlpm.GRR=SD!$H$5, A615GR80,IF(_xlpm.GRR=SD!H7, A615GR100,IF(_xlpm.GRR=SD!$H$7, A706GR60,IF(_xlpm.GRR=SD!$H$8, A706GR80)))))),_xlpm.match_result, MATCH(1, (BSize=BX3)*(BCName=SD!$C$8), 0),_xlpm.final_result, INDEX(_xlpm.grade_range, _xlpm.match_result),IF(_xlpm.is_equal, "", _xlpm.final_result)),"")</f>
        <v>7</v>
      </c>
      <c r="BZ3">
        <f>IF(A2=A3,"",IF(SD!$C$41="Match Vertical Bars ",X3,IF(SD!$C$41=SD!$V$3,BW3,SD!$C$41)))</f>
        <v>6</v>
      </c>
      <c r="CA3" cm="1">
        <f t="array" ref="CA3">IF(A2=A3,"",IF(SD!$C$44="No T-Head",IF(SD!$C$42=SD!$Q$3,VLOOKUP(BX3,S90Range,3,FALSE),LEFT(SD!$C$42,FIND("-",SD!$C$42)-1)+(RIGHT(SD!$C$42,LEN(SD!$C$42)-FIND("-",SD!$C$42))/12)),IF(SD!$C$44="T-Head",_xlfn._xlws.FILTER(THead,(TCName=SD!$C$8)*(TSize=BX3)),IF(SD!$C$44="Level Wise",_xlfn.LET(_xlpm.result,_xlfn.XLOOKUP(B3,VDLevel,VDLevelStatus,"No"),IF(_xlpm.result="Yes",_xlfn._xlws.FILTER(THead,(TCName=SD!$C$8)*(TSize=BX3)),IF(SD!$C$42=SD!$Q$3,VLOOKUP(BX3,S90Range,3,FALSE),LEFT(SD!$C$42,FIND("-",SD!$C$42)-1)+(RIGHT(SD!$C$42,LEN(SD!$C$42)-FIND("-", SD!$C$42))/12)))),IF(SD!$C$44="BarSize Wise",_xlfn.LET(_xlpm.result,_xlfn.XLOOKUP(BX3,VDBarSize,VDBarSizeStatus,"No"),IF(_xlpm.result="Yes",_xlfn._xlws.FILTER(THead,(TCName=SD!$C$8)*(TSize=BX3)),IF(SD!$C$42=SD!$Q$3,VLOOKUP(BX3,S90Range,3,FALSE),LEFT(SD!$C$42,FIND("-",SD!$C$42)-1)+(RIGHT(SD!$C$42,LEN(SD!$C$42)-FIND("-",SD!$C$42))/12)))), "")))))</f>
        <v>1.1666666666666667</v>
      </c>
      <c r="CB3" t="str" cm="1">
        <f t="array" ref="CB3">_xlfn.LET(_xlpm.GRR,IF(AND(SD!$C$19=SD!$H$2,Grade!$G$1="Per level"),VLOOKUP(B3,Grade!$E$1:$F$200,2,FALSE),IF(AND(SD!$C$19=SD!$H$2,Grade!$G$1="Per Bar Size"),VLOOKUP(BX3,Grade!$B$1:$C$12,2,0),SD!$C$19)),_xlpm.is_coupler, K3="Coupler",_xlpm.condition1, SD!$C$43=SD!$W$2,_xlpm.data_j2_empty, Data!$J3="",_xlpm.lookup_table, IF(SD!$C$11="Create", Lap!$A$3:$BF$14, IF(SD!$C$11="Per Uploaded File", Lap!$A$19:$BF$30, "")),_xlpm.row_match, MATCH(BX3, Lap!$A$3:$A$14, 0),_xlpm.grade_offset, IF(IFERROR(FIND("Grade 60",_xlpm.GRR), 0) &gt; 0, 0, IF(IFERROR(FIND("Grade 80",_xlpm.GRR), 0), 1, IF(IFERROR(FIND("Grade 75",_xlpm.GRR), 0), 2, ""))),_xlpm.col_match, MATCH(VALUE(D3), Lap!$A$3:$BF$3, 0) + _xlpm.grade_offset,_xlpm.index_result, IFERROR(INDEX(_xlpm.lookup_table, _xlpm.row_match, _xlpm.col_match), Data!$J3),_xlpm.result_if_condition1, IF(_xlpm.data_j2_empty, _xlpm.index_result, Data!$J3),IF(_xlpm.is_coupler, 0, IF(_xlpm.condition1, _xlpm.result_if_condition1, SD!$C$43)))</f>
        <v>3-6</v>
      </c>
      <c r="CC3" s="24">
        <f t="shared" si="11"/>
        <v>3.5</v>
      </c>
      <c r="CD3">
        <f t="shared" si="12"/>
        <v>7.666666666666667</v>
      </c>
      <c r="CE3" t="str" cm="1">
        <f t="array" ref="CE3">IF(BY3="","",_xlfn._xlws.FILTER(SAC,(CName=SD!$C$8)*(EName="Vert Dowels")))</f>
        <v>2200 CD</v>
      </c>
      <c r="CF3" t="str" cm="1">
        <f t="array" ref="CF3">IFERROR(IF(BY3="","",IF(K3="Coupler",_xlfn._xlws.FILTER(CCoupler,(CCName=SD!$C$8)*(CBSize=IF(A2=A3,W2&amp;W3,BX3&amp;W3))*(CCMFM="Male")),"")),"N/A")</f>
        <v/>
      </c>
      <c r="CG3" t="str">
        <f t="shared" si="13"/>
        <v/>
      </c>
      <c r="CH3" t="str">
        <f t="shared" si="14"/>
        <v/>
      </c>
      <c r="CI3" t="str">
        <f>_xlfn.LET(_xlpm.u3_value, U4,_xlpm.hyphen_pos,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K4="Coupler",_xlpm.coupler_value, IF(_xlpm.is_coupler, 0, _xlpm.calculated_value),_xlpm.final_value, _xlpm.calculated_value + SD!$E$13 + _xlpm.coupler_value,IF(CG3="", "", _xlpm.final_value))</f>
        <v/>
      </c>
      <c r="CJ3" t="str" cm="1">
        <f t="array" ref="CJ3">IF(CG3="","",_xlfn._xlws.FILTER(SAC,(CName=SD!$C$8)*(EName="Loose Dowels")))</f>
        <v/>
      </c>
      <c r="CK3" t="str" cm="1">
        <f t="array" ref="CK3">IFERROR(IF(CG3="","",IF(K4="Coupler",_xlfn._xlws.FILTER(CCoupler,(CCName=SD!$C$8)*(CBSize=IF(A3=A4,W3&amp;W4,""))*(CCMFM="Male")),"")),"N/A")</f>
        <v/>
      </c>
      <c r="CL3">
        <f>IFERROR(IF(AM3="Spiral","",IF(A2=A3,"",IF(SD!$C$37=0,"",SD!$C$37))),"")</f>
        <v>3</v>
      </c>
      <c r="CN3">
        <f>IF(AM3="Spiral","",IFERROR(IF(SD!$C$36=0,"",SD!$C$36),""))</f>
        <v>5</v>
      </c>
      <c r="CP3">
        <f>IFERROR(IF(SD!$C$42=SD!$Q$3,'Take-off'!CA3,""),"")</f>
        <v>1.1666666666666667</v>
      </c>
      <c r="CR3">
        <f>IFERROR(IF(SD!$C$22=SD!$U$2,W3,SD!$C$22),"")</f>
        <v>0</v>
      </c>
      <c r="CS3" t="str" cm="1">
        <f t="array" ref="CS3">_xlfn.LET(_xlpm.GR,IF(AND(SD!$C$19=SD!$H$2,Grade!$G$1="Per level"),VLOOKUP(B3,Grade!$E$1:$F$200,2,FALSE),IF(AND(SD!$C$19=SD!$H$2,Grade!$G$1="Per Bar Size"),VLOOKUP(CR3,Grade!$B$1:$C$12,2,0),SD!$C$19)),IF(SD!$C$20=SD!$R$4,IF(A4=A3,"",INDEX(IF(_xlpm.GR=SD!$H$3,A615GR60,IF(_xlpm.GR=SD!$H$4,A615GR75,IF(_xlpm.GR=SD!$H$5,A615GR80,IF(_xlpm.GR=SD!H7,A615GR100,IF(_xlpm.GR=SD!$H$7,A706GR60,IF(_xlpm.GR=SD!$H$8,A706GR80)))))), MATCH(1, (BSize=CR3)*(BCName=SD!$C$8), 0))),""))</f>
        <v/>
      </c>
      <c r="CT3">
        <f>IF(A4=A3,"",IF(SD!$C$23="Match Vertical Bars ",X3,SD!$C$23))</f>
        <v>0</v>
      </c>
      <c r="CU3" t="str" cm="1">
        <f t="array" ref="CU3">IF(A4=A3,"",IF(SD!$C$20="Top dowels",IF(SD!$E$25="No T-Head",IF(SD!$C$24=SD!$Q$3,VLOOKUP(CR3,S90Range,3,FALSE),LEFT(SD!$C$24,FIND("-",SD!$C$24)-1)+(RIGHT(SD!$C$24,LEN(SD!$C$24)-FIND("-",SD!$C$24))/12)),IF(SD!$E$25="T-Head",_xlfn._xlws.FILTER(THead,(TCName=SD!$C$8)*(TSize=CR3)),IF(SD!$E$25="Level Wise",_xlfn.LET(_xlpm.result,_xlfn.XLOOKUP(B3,TDLevel,TDLevelStatus,"No"),IF(_xlpm.result="Yes",_xlfn._xlws.FILTER(THead,(TCName=SD!$C$8)*(TSize=CR3)),IF(SD!$C$24=SD!$Q$3,VLOOKUP(CR3,S90Range,3,FALSE),LEFT(SD!$C$24,FIND("-",SD!$C$24)-1)+(RIGHT(SD!$C$24,LEN(SD!$C$24)-FIND("-", SD!$C$24))/12)))),IF(SD!$E$25="BarSize Wise",_xlfn.LET(_xlpm.result,_xlfn.XLOOKUP(CR3,TDBarSize,TDBarSizeStatus,"No"),IF(_xlpm.result="Yes",_xlfn._xlws.FILTER(THead,(TCName=SD!$C$8)*(TSize=CR3)),IF(SD!$C$24=SD!$Q$3,VLOOKUP(CR3,S90Range,3,FALSE),LEFT(SD!$C$24,FIND("-",SD!$C$24)-1)+(RIGHT(SD!$C$24,LEN(SD!$C$24)-FIND("-",SD!$C$24))/12)))), "")))),""))</f>
        <v/>
      </c>
      <c r="CV3" t="str">
        <f>_xlfn.LET(_xlpm.GRR,IF(AND(SD!$C$19=SD!$H$2,Grade!$G$1="Per level"),VLOOKUP(B3,Grade!$E$1:$F$200,2,FALSE),IF(AND(SD!$C$19=SD!$H$2,Grade!$G$1="Per Bar Size"),VLOOKUP(CR3,Grade!$B$1:$C$12,2,0),SD!$C$19)),IF(SD!$C$25=SD!$W$2,IF(Data!$J3="",IFERROR(INDEX(IF(SD!$C$11="Create",Lap!$A$3:$BF$14,IF(SD!$C$11="Per Uploaded File",Lap!$A$19:$BF$30,"")),MATCH(CR3,Lap!$A$3:$A$14,0),MATCH(VALUE(D3),Lap!$A$3:$BF$3,0)+IF(IFERROR(FIND("Grade 60",_xlpm.GRR),0)&gt;0,0,IF(IFERROR(FIND("Grade 80",_xlpm.GRR),0),1,IF(IFERROR(FIND("Grade 75",_xlpm.GRR),0),2,"")))),""),Data!J3),SD!$C$43))</f>
        <v>Match Lap</v>
      </c>
      <c r="CW3">
        <f t="shared" si="15"/>
        <v>0</v>
      </c>
      <c r="CX3">
        <f t="shared" si="16"/>
        <v>0</v>
      </c>
      <c r="CY3" t="str">
        <f t="shared" si="17"/>
        <v/>
      </c>
      <c r="DA3">
        <f t="shared" si="18"/>
        <v>10</v>
      </c>
      <c r="DB3" t="str">
        <f t="shared" si="19"/>
        <v>19-7</v>
      </c>
      <c r="DC3" s="24">
        <f t="shared" si="20"/>
        <v>19.583333333333332</v>
      </c>
      <c r="DD3">
        <f t="shared" si="21"/>
        <v>19.583333333333332</v>
      </c>
      <c r="DE3" t="s">
        <v>722</v>
      </c>
      <c r="DF3" t="s">
        <v>67</v>
      </c>
      <c r="DG3" t="str">
        <f>VLOOKUP(W3,'Level Wise PSI'!$F$2:$G$12,2,FALSE)</f>
        <v>Double Lift</v>
      </c>
      <c r="DI3" t="str" cm="1">
        <f t="array" ref="DI3">_xlfn.LET(_xlpm.Coup,IFERROR(IF(BY3="","",IF(K3="Coupler",_xlfn._xlws.FILTER(CCFCoupler,(CCName=SD!$C$8)*(CBSize=IF(A2=A3,W2&amp;W3,BX3&amp;W3))),"")),"N/A"),IF(_xlpm.Coup=0,"",_xlpm.Coup))</f>
        <v/>
      </c>
      <c r="DJ3" t="str" cm="1">
        <f t="array" ref="DJ3">_xlfn.LET(_xlpm.Coup3,IFERROR(IF(CG3="","",IF(K4="Coupler",_xlfn._xlws.FILTER(CCFCoupler,(CCName=SD!$C$8)*(CBSize=IF(A3=A4,W3&amp;W4,""))),"")),"N/A"),IF(_xlpm.Coup3=0,"",_xlpm.Coup3))</f>
        <v/>
      </c>
      <c r="DK3" t="str" cm="1">
        <f t="array" ref="DK3">_xlfn.LET(_xlpm.Coup2,IFERROR(IF(A3&lt;&gt;A4,"",IF(DF3="No Lap","",IF(K4="Coupler",_xlfn._xlws.FILTER(CCFCoupler,(CCName=SD!$C$8)*(CBSize=IF(A2=A3,W3&amp;W4,W3&amp;W3))),""))),"N/A"),IF(_xlpm.Coup2=0,"",_xlpm.Coup2))</f>
        <v/>
      </c>
      <c r="DM3" t="str">
        <f>IF(AM3="Spiral","",IF(SD!$C$31=SD!$Y$3,SD!$E$32*2,""))</f>
        <v/>
      </c>
      <c r="DO3" s="24">
        <f t="shared" si="22"/>
        <v>3</v>
      </c>
      <c r="DQ3" t="str">
        <f t="shared" si="23"/>
        <v>Lig</v>
      </c>
      <c r="DR3" t="str">
        <f>IF(AM3="Spiral",((Y3-(SD!$E$12*2))/12),"")</f>
        <v/>
      </c>
      <c r="DS3" t="str">
        <f t="shared" si="24"/>
        <v/>
      </c>
      <c r="DT3" t="str">
        <f t="shared" si="25"/>
        <v/>
      </c>
      <c r="DU3" t="str">
        <f t="shared" si="26"/>
        <v/>
      </c>
    </row>
    <row r="4" spans="1:125" x14ac:dyDescent="0.25">
      <c r="A4">
        <v>11</v>
      </c>
      <c r="B4" t="s">
        <v>664</v>
      </c>
      <c r="C4" s="15">
        <v>2429</v>
      </c>
      <c r="D4" s="15">
        <v>10000</v>
      </c>
      <c r="E4" t="str">
        <f>IF(B4=Level!$A$2,SD!$C$14,SD!$C$13)</f>
        <v>3-0</v>
      </c>
      <c r="F4" s="15" t="s">
        <v>787</v>
      </c>
      <c r="G4" t="s">
        <v>722</v>
      </c>
      <c r="H4" s="15" t="s">
        <v>788</v>
      </c>
      <c r="I4" t="s">
        <v>723</v>
      </c>
      <c r="J4" t="str">
        <f>IF(AND(SD!$C$19=SD!$H$2,Grade!$G$1="Per level"),VLOOKUP(B4,Grade!$E$1:$F$200,2,FALSE),IF(AND(SD!$C$19=SD!$H$2,Grade!$G$1="Per Bar Size"),VLOOKUP(W4,Grade!$B$1:$C$12,2,0),SD!$C$19))</f>
        <v>A615 Grade 60</v>
      </c>
      <c r="K4" t="s">
        <v>67</v>
      </c>
      <c r="L4" t="str">
        <f>IFERROR(IF(A4&lt;&gt;A5,"",IF(DF4="No Lap","",IF(K5="Lap",U4,IF(K5="Coupler",_xlfn._xlws.FILTER(CCoupler,(CCName=SD!$C$8)*(CBSize=IF(A3=A4,W4&amp;W5,W4&amp;W4))*(CCMFM="Male")),"")))),"N/A")</f>
        <v/>
      </c>
      <c r="M4" t="str">
        <f t="shared" si="0"/>
        <v/>
      </c>
      <c r="N4" t="s">
        <v>719</v>
      </c>
      <c r="O4" t="s">
        <v>724</v>
      </c>
      <c r="P4" t="s">
        <v>719</v>
      </c>
      <c r="Q4" t="str">
        <f>IF(AND(SD!$C$29=SD!$P$2,Grade!$O$1="Per level"),VLOOKUP(B4,Grade!$M$1:$N$200,2,FALSE),IF(AND(SD!$C$29=SD!$P$2,Grade!$O$1="Per Bar Size"),VLOOKUP(LEFT(N4,FIND("@",N4)-2),Grade!$J$1:$K$12,2,0),SD!$C$29))</f>
        <v>A615 Grade 60</v>
      </c>
      <c r="R4" t="s">
        <v>725</v>
      </c>
      <c r="S4" s="57">
        <v>4</v>
      </c>
      <c r="U4" t="str">
        <f>IF(Data!$J4="",IFERROR(INDEX(IF(SD!$C$11="Create",Lap!$A$3:$BF$14,IF(SD!$C$11="Per Uploaded File",Lap!$A$19:$BF$30,"")),MATCH(W4,Lap!$A$3:$A$14,0),MATCH(VALUE(D4),Lap!$A$3:$BF$3,0)+IF(IFERROR(FIND("Grade 60",J4),0)&gt;0,0,IF(IFERROR(FIND("Grade 80",J4),0),1,IF(IFERROR(FIND("Grade 75",J4),0),2,"")))),""),Data!J4)</f>
        <v>3-6</v>
      </c>
      <c r="W4" t="s">
        <v>139</v>
      </c>
      <c r="X4">
        <v>6</v>
      </c>
      <c r="Y4" t="str">
        <f t="shared" si="1"/>
        <v xml:space="preserve">8 </v>
      </c>
      <c r="Z4" t="str">
        <f t="shared" si="2"/>
        <v xml:space="preserve"> 36</v>
      </c>
      <c r="AA4" s="24">
        <f t="shared" si="3"/>
        <v>19.583333333333332</v>
      </c>
      <c r="AB4" s="25"/>
      <c r="AT4" s="31"/>
      <c r="BB4" t="e" cm="1">
        <f t="array" ref="BB4">_xlfn.LET(_xlpm.PartF,(_xlfn.LET(_xlpm.grade, Q4,_xlpm.gradeRange, IF(_xlpm.grade=SD!$H$3, A615GR60, IF(_xlpm.grade=SD!$H$4, A615GR75, IF(_xlpm.grade=SD!$H$5, A615GR80, IF(_xlpm.grade=SD!$H$6, A615GR100, IF(_xlpm.grade=SD!$H$7, A706GR60, IF(_xlpm.grade=SD!$H$8, A706GR80)))))),_xlpm.matchValue, MATCH(1, (SD!$AW:$AW=AS4)*(SD!$AX:$AX=SD!$C$8), 0),INDEX(_xlpm.gradeRange, _xlpm.matchValue))),IF(AM4="Spiral",CONCATENATE("SP",_xlpm.PartF),_xlpm.PartF))</f>
        <v>#N/A</v>
      </c>
      <c r="BC4" cm="1">
        <f t="array" ref="BC4">_xlfn.LET(_xlpm.leftPart, LEFT(O4, FIND("@", O4) - 2),_xlpm.grade,Q4,_xlpm.gradeRange,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" cm="1">
        <f t="array" ref="BD4">_xlfn.LET(_xlpm.leftPart, LEFT(P4, FIND("@", P4) - 2),_xlpm.grade, Q4,_xlpm.gradeRange,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">
        <f t="shared" si="4"/>
        <v>3</v>
      </c>
      <c r="BF4">
        <f>IF(SD!$C$32=SD!$I$2,BE4,IF(SD!$C$32=SD!$I$3,DO4,IF(SD!$C$32=SD!$I$5,BA4,IF(SD!$C$32=SD!$I$6,(LEFT(SD!$C$35,FIND("-",SD!$C$35)-1)+RIGHT(SD!$C$35,LEN(SD!$C$35)-FIND("-",SD!$C$35))/12),IF(SD!$C$32=SD!$I$4,(AU4-(BG4+BH4)))))))</f>
        <v>0</v>
      </c>
      <c r="BG4">
        <f>IF(SD!$C$33=SD!$I$2,BE4,IF(SD!$C$33=SD!$I$3,DO4,IF(SD!$C$33=SD!$I$5,BA4,IF(SD!$C$33=SD!$I$6,(LEFT(SD!$C$35,FIND("-",SD!$C$35)-1)+RIGHT(SD!$C$35,LEN(SD!$C$35)-FIND("-",SD!$C$35))/12),IF(SD!$C$33=SD!$I$4,(AU4-(BF4+BH4)))))))</f>
        <v>-1</v>
      </c>
      <c r="BH4">
        <f>IF(SD!$C$34=SD!$I$2,BE4,IF(SD!$C$34=SD!$I$3,DO4,IF(SD!$C$34=SD!$I$5,BA4,IF(SD!$C$34=SD!$I$6,(LEFT(SD!$C$35,FIND("-",SD!$C$35)-1)+RIGHT(SD!$C$35,LEN(SD!$C$35)-FIND("-",SD!$C$35))/12),IF(SD!$C$34=SD!$I$4,(AU4-(BF4+BG4)))))))</f>
        <v>1</v>
      </c>
      <c r="BJ4">
        <f>IF(AM4="Spiral","1",MAX(ROUNDUP(IF(SD!$C$32="",AT4,BF4/(LEFT(RIGHT(N4,LEN(N4)-FIND("@",N4)),LEN(RIGHT(N4,LEN(N4)-FIND("@",N4)))-1)/12)+1),0),0))</f>
        <v>1</v>
      </c>
      <c r="BK4">
        <f>MAX(ROUNDUP(IF(SD!$C$33="","",BG4/(LEFT(RIGHT(O4,LEN(O4)-FIND("@",O4)),LEN(RIGHT(O4,LEN(O4)-FIND("@",O4)))-1)/12)+1),0),0)</f>
        <v>0</v>
      </c>
      <c r="BL4">
        <f>MAX(ROUNDUP(IF(SD!$C$34="","",BH4/(LEFT(RIGHT(P4,LEN(P4)-FIND("@",P4)),LEN(RIGHT(P4,LEN(P4)-FIND("@",P4)))-1)/12)+1),0),0)</f>
        <v>3</v>
      </c>
      <c r="BN4" t="e">
        <f t="shared" si="5"/>
        <v>#N/A</v>
      </c>
      <c r="BO4" t="e">
        <f t="shared" si="6"/>
        <v>#N/A</v>
      </c>
      <c r="BP4" t="e">
        <f t="shared" si="7"/>
        <v>#N/A</v>
      </c>
      <c r="BQ4" s="24" t="e">
        <f>IF(AM4=TRUE,(((Y4-(SD!$E$12*2))*3.14159265359)+BN4+BO4+BP4)/12+AL4,SUM(AF4:AG4,BN4,BO4,BP4,AO4,AQ4)/12)</f>
        <v>#N/A</v>
      </c>
      <c r="BR4" t="e">
        <f t="shared" si="8"/>
        <v>#N/A</v>
      </c>
      <c r="BS4" t="e">
        <f t="shared" si="9"/>
        <v>#N/A</v>
      </c>
      <c r="BT4" t="e">
        <f t="shared" si="10"/>
        <v>#N/A</v>
      </c>
      <c r="BU4" s="24" t="e">
        <f>IF(AM4=TRUE,(((Y4-(SD!$E$12*2))*3.14159265359)+BR4+BS4+BT4)/12+AL4,SUM(AF4:AG4,BR4,BS4,BT4,AO4,AQ4)/12)</f>
        <v>#N/A</v>
      </c>
      <c r="BW4" t="str">
        <f>IFERROR(LEFT(Data!L4,FIND(" -",Data!L4)-1),"")</f>
        <v/>
      </c>
      <c r="BX4" t="str">
        <f>IFERROR(IF(SD!$C$40=SD!$U$2,W4,IF(SD!$C$40=SD!$U$3,RIGHT(Data!L4,LEN(Data!L4)-(FIND("-",Data!L4)+1)),SD!$C$40)),"")</f>
        <v>#7</v>
      </c>
      <c r="BY4" cm="1">
        <f t="array" ref="BY4">IFERROR(_xlfn.LET(_xlpm.GRR,IF(AND(SD!$C$19=SD!$H$2,Grade!$G$1="Per level"),VLOOKUP(B4,Grade!$E$1:$F$200,2,FALSE),IF(AND(SD!$C$19=SD!$H$2,Grade!$G$1="Per Bar Size"),VLOOKUP(BX4,Grade!$B$1:$C$12,2,0),SD!$C$19)),_xlpm.is_equal, A3=A4,_xlpm.grade_range, IF(_xlpm.GRR=SD!$H$3, A615GR60,IF(_xlpm.GRR=SD!$H$4, A615GR75,IF(_xlpm.GRR=SD!$H$5, A615GR80,IF(_xlpm.GRR=SD!H8, A615GR100,IF(_xlpm.GRR=SD!$H$7, A706GR60,IF(_xlpm.GRR=SD!$H$8, A706GR80)))))),_xlpm.match_result, MATCH(1, (BSize=BX4)*(BCName=SD!$C$8), 0),_xlpm.final_result, INDEX(_xlpm.grade_range, _xlpm.match_result),IF(_xlpm.is_equal, "", _xlpm.final_result)),"")</f>
        <v>7</v>
      </c>
      <c r="BZ4">
        <f>IF(A3=A4,"",IF(SD!$C$41="Match Vertical Bars ",X4,IF(SD!$C$41=SD!$V$3,BW4,SD!$C$41)))</f>
        <v>6</v>
      </c>
      <c r="CA4" cm="1">
        <f t="array" ref="CA4">IF(A3=A4,"",IF(SD!$C$44="No T-Head",IF(SD!$C$42=SD!$Q$3,VLOOKUP(BX4,S90Range,3,FALSE),LEFT(SD!$C$42,FIND("-",SD!$C$42)-1)+(RIGHT(SD!$C$42,LEN(SD!$C$42)-FIND("-",SD!$C$42))/12)),IF(SD!$C$44="T-Head",_xlfn._xlws.FILTER(THead,(TCName=SD!$C$8)*(TSize=BX4)),IF(SD!$C$44="Level Wise",_xlfn.LET(_xlpm.result,_xlfn.XLOOKUP(B4,VDLevel,VDLevelStatus,"No"),IF(_xlpm.result="Yes",_xlfn._xlws.FILTER(THead,(TCName=SD!$C$8)*(TSize=BX4)),IF(SD!$C$42=SD!$Q$3,VLOOKUP(BX4,S90Range,3,FALSE),LEFT(SD!$C$42,FIND("-",SD!$C$42)-1)+(RIGHT(SD!$C$42,LEN(SD!$C$42)-FIND("-", SD!$C$42))/12)))),IF(SD!$C$44="BarSize Wise",_xlfn.LET(_xlpm.result,_xlfn.XLOOKUP(BX4,VDBarSize,VDBarSizeStatus,"No"),IF(_xlpm.result="Yes",_xlfn._xlws.FILTER(THead,(TCName=SD!$C$8)*(TSize=BX4)),IF(SD!$C$42=SD!$Q$3,VLOOKUP(BX4,S90Range,3,FALSE),LEFT(SD!$C$42,FIND("-",SD!$C$42)-1)+(RIGHT(SD!$C$42,LEN(SD!$C$42)-FIND("-",SD!$C$42))/12)))), "")))))</f>
        <v>1.1666666666666667</v>
      </c>
      <c r="CB4" t="str" cm="1">
        <f t="array" ref="CB4">_xlfn.LET(_xlpm.GRR,IF(AND(SD!$C$19=SD!$H$2,Grade!$G$1="Per level"),VLOOKUP(B4,Grade!$E$1:$F$200,2,FALSE),IF(AND(SD!$C$19=SD!$H$2,Grade!$G$1="Per Bar Size"),VLOOKUP(BX4,Grade!$B$1:$C$12,2,0),SD!$C$19)),_xlpm.is_coupler, K4="Coupler",_xlpm.condition1, SD!$C$43=SD!$W$2,_xlpm.data_j2_empty, Data!$J4="",_xlpm.lookup_table, IF(SD!$C$11="Create", Lap!$A$3:$BF$14, IF(SD!$C$11="Per Uploaded File", Lap!$A$19:$BF$30, "")),_xlpm.row_match, MATCH(BX4, Lap!$A$3:$A$14, 0),_xlpm.grade_offset, IF(IFERROR(FIND("Grade 60",_xlpm.GRR), 0) &gt; 0, 0, IF(IFERROR(FIND("Grade 80",_xlpm.GRR), 0), 1, IF(IFERROR(FIND("Grade 75",_xlpm.GRR), 0), 2, ""))),_xlpm.col_match, MATCH(VALUE(D4), Lap!$A$3:$BF$3, 0) + _xlpm.grade_offset,_xlpm.index_result, IFERROR(INDEX(_xlpm.lookup_table, _xlpm.row_match, _xlpm.col_match), Data!$J4),_xlpm.result_if_condition1, IF(_xlpm.data_j2_empty, _xlpm.index_result, Data!$J4),IF(_xlpm.is_coupler, 0, IF(_xlpm.condition1, _xlpm.result_if_condition1, SD!$C$43)))</f>
        <v>3-6</v>
      </c>
      <c r="CC4" s="24">
        <f t="shared" si="11"/>
        <v>3.5</v>
      </c>
      <c r="CD4">
        <f t="shared" si="12"/>
        <v>7.666666666666667</v>
      </c>
      <c r="CE4" t="str" cm="1">
        <f t="array" ref="CE4">IF(BY4="","",_xlfn._xlws.FILTER(SAC,(CName=SD!$C$8)*(EName="Vert Dowels")))</f>
        <v>2200 CD</v>
      </c>
      <c r="CF4" t="str" cm="1">
        <f t="array" ref="CF4">IFERROR(IF(BY4="","",IF(K4="Coupler",_xlfn._xlws.FILTER(CCoupler,(CCName=SD!$C$8)*(CBSize=IF(A3=A4,W3&amp;W4,BX4&amp;W4))*(CCMFM="Male")),"")),"N/A")</f>
        <v/>
      </c>
      <c r="CG4" t="str">
        <f t="shared" si="13"/>
        <v/>
      </c>
      <c r="CH4" t="str">
        <f t="shared" si="14"/>
        <v/>
      </c>
      <c r="CI4" t="str">
        <f>_xlfn.LET(_xlpm.u3_value, U5,_xlpm.hyphen_pos,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K5="Coupler",_xlpm.coupler_value, IF(_xlpm.is_coupler, 0, _xlpm.calculated_value),_xlpm.final_value, _xlpm.calculated_value + SD!$E$13 + _xlpm.coupler_value,IF(CG4="", "", _xlpm.final_value))</f>
        <v/>
      </c>
      <c r="CJ4" t="str" cm="1">
        <f t="array" ref="CJ4">IF(CG4="","",_xlfn._xlws.FILTER(SAC,(CName=SD!$C$8)*(EName="Loose Dowels")))</f>
        <v/>
      </c>
      <c r="CK4" t="str" cm="1">
        <f t="array" ref="CK4">IFERROR(IF(CG4="","",IF(K5="Coupler",_xlfn._xlws.FILTER(CCoupler,(CCName=SD!$C$8)*(CBSize=IF(A4=A5,W4&amp;W5,""))*(CCMFM="Male")),"")),"N/A")</f>
        <v/>
      </c>
      <c r="CL4">
        <f>IFERROR(IF(AM4="Spiral","",IF(A3=A4,"",IF(SD!$C$37=0,"",SD!$C$37))),"")</f>
        <v>3</v>
      </c>
      <c r="CN4">
        <f>IF(AM4="Spiral","",IFERROR(IF(SD!$C$36=0,"",SD!$C$36),""))</f>
        <v>5</v>
      </c>
      <c r="CP4">
        <f>IFERROR(IF(SD!$C$42=SD!$Q$3,'Take-off'!CA4,""),"")</f>
        <v>1.1666666666666667</v>
      </c>
      <c r="CR4">
        <f>IFERROR(IF(SD!$C$22=SD!$U$2,W4,SD!$C$22),"")</f>
        <v>0</v>
      </c>
      <c r="CS4" t="str" cm="1">
        <f t="array" ref="CS4">_xlfn.LET(_xlpm.GR,IF(AND(SD!$C$19=SD!$H$2,Grade!$G$1="Per level"),VLOOKUP(B4,Grade!$E$1:$F$200,2,FALSE),IF(AND(SD!$C$19=SD!$H$2,Grade!$G$1="Per Bar Size"),VLOOKUP(CR4,Grade!$B$1:$C$12,2,0),SD!$C$19)),IF(SD!$C$20=SD!$R$4,IF(A5=A4,"",INDEX(IF(_xlpm.GR=SD!$H$3,A615GR60,IF(_xlpm.GR=SD!$H$4,A615GR75,IF(_xlpm.GR=SD!$H$5,A615GR80,IF(_xlpm.GR=SD!H8,A615GR100,IF(_xlpm.GR=SD!$H$7,A706GR60,IF(_xlpm.GR=SD!$H$8,A706GR80)))))), MATCH(1, (BSize=CR4)*(BCName=SD!$C$8), 0))),""))</f>
        <v/>
      </c>
      <c r="CT4">
        <f>IF(A5=A4,"",IF(SD!$C$23="Match Vertical Bars ",X4,SD!$C$23))</f>
        <v>0</v>
      </c>
      <c r="CU4" t="str" cm="1">
        <f t="array" ref="CU4">IF(A5=A4,"",IF(SD!$C$20="Top dowels",IF(SD!$E$25="No T-Head",IF(SD!$C$24=SD!$Q$3,VLOOKUP(CR4,S90Range,3,FALSE),LEFT(SD!$C$24,FIND("-",SD!$C$24)-1)+(RIGHT(SD!$C$24,LEN(SD!$C$24)-FIND("-",SD!$C$24))/12)),IF(SD!$E$25="T-Head",_xlfn._xlws.FILTER(THead,(TCName=SD!$C$8)*(TSize=CR4)),IF(SD!$E$25="Level Wise",_xlfn.LET(_xlpm.result,_xlfn.XLOOKUP(B4,TDLevel,TDLevelStatus,"No"),IF(_xlpm.result="Yes",_xlfn._xlws.FILTER(THead,(TCName=SD!$C$8)*(TSize=CR4)),IF(SD!$C$24=SD!$Q$3,VLOOKUP(CR4,S90Range,3,FALSE),LEFT(SD!$C$24,FIND("-",SD!$C$24)-1)+(RIGHT(SD!$C$24,LEN(SD!$C$24)-FIND("-", SD!$C$24))/12)))),IF(SD!$E$25="BarSize Wise",_xlfn.LET(_xlpm.result,_xlfn.XLOOKUP(CR4,TDBarSize,TDBarSizeStatus,"No"),IF(_xlpm.result="Yes",_xlfn._xlws.FILTER(THead,(TCName=SD!$C$8)*(TSize=CR4)),IF(SD!$C$24=SD!$Q$3,VLOOKUP(CR4,S90Range,3,FALSE),LEFT(SD!$C$24,FIND("-",SD!$C$24)-1)+(RIGHT(SD!$C$24,LEN(SD!$C$24)-FIND("-",SD!$C$24))/12)))), "")))),""))</f>
        <v/>
      </c>
      <c r="CV4" t="str">
        <f>_xlfn.LET(_xlpm.GRR,IF(AND(SD!$C$19=SD!$H$2,Grade!$G$1="Per level"),VLOOKUP(B4,Grade!$E$1:$F$200,2,FALSE),IF(AND(SD!$C$19=SD!$H$2,Grade!$G$1="Per Bar Size"),VLOOKUP(CR4,Grade!$B$1:$C$12,2,0),SD!$C$19)),IF(SD!$C$25=SD!$W$2,IF(Data!$J4="",IFERROR(INDEX(IF(SD!$C$11="Create",Lap!$A$3:$BF$14,IF(SD!$C$11="Per Uploaded File",Lap!$A$19:$BF$30,"")),MATCH(CR4,Lap!$A$3:$A$14,0),MATCH(VALUE(D4),Lap!$A$3:$BF$3,0)+IF(IFERROR(FIND("Grade 60",_xlpm.GRR),0)&gt;0,0,IF(IFERROR(FIND("Grade 80",_xlpm.GRR),0),1,IF(IFERROR(FIND("Grade 75",_xlpm.GRR),0),2,"")))),""),Data!J4),SD!$C$43))</f>
        <v>Match Lap</v>
      </c>
      <c r="CW4">
        <f t="shared" si="15"/>
        <v>0</v>
      </c>
      <c r="CX4">
        <f t="shared" si="16"/>
        <v>0</v>
      </c>
      <c r="CY4" t="str">
        <f t="shared" si="17"/>
        <v/>
      </c>
      <c r="DA4">
        <f t="shared" si="18"/>
        <v>11</v>
      </c>
      <c r="DB4" t="str">
        <f t="shared" si="19"/>
        <v>19-7</v>
      </c>
      <c r="DC4" s="24">
        <f t="shared" si="20"/>
        <v>19.583333333333332</v>
      </c>
      <c r="DD4">
        <f t="shared" si="21"/>
        <v>19.583333333333332</v>
      </c>
      <c r="DE4" t="s">
        <v>722</v>
      </c>
      <c r="DF4" t="s">
        <v>67</v>
      </c>
      <c r="DG4" t="str">
        <f>VLOOKUP(W4,'Level Wise PSI'!$F$2:$G$12,2,FALSE)</f>
        <v>Double Lift</v>
      </c>
      <c r="DI4" t="str" cm="1">
        <f t="array" ref="DI4">_xlfn.LET(_xlpm.Coup,IFERROR(IF(BY4="","",IF(K4="Coupler",_xlfn._xlws.FILTER(CCFCoupler,(CCName=SD!$C$8)*(CBSize=IF(A3=A4,W3&amp;W4,BX4&amp;W4))),"")),"N/A"),IF(_xlpm.Coup=0,"",_xlpm.Coup))</f>
        <v/>
      </c>
      <c r="DJ4" t="str" cm="1">
        <f t="array" ref="DJ4">_xlfn.LET(_xlpm.Coup3,IFERROR(IF(CG4="","",IF(K5="Coupler",_xlfn._xlws.FILTER(CCFCoupler,(CCName=SD!$C$8)*(CBSize=IF(A4=A5,W4&amp;W5,""))),"")),"N/A"),IF(_xlpm.Coup3=0,"",_xlpm.Coup3))</f>
        <v/>
      </c>
      <c r="DK4" t="str" cm="1">
        <f t="array" ref="DK4">_xlfn.LET(_xlpm.Coup2,IFERROR(IF(A4&lt;&gt;A5,"",IF(DF4="No Lap","",IF(K5="Coupler",_xlfn._xlws.FILTER(CCFCoupler,(CCName=SD!$C$8)*(CBSize=IF(A3=A4,W4&amp;W5,W4&amp;W4))),""))),"N/A"),IF(_xlpm.Coup2=0,"",_xlpm.Coup2))</f>
        <v/>
      </c>
      <c r="DM4" t="str">
        <f>IF(AM4="Spiral","",IF(SD!$C$31=SD!$Y$3,SD!$E$32*2,""))</f>
        <v/>
      </c>
      <c r="DO4" s="24">
        <f t="shared" si="22"/>
        <v>3</v>
      </c>
      <c r="DQ4" t="str">
        <f t="shared" si="23"/>
        <v>Lig</v>
      </c>
      <c r="DR4" t="str">
        <f>IF(AM4="Spiral",((Y4-(SD!$E$12*2))/12),"")</f>
        <v/>
      </c>
      <c r="DS4" t="str">
        <f t="shared" si="24"/>
        <v/>
      </c>
      <c r="DT4" t="str">
        <f t="shared" si="25"/>
        <v/>
      </c>
      <c r="DU4" t="str">
        <f t="shared" si="26"/>
        <v/>
      </c>
    </row>
    <row r="5" spans="1:125" ht="16.149999999999999" customHeight="1" x14ac:dyDescent="0.25">
      <c r="A5">
        <v>12</v>
      </c>
      <c r="B5" t="s">
        <v>664</v>
      </c>
      <c r="C5" s="15">
        <v>2429</v>
      </c>
      <c r="D5" s="15">
        <v>10000</v>
      </c>
      <c r="E5" s="15" t="s">
        <v>705</v>
      </c>
      <c r="F5" s="15" t="s">
        <v>787</v>
      </c>
      <c r="G5" t="s">
        <v>726</v>
      </c>
      <c r="H5" s="15" t="s">
        <v>789</v>
      </c>
      <c r="I5" t="s">
        <v>727</v>
      </c>
      <c r="J5" t="str">
        <f>IF(AND(SD!$C$19=SD!$H$2,Grade!$G$1="Per level"),VLOOKUP(B5,Grade!$E$1:$F$200,2,FALSE),IF(AND(SD!$C$19=SD!$H$2,Grade!$G$1="Per Bar Size"),VLOOKUP(W5,Grade!$B$1:$C$12,2,0),SD!$C$19))</f>
        <v>A615 Grade 60</v>
      </c>
      <c r="K5" t="s">
        <v>67</v>
      </c>
      <c r="L5" t="str">
        <f>IFERROR(IF(A5&lt;&gt;A6,"",IF(DF5="No Lap","",IF(K6="Lap",U5,IF(K6="Coupler",_xlfn._xlws.FILTER(CCoupler,(CCName=SD!$C$8)*(CBSize=IF(A4=A5,W5&amp;W6,W5&amp;W5))*(CCMFM="Male")),"")))),"N/A")</f>
        <v/>
      </c>
      <c r="M5" t="str">
        <f t="shared" si="0"/>
        <v/>
      </c>
      <c r="N5" t="s">
        <v>719</v>
      </c>
      <c r="O5" t="s">
        <v>720</v>
      </c>
      <c r="P5" t="s">
        <v>719</v>
      </c>
      <c r="Q5" t="str">
        <f>IF(AND(SD!$C$29=SD!$P$2,Grade!$O$1="Per level"),VLOOKUP(B5,Grade!$M$1:$N$200,2,FALSE),IF(AND(SD!$C$29=SD!$P$2,Grade!$O$1="Per Bar Size"),VLOOKUP(LEFT(N5,FIND("@",N5)-2),Grade!$J$1:$K$12,2,0),SD!$C$29))</f>
        <v>A615 Grade 60</v>
      </c>
      <c r="R5" t="s">
        <v>728</v>
      </c>
      <c r="S5" s="57">
        <v>5</v>
      </c>
      <c r="U5" t="str">
        <f>IF(Data!$J5="",IFERROR(INDEX(IF(SD!$C$11="Create",Lap!$A$3:$BF$14,IF(SD!$C$11="Per Uploaded File",Lap!$A$19:$BF$30,"")),MATCH(W5,Lap!$A$3:$A$14,0),MATCH(VALUE(D5),Lap!$A$3:$BF$3,0)+IF(IFERROR(FIND("Grade 60",J5),0)&gt;0,0,IF(IFERROR(FIND("Grade 80",J5),0),1,IF(IFERROR(FIND("Grade 75",J5),0),2,"")))),""),Data!J5)</f>
        <v>4-6</v>
      </c>
      <c r="W5" t="s">
        <v>164</v>
      </c>
      <c r="X5">
        <v>12</v>
      </c>
      <c r="Y5" t="str">
        <f t="shared" si="1"/>
        <v xml:space="preserve">24 </v>
      </c>
      <c r="Z5" t="str">
        <f t="shared" si="2"/>
        <v xml:space="preserve"> 36</v>
      </c>
      <c r="AA5" s="24">
        <f t="shared" si="3"/>
        <v>21.583333333333332</v>
      </c>
      <c r="AB5" s="25"/>
      <c r="AT5" s="31"/>
      <c r="BB5" t="e" cm="1">
        <f t="array" ref="BB5">_xlfn.LET(_xlpm.PartF,(_xlfn.LET(_xlpm.grade, Q5,_xlpm.gradeRange, IF(_xlpm.grade=SD!$H$3, A615GR60, IF(_xlpm.grade=SD!$H$4, A615GR75, IF(_xlpm.grade=SD!$H$5, A615GR80, IF(_xlpm.grade=SD!$H$6, A615GR100, IF(_xlpm.grade=SD!$H$7, A706GR60, IF(_xlpm.grade=SD!$H$8, A706GR80)))))),_xlpm.matchValue, MATCH(1, (SD!$AW:$AW=AS5)*(SD!$AX:$AX=SD!$C$8), 0),INDEX(_xlpm.gradeRange, _xlpm.matchValue))),IF(AM5="Spiral",CONCATENATE("SP",_xlpm.PartF),_xlpm.PartF))</f>
        <v>#N/A</v>
      </c>
      <c r="BC5" cm="1">
        <f t="array" ref="BC5">_xlfn.LET(_xlpm.leftPart, LEFT(O5, FIND("@", O5) - 2),_xlpm.grade,Q5,_xlpm.gradeRange,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" cm="1">
        <f t="array" ref="BD5">_xlfn.LET(_xlpm.leftPart, LEFT(P5, FIND("@", P5) - 2),_xlpm.grade, Q5,_xlpm.gradeRange,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">
        <f t="shared" si="4"/>
        <v>3</v>
      </c>
      <c r="BF5">
        <f>IF(SD!$C$32=SD!$I$2,BE5,IF(SD!$C$32=SD!$I$3,DO5,IF(SD!$C$32=SD!$I$5,BA5,IF(SD!$C$32=SD!$I$6,(LEFT(SD!$C$35,FIND("-",SD!$C$35)-1)+RIGHT(SD!$C$35,LEN(SD!$C$35)-FIND("-",SD!$C$35))/12),IF(SD!$C$32=SD!$I$4,(AU5-(BG5+BH5)))))))</f>
        <v>0</v>
      </c>
      <c r="BG5">
        <f>IF(SD!$C$33=SD!$I$2,BE5,IF(SD!$C$33=SD!$I$3,DO5,IF(SD!$C$33=SD!$I$5,BA5,IF(SD!$C$33=SD!$I$6,(LEFT(SD!$C$35,FIND("-",SD!$C$35)-1)+RIGHT(SD!$C$35,LEN(SD!$C$35)-FIND("-",SD!$C$35))/12),IF(SD!$C$33=SD!$I$4,(AU5-(BF5+BH5)))))))</f>
        <v>-1</v>
      </c>
      <c r="BH5">
        <f>IF(SD!$C$34=SD!$I$2,BE5,IF(SD!$C$34=SD!$I$3,DO5,IF(SD!$C$34=SD!$I$5,BA5,IF(SD!$C$34=SD!$I$6,(LEFT(SD!$C$35,FIND("-",SD!$C$35)-1)+RIGHT(SD!$C$35,LEN(SD!$C$35)-FIND("-",SD!$C$35))/12),IF(SD!$C$34=SD!$I$4,(AU5-(BF5+BG5)))))))</f>
        <v>1</v>
      </c>
      <c r="BJ5">
        <f>IF(AM5="Spiral","1",MAX(ROUNDUP(IF(SD!$C$32="",AT5,BF5/(LEFT(RIGHT(N5,LEN(N5)-FIND("@",N5)),LEN(RIGHT(N5,LEN(N5)-FIND("@",N5)))-1)/12)+1),0),0))</f>
        <v>1</v>
      </c>
      <c r="BK5">
        <f>MAX(ROUNDUP(IF(SD!$C$33="","",BG5/(LEFT(RIGHT(O5,LEN(O5)-FIND("@",O5)),LEN(RIGHT(O5,LEN(O5)-FIND("@",O5)))-1)/12)+1),0),0)</f>
        <v>0</v>
      </c>
      <c r="BL5">
        <f>MAX(ROUNDUP(IF(SD!$C$34="","",BH5/(LEFT(RIGHT(P5,LEN(P5)-FIND("@",P5)),LEN(RIGHT(P5,LEN(P5)-FIND("@",P5)))-1)/12)+1),0),0)</f>
        <v>3</v>
      </c>
      <c r="BN5" t="e">
        <f t="shared" si="5"/>
        <v>#N/A</v>
      </c>
      <c r="BO5" t="e">
        <f t="shared" si="6"/>
        <v>#N/A</v>
      </c>
      <c r="BP5" t="e">
        <f t="shared" si="7"/>
        <v>#N/A</v>
      </c>
      <c r="BQ5" s="24" t="e">
        <f>IF(AM5=TRUE,(((Y5-(SD!$E$12*2))*3.14159265359)+BN5+BO5+BP5)/12+AL5,SUM(AF5:AG5,BN5,BO5,BP5,AO5,AQ5)/12)</f>
        <v>#N/A</v>
      </c>
      <c r="BR5" t="e">
        <f t="shared" si="8"/>
        <v>#N/A</v>
      </c>
      <c r="BS5" t="e">
        <f t="shared" si="9"/>
        <v>#N/A</v>
      </c>
      <c r="BT5" t="e">
        <f t="shared" si="10"/>
        <v>#N/A</v>
      </c>
      <c r="BU5" s="24" t="e">
        <f>IF(AM5=TRUE,(((Y5-(SD!$E$12*2))*3.14159265359)+BR5+BS5+BT5)/12+AL5,SUM(AF5:AG5,BR5,BS5,BT5,AO5,AQ5)/12)</f>
        <v>#N/A</v>
      </c>
      <c r="BW5" t="str">
        <f>IFERROR(LEFT(Data!L5,FIND(" -",Data!L5)-1),"")</f>
        <v/>
      </c>
      <c r="BX5" t="str">
        <f>IFERROR(IF(SD!$C$40=SD!$U$2,W5,IF(SD!$C$40=SD!$U$3,RIGHT(Data!L5,LEN(Data!L5)-(FIND("-",Data!L5)+1)),SD!$C$40)),"")</f>
        <v>#9</v>
      </c>
      <c r="BY5" cm="1">
        <f t="array" ref="BY5">IFERROR(_xlfn.LET(_xlpm.GRR,IF(AND(SD!$C$19=SD!$H$2,Grade!$G$1="Per level"),VLOOKUP(B5,Grade!$E$1:$F$200,2,FALSE),IF(AND(SD!$C$19=SD!$H$2,Grade!$G$1="Per Bar Size"),VLOOKUP(BX5,Grade!$B$1:$C$12,2,0),SD!$C$19)),_xlpm.is_equal, A4=A5,_xlpm.grade_range, IF(_xlpm.GRR=SD!$H$3, A615GR60,IF(_xlpm.GRR=SD!$H$4, A615GR75,IF(_xlpm.GRR=SD!$H$5, A615GR80,IF(_xlpm.GRR=SD!H9, A615GR100,IF(_xlpm.GRR=SD!$H$7, A706GR60,IF(_xlpm.GRR=SD!$H$8, A706GR80)))))),_xlpm.match_result, MATCH(1, (BSize=BX5)*(BCName=SD!$C$8), 0),_xlpm.final_result, INDEX(_xlpm.grade_range, _xlpm.match_result),IF(_xlpm.is_equal, "", _xlpm.final_result)),"")</f>
        <v>9</v>
      </c>
      <c r="BZ5">
        <f>IF(A4=A5,"",IF(SD!$C$41="Match Vertical Bars ",X5,IF(SD!$C$41=SD!$V$3,BW5,SD!$C$41)))</f>
        <v>12</v>
      </c>
      <c r="CA5" cm="1">
        <f t="array" ref="CA5">IF(A4=A5,"",IF(SD!$C$44="No T-Head",IF(SD!$C$42=SD!$Q$3,VLOOKUP(BX5,S90Range,3,FALSE),LEFT(SD!$C$42,FIND("-",SD!$C$42)-1)+(RIGHT(SD!$C$42,LEN(SD!$C$42)-FIND("-",SD!$C$42))/12)),IF(SD!$C$44="T-Head",_xlfn._xlws.FILTER(THead,(TCName=SD!$C$8)*(TSize=BX5)),IF(SD!$C$44="Level Wise",_xlfn.LET(_xlpm.result,_xlfn.XLOOKUP(B5,VDLevel,VDLevelStatus,"No"),IF(_xlpm.result="Yes",_xlfn._xlws.FILTER(THead,(TCName=SD!$C$8)*(TSize=BX5)),IF(SD!$C$42=SD!$Q$3,VLOOKUP(BX5,S90Range,3,FALSE),LEFT(SD!$C$42,FIND("-",SD!$C$42)-1)+(RIGHT(SD!$C$42,LEN(SD!$C$42)-FIND("-", SD!$C$42))/12)))),IF(SD!$C$44="BarSize Wise",_xlfn.LET(_xlpm.result,_xlfn.XLOOKUP(BX5,VDBarSize,VDBarSizeStatus,"No"),IF(_xlpm.result="Yes",_xlfn._xlws.FILTER(THead,(TCName=SD!$C$8)*(TSize=BX5)),IF(SD!$C$42=SD!$Q$3,VLOOKUP(BX5,S90Range,3,FALSE),LEFT(SD!$C$42,FIND("-",SD!$C$42)-1)+(RIGHT(SD!$C$42,LEN(SD!$C$42)-FIND("-",SD!$C$42))/12)))), "")))))</f>
        <v>1.5833333333333335</v>
      </c>
      <c r="CB5" t="str" cm="1">
        <f t="array" ref="CB5">_xlfn.LET(_xlpm.GRR,IF(AND(SD!$C$19=SD!$H$2,Grade!$G$1="Per level"),VLOOKUP(B5,Grade!$E$1:$F$200,2,FALSE),IF(AND(SD!$C$19=SD!$H$2,Grade!$G$1="Per Bar Size"),VLOOKUP(BX5,Grade!$B$1:$C$12,2,0),SD!$C$19)),_xlpm.is_coupler, K5="Coupler",_xlpm.condition1, SD!$C$43=SD!$W$2,_xlpm.data_j2_empty, Data!$J5="",_xlpm.lookup_table, IF(SD!$C$11="Create", Lap!$A$3:$BF$14, IF(SD!$C$11="Per Uploaded File", Lap!$A$19:$BF$30, "")),_xlpm.row_match, MATCH(BX5, Lap!$A$3:$A$14, 0),_xlpm.grade_offset, IF(IFERROR(FIND("Grade 60",_xlpm.GRR), 0) &gt; 0, 0, IF(IFERROR(FIND("Grade 80",_xlpm.GRR), 0), 1, IF(IFERROR(FIND("Grade 75",_xlpm.GRR), 0), 2, ""))),_xlpm.col_match, MATCH(VALUE(D5), Lap!$A$3:$BF$3, 0) + _xlpm.grade_offset,_xlpm.index_result, IFERROR(INDEX(_xlpm.lookup_table, _xlpm.row_match, _xlpm.col_match), Data!$J5),_xlpm.result_if_condition1, IF(_xlpm.data_j2_empty, _xlpm.index_result, Data!$J5),IF(_xlpm.is_coupler, 0, IF(_xlpm.condition1, _xlpm.result_if_condition1, SD!$C$43)))</f>
        <v>4-6</v>
      </c>
      <c r="CC5" s="24">
        <f t="shared" si="11"/>
        <v>4.5</v>
      </c>
      <c r="CD5">
        <f t="shared" si="12"/>
        <v>10.75</v>
      </c>
      <c r="CE5" t="str" cm="1">
        <f t="array" ref="CE5">IF(BY5="","",_xlfn._xlws.FILTER(SAC,(CName=SD!$C$8)*(EName="Vert Dowels")))</f>
        <v>2200 CD</v>
      </c>
      <c r="CF5" t="str" cm="1">
        <f t="array" ref="CF5">IFERROR(IF(BY5="","",IF(K5="Coupler",_xlfn._xlws.FILTER(CCoupler,(CCName=SD!$C$8)*(CBSize=IF(A4=A5,W4&amp;W5,BX5&amp;W5))*(CCMFM="Male")),"")),"N/A")</f>
        <v/>
      </c>
      <c r="CG5" t="str">
        <f t="shared" si="13"/>
        <v/>
      </c>
      <c r="CH5" t="str">
        <f t="shared" si="14"/>
        <v/>
      </c>
      <c r="CI5" t="str">
        <f>_xlfn.LET(_xlpm.u3_value, U6,_xlpm.hyphen_pos,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K6="Coupler",_xlpm.coupler_value, IF(_xlpm.is_coupler, 0, _xlpm.calculated_value),_xlpm.final_value, _xlpm.calculated_value + SD!$E$13 + _xlpm.coupler_value,IF(CG5="", "", _xlpm.final_value))</f>
        <v/>
      </c>
      <c r="CJ5" t="str" cm="1">
        <f t="array" ref="CJ5">IF(CG5="","",_xlfn._xlws.FILTER(SAC,(CName=SD!$C$8)*(EName="Loose Dowels")))</f>
        <v/>
      </c>
      <c r="CK5" t="str" cm="1">
        <f t="array" ref="CK5">IFERROR(IF(CG5="","",IF(K6="Coupler",_xlfn._xlws.FILTER(CCoupler,(CCName=SD!$C$8)*(CBSize=IF(A5=A6,W5&amp;W6,""))*(CCMFM="Male")),"")),"N/A")</f>
        <v/>
      </c>
      <c r="CL5">
        <f>IFERROR(IF(AM5="Spiral","",IF(A4=A5,"",IF(SD!$C$37=0,"",SD!$C$37))),"")</f>
        <v>3</v>
      </c>
      <c r="CN5">
        <f>IF(AM5="Spiral","",IFERROR(IF(SD!$C$36=0,"",SD!$C$36),""))</f>
        <v>5</v>
      </c>
      <c r="CP5">
        <f>IFERROR(IF(SD!$C$42=SD!$Q$3,'Take-off'!CA5,""),"")</f>
        <v>1.5833333333333335</v>
      </c>
      <c r="CR5">
        <f>IFERROR(IF(SD!$C$22=SD!$U$2,W5,SD!$C$22),"")</f>
        <v>0</v>
      </c>
      <c r="CS5" t="str" cm="1">
        <f t="array" ref="CS5">_xlfn.LET(_xlpm.GR,IF(AND(SD!$C$19=SD!$H$2,Grade!$G$1="Per level"),VLOOKUP(B5,Grade!$E$1:$F$200,2,FALSE),IF(AND(SD!$C$19=SD!$H$2,Grade!$G$1="Per Bar Size"),VLOOKUP(CR5,Grade!$B$1:$C$12,2,0),SD!$C$19)),IF(SD!$C$20=SD!$R$4,IF(A6=A5,"",INDEX(IF(_xlpm.GR=SD!$H$3,A615GR60,IF(_xlpm.GR=SD!$H$4,A615GR75,IF(_xlpm.GR=SD!$H$5,A615GR80,IF(_xlpm.GR=SD!H9,A615GR100,IF(_xlpm.GR=SD!$H$7,A706GR60,IF(_xlpm.GR=SD!$H$8,A706GR80)))))), MATCH(1, (BSize=CR5)*(BCName=SD!$C$8), 0))),""))</f>
        <v/>
      </c>
      <c r="CT5">
        <f>IF(A6=A5,"",IF(SD!$C$23="Match Vertical Bars ",X5,SD!$C$23))</f>
        <v>0</v>
      </c>
      <c r="CU5" t="str" cm="1">
        <f t="array" ref="CU5">IF(A6=A5,"",IF(SD!$C$20="Top dowels",IF(SD!$E$25="No T-Head",IF(SD!$C$24=SD!$Q$3,VLOOKUP(CR5,S90Range,3,FALSE),LEFT(SD!$C$24,FIND("-",SD!$C$24)-1)+(RIGHT(SD!$C$24,LEN(SD!$C$24)-FIND("-",SD!$C$24))/12)),IF(SD!$E$25="T-Head",_xlfn._xlws.FILTER(THead,(TCName=SD!$C$8)*(TSize=CR5)),IF(SD!$E$25="Level Wise",_xlfn.LET(_xlpm.result,_xlfn.XLOOKUP(B5,TDLevel,TDLevelStatus,"No"),IF(_xlpm.result="Yes",_xlfn._xlws.FILTER(THead,(TCName=SD!$C$8)*(TSize=CR5)),IF(SD!$C$24=SD!$Q$3,VLOOKUP(CR5,S90Range,3,FALSE),LEFT(SD!$C$24,FIND("-",SD!$C$24)-1)+(RIGHT(SD!$C$24,LEN(SD!$C$24)-FIND("-", SD!$C$24))/12)))),IF(SD!$E$25="BarSize Wise",_xlfn.LET(_xlpm.result,_xlfn.XLOOKUP(CR5,TDBarSize,TDBarSizeStatus,"No"),IF(_xlpm.result="Yes",_xlfn._xlws.FILTER(THead,(TCName=SD!$C$8)*(TSize=CR5)),IF(SD!$C$24=SD!$Q$3,VLOOKUP(CR5,S90Range,3,FALSE),LEFT(SD!$C$24,FIND("-",SD!$C$24)-1)+(RIGHT(SD!$C$24,LEN(SD!$C$24)-FIND("-",SD!$C$24))/12)))), "")))),""))</f>
        <v/>
      </c>
      <c r="CV5" t="str">
        <f>_xlfn.LET(_xlpm.GRR,IF(AND(SD!$C$19=SD!$H$2,Grade!$G$1="Per level"),VLOOKUP(B5,Grade!$E$1:$F$200,2,FALSE),IF(AND(SD!$C$19=SD!$H$2,Grade!$G$1="Per Bar Size"),VLOOKUP(CR5,Grade!$B$1:$C$12,2,0),SD!$C$19)),IF(SD!$C$25=SD!$W$2,IF(Data!$J5="",IFERROR(INDEX(IF(SD!$C$11="Create",Lap!$A$3:$BF$14,IF(SD!$C$11="Per Uploaded File",Lap!$A$19:$BF$30,"")),MATCH(CR5,Lap!$A$3:$A$14,0),MATCH(VALUE(D5),Lap!$A$3:$BF$3,0)+IF(IFERROR(FIND("Grade 60",_xlpm.GRR),0)&gt;0,0,IF(IFERROR(FIND("Grade 80",_xlpm.GRR),0),1,IF(IFERROR(FIND("Grade 75",_xlpm.GRR),0),2,"")))),""),Data!J5),SD!$C$43))</f>
        <v>Match Lap</v>
      </c>
      <c r="CW5">
        <f t="shared" si="15"/>
        <v>0</v>
      </c>
      <c r="CX5">
        <f t="shared" si="16"/>
        <v>0</v>
      </c>
      <c r="CY5" t="str">
        <f t="shared" si="17"/>
        <v/>
      </c>
      <c r="DA5">
        <f t="shared" si="18"/>
        <v>12</v>
      </c>
      <c r="DB5" t="str">
        <f t="shared" si="19"/>
        <v>21-7</v>
      </c>
      <c r="DC5" s="24">
        <f t="shared" si="20"/>
        <v>21.583333333333332</v>
      </c>
      <c r="DD5">
        <f t="shared" si="21"/>
        <v>21.583333333333332</v>
      </c>
      <c r="DE5" t="s">
        <v>726</v>
      </c>
      <c r="DF5" t="s">
        <v>67</v>
      </c>
      <c r="DG5" t="str">
        <f>VLOOKUP(W5,'Level Wise PSI'!$F$2:$G$12,2,FALSE)</f>
        <v>Double Lift</v>
      </c>
      <c r="DI5" t="str" cm="1">
        <f t="array" ref="DI5">_xlfn.LET(_xlpm.Coup,IFERROR(IF(BY5="","",IF(K5="Coupler",_xlfn._xlws.FILTER(CCFCoupler,(CCName=SD!$C$8)*(CBSize=IF(A4=A5,W4&amp;W5,BX5&amp;W5))),"")),"N/A"),IF(_xlpm.Coup=0,"",_xlpm.Coup))</f>
        <v/>
      </c>
      <c r="DJ5" t="str" cm="1">
        <f t="array" ref="DJ5">_xlfn.LET(_xlpm.Coup3,IFERROR(IF(CG5="","",IF(K6="Coupler",_xlfn._xlws.FILTER(CCFCoupler,(CCName=SD!$C$8)*(CBSize=IF(A5=A6,W5&amp;W6,""))),"")),"N/A"),IF(_xlpm.Coup3=0,"",_xlpm.Coup3))</f>
        <v/>
      </c>
      <c r="DK5" t="str" cm="1">
        <f t="array" ref="DK5">_xlfn.LET(_xlpm.Coup2,IFERROR(IF(A5&lt;&gt;A6,"",IF(DF5="No Lap","",IF(K6="Coupler",_xlfn._xlws.FILTER(CCFCoupler,(CCName=SD!$C$8)*(CBSize=IF(A4=A5,W5&amp;W6,W5&amp;W5))),""))),"N/A"),IF(_xlpm.Coup2=0,"",_xlpm.Coup2))</f>
        <v/>
      </c>
      <c r="DM5" t="str">
        <f>IF(AM5="Spiral","",IF(SD!$C$31=SD!$Y$3,SD!$E$32*2,""))</f>
        <v/>
      </c>
      <c r="DO5" s="24">
        <f t="shared" si="22"/>
        <v>3</v>
      </c>
      <c r="DQ5" t="str">
        <f t="shared" si="23"/>
        <v>Lig</v>
      </c>
      <c r="DR5" t="str">
        <f>IF(AM5="Spiral",((Y5-(SD!$E$12*2))/12),"")</f>
        <v/>
      </c>
      <c r="DS5" t="str">
        <f t="shared" si="24"/>
        <v/>
      </c>
      <c r="DT5" t="str">
        <f t="shared" si="25"/>
        <v/>
      </c>
      <c r="DU5" t="str">
        <f t="shared" si="26"/>
        <v/>
      </c>
    </row>
    <row r="6" spans="1:125" x14ac:dyDescent="0.25">
      <c r="A6">
        <v>13</v>
      </c>
      <c r="B6" t="s">
        <v>664</v>
      </c>
      <c r="C6" s="15">
        <v>2429</v>
      </c>
      <c r="D6" s="15">
        <v>10000</v>
      </c>
      <c r="E6" s="15" t="s">
        <v>708</v>
      </c>
      <c r="F6" s="15" t="s">
        <v>787</v>
      </c>
      <c r="G6" t="s">
        <v>726</v>
      </c>
      <c r="H6" s="15" t="s">
        <v>789</v>
      </c>
      <c r="I6" t="s">
        <v>727</v>
      </c>
      <c r="J6" t="str">
        <f>IF(AND(SD!$C$19=SD!$H$2,Grade!$G$1="Per level"),VLOOKUP(B6,Grade!$E$1:$F$200,2,FALSE),IF(AND(SD!$C$19=SD!$H$2,Grade!$G$1="Per Bar Size"),VLOOKUP(W6,Grade!$B$1:$C$12,2,0),SD!$C$19))</f>
        <v>A615 Grade 60</v>
      </c>
      <c r="K6" t="s">
        <v>67</v>
      </c>
      <c r="L6" t="str">
        <f>IFERROR(IF(A6&lt;&gt;A7,"",IF(DF6="No Lap","",IF(K7="Lap",U6,IF(K7="Coupler",_xlfn._xlws.FILTER(CCoupler,(CCName=SD!$C$8)*(CBSize=IF(A5=A6,W6&amp;W7,W6&amp;W6))*(CCMFM="Male")),"")))),"N/A")</f>
        <v/>
      </c>
      <c r="M6" t="str">
        <f t="shared" si="0"/>
        <v/>
      </c>
      <c r="N6" t="s">
        <v>719</v>
      </c>
      <c r="O6" t="s">
        <v>720</v>
      </c>
      <c r="P6" t="s">
        <v>719</v>
      </c>
      <c r="Q6" t="str">
        <f>IF(AND(SD!$C$29=SD!$P$2,Grade!$O$1="Per level"),VLOOKUP(B6,Grade!$M$1:$N$200,2,FALSE),IF(AND(SD!$C$29=SD!$P$2,Grade!$O$1="Per Bar Size"),VLOOKUP(LEFT(N6,FIND("@",N6)-2),Grade!$J$1:$K$12,2,0),SD!$C$29))</f>
        <v>A615 Grade 60</v>
      </c>
      <c r="R6" t="s">
        <v>728</v>
      </c>
      <c r="S6" s="57">
        <v>6</v>
      </c>
      <c r="U6" t="str">
        <f>IF(Data!$J6="",IFERROR(INDEX(IF(SD!$C$11="Create",Lap!$A$3:$BF$14,IF(SD!$C$11="Per Uploaded File",Lap!$A$19:$BF$30,"")),MATCH(W6,Lap!$A$3:$A$14,0),MATCH(VALUE(D6),Lap!$A$3:$BF$3,0)+IF(IFERROR(FIND("Grade 60",J6),0)&gt;0,0,IF(IFERROR(FIND("Grade 80",J6),0),1,IF(IFERROR(FIND("Grade 75",J6),0),2,"")))),""),Data!J6)</f>
        <v>4-6</v>
      </c>
      <c r="W6" t="s">
        <v>164</v>
      </c>
      <c r="X6">
        <v>12</v>
      </c>
      <c r="Y6" t="str">
        <f t="shared" si="1"/>
        <v xml:space="preserve">24 </v>
      </c>
      <c r="Z6" t="str">
        <f t="shared" si="2"/>
        <v xml:space="preserve"> 36</v>
      </c>
      <c r="AA6" s="24">
        <f t="shared" si="3"/>
        <v>21.583333333333332</v>
      </c>
      <c r="AB6" s="25"/>
      <c r="AT6" s="31"/>
      <c r="BB6" t="e" cm="1">
        <f t="array" ref="BB6">_xlfn.LET(_xlpm.PartF,(_xlfn.LET(_xlpm.grade, Q6,_xlpm.gradeRange, IF(_xlpm.grade=SD!$H$3, A615GR60, IF(_xlpm.grade=SD!$H$4, A615GR75, IF(_xlpm.grade=SD!$H$5, A615GR80, IF(_xlpm.grade=SD!$H$6, A615GR100, IF(_xlpm.grade=SD!$H$7, A706GR60, IF(_xlpm.grade=SD!$H$8, A706GR80)))))),_xlpm.matchValue, MATCH(1, (SD!$AW:$AW=AS6)*(SD!$AX:$AX=SD!$C$8), 0),INDEX(_xlpm.gradeRange, _xlpm.matchValue))),IF(AM6="Spiral",CONCATENATE("SP",_xlpm.PartF),_xlpm.PartF))</f>
        <v>#N/A</v>
      </c>
      <c r="BC6" cm="1">
        <f t="array" ref="BC6">_xlfn.LET(_xlpm.leftPart, LEFT(O6, FIND("@", O6) - 2),_xlpm.grade,Q6,_xlpm.gradeRange,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" cm="1">
        <f t="array" ref="BD6">_xlfn.LET(_xlpm.leftPart, LEFT(P6, FIND("@", P6) - 2),_xlpm.grade, Q6,_xlpm.gradeRange,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">
        <f t="shared" si="4"/>
        <v>3</v>
      </c>
      <c r="BF6">
        <f>IF(SD!$C$32=SD!$I$2,BE6,IF(SD!$C$32=SD!$I$3,DO6,IF(SD!$C$32=SD!$I$5,BA6,IF(SD!$C$32=SD!$I$6,(LEFT(SD!$C$35,FIND("-",SD!$C$35)-1)+RIGHT(SD!$C$35,LEN(SD!$C$35)-FIND("-",SD!$C$35))/12),IF(SD!$C$32=SD!$I$4,(AU6-(BG6+BH6)))))))</f>
        <v>0</v>
      </c>
      <c r="BG6">
        <f>IF(SD!$C$33=SD!$I$2,BE6,IF(SD!$C$33=SD!$I$3,DO6,IF(SD!$C$33=SD!$I$5,BA6,IF(SD!$C$33=SD!$I$6,(LEFT(SD!$C$35,FIND("-",SD!$C$35)-1)+RIGHT(SD!$C$35,LEN(SD!$C$35)-FIND("-",SD!$C$35))/12),IF(SD!$C$33=SD!$I$4,(AU6-(BF6+BH6)))))))</f>
        <v>-1</v>
      </c>
      <c r="BH6">
        <f>IF(SD!$C$34=SD!$I$2,BE6,IF(SD!$C$34=SD!$I$3,DO6,IF(SD!$C$34=SD!$I$5,BA6,IF(SD!$C$34=SD!$I$6,(LEFT(SD!$C$35,FIND("-",SD!$C$35)-1)+RIGHT(SD!$C$35,LEN(SD!$C$35)-FIND("-",SD!$C$35))/12),IF(SD!$C$34=SD!$I$4,(AU6-(BF6+BG6)))))))</f>
        <v>1</v>
      </c>
      <c r="BJ6">
        <f>IF(AM6="Spiral","1",MAX(ROUNDUP(IF(SD!$C$32="",AT6,BF6/(LEFT(RIGHT(N6,LEN(N6)-FIND("@",N6)),LEN(RIGHT(N6,LEN(N6)-FIND("@",N6)))-1)/12)+1),0),0))</f>
        <v>1</v>
      </c>
      <c r="BK6">
        <f>MAX(ROUNDUP(IF(SD!$C$33="","",BG6/(LEFT(RIGHT(O6,LEN(O6)-FIND("@",O6)),LEN(RIGHT(O6,LEN(O6)-FIND("@",O6)))-1)/12)+1),0),0)</f>
        <v>0</v>
      </c>
      <c r="BL6">
        <f>MAX(ROUNDUP(IF(SD!$C$34="","",BH6/(LEFT(RIGHT(P6,LEN(P6)-FIND("@",P6)),LEN(RIGHT(P6,LEN(P6)-FIND("@",P6)))-1)/12)+1),0),0)</f>
        <v>3</v>
      </c>
      <c r="BN6" t="e">
        <f t="shared" si="5"/>
        <v>#N/A</v>
      </c>
      <c r="BO6" t="e">
        <f t="shared" si="6"/>
        <v>#N/A</v>
      </c>
      <c r="BP6" t="e">
        <f t="shared" si="7"/>
        <v>#N/A</v>
      </c>
      <c r="BQ6" s="24" t="e">
        <f>IF(AM6=TRUE,(((Y6-(SD!$E$12*2))*3.14159265359)+BN6+BO6+BP6)/12+AL6,SUM(AF6:AG6,BN6,BO6,BP6,AO6,AQ6)/12)</f>
        <v>#N/A</v>
      </c>
      <c r="BR6" t="e">
        <f t="shared" si="8"/>
        <v>#N/A</v>
      </c>
      <c r="BS6" t="e">
        <f t="shared" si="9"/>
        <v>#N/A</v>
      </c>
      <c r="BT6" t="e">
        <f t="shared" si="10"/>
        <v>#N/A</v>
      </c>
      <c r="BU6" s="24" t="e">
        <f>IF(AM6=TRUE,(((Y6-(SD!$E$12*2))*3.14159265359)+BR6+BS6+BT6)/12+AL6,SUM(AF6:AG6,BR6,BS6,BT6,AO6,AQ6)/12)</f>
        <v>#N/A</v>
      </c>
      <c r="BW6" t="str">
        <f>IFERROR(LEFT(Data!L6,FIND(" -",Data!L6)-1),"")</f>
        <v/>
      </c>
      <c r="BX6" t="str">
        <f>IFERROR(IF(SD!$C$40=SD!$U$2,W6,IF(SD!$C$40=SD!$U$3,RIGHT(Data!L6,LEN(Data!L6)-(FIND("-",Data!L6)+1)),SD!$C$40)),"")</f>
        <v>#9</v>
      </c>
      <c r="BY6" cm="1">
        <f t="array" ref="BY6">IFERROR(_xlfn.LET(_xlpm.GRR,IF(AND(SD!$C$19=SD!$H$2,Grade!$G$1="Per level"),VLOOKUP(B6,Grade!$E$1:$F$200,2,FALSE),IF(AND(SD!$C$19=SD!$H$2,Grade!$G$1="Per Bar Size"),VLOOKUP(BX6,Grade!$B$1:$C$12,2,0),SD!$C$19)),_xlpm.is_equal, A5=A6,_xlpm.grade_range, IF(_xlpm.GRR=SD!$H$3, A615GR60,IF(_xlpm.GRR=SD!$H$4, A615GR75,IF(_xlpm.GRR=SD!$H$5, A615GR80,IF(_xlpm.GRR=SD!H10, A615GR100,IF(_xlpm.GRR=SD!$H$7, A706GR60,IF(_xlpm.GRR=SD!$H$8, A706GR80)))))),_xlpm.match_result, MATCH(1, (BSize=BX6)*(BCName=SD!$C$8), 0),_xlpm.final_result, INDEX(_xlpm.grade_range, _xlpm.match_result),IF(_xlpm.is_equal, "", _xlpm.final_result)),"")</f>
        <v>9</v>
      </c>
      <c r="BZ6">
        <f>IF(A5=A6,"",IF(SD!$C$41="Match Vertical Bars ",X6,IF(SD!$C$41=SD!$V$3,BW6,SD!$C$41)))</f>
        <v>12</v>
      </c>
      <c r="CA6" cm="1">
        <f t="array" ref="CA6">IF(A5=A6,"",IF(SD!$C$44="No T-Head",IF(SD!$C$42=SD!$Q$3,VLOOKUP(BX6,S90Range,3,FALSE),LEFT(SD!$C$42,FIND("-",SD!$C$42)-1)+(RIGHT(SD!$C$42,LEN(SD!$C$42)-FIND("-",SD!$C$42))/12)),IF(SD!$C$44="T-Head",_xlfn._xlws.FILTER(THead,(TCName=SD!$C$8)*(TSize=BX6)),IF(SD!$C$44="Level Wise",_xlfn.LET(_xlpm.result,_xlfn.XLOOKUP(B6,VDLevel,VDLevelStatus,"No"),IF(_xlpm.result="Yes",_xlfn._xlws.FILTER(THead,(TCName=SD!$C$8)*(TSize=BX6)),IF(SD!$C$42=SD!$Q$3,VLOOKUP(BX6,S90Range,3,FALSE),LEFT(SD!$C$42,FIND("-",SD!$C$42)-1)+(RIGHT(SD!$C$42,LEN(SD!$C$42)-FIND("-", SD!$C$42))/12)))),IF(SD!$C$44="BarSize Wise",_xlfn.LET(_xlpm.result,_xlfn.XLOOKUP(BX6,VDBarSize,VDBarSizeStatus,"No"),IF(_xlpm.result="Yes",_xlfn._xlws.FILTER(THead,(TCName=SD!$C$8)*(TSize=BX6)),IF(SD!$C$42=SD!$Q$3,VLOOKUP(BX6,S90Range,3,FALSE),LEFT(SD!$C$42,FIND("-",SD!$C$42)-1)+(RIGHT(SD!$C$42,LEN(SD!$C$42)-FIND("-",SD!$C$42))/12)))), "")))))</f>
        <v>1.5833333333333335</v>
      </c>
      <c r="CB6" t="str" cm="1">
        <f t="array" ref="CB6">_xlfn.LET(_xlpm.GRR,IF(AND(SD!$C$19=SD!$H$2,Grade!$G$1="Per level"),VLOOKUP(B6,Grade!$E$1:$F$200,2,FALSE),IF(AND(SD!$C$19=SD!$H$2,Grade!$G$1="Per Bar Size"),VLOOKUP(BX6,Grade!$B$1:$C$12,2,0),SD!$C$19)),_xlpm.is_coupler, K6="Coupler",_xlpm.condition1, SD!$C$43=SD!$W$2,_xlpm.data_j2_empty, Data!$J6="",_xlpm.lookup_table, IF(SD!$C$11="Create", Lap!$A$3:$BF$14, IF(SD!$C$11="Per Uploaded File", Lap!$A$19:$BF$30, "")),_xlpm.row_match, MATCH(BX6, Lap!$A$3:$A$14, 0),_xlpm.grade_offset, IF(IFERROR(FIND("Grade 60",_xlpm.GRR), 0) &gt; 0, 0, IF(IFERROR(FIND("Grade 80",_xlpm.GRR), 0), 1, IF(IFERROR(FIND("Grade 75",_xlpm.GRR), 0), 2, ""))),_xlpm.col_match, MATCH(VALUE(D6), Lap!$A$3:$BF$3, 0) + _xlpm.grade_offset,_xlpm.index_result, IFERROR(INDEX(_xlpm.lookup_table, _xlpm.row_match, _xlpm.col_match), Data!$J6),_xlpm.result_if_condition1, IF(_xlpm.data_j2_empty, _xlpm.index_result, Data!$J6),IF(_xlpm.is_coupler, 0, IF(_xlpm.condition1, _xlpm.result_if_condition1, SD!$C$43)))</f>
        <v>4-6</v>
      </c>
      <c r="CC6" s="24">
        <f t="shared" si="11"/>
        <v>4.5</v>
      </c>
      <c r="CD6">
        <f t="shared" si="12"/>
        <v>11.083333333333334</v>
      </c>
      <c r="CE6" t="str" cm="1">
        <f t="array" ref="CE6">IF(BY6="","",_xlfn._xlws.FILTER(SAC,(CName=SD!$C$8)*(EName="Vert Dowels")))</f>
        <v>2200 CD</v>
      </c>
      <c r="CF6" t="str" cm="1">
        <f t="array" ref="CF6">IFERROR(IF(BY6="","",IF(K6="Coupler",_xlfn._xlws.FILTER(CCoupler,(CCName=SD!$C$8)*(CBSize=IF(A5=A6,W5&amp;W6,BX6&amp;W6))*(CCMFM="Male")),"")),"N/A")</f>
        <v/>
      </c>
      <c r="CG6" t="str">
        <f t="shared" si="13"/>
        <v/>
      </c>
      <c r="CH6" t="str">
        <f t="shared" si="14"/>
        <v/>
      </c>
      <c r="CI6" t="str">
        <f>_xlfn.LET(_xlpm.u3_value, U7,_xlpm.hyphen_pos,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K7="Coupler",_xlpm.coupler_value, IF(_xlpm.is_coupler, 0, _xlpm.calculated_value),_xlpm.final_value, _xlpm.calculated_value + SD!$E$13 + _xlpm.coupler_value,IF(CG6="", "", _xlpm.final_value))</f>
        <v/>
      </c>
      <c r="CJ6" t="str" cm="1">
        <f t="array" ref="CJ6">IF(CG6="","",_xlfn._xlws.FILTER(SAC,(CName=SD!$C$8)*(EName="Loose Dowels")))</f>
        <v/>
      </c>
      <c r="CK6" t="str" cm="1">
        <f t="array" ref="CK6">IFERROR(IF(CG6="","",IF(K7="Coupler",_xlfn._xlws.FILTER(CCoupler,(CCName=SD!$C$8)*(CBSize=IF(A6=A7,W6&amp;W7,""))*(CCMFM="Male")),"")),"N/A")</f>
        <v/>
      </c>
      <c r="CL6">
        <f>IFERROR(IF(AM6="Spiral","",IF(A5=A6,"",IF(SD!$C$37=0,"",SD!$C$37))),"")</f>
        <v>3</v>
      </c>
      <c r="CN6">
        <f>IF(AM6="Spiral","",IFERROR(IF(SD!$C$36=0,"",SD!$C$36),""))</f>
        <v>5</v>
      </c>
      <c r="CP6">
        <f>IFERROR(IF(SD!$C$42=SD!$Q$3,'Take-off'!CA6,""),"")</f>
        <v>1.5833333333333335</v>
      </c>
      <c r="CR6">
        <f>IFERROR(IF(SD!$C$22=SD!$U$2,W6,SD!$C$22),"")</f>
        <v>0</v>
      </c>
      <c r="CS6" t="str" cm="1">
        <f t="array" ref="CS6">_xlfn.LET(_xlpm.GR,IF(AND(SD!$C$19=SD!$H$2,Grade!$G$1="Per level"),VLOOKUP(B6,Grade!$E$1:$F$200,2,FALSE),IF(AND(SD!$C$19=SD!$H$2,Grade!$G$1="Per Bar Size"),VLOOKUP(CR6,Grade!$B$1:$C$12,2,0),SD!$C$19)),IF(SD!$C$20=SD!$R$4,IF(A7=A6,"",INDEX(IF(_xlpm.GR=SD!$H$3,A615GR60,IF(_xlpm.GR=SD!$H$4,A615GR75,IF(_xlpm.GR=SD!$H$5,A615GR80,IF(_xlpm.GR=SD!H10,A615GR100,IF(_xlpm.GR=SD!$H$7,A706GR60,IF(_xlpm.GR=SD!$H$8,A706GR80)))))), MATCH(1, (BSize=CR6)*(BCName=SD!$C$8), 0))),""))</f>
        <v/>
      </c>
      <c r="CT6">
        <f>IF(A7=A6,"",IF(SD!$C$23="Match Vertical Bars ",X6,SD!$C$23))</f>
        <v>0</v>
      </c>
      <c r="CU6" t="str" cm="1">
        <f t="array" ref="CU6">IF(A7=A6,"",IF(SD!$C$20="Top dowels",IF(SD!$E$25="No T-Head",IF(SD!$C$24=SD!$Q$3,VLOOKUP(CR6,S90Range,3,FALSE),LEFT(SD!$C$24,FIND("-",SD!$C$24)-1)+(RIGHT(SD!$C$24,LEN(SD!$C$24)-FIND("-",SD!$C$24))/12)),IF(SD!$E$25="T-Head",_xlfn._xlws.FILTER(THead,(TCName=SD!$C$8)*(TSize=CR6)),IF(SD!$E$25="Level Wise",_xlfn.LET(_xlpm.result,_xlfn.XLOOKUP(B6,TDLevel,TDLevelStatus,"No"),IF(_xlpm.result="Yes",_xlfn._xlws.FILTER(THead,(TCName=SD!$C$8)*(TSize=CR6)),IF(SD!$C$24=SD!$Q$3,VLOOKUP(CR6,S90Range,3,FALSE),LEFT(SD!$C$24,FIND("-",SD!$C$24)-1)+(RIGHT(SD!$C$24,LEN(SD!$C$24)-FIND("-", SD!$C$24))/12)))),IF(SD!$E$25="BarSize Wise",_xlfn.LET(_xlpm.result,_xlfn.XLOOKUP(CR6,TDBarSize,TDBarSizeStatus,"No"),IF(_xlpm.result="Yes",_xlfn._xlws.FILTER(THead,(TCName=SD!$C$8)*(TSize=CR6)),IF(SD!$C$24=SD!$Q$3,VLOOKUP(CR6,S90Range,3,FALSE),LEFT(SD!$C$24,FIND("-",SD!$C$24)-1)+(RIGHT(SD!$C$24,LEN(SD!$C$24)-FIND("-",SD!$C$24))/12)))), "")))),""))</f>
        <v/>
      </c>
      <c r="CV6" t="str">
        <f>_xlfn.LET(_xlpm.GRR,IF(AND(SD!$C$19=SD!$H$2,Grade!$G$1="Per level"),VLOOKUP(B6,Grade!$E$1:$F$200,2,FALSE),IF(AND(SD!$C$19=SD!$H$2,Grade!$G$1="Per Bar Size"),VLOOKUP(CR6,Grade!$B$1:$C$12,2,0),SD!$C$19)),IF(SD!$C$25=SD!$W$2,IF(Data!$J6="",IFERROR(INDEX(IF(SD!$C$11="Create",Lap!$A$3:$BF$14,IF(SD!$C$11="Per Uploaded File",Lap!$A$19:$BF$30,"")),MATCH(CR6,Lap!$A$3:$A$14,0),MATCH(VALUE(D6),Lap!$A$3:$BF$3,0)+IF(IFERROR(FIND("Grade 60",_xlpm.GRR),0)&gt;0,0,IF(IFERROR(FIND("Grade 80",_xlpm.GRR),0),1,IF(IFERROR(FIND("Grade 75",_xlpm.GRR),0),2,"")))),""),Data!J6),SD!$C$43))</f>
        <v>Match Lap</v>
      </c>
      <c r="CW6">
        <f t="shared" si="15"/>
        <v>0</v>
      </c>
      <c r="CX6">
        <f t="shared" si="16"/>
        <v>0</v>
      </c>
      <c r="CY6" t="str">
        <f t="shared" si="17"/>
        <v/>
      </c>
      <c r="DA6">
        <f t="shared" si="18"/>
        <v>13</v>
      </c>
      <c r="DB6" t="str">
        <f t="shared" si="19"/>
        <v>21-7</v>
      </c>
      <c r="DC6" s="24">
        <f t="shared" si="20"/>
        <v>21.583333333333332</v>
      </c>
      <c r="DD6">
        <f t="shared" si="21"/>
        <v>21.583333333333332</v>
      </c>
      <c r="DE6" t="s">
        <v>726</v>
      </c>
      <c r="DF6" t="s">
        <v>67</v>
      </c>
      <c r="DG6" t="str">
        <f>VLOOKUP(W6,'Level Wise PSI'!$F$2:$G$12,2,FALSE)</f>
        <v>Double Lift</v>
      </c>
      <c r="DI6" t="str" cm="1">
        <f t="array" ref="DI6">_xlfn.LET(_xlpm.Coup,IFERROR(IF(BY6="","",IF(K6="Coupler",_xlfn._xlws.FILTER(CCFCoupler,(CCName=SD!$C$8)*(CBSize=IF(A5=A6,W5&amp;W6,BX6&amp;W6))),"")),"N/A"),IF(_xlpm.Coup=0,"",_xlpm.Coup))</f>
        <v/>
      </c>
      <c r="DJ6" t="str" cm="1">
        <f t="array" ref="DJ6">_xlfn.LET(_xlpm.Coup3,IFERROR(IF(CG6="","",IF(K7="Coupler",_xlfn._xlws.FILTER(CCFCoupler,(CCName=SD!$C$8)*(CBSize=IF(A6=A7,W6&amp;W7,""))),"")),"N/A"),IF(_xlpm.Coup3=0,"",_xlpm.Coup3))</f>
        <v/>
      </c>
      <c r="DK6" t="str" cm="1">
        <f t="array" ref="DK6">_xlfn.LET(_xlpm.Coup2,IFERROR(IF(A6&lt;&gt;A7,"",IF(DF6="No Lap","",IF(K7="Coupler",_xlfn._xlws.FILTER(CCFCoupler,(CCName=SD!$C$8)*(CBSize=IF(A5=A6,W6&amp;W7,W6&amp;W6))),""))),"N/A"),IF(_xlpm.Coup2=0,"",_xlpm.Coup2))</f>
        <v/>
      </c>
      <c r="DM6" t="str">
        <f>IF(AM6="Spiral","",IF(SD!$C$31=SD!$Y$3,SD!$E$32*2,""))</f>
        <v/>
      </c>
      <c r="DO6" s="24">
        <f t="shared" si="22"/>
        <v>3</v>
      </c>
      <c r="DQ6" t="str">
        <f t="shared" si="23"/>
        <v>Lig</v>
      </c>
      <c r="DR6" t="str">
        <f>IF(AM6="Spiral",((Y6-(SD!$E$12*2))/12),"")</f>
        <v/>
      </c>
      <c r="DS6" t="str">
        <f t="shared" si="24"/>
        <v/>
      </c>
      <c r="DT6" t="str">
        <f t="shared" si="25"/>
        <v/>
      </c>
      <c r="DU6" t="str">
        <f t="shared" si="26"/>
        <v/>
      </c>
    </row>
    <row r="7" spans="1:125" x14ac:dyDescent="0.25">
      <c r="A7">
        <v>14</v>
      </c>
      <c r="B7" t="s">
        <v>664</v>
      </c>
      <c r="C7" s="15">
        <v>2429</v>
      </c>
      <c r="D7" s="15">
        <v>10000</v>
      </c>
      <c r="E7" s="15" t="s">
        <v>708</v>
      </c>
      <c r="F7" s="15" t="s">
        <v>787</v>
      </c>
      <c r="G7" t="s">
        <v>726</v>
      </c>
      <c r="H7" s="15" t="s">
        <v>789</v>
      </c>
      <c r="I7" t="s">
        <v>727</v>
      </c>
      <c r="J7" t="str">
        <f>IF(AND(SD!$C$19=SD!$H$2,Grade!$G$1="Per level"),VLOOKUP(B7,Grade!$E$1:$F$200,2,FALSE),IF(AND(SD!$C$19=SD!$H$2,Grade!$G$1="Per Bar Size"),VLOOKUP(W7,Grade!$B$1:$C$12,2,0),SD!$C$19))</f>
        <v>A615 Grade 60</v>
      </c>
      <c r="K7" t="s">
        <v>67</v>
      </c>
      <c r="L7" t="str">
        <f>IFERROR(IF(A7&lt;&gt;A8,"",IF(DF7="No Lap","",IF(K8="Lap",U7,IF(K8="Coupler",_xlfn._xlws.FILTER(CCoupler,(CCName=SD!$C$8)*(CBSize=IF(A6=A7,W7&amp;W8,W7&amp;W7))*(CCMFM="Male")),"")))),"N/A")</f>
        <v/>
      </c>
      <c r="M7" t="str">
        <f t="shared" si="0"/>
        <v/>
      </c>
      <c r="N7" t="s">
        <v>719</v>
      </c>
      <c r="O7" t="s">
        <v>720</v>
      </c>
      <c r="P7" t="s">
        <v>719</v>
      </c>
      <c r="Q7" t="str">
        <f>IF(AND(SD!$C$29=SD!$P$2,Grade!$O$1="Per level"),VLOOKUP(B7,Grade!$M$1:$N$200,2,FALSE),IF(AND(SD!$C$29=SD!$P$2,Grade!$O$1="Per Bar Size"),VLOOKUP(LEFT(N7,FIND("@",N7)-2),Grade!$J$1:$K$12,2,0),SD!$C$29))</f>
        <v>A615 Grade 60</v>
      </c>
      <c r="R7" t="s">
        <v>728</v>
      </c>
      <c r="S7" s="57">
        <v>7</v>
      </c>
      <c r="U7" t="str">
        <f>IF(Data!$J7="",IFERROR(INDEX(IF(SD!$C$11="Create",Lap!$A$3:$BF$14,IF(SD!$C$11="Per Uploaded File",Lap!$A$19:$BF$30,"")),MATCH(W7,Lap!$A$3:$A$14,0),MATCH(VALUE(D7),Lap!$A$3:$BF$3,0)+IF(IFERROR(FIND("Grade 60",J7),0)&gt;0,0,IF(IFERROR(FIND("Grade 80",J7),0),1,IF(IFERROR(FIND("Grade 75",J7),0),2,"")))),""),Data!J7)</f>
        <v>4-6</v>
      </c>
      <c r="W7" t="s">
        <v>164</v>
      </c>
      <c r="X7">
        <v>12</v>
      </c>
      <c r="Y7" t="str">
        <f t="shared" si="1"/>
        <v xml:space="preserve">24 </v>
      </c>
      <c r="Z7" t="str">
        <f t="shared" si="2"/>
        <v xml:space="preserve"> 36</v>
      </c>
      <c r="AA7" s="24">
        <f t="shared" si="3"/>
        <v>21.583333333333332</v>
      </c>
      <c r="AB7" s="25"/>
      <c r="AT7" s="31"/>
      <c r="BB7" t="e" cm="1">
        <f t="array" ref="BB7">_xlfn.LET(_xlpm.PartF,(_xlfn.LET(_xlpm.grade, Q7,_xlpm.gradeRange, IF(_xlpm.grade=SD!$H$3, A615GR60, IF(_xlpm.grade=SD!$H$4, A615GR75, IF(_xlpm.grade=SD!$H$5, A615GR80, IF(_xlpm.grade=SD!$H$6, A615GR100, IF(_xlpm.grade=SD!$H$7, A706GR60, IF(_xlpm.grade=SD!$H$8, A706GR80)))))),_xlpm.matchValue, MATCH(1, (SD!$AW:$AW=AS7)*(SD!$AX:$AX=SD!$C$8), 0),INDEX(_xlpm.gradeRange, _xlpm.matchValue))),IF(AM7="Spiral",CONCATENATE("SP",_xlpm.PartF),_xlpm.PartF))</f>
        <v>#N/A</v>
      </c>
      <c r="BC7" cm="1">
        <f t="array" ref="BC7">_xlfn.LET(_xlpm.leftPart, LEFT(O7, FIND("@", O7) - 2),_xlpm.grade,Q7,_xlpm.gradeRange,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" cm="1">
        <f t="array" ref="BD7">_xlfn.LET(_xlpm.leftPart, LEFT(P7, FIND("@", P7) - 2),_xlpm.grade, Q7,_xlpm.gradeRange,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">
        <f t="shared" si="4"/>
        <v>3</v>
      </c>
      <c r="BF7">
        <f>IF(SD!$C$32=SD!$I$2,BE7,IF(SD!$C$32=SD!$I$3,DO7,IF(SD!$C$32=SD!$I$5,BA7,IF(SD!$C$32=SD!$I$6,(LEFT(SD!$C$35,FIND("-",SD!$C$35)-1)+RIGHT(SD!$C$35,LEN(SD!$C$35)-FIND("-",SD!$C$35))/12),IF(SD!$C$32=SD!$I$4,(AU7-(BG7+BH7)))))))</f>
        <v>0</v>
      </c>
      <c r="BG7">
        <f>IF(SD!$C$33=SD!$I$2,BE7,IF(SD!$C$33=SD!$I$3,DO7,IF(SD!$C$33=SD!$I$5,BA7,IF(SD!$C$33=SD!$I$6,(LEFT(SD!$C$35,FIND("-",SD!$C$35)-1)+RIGHT(SD!$C$35,LEN(SD!$C$35)-FIND("-",SD!$C$35))/12),IF(SD!$C$33=SD!$I$4,(AU7-(BF7+BH7)))))))</f>
        <v>-1</v>
      </c>
      <c r="BH7">
        <f>IF(SD!$C$34=SD!$I$2,BE7,IF(SD!$C$34=SD!$I$3,DO7,IF(SD!$C$34=SD!$I$5,BA7,IF(SD!$C$34=SD!$I$6,(LEFT(SD!$C$35,FIND("-",SD!$C$35)-1)+RIGHT(SD!$C$35,LEN(SD!$C$35)-FIND("-",SD!$C$35))/12),IF(SD!$C$34=SD!$I$4,(AU7-(BF7+BG7)))))))</f>
        <v>1</v>
      </c>
      <c r="BJ7">
        <f>IF(AM7="Spiral","1",MAX(ROUNDUP(IF(SD!$C$32="",AT7,BF7/(LEFT(RIGHT(N7,LEN(N7)-FIND("@",N7)),LEN(RIGHT(N7,LEN(N7)-FIND("@",N7)))-1)/12)+1),0),0))</f>
        <v>1</v>
      </c>
      <c r="BK7">
        <f>MAX(ROUNDUP(IF(SD!$C$33="","",BG7/(LEFT(RIGHT(O7,LEN(O7)-FIND("@",O7)),LEN(RIGHT(O7,LEN(O7)-FIND("@",O7)))-1)/12)+1),0),0)</f>
        <v>0</v>
      </c>
      <c r="BL7">
        <f>MAX(ROUNDUP(IF(SD!$C$34="","",BH7/(LEFT(RIGHT(P7,LEN(P7)-FIND("@",P7)),LEN(RIGHT(P7,LEN(P7)-FIND("@",P7)))-1)/12)+1),0),0)</f>
        <v>3</v>
      </c>
      <c r="BN7" t="e">
        <f t="shared" si="5"/>
        <v>#N/A</v>
      </c>
      <c r="BO7" t="e">
        <f t="shared" si="6"/>
        <v>#N/A</v>
      </c>
      <c r="BP7" t="e">
        <f t="shared" si="7"/>
        <v>#N/A</v>
      </c>
      <c r="BQ7" s="24" t="e">
        <f>IF(AM7=TRUE,(((Y7-(SD!$E$12*2))*3.14159265359)+BN7+BO7+BP7)/12+AL7,SUM(AF7:AG7,BN7,BO7,BP7,AO7,AQ7)/12)</f>
        <v>#N/A</v>
      </c>
      <c r="BR7" t="e">
        <f t="shared" si="8"/>
        <v>#N/A</v>
      </c>
      <c r="BS7" t="e">
        <f t="shared" si="9"/>
        <v>#N/A</v>
      </c>
      <c r="BT7" t="e">
        <f t="shared" si="10"/>
        <v>#N/A</v>
      </c>
      <c r="BU7" s="24" t="e">
        <f>IF(AM7=TRUE,(((Y7-(SD!$E$12*2))*3.14159265359)+BR7+BS7+BT7)/12+AL7,SUM(AF7:AG7,BR7,BS7,BT7,AO7,AQ7)/12)</f>
        <v>#N/A</v>
      </c>
      <c r="BW7" t="str">
        <f>IFERROR(LEFT(Data!L7,FIND(" -",Data!L7)-1),"")</f>
        <v/>
      </c>
      <c r="BX7" t="str">
        <f>IFERROR(IF(SD!$C$40=SD!$U$2,W7,IF(SD!$C$40=SD!$U$3,RIGHT(Data!L7,LEN(Data!L7)-(FIND("-",Data!L7)+1)),SD!$C$40)),"")</f>
        <v>#9</v>
      </c>
      <c r="BY7" cm="1">
        <f t="array" ref="BY7">IFERROR(_xlfn.LET(_xlpm.GRR,IF(AND(SD!$C$19=SD!$H$2,Grade!$G$1="Per level"),VLOOKUP(B7,Grade!$E$1:$F$200,2,FALSE),IF(AND(SD!$C$19=SD!$H$2,Grade!$G$1="Per Bar Size"),VLOOKUP(BX7,Grade!$B$1:$C$12,2,0),SD!$C$19)),_xlpm.is_equal, A6=A7,_xlpm.grade_range, IF(_xlpm.GRR=SD!$H$3, A615GR60,IF(_xlpm.GRR=SD!$H$4, A615GR75,IF(_xlpm.GRR=SD!$H$5, A615GR80,IF(_xlpm.GRR=SD!H11, A615GR100,IF(_xlpm.GRR=SD!$H$7, A706GR60,IF(_xlpm.GRR=SD!$H$8, A706GR80)))))),_xlpm.match_result, MATCH(1, (BSize=BX7)*(BCName=SD!$C$8), 0),_xlpm.final_result, INDEX(_xlpm.grade_range, _xlpm.match_result),IF(_xlpm.is_equal, "", _xlpm.final_result)),"")</f>
        <v>9</v>
      </c>
      <c r="BZ7">
        <f>IF(A6=A7,"",IF(SD!$C$41="Match Vertical Bars ",X7,IF(SD!$C$41=SD!$V$3,BW7,SD!$C$41)))</f>
        <v>12</v>
      </c>
      <c r="CA7" cm="1">
        <f t="array" ref="CA7">IF(A6=A7,"",IF(SD!$C$44="No T-Head",IF(SD!$C$42=SD!$Q$3,VLOOKUP(BX7,S90Range,3,FALSE),LEFT(SD!$C$42,FIND("-",SD!$C$42)-1)+(RIGHT(SD!$C$42,LEN(SD!$C$42)-FIND("-",SD!$C$42))/12)),IF(SD!$C$44="T-Head",_xlfn._xlws.FILTER(THead,(TCName=SD!$C$8)*(TSize=BX7)),IF(SD!$C$44="Level Wise",_xlfn.LET(_xlpm.result,_xlfn.XLOOKUP(B7,VDLevel,VDLevelStatus,"No"),IF(_xlpm.result="Yes",_xlfn._xlws.FILTER(THead,(TCName=SD!$C$8)*(TSize=BX7)),IF(SD!$C$42=SD!$Q$3,VLOOKUP(BX7,S90Range,3,FALSE),LEFT(SD!$C$42,FIND("-",SD!$C$42)-1)+(RIGHT(SD!$C$42,LEN(SD!$C$42)-FIND("-", SD!$C$42))/12)))),IF(SD!$C$44="BarSize Wise",_xlfn.LET(_xlpm.result,_xlfn.XLOOKUP(BX7,VDBarSize,VDBarSizeStatus,"No"),IF(_xlpm.result="Yes",_xlfn._xlws.FILTER(THead,(TCName=SD!$C$8)*(TSize=BX7)),IF(SD!$C$42=SD!$Q$3,VLOOKUP(BX7,S90Range,3,FALSE),LEFT(SD!$C$42,FIND("-",SD!$C$42)-1)+(RIGHT(SD!$C$42,LEN(SD!$C$42)-FIND("-",SD!$C$42))/12)))), "")))))</f>
        <v>1.5833333333333335</v>
      </c>
      <c r="CB7" t="str" cm="1">
        <f t="array" ref="CB7">_xlfn.LET(_xlpm.GRR,IF(AND(SD!$C$19=SD!$H$2,Grade!$G$1="Per level"),VLOOKUP(B7,Grade!$E$1:$F$200,2,FALSE),IF(AND(SD!$C$19=SD!$H$2,Grade!$G$1="Per Bar Size"),VLOOKUP(BX7,Grade!$B$1:$C$12,2,0),SD!$C$19)),_xlpm.is_coupler, K7="Coupler",_xlpm.condition1, SD!$C$43=SD!$W$2,_xlpm.data_j2_empty, Data!$J7="",_xlpm.lookup_table, IF(SD!$C$11="Create", Lap!$A$3:$BF$14, IF(SD!$C$11="Per Uploaded File", Lap!$A$19:$BF$30, "")),_xlpm.row_match, MATCH(BX7, Lap!$A$3:$A$14, 0),_xlpm.grade_offset, IF(IFERROR(FIND("Grade 60",_xlpm.GRR), 0) &gt; 0, 0, IF(IFERROR(FIND("Grade 80",_xlpm.GRR), 0), 1, IF(IFERROR(FIND("Grade 75",_xlpm.GRR), 0), 2, ""))),_xlpm.col_match, MATCH(VALUE(D7), Lap!$A$3:$BF$3, 0) + _xlpm.grade_offset,_xlpm.index_result, IFERROR(INDEX(_xlpm.lookup_table, _xlpm.row_match, _xlpm.col_match), Data!$J7),_xlpm.result_if_condition1, IF(_xlpm.data_j2_empty, _xlpm.index_result, Data!$J7),IF(_xlpm.is_coupler, 0, IF(_xlpm.condition1, _xlpm.result_if_condition1, SD!$C$43)))</f>
        <v>4-6</v>
      </c>
      <c r="CC7" s="24">
        <f t="shared" si="11"/>
        <v>4.5</v>
      </c>
      <c r="CD7">
        <f t="shared" si="12"/>
        <v>11.083333333333334</v>
      </c>
      <c r="CE7" t="str" cm="1">
        <f t="array" ref="CE7">IF(BY7="","",_xlfn._xlws.FILTER(SAC,(CName=SD!$C$8)*(EName="Vert Dowels")))</f>
        <v>2200 CD</v>
      </c>
      <c r="CF7" t="str" cm="1">
        <f t="array" ref="CF7">IFERROR(IF(BY7="","",IF(K7="Coupler",_xlfn._xlws.FILTER(CCoupler,(CCName=SD!$C$8)*(CBSize=IF(A6=A7,W6&amp;W7,BX7&amp;W7))*(CCMFM="Male")),"")),"N/A")</f>
        <v/>
      </c>
      <c r="CG7" t="str">
        <f t="shared" si="13"/>
        <v/>
      </c>
      <c r="CH7" t="str">
        <f t="shared" si="14"/>
        <v/>
      </c>
      <c r="CI7" t="str">
        <f>_xlfn.LET(_xlpm.u3_value, U8,_xlpm.hyphen_pos,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K8="Coupler",_xlpm.coupler_value, IF(_xlpm.is_coupler, 0, _xlpm.calculated_value),_xlpm.final_value, _xlpm.calculated_value + SD!$E$13 + _xlpm.coupler_value,IF(CG7="", "", _xlpm.final_value))</f>
        <v/>
      </c>
      <c r="CJ7" t="str" cm="1">
        <f t="array" ref="CJ7">IF(CG7="","",_xlfn._xlws.FILTER(SAC,(CName=SD!$C$8)*(EName="Loose Dowels")))</f>
        <v/>
      </c>
      <c r="CK7" t="str" cm="1">
        <f t="array" ref="CK7">IFERROR(IF(CG7="","",IF(K8="Coupler",_xlfn._xlws.FILTER(CCoupler,(CCName=SD!$C$8)*(CBSize=IF(A7=A8,W7&amp;W8,""))*(CCMFM="Male")),"")),"N/A")</f>
        <v/>
      </c>
      <c r="CL7">
        <f>IFERROR(IF(AM7="Spiral","",IF(A6=A7,"",IF(SD!$C$37=0,"",SD!$C$37))),"")</f>
        <v>3</v>
      </c>
      <c r="CN7">
        <f>IF(AM7="Spiral","",IFERROR(IF(SD!$C$36=0,"",SD!$C$36),""))</f>
        <v>5</v>
      </c>
      <c r="CP7">
        <f>IFERROR(IF(SD!$C$42=SD!$Q$3,'Take-off'!CA7,""),"")</f>
        <v>1.5833333333333335</v>
      </c>
      <c r="CR7">
        <f>IFERROR(IF(SD!$C$22=SD!$U$2,W7,SD!$C$22),"")</f>
        <v>0</v>
      </c>
      <c r="CS7" t="str" cm="1">
        <f t="array" ref="CS7">_xlfn.LET(_xlpm.GR,IF(AND(SD!$C$19=SD!$H$2,Grade!$G$1="Per level"),VLOOKUP(B7,Grade!$E$1:$F$200,2,FALSE),IF(AND(SD!$C$19=SD!$H$2,Grade!$G$1="Per Bar Size"),VLOOKUP(CR7,Grade!$B$1:$C$12,2,0),SD!$C$19)),IF(SD!$C$20=SD!$R$4,IF(A8=A7,"",INDEX(IF(_xlpm.GR=SD!$H$3,A615GR60,IF(_xlpm.GR=SD!$H$4,A615GR75,IF(_xlpm.GR=SD!$H$5,A615GR80,IF(_xlpm.GR=SD!H11,A615GR100,IF(_xlpm.GR=SD!$H$7,A706GR60,IF(_xlpm.GR=SD!$H$8,A706GR80)))))), MATCH(1, (BSize=CR7)*(BCName=SD!$C$8), 0))),""))</f>
        <v/>
      </c>
      <c r="CT7">
        <f>IF(A8=A7,"",IF(SD!$C$23="Match Vertical Bars ",X7,SD!$C$23))</f>
        <v>0</v>
      </c>
      <c r="CU7" t="str" cm="1">
        <f t="array" ref="CU7">IF(A8=A7,"",IF(SD!$C$20="Top dowels",IF(SD!$E$25="No T-Head",IF(SD!$C$24=SD!$Q$3,VLOOKUP(CR7,S90Range,3,FALSE),LEFT(SD!$C$24,FIND("-",SD!$C$24)-1)+(RIGHT(SD!$C$24,LEN(SD!$C$24)-FIND("-",SD!$C$24))/12)),IF(SD!$E$25="T-Head",_xlfn._xlws.FILTER(THead,(TCName=SD!$C$8)*(TSize=CR7)),IF(SD!$E$25="Level Wise",_xlfn.LET(_xlpm.result,_xlfn.XLOOKUP(B7,TDLevel,TDLevelStatus,"No"),IF(_xlpm.result="Yes",_xlfn._xlws.FILTER(THead,(TCName=SD!$C$8)*(TSize=CR7)),IF(SD!$C$24=SD!$Q$3,VLOOKUP(CR7,S90Range,3,FALSE),LEFT(SD!$C$24,FIND("-",SD!$C$24)-1)+(RIGHT(SD!$C$24,LEN(SD!$C$24)-FIND("-", SD!$C$24))/12)))),IF(SD!$E$25="BarSize Wise",_xlfn.LET(_xlpm.result,_xlfn.XLOOKUP(CR7,TDBarSize,TDBarSizeStatus,"No"),IF(_xlpm.result="Yes",_xlfn._xlws.FILTER(THead,(TCName=SD!$C$8)*(TSize=CR7)),IF(SD!$C$24=SD!$Q$3,VLOOKUP(CR7,S90Range,3,FALSE),LEFT(SD!$C$24,FIND("-",SD!$C$24)-1)+(RIGHT(SD!$C$24,LEN(SD!$C$24)-FIND("-",SD!$C$24))/12)))), "")))),""))</f>
        <v/>
      </c>
      <c r="CV7" t="str">
        <f>_xlfn.LET(_xlpm.GRR,IF(AND(SD!$C$19=SD!$H$2,Grade!$G$1="Per level"),VLOOKUP(B7,Grade!$E$1:$F$200,2,FALSE),IF(AND(SD!$C$19=SD!$H$2,Grade!$G$1="Per Bar Size"),VLOOKUP(CR7,Grade!$B$1:$C$12,2,0),SD!$C$19)),IF(SD!$C$25=SD!$W$2,IF(Data!$J7="",IFERROR(INDEX(IF(SD!$C$11="Create",Lap!$A$3:$BF$14,IF(SD!$C$11="Per Uploaded File",Lap!$A$19:$BF$30,"")),MATCH(CR7,Lap!$A$3:$A$14,0),MATCH(VALUE(D7),Lap!$A$3:$BF$3,0)+IF(IFERROR(FIND("Grade 60",_xlpm.GRR),0)&gt;0,0,IF(IFERROR(FIND("Grade 80",_xlpm.GRR),0),1,IF(IFERROR(FIND("Grade 75",_xlpm.GRR),0),2,"")))),""),Data!J7),SD!$C$43))</f>
        <v>Match Lap</v>
      </c>
      <c r="CW7">
        <f t="shared" si="15"/>
        <v>0</v>
      </c>
      <c r="CX7">
        <f t="shared" si="16"/>
        <v>0</v>
      </c>
      <c r="CY7" t="str">
        <f t="shared" si="17"/>
        <v/>
      </c>
      <c r="DA7">
        <f t="shared" si="18"/>
        <v>14</v>
      </c>
      <c r="DB7" t="str">
        <f t="shared" si="19"/>
        <v>21-7</v>
      </c>
      <c r="DC7" s="24">
        <f t="shared" si="20"/>
        <v>21.583333333333332</v>
      </c>
      <c r="DD7">
        <f t="shared" si="21"/>
        <v>21.583333333333332</v>
      </c>
      <c r="DE7" t="s">
        <v>726</v>
      </c>
      <c r="DF7" t="s">
        <v>67</v>
      </c>
      <c r="DG7" t="str">
        <f>VLOOKUP(W7,'Level Wise PSI'!$F$2:$G$12,2,FALSE)</f>
        <v>Double Lift</v>
      </c>
      <c r="DI7" t="str" cm="1">
        <f t="array" ref="DI7">_xlfn.LET(_xlpm.Coup,IFERROR(IF(BY7="","",IF(K7="Coupler",_xlfn._xlws.FILTER(CCFCoupler,(CCName=SD!$C$8)*(CBSize=IF(A6=A7,W6&amp;W7,BX7&amp;W7))),"")),"N/A"),IF(_xlpm.Coup=0,"",_xlpm.Coup))</f>
        <v/>
      </c>
      <c r="DJ7" t="str" cm="1">
        <f t="array" ref="DJ7">_xlfn.LET(_xlpm.Coup3,IFERROR(IF(CG7="","",IF(K8="Coupler",_xlfn._xlws.FILTER(CCFCoupler,(CCName=SD!$C$8)*(CBSize=IF(A7=A8,W7&amp;W8,""))),"")),"N/A"),IF(_xlpm.Coup3=0,"",_xlpm.Coup3))</f>
        <v/>
      </c>
      <c r="DK7" t="str" cm="1">
        <f t="array" ref="DK7">_xlfn.LET(_xlpm.Coup2,IFERROR(IF(A7&lt;&gt;A8,"",IF(DF7="No Lap","",IF(K8="Coupler",_xlfn._xlws.FILTER(CCFCoupler,(CCName=SD!$C$8)*(CBSize=IF(A6=A7,W7&amp;W8,W7&amp;W7))),""))),"N/A"),IF(_xlpm.Coup2=0,"",_xlpm.Coup2))</f>
        <v/>
      </c>
      <c r="DM7" t="str">
        <f>IF(AM7="Spiral","",IF(SD!$C$31=SD!$Y$3,SD!$E$32*2,""))</f>
        <v/>
      </c>
      <c r="DO7" s="24">
        <f t="shared" si="22"/>
        <v>3</v>
      </c>
      <c r="DQ7" t="str">
        <f t="shared" si="23"/>
        <v>Lig</v>
      </c>
      <c r="DR7" t="str">
        <f>IF(AM7="Spiral",((Y7-(SD!$E$12*2))/12),"")</f>
        <v/>
      </c>
      <c r="DS7" t="str">
        <f t="shared" si="24"/>
        <v/>
      </c>
      <c r="DT7" t="str">
        <f t="shared" si="25"/>
        <v/>
      </c>
      <c r="DU7" t="str">
        <f t="shared" si="26"/>
        <v/>
      </c>
    </row>
    <row r="8" spans="1:125" x14ac:dyDescent="0.25">
      <c r="A8">
        <v>15</v>
      </c>
      <c r="B8" t="s">
        <v>664</v>
      </c>
      <c r="C8" s="15">
        <v>2429</v>
      </c>
      <c r="D8" s="15">
        <v>10000</v>
      </c>
      <c r="E8" s="15" t="s">
        <v>711</v>
      </c>
      <c r="F8" s="15" t="s">
        <v>787</v>
      </c>
      <c r="G8" t="s">
        <v>726</v>
      </c>
      <c r="H8" s="15" t="s">
        <v>789</v>
      </c>
      <c r="I8" t="s">
        <v>729</v>
      </c>
      <c r="J8" t="str">
        <f>IF(AND(SD!$C$19=SD!$H$2,Grade!$G$1="Per level"),VLOOKUP(B8,Grade!$E$1:$F$200,2,FALSE),IF(AND(SD!$C$19=SD!$H$2,Grade!$G$1="Per Bar Size"),VLOOKUP(W8,Grade!$B$1:$C$12,2,0),SD!$C$19))</f>
        <v>A615 Grade 60</v>
      </c>
      <c r="K8" t="s">
        <v>67</v>
      </c>
      <c r="L8" t="str">
        <f>IFERROR(IF(A8&lt;&gt;A9,"",IF(DF8="No Lap","",IF(K9="Lap",U8,IF(K9="Coupler",_xlfn._xlws.FILTER(CCoupler,(CCName=SD!$C$8)*(CBSize=IF(A7=A8,W8&amp;W9,W8&amp;W8))*(CCMFM="Male")),"")))),"N/A")</f>
        <v/>
      </c>
      <c r="M8" t="str">
        <f t="shared" si="0"/>
        <v/>
      </c>
      <c r="N8" t="s">
        <v>730</v>
      </c>
      <c r="O8" t="s">
        <v>731</v>
      </c>
      <c r="P8" t="s">
        <v>730</v>
      </c>
      <c r="Q8" t="str">
        <f>IF(AND(SD!$C$29=SD!$P$2,Grade!$O$1="Per level"),VLOOKUP(B8,Grade!$M$1:$N$200,2,FALSE),IF(AND(SD!$C$29=SD!$P$2,Grade!$O$1="Per Bar Size"),VLOOKUP(LEFT(N8,FIND("@",N8)-2),Grade!$J$1:$K$12,2,0),SD!$C$29))</f>
        <v>A615 Grade 60</v>
      </c>
      <c r="R8" t="s">
        <v>732</v>
      </c>
      <c r="S8" s="57">
        <v>8</v>
      </c>
      <c r="U8" t="str">
        <f>IF(Data!$J8="",IFERROR(INDEX(IF(SD!$C$11="Create",Lap!$A$3:$BF$14,IF(SD!$C$11="Per Uploaded File",Lap!$A$19:$BF$30,"")),MATCH(W8,Lap!$A$3:$A$14,0),MATCH(VALUE(D8),Lap!$A$3:$BF$3,0)+IF(IFERROR(FIND("Grade 60",J8),0)&gt;0,0,IF(IFERROR(FIND("Grade 80",J8),0),1,IF(IFERROR(FIND("Grade 75",J8),0),2,"")))),""),Data!J8)</f>
        <v>5-8</v>
      </c>
      <c r="W8" t="s">
        <v>189</v>
      </c>
      <c r="X8">
        <v>16</v>
      </c>
      <c r="Y8" t="str">
        <f t="shared" si="1"/>
        <v xml:space="preserve">24 </v>
      </c>
      <c r="Z8" t="str">
        <f t="shared" si="2"/>
        <v xml:space="preserve"> 36</v>
      </c>
      <c r="AA8" s="24">
        <f t="shared" si="3"/>
        <v>21.583333333333332</v>
      </c>
      <c r="BB8" t="e" cm="1">
        <f t="array" ref="BB8">_xlfn.LET(_xlpm.PartF,(_xlfn.LET(_xlpm.grade, Q8,_xlpm.gradeRange, IF(_xlpm.grade=SD!$H$3, A615GR60, IF(_xlpm.grade=SD!$H$4, A615GR75, IF(_xlpm.grade=SD!$H$5, A615GR80, IF(_xlpm.grade=SD!$H$6, A615GR100, IF(_xlpm.grade=SD!$H$7, A706GR60, IF(_xlpm.grade=SD!$H$8, A706GR80)))))),_xlpm.matchValue, MATCH(1, (SD!$AW:$AW=AS8)*(SD!$AX:$AX=SD!$C$8), 0),INDEX(_xlpm.gradeRange, _xlpm.matchValue))),IF(AM8="Spiral",CONCATENATE("SP",_xlpm.PartF),_xlpm.PartF))</f>
        <v>#N/A</v>
      </c>
      <c r="BC8" cm="1">
        <f t="array" ref="BC8">_xlfn.LET(_xlpm.leftPart, LEFT(O8, FIND("@", O8) - 2),_xlpm.grade,Q8,_xlpm.gradeRange,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4</v>
      </c>
      <c r="BD8" cm="1">
        <f t="array" ref="BD8">_xlfn.LET(_xlpm.leftPart, LEFT(P8, FIND("@", P8) - 2),_xlpm.grade, Q8,_xlpm.gradeRange,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4</v>
      </c>
      <c r="BE8">
        <f t="shared" si="4"/>
        <v>3</v>
      </c>
      <c r="BF8">
        <f>IF(SD!$C$32=SD!$I$2,BE8,IF(SD!$C$32=SD!$I$3,DO8,IF(SD!$C$32=SD!$I$5,BA8,IF(SD!$C$32=SD!$I$6,(LEFT(SD!$C$35,FIND("-",SD!$C$35)-1)+RIGHT(SD!$C$35,LEN(SD!$C$35)-FIND("-",SD!$C$35))/12),IF(SD!$C$32=SD!$I$4,(AU8-(BG8+BH8)))))))</f>
        <v>0</v>
      </c>
      <c r="BG8">
        <f>IF(SD!$C$33=SD!$I$2,BE8,IF(SD!$C$33=SD!$I$3,DO8,IF(SD!$C$33=SD!$I$5,BA8,IF(SD!$C$33=SD!$I$6,(LEFT(SD!$C$35,FIND("-",SD!$C$35)-1)+RIGHT(SD!$C$35,LEN(SD!$C$35)-FIND("-",SD!$C$35))/12),IF(SD!$C$33=SD!$I$4,(AU8-(BF8+BH8)))))))</f>
        <v>-1</v>
      </c>
      <c r="BH8">
        <f>IF(SD!$C$34=SD!$I$2,BE8,IF(SD!$C$34=SD!$I$3,DO8,IF(SD!$C$34=SD!$I$5,BA8,IF(SD!$C$34=SD!$I$6,(LEFT(SD!$C$35,FIND("-",SD!$C$35)-1)+RIGHT(SD!$C$35,LEN(SD!$C$35)-FIND("-",SD!$C$35))/12),IF(SD!$C$34=SD!$I$4,(AU8-(BF8+BG8)))))))</f>
        <v>1</v>
      </c>
      <c r="BJ8">
        <f>IF(AM8="Spiral","1",MAX(ROUNDUP(IF(SD!$C$32="",AT8,BF8/(LEFT(RIGHT(N8,LEN(N8)-FIND("@",N8)),LEN(RIGHT(N8,LEN(N8)-FIND("@",N8)))-1)/12)+1),0),0))</f>
        <v>1</v>
      </c>
      <c r="BK8">
        <f>MAX(ROUNDUP(IF(SD!$C$33="","",BG8/(LEFT(RIGHT(O8,LEN(O8)-FIND("@",O8)),LEN(RIGHT(O8,LEN(O8)-FIND("@",O8)))-1)/12)+1),0),0)</f>
        <v>0</v>
      </c>
      <c r="BL8">
        <f>MAX(ROUNDUP(IF(SD!$C$34="","",BH8/(LEFT(RIGHT(P8,LEN(P8)-FIND("@",P8)),LEN(RIGHT(P8,LEN(P8)-FIND("@",P8)))-1)/12)+1),0),0)</f>
        <v>3</v>
      </c>
      <c r="BN8" t="e">
        <f t="shared" si="5"/>
        <v>#N/A</v>
      </c>
      <c r="BO8" t="e">
        <f t="shared" si="6"/>
        <v>#N/A</v>
      </c>
      <c r="BP8" t="e">
        <f t="shared" si="7"/>
        <v>#N/A</v>
      </c>
      <c r="BQ8" s="24" t="e">
        <f>IF(AM8=TRUE,(((Y8-(SD!$E$12*2))*3.14159265359)+BN8+BO8+BP8)/12+AL8,SUM(AF8:AG8,BN8,BO8,BP8,AO8,AQ8)/12)</f>
        <v>#N/A</v>
      </c>
      <c r="BR8" t="e">
        <f t="shared" si="8"/>
        <v>#N/A</v>
      </c>
      <c r="BS8" t="e">
        <f t="shared" si="9"/>
        <v>#N/A</v>
      </c>
      <c r="BT8" t="e">
        <f t="shared" si="10"/>
        <v>#N/A</v>
      </c>
      <c r="BU8" s="24" t="e">
        <f>IF(AM8=TRUE,(((Y8-(SD!$E$12*2))*3.14159265359)+BR8+BS8+BT8)/12+AL8,SUM(AF8:AG8,BR8,BS8,BT8,AO8,AQ8)/12)</f>
        <v>#N/A</v>
      </c>
      <c r="BW8" t="str">
        <f>IFERROR(LEFT(Data!L8,FIND(" -",Data!L8)-1),"")</f>
        <v/>
      </c>
      <c r="BX8" t="str">
        <f>IFERROR(IF(SD!$C$40=SD!$U$2,W8,IF(SD!$C$40=SD!$U$3,RIGHT(Data!L8,LEN(Data!L8)-(FIND("-",Data!L8)+1)),SD!$C$40)),"")</f>
        <v>#11</v>
      </c>
      <c r="BY8" cm="1">
        <f t="array" ref="BY8">IFERROR(_xlfn.LET(_xlpm.GRR,IF(AND(SD!$C$19=SD!$H$2,Grade!$G$1="Per level"),VLOOKUP(B8,Grade!$E$1:$F$200,2,FALSE),IF(AND(SD!$C$19=SD!$H$2,Grade!$G$1="Per Bar Size"),VLOOKUP(BX8,Grade!$B$1:$C$12,2,0),SD!$C$19)),_xlpm.is_equal, A7=A8,_xlpm.grade_range, IF(_xlpm.GRR=SD!$H$3, A615GR60,IF(_xlpm.GRR=SD!$H$4, A615GR75,IF(_xlpm.GRR=SD!$H$5, A615GR80,IF(_xlpm.GRR=SD!H12, A615GR100,IF(_xlpm.GRR=SD!$H$7, A706GR60,IF(_xlpm.GRR=SD!$H$8, A706GR80)))))),_xlpm.match_result, MATCH(1, (BSize=BX8)*(BCName=SD!$C$8), 0),_xlpm.final_result, INDEX(_xlpm.grade_range, _xlpm.match_result),IF(_xlpm.is_equal, "", _xlpm.final_result)),"")</f>
        <v>11</v>
      </c>
      <c r="BZ8">
        <f>IF(A7=A8,"",IF(SD!$C$41="Match Vertical Bars ",X8,IF(SD!$C$41=SD!$V$3,BW8,SD!$C$41)))</f>
        <v>16</v>
      </c>
      <c r="CA8" cm="1">
        <f t="array" ref="CA8">IF(A7=A8,"",IF(SD!$C$44="No T-Head",IF(SD!$C$42=SD!$Q$3,VLOOKUP(BX8,S90Range,3,FALSE),LEFT(SD!$C$42,FIND("-",SD!$C$42)-1)+(RIGHT(SD!$C$42,LEN(SD!$C$42)-FIND("-",SD!$C$42))/12)),IF(SD!$C$44="T-Head",_xlfn._xlws.FILTER(THead,(TCName=SD!$C$8)*(TSize=BX8)),IF(SD!$C$44="Level Wise",_xlfn.LET(_xlpm.result,_xlfn.XLOOKUP(B8,VDLevel,VDLevelStatus,"No"),IF(_xlpm.result="Yes",_xlfn._xlws.FILTER(THead,(TCName=SD!$C$8)*(TSize=BX8)),IF(SD!$C$42=SD!$Q$3,VLOOKUP(BX8,S90Range,3,FALSE),LEFT(SD!$C$42,FIND("-",SD!$C$42)-1)+(RIGHT(SD!$C$42,LEN(SD!$C$42)-FIND("-", SD!$C$42))/12)))),IF(SD!$C$44="BarSize Wise",_xlfn.LET(_xlpm.result,_xlfn.XLOOKUP(BX8,VDBarSize,VDBarSizeStatus,"No"),IF(_xlpm.result="Yes",_xlfn._xlws.FILTER(THead,(TCName=SD!$C$8)*(TSize=BX8)),IF(SD!$C$42=SD!$Q$3,VLOOKUP(BX8,S90Range,3,FALSE),LEFT(SD!$C$42,FIND("-",SD!$C$42)-1)+(RIGHT(SD!$C$42,LEN(SD!$C$42)-FIND("-",SD!$C$42))/12)))), "")))))</f>
        <v>2</v>
      </c>
      <c r="CB8" t="str" cm="1">
        <f t="array" ref="CB8">_xlfn.LET(_xlpm.GRR,IF(AND(SD!$C$19=SD!$H$2,Grade!$G$1="Per level"),VLOOKUP(B8,Grade!$E$1:$F$200,2,FALSE),IF(AND(SD!$C$19=SD!$H$2,Grade!$G$1="Per Bar Size"),VLOOKUP(BX8,Grade!$B$1:$C$12,2,0),SD!$C$19)),_xlpm.is_coupler, K8="Coupler",_xlpm.condition1, SD!$C$43=SD!$W$2,_xlpm.data_j2_empty, Data!$J8="",_xlpm.lookup_table, IF(SD!$C$11="Create", Lap!$A$3:$BF$14, IF(SD!$C$11="Per Uploaded File", Lap!$A$19:$BF$30, "")),_xlpm.row_match, MATCH(BX8, Lap!$A$3:$A$14, 0),_xlpm.grade_offset, IF(IFERROR(FIND("Grade 60",_xlpm.GRR), 0) &gt; 0, 0, IF(IFERROR(FIND("Grade 80",_xlpm.GRR), 0), 1, IF(IFERROR(FIND("Grade 75",_xlpm.GRR), 0), 2, ""))),_xlpm.col_match, MATCH(VALUE(D8), Lap!$A$3:$BF$3, 0) + _xlpm.grade_offset,_xlpm.index_result, IFERROR(INDEX(_xlpm.lookup_table, _xlpm.row_match, _xlpm.col_match), Data!$J8),_xlpm.result_if_condition1, IF(_xlpm.data_j2_empty, _xlpm.index_result, Data!$J8),IF(_xlpm.is_coupler, 0, IF(_xlpm.condition1, _xlpm.result_if_condition1, SD!$C$43)))</f>
        <v>5-8</v>
      </c>
      <c r="CC8" s="24">
        <f t="shared" si="11"/>
        <v>5.666666666666667</v>
      </c>
      <c r="CD8">
        <f t="shared" si="12"/>
        <v>13.333333333333334</v>
      </c>
      <c r="CE8" t="str" cm="1">
        <f t="array" ref="CE8">IF(BY8="","",_xlfn._xlws.FILTER(SAC,(CName=SD!$C$8)*(EName="Vert Dowels")))</f>
        <v>2200 CD</v>
      </c>
      <c r="CF8" t="str" cm="1">
        <f t="array" ref="CF8">IFERROR(IF(BY8="","",IF(K8="Coupler",_xlfn._xlws.FILTER(CCoupler,(CCName=SD!$C$8)*(CBSize=IF(A7=A8,W7&amp;W8,BX8&amp;W8))*(CCMFM="Male")),"")),"N/A")</f>
        <v/>
      </c>
      <c r="CG8" t="str">
        <f t="shared" si="13"/>
        <v/>
      </c>
      <c r="CH8" t="str">
        <f t="shared" si="14"/>
        <v/>
      </c>
      <c r="CI8" t="str">
        <f>_xlfn.LET(_xlpm.u3_value, U9,_xlpm.hyphen_pos,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K9="Coupler",_xlpm.coupler_value, IF(_xlpm.is_coupler, 0, _xlpm.calculated_value),_xlpm.final_value, _xlpm.calculated_value + SD!$E$13 + _xlpm.coupler_value,IF(CG8="", "", _xlpm.final_value))</f>
        <v/>
      </c>
      <c r="CJ8" t="str" cm="1">
        <f t="array" ref="CJ8">IF(CG8="","",_xlfn._xlws.FILTER(SAC,(CName=SD!$C$8)*(EName="Loose Dowels")))</f>
        <v/>
      </c>
      <c r="CK8" t="str" cm="1">
        <f t="array" ref="CK8">IFERROR(IF(CG8="","",IF(K9="Coupler",_xlfn._xlws.FILTER(CCoupler,(CCName=SD!$C$8)*(CBSize=IF(A8=A9,W8&amp;W9,""))*(CCMFM="Male")),"")),"N/A")</f>
        <v/>
      </c>
      <c r="CL8">
        <f>IFERROR(IF(AM8="Spiral","",IF(A7=A8,"",IF(SD!$C$37=0,"",SD!$C$37))),"")</f>
        <v>3</v>
      </c>
      <c r="CN8">
        <f>IF(AM8="Spiral","",IFERROR(IF(SD!$C$36=0,"",SD!$C$36),""))</f>
        <v>5</v>
      </c>
      <c r="CP8">
        <f>IFERROR(IF(SD!$C$42=SD!$Q$3,'Take-off'!CA8,""),"")</f>
        <v>2</v>
      </c>
      <c r="CR8">
        <f>IFERROR(IF(SD!$C$22=SD!$U$2,W8,SD!$C$22),"")</f>
        <v>0</v>
      </c>
      <c r="CS8" t="str" cm="1">
        <f t="array" ref="CS8">_xlfn.LET(_xlpm.GR,IF(AND(SD!$C$19=SD!$H$2,Grade!$G$1="Per level"),VLOOKUP(B8,Grade!$E$1:$F$200,2,FALSE),IF(AND(SD!$C$19=SD!$H$2,Grade!$G$1="Per Bar Size"),VLOOKUP(CR8,Grade!$B$1:$C$12,2,0),SD!$C$19)),IF(SD!$C$20=SD!$R$4,IF(A9=A8,"",INDEX(IF(_xlpm.GR=SD!$H$3,A615GR60,IF(_xlpm.GR=SD!$H$4,A615GR75,IF(_xlpm.GR=SD!$H$5,A615GR80,IF(_xlpm.GR=SD!H12,A615GR100,IF(_xlpm.GR=SD!$H$7,A706GR60,IF(_xlpm.GR=SD!$H$8,A706GR80)))))), MATCH(1, (BSize=CR8)*(BCName=SD!$C$8), 0))),""))</f>
        <v/>
      </c>
      <c r="CT8">
        <f>IF(A9=A8,"",IF(SD!$C$23="Match Vertical Bars ",X8,SD!$C$23))</f>
        <v>0</v>
      </c>
      <c r="CU8" t="str" cm="1">
        <f t="array" ref="CU8">IF(A9=A8,"",IF(SD!$C$20="Top dowels",IF(SD!$E$25="No T-Head",IF(SD!$C$24=SD!$Q$3,VLOOKUP(CR8,S90Range,3,FALSE),LEFT(SD!$C$24,FIND("-",SD!$C$24)-1)+(RIGHT(SD!$C$24,LEN(SD!$C$24)-FIND("-",SD!$C$24))/12)),IF(SD!$E$25="T-Head",_xlfn._xlws.FILTER(THead,(TCName=SD!$C$8)*(TSize=CR8)),IF(SD!$E$25="Level Wise",_xlfn.LET(_xlpm.result,_xlfn.XLOOKUP(B8,TDLevel,TDLevelStatus,"No"),IF(_xlpm.result="Yes",_xlfn._xlws.FILTER(THead,(TCName=SD!$C$8)*(TSize=CR8)),IF(SD!$C$24=SD!$Q$3,VLOOKUP(CR8,S90Range,3,FALSE),LEFT(SD!$C$24,FIND("-",SD!$C$24)-1)+(RIGHT(SD!$C$24,LEN(SD!$C$24)-FIND("-", SD!$C$24))/12)))),IF(SD!$E$25="BarSize Wise",_xlfn.LET(_xlpm.result,_xlfn.XLOOKUP(CR8,TDBarSize,TDBarSizeStatus,"No"),IF(_xlpm.result="Yes",_xlfn._xlws.FILTER(THead,(TCName=SD!$C$8)*(TSize=CR8)),IF(SD!$C$24=SD!$Q$3,VLOOKUP(CR8,S90Range,3,FALSE),LEFT(SD!$C$24,FIND("-",SD!$C$24)-1)+(RIGHT(SD!$C$24,LEN(SD!$C$24)-FIND("-",SD!$C$24))/12)))), "")))),""))</f>
        <v/>
      </c>
      <c r="CV8" t="str">
        <f>_xlfn.LET(_xlpm.GRR,IF(AND(SD!$C$19=SD!$H$2,Grade!$G$1="Per level"),VLOOKUP(B8,Grade!$E$1:$F$200,2,FALSE),IF(AND(SD!$C$19=SD!$H$2,Grade!$G$1="Per Bar Size"),VLOOKUP(CR8,Grade!$B$1:$C$12,2,0),SD!$C$19)),IF(SD!$C$25=SD!$W$2,IF(Data!$J8="",IFERROR(INDEX(IF(SD!$C$11="Create",Lap!$A$3:$BF$14,IF(SD!$C$11="Per Uploaded File",Lap!$A$19:$BF$30,"")),MATCH(CR8,Lap!$A$3:$A$14,0),MATCH(VALUE(D8),Lap!$A$3:$BF$3,0)+IF(IFERROR(FIND("Grade 60",_xlpm.GRR),0)&gt;0,0,IF(IFERROR(FIND("Grade 80",_xlpm.GRR),0),1,IF(IFERROR(FIND("Grade 75",_xlpm.GRR),0),2,"")))),""),Data!J8),SD!$C$43))</f>
        <v>Match Lap</v>
      </c>
      <c r="CW8">
        <f t="shared" si="15"/>
        <v>0</v>
      </c>
      <c r="CX8">
        <f t="shared" si="16"/>
        <v>0</v>
      </c>
      <c r="CY8" t="str">
        <f t="shared" si="17"/>
        <v/>
      </c>
      <c r="DA8">
        <f t="shared" si="18"/>
        <v>15</v>
      </c>
      <c r="DB8" t="str">
        <f t="shared" si="19"/>
        <v>21-7</v>
      </c>
      <c r="DC8" s="24">
        <f t="shared" si="20"/>
        <v>21.583333333333332</v>
      </c>
      <c r="DD8">
        <f t="shared" si="21"/>
        <v>21.583333333333332</v>
      </c>
      <c r="DE8" t="s">
        <v>726</v>
      </c>
      <c r="DF8" t="s">
        <v>67</v>
      </c>
      <c r="DG8" t="str">
        <f>VLOOKUP(W8,'Level Wise PSI'!$F$2:$G$12,2,FALSE)</f>
        <v>Double Lift</v>
      </c>
      <c r="DI8" t="str" cm="1">
        <f t="array" ref="DI8">_xlfn.LET(_xlpm.Coup,IFERROR(IF(BY8="","",IF(K8="Coupler",_xlfn._xlws.FILTER(CCFCoupler,(CCName=SD!$C$8)*(CBSize=IF(A7=A8,W7&amp;W8,BX8&amp;W8))),"")),"N/A"),IF(_xlpm.Coup=0,"",_xlpm.Coup))</f>
        <v/>
      </c>
      <c r="DJ8" t="str" cm="1">
        <f t="array" ref="DJ8">_xlfn.LET(_xlpm.Coup3,IFERROR(IF(CG8="","",IF(K9="Coupler",_xlfn._xlws.FILTER(CCFCoupler,(CCName=SD!$C$8)*(CBSize=IF(A8=A9,W8&amp;W9,""))),"")),"N/A"),IF(_xlpm.Coup3=0,"",_xlpm.Coup3))</f>
        <v/>
      </c>
      <c r="DK8" t="str" cm="1">
        <f t="array" ref="DK8">_xlfn.LET(_xlpm.Coup2,IFERROR(IF(A8&lt;&gt;A9,"",IF(DF8="No Lap","",IF(K9="Coupler",_xlfn._xlws.FILTER(CCFCoupler,(CCName=SD!$C$8)*(CBSize=IF(A7=A8,W8&amp;W9,W8&amp;W8))),""))),"N/A"),IF(_xlpm.Coup2=0,"",_xlpm.Coup2))</f>
        <v/>
      </c>
      <c r="DM8" t="str">
        <f>IF(AM8="Spiral","",IF(SD!$C$31=SD!$Y$3,SD!$E$32*2,""))</f>
        <v/>
      </c>
      <c r="DO8" s="24">
        <f t="shared" si="22"/>
        <v>3</v>
      </c>
      <c r="DQ8" t="str">
        <f t="shared" si="23"/>
        <v>Lig</v>
      </c>
      <c r="DR8" t="str">
        <f>IF(AM8="Spiral",((Y8-(SD!$E$12*2))/12),"")</f>
        <v/>
      </c>
      <c r="DS8" t="str">
        <f t="shared" si="24"/>
        <v/>
      </c>
      <c r="DT8" t="str">
        <f t="shared" si="25"/>
        <v/>
      </c>
      <c r="DU8" t="str">
        <f t="shared" si="26"/>
        <v/>
      </c>
    </row>
    <row r="9" spans="1:125" x14ac:dyDescent="0.25">
      <c r="A9">
        <v>16</v>
      </c>
      <c r="B9" t="s">
        <v>664</v>
      </c>
      <c r="C9" s="15">
        <v>2429</v>
      </c>
      <c r="D9" s="15">
        <v>10000</v>
      </c>
      <c r="E9" s="15" t="s">
        <v>709</v>
      </c>
      <c r="F9" s="15" t="s">
        <v>787</v>
      </c>
      <c r="G9" t="s">
        <v>733</v>
      </c>
      <c r="H9" s="15" t="s">
        <v>788</v>
      </c>
      <c r="I9" t="s">
        <v>727</v>
      </c>
      <c r="J9" t="str">
        <f>IF(AND(SD!$C$19=SD!$H$2,Grade!$G$1="Per level"),VLOOKUP(B9,Grade!$E$1:$F$200,2,FALSE),IF(AND(SD!$C$19=SD!$H$2,Grade!$G$1="Per Bar Size"),VLOOKUP(W9,Grade!$B$1:$C$12,2,0),SD!$C$19))</f>
        <v>A615 Grade 60</v>
      </c>
      <c r="K9" t="s">
        <v>67</v>
      </c>
      <c r="L9" t="str">
        <f>IFERROR(IF(A9&lt;&gt;A10,"",IF(DF9="No Lap","",IF(K10="Lap",U9,IF(K10="Coupler",_xlfn._xlws.FILTER(CCoupler,(CCName=SD!$C$8)*(CBSize=IF(A8=A9,W9&amp;W10,W9&amp;W9))*(CCMFM="Male")),"")))),"N/A")</f>
        <v/>
      </c>
      <c r="M9" t="str">
        <f t="shared" si="0"/>
        <v/>
      </c>
      <c r="N9" t="s">
        <v>719</v>
      </c>
      <c r="O9" t="s">
        <v>720</v>
      </c>
      <c r="P9" t="s">
        <v>719</v>
      </c>
      <c r="Q9" t="str">
        <f>IF(AND(SD!$C$29=SD!$P$2,Grade!$O$1="Per level"),VLOOKUP(B9,Grade!$M$1:$N$200,2,FALSE),IF(AND(SD!$C$29=SD!$P$2,Grade!$O$1="Per Bar Size"),VLOOKUP(LEFT(N9,FIND("@",N9)-2),Grade!$J$1:$K$12,2,0),SD!$C$29))</f>
        <v>A615 Grade 60</v>
      </c>
      <c r="R9" t="s">
        <v>728</v>
      </c>
      <c r="S9" s="57">
        <v>9</v>
      </c>
      <c r="U9" t="str">
        <f>IF(Data!$J9="",IFERROR(INDEX(IF(SD!$C$11="Create",Lap!$A$3:$BF$14,IF(SD!$C$11="Per Uploaded File",Lap!$A$19:$BF$30,"")),MATCH(W9,Lap!$A$3:$A$14,0),MATCH(VALUE(D9),Lap!$A$3:$BF$3,0)+IF(IFERROR(FIND("Grade 60",J9),0)&gt;0,0,IF(IFERROR(FIND("Grade 80",J9),0),1,IF(IFERROR(FIND("Grade 75",J9),0),2,"")))),""),Data!J9)</f>
        <v>4-6</v>
      </c>
      <c r="W9" t="s">
        <v>164</v>
      </c>
      <c r="X9">
        <v>12</v>
      </c>
      <c r="Y9" t="str">
        <f t="shared" si="1"/>
        <v xml:space="preserve">14 </v>
      </c>
      <c r="Z9" t="str">
        <f t="shared" si="2"/>
        <v xml:space="preserve"> 24</v>
      </c>
      <c r="AA9" s="24">
        <f t="shared" si="3"/>
        <v>19.583333333333332</v>
      </c>
      <c r="BB9" t="e" cm="1">
        <f t="array" ref="BB9">_xlfn.LET(_xlpm.PartF,(_xlfn.LET(_xlpm.grade, Q9,_xlpm.gradeRange, IF(_xlpm.grade=SD!$H$3, A615GR60, IF(_xlpm.grade=SD!$H$4, A615GR75, IF(_xlpm.grade=SD!$H$5, A615GR80, IF(_xlpm.grade=SD!$H$6, A615GR100, IF(_xlpm.grade=SD!$H$7, A706GR60, IF(_xlpm.grade=SD!$H$8, A706GR80)))))),_xlpm.matchValue, MATCH(1, (SD!$AW:$AW=AS9)*(SD!$AX:$AX=SD!$C$8), 0),INDEX(_xlpm.gradeRange, _xlpm.matchValue))),IF(AM9="Spiral",CONCATENATE("SP",_xlpm.PartF),_xlpm.PartF))</f>
        <v>#N/A</v>
      </c>
      <c r="BC9" cm="1">
        <f t="array" ref="BC9">_xlfn.LET(_xlpm.leftPart, LEFT(O9, FIND("@", O9) - 2),_xlpm.grade,Q9,_xlpm.gradeRange,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" cm="1">
        <f t="array" ref="BD9">_xlfn.LET(_xlpm.leftPart, LEFT(P9, FIND("@", P9) - 2),_xlpm.grade, Q9,_xlpm.gradeRange,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">
        <f t="shared" si="4"/>
        <v>2</v>
      </c>
      <c r="BF9">
        <f>IF(SD!$C$32=SD!$I$2,BE9,IF(SD!$C$32=SD!$I$3,DO9,IF(SD!$C$32=SD!$I$5,BA9,IF(SD!$C$32=SD!$I$6,(LEFT(SD!$C$35,FIND("-",SD!$C$35)-1)+RIGHT(SD!$C$35,LEN(SD!$C$35)-FIND("-",SD!$C$35))/12),IF(SD!$C$32=SD!$I$4,(AU9-(BG9+BH9)))))))</f>
        <v>0</v>
      </c>
      <c r="BG9">
        <f>IF(SD!$C$33=SD!$I$2,BE9,IF(SD!$C$33=SD!$I$3,DO9,IF(SD!$C$33=SD!$I$5,BA9,IF(SD!$C$33=SD!$I$6,(LEFT(SD!$C$35,FIND("-",SD!$C$35)-1)+RIGHT(SD!$C$35,LEN(SD!$C$35)-FIND("-",SD!$C$35))/12),IF(SD!$C$33=SD!$I$4,(AU9-(BF9+BH9)))))))</f>
        <v>-1</v>
      </c>
      <c r="BH9">
        <f>IF(SD!$C$34=SD!$I$2,BE9,IF(SD!$C$34=SD!$I$3,DO9,IF(SD!$C$34=SD!$I$5,BA9,IF(SD!$C$34=SD!$I$6,(LEFT(SD!$C$35,FIND("-",SD!$C$35)-1)+RIGHT(SD!$C$35,LEN(SD!$C$35)-FIND("-",SD!$C$35))/12),IF(SD!$C$34=SD!$I$4,(AU9-(BF9+BG9)))))))</f>
        <v>1</v>
      </c>
      <c r="BJ9">
        <f>IF(AM9="Spiral","1",MAX(ROUNDUP(IF(SD!$C$32="",AT9,BF9/(LEFT(RIGHT(N9,LEN(N9)-FIND("@",N9)),LEN(RIGHT(N9,LEN(N9)-FIND("@",N9)))-1)/12)+1),0),0))</f>
        <v>1</v>
      </c>
      <c r="BK9">
        <f>MAX(ROUNDUP(IF(SD!$C$33="","",BG9/(LEFT(RIGHT(O9,LEN(O9)-FIND("@",O9)),LEN(RIGHT(O9,LEN(O9)-FIND("@",O9)))-1)/12)+1),0),0)</f>
        <v>0</v>
      </c>
      <c r="BL9">
        <f>MAX(ROUNDUP(IF(SD!$C$34="","",BH9/(LEFT(RIGHT(P9,LEN(P9)-FIND("@",P9)),LEN(RIGHT(P9,LEN(P9)-FIND("@",P9)))-1)/12)+1),0),0)</f>
        <v>3</v>
      </c>
      <c r="BN9" t="e">
        <f t="shared" si="5"/>
        <v>#N/A</v>
      </c>
      <c r="BO9" t="e">
        <f t="shared" si="6"/>
        <v>#N/A</v>
      </c>
      <c r="BP9" t="e">
        <f t="shared" si="7"/>
        <v>#N/A</v>
      </c>
      <c r="BQ9" s="24" t="e">
        <f>IF(AM9=TRUE,(((Y9-(SD!$E$12*2))*3.14159265359)+BN9+BO9+BP9)/12+AL9,SUM(AF9:AG9,BN9,BO9,BP9,AO9,AQ9)/12)</f>
        <v>#N/A</v>
      </c>
      <c r="BR9" t="e">
        <f t="shared" si="8"/>
        <v>#N/A</v>
      </c>
      <c r="BS9" t="e">
        <f t="shared" si="9"/>
        <v>#N/A</v>
      </c>
      <c r="BT9" t="e">
        <f t="shared" si="10"/>
        <v>#N/A</v>
      </c>
      <c r="BU9" s="24" t="e">
        <f>IF(AM9=TRUE,(((Y9-(SD!$E$12*2))*3.14159265359)+BR9+BS9+BT9)/12+AL9,SUM(AF9:AG9,BR9,BS9,BT9,AO9,AQ9)/12)</f>
        <v>#N/A</v>
      </c>
      <c r="BW9" t="str">
        <f>IFERROR(LEFT(Data!L9,FIND(" -",Data!L9)-1),"")</f>
        <v/>
      </c>
      <c r="BX9" t="str">
        <f>IFERROR(IF(SD!$C$40=SD!$U$2,W9,IF(SD!$C$40=SD!$U$3,RIGHT(Data!L9,LEN(Data!L9)-(FIND("-",Data!L9)+1)),SD!$C$40)),"")</f>
        <v>#9</v>
      </c>
      <c r="BY9" cm="1">
        <f t="array" ref="BY9">IFERROR(_xlfn.LET(_xlpm.GRR,IF(AND(SD!$C$19=SD!$H$2,Grade!$G$1="Per level"),VLOOKUP(B9,Grade!$E$1:$F$200,2,FALSE),IF(AND(SD!$C$19=SD!$H$2,Grade!$G$1="Per Bar Size"),VLOOKUP(BX9,Grade!$B$1:$C$12,2,0),SD!$C$19)),_xlpm.is_equal, A8=A9,_xlpm.grade_range, IF(_xlpm.GRR=SD!$H$3, A615GR60,IF(_xlpm.GRR=SD!$H$4, A615GR75,IF(_xlpm.GRR=SD!$H$5, A615GR80,IF(_xlpm.GRR=SD!H13, A615GR100,IF(_xlpm.GRR=SD!$H$7, A706GR60,IF(_xlpm.GRR=SD!$H$8, A706GR80)))))),_xlpm.match_result, MATCH(1, (BSize=BX9)*(BCName=SD!$C$8), 0),_xlpm.final_result, INDEX(_xlpm.grade_range, _xlpm.match_result),IF(_xlpm.is_equal, "", _xlpm.final_result)),"")</f>
        <v>9</v>
      </c>
      <c r="BZ9">
        <f>IF(A8=A9,"",IF(SD!$C$41="Match Vertical Bars ",X9,IF(SD!$C$41=SD!$V$3,BW9,SD!$C$41)))</f>
        <v>12</v>
      </c>
      <c r="CA9" cm="1">
        <f t="array" ref="CA9">IF(A8=A9,"",IF(SD!$C$44="No T-Head",IF(SD!$C$42=SD!$Q$3,VLOOKUP(BX9,S90Range,3,FALSE),LEFT(SD!$C$42,FIND("-",SD!$C$42)-1)+(RIGHT(SD!$C$42,LEN(SD!$C$42)-FIND("-",SD!$C$42))/12)),IF(SD!$C$44="T-Head",_xlfn._xlws.FILTER(THead,(TCName=SD!$C$8)*(TSize=BX9)),IF(SD!$C$44="Level Wise",_xlfn.LET(_xlpm.result,_xlfn.XLOOKUP(B9,VDLevel,VDLevelStatus,"No"),IF(_xlpm.result="Yes",_xlfn._xlws.FILTER(THead,(TCName=SD!$C$8)*(TSize=BX9)),IF(SD!$C$42=SD!$Q$3,VLOOKUP(BX9,S90Range,3,FALSE),LEFT(SD!$C$42,FIND("-",SD!$C$42)-1)+(RIGHT(SD!$C$42,LEN(SD!$C$42)-FIND("-", SD!$C$42))/12)))),IF(SD!$C$44="BarSize Wise",_xlfn.LET(_xlpm.result,_xlfn.XLOOKUP(BX9,VDBarSize,VDBarSizeStatus,"No"),IF(_xlpm.result="Yes",_xlfn._xlws.FILTER(THead,(TCName=SD!$C$8)*(TSize=BX9)),IF(SD!$C$42=SD!$Q$3,VLOOKUP(BX9,S90Range,3,FALSE),LEFT(SD!$C$42,FIND("-",SD!$C$42)-1)+(RIGHT(SD!$C$42,LEN(SD!$C$42)-FIND("-",SD!$C$42))/12)))), "")))))</f>
        <v>1.5833333333333335</v>
      </c>
      <c r="CB9" t="str" cm="1">
        <f t="array" ref="CB9">_xlfn.LET(_xlpm.GRR,IF(AND(SD!$C$19=SD!$H$2,Grade!$G$1="Per level"),VLOOKUP(B9,Grade!$E$1:$F$200,2,FALSE),IF(AND(SD!$C$19=SD!$H$2,Grade!$G$1="Per Bar Size"),VLOOKUP(BX9,Grade!$B$1:$C$12,2,0),SD!$C$19)),_xlpm.is_coupler, K9="Coupler",_xlpm.condition1, SD!$C$43=SD!$W$2,_xlpm.data_j2_empty, Data!$J9="",_xlpm.lookup_table, IF(SD!$C$11="Create", Lap!$A$3:$BF$14, IF(SD!$C$11="Per Uploaded File", Lap!$A$19:$BF$30, "")),_xlpm.row_match, MATCH(BX9, Lap!$A$3:$A$14, 0),_xlpm.grade_offset, IF(IFERROR(FIND("Grade 60",_xlpm.GRR), 0) &gt; 0, 0, IF(IFERROR(FIND("Grade 80",_xlpm.GRR), 0), 1, IF(IFERROR(FIND("Grade 75",_xlpm.GRR), 0), 2, ""))),_xlpm.col_match, MATCH(VALUE(D9), Lap!$A$3:$BF$3, 0) + _xlpm.grade_offset,_xlpm.index_result, IFERROR(INDEX(_xlpm.lookup_table, _xlpm.row_match, _xlpm.col_match), Data!$J9),_xlpm.result_if_condition1, IF(_xlpm.data_j2_empty, _xlpm.index_result, Data!$J9),IF(_xlpm.is_coupler, 0, IF(_xlpm.condition1, _xlpm.result_if_condition1, SD!$C$43)))</f>
        <v>4-6</v>
      </c>
      <c r="CC9" s="24">
        <f t="shared" si="11"/>
        <v>4.5</v>
      </c>
      <c r="CD9">
        <f t="shared" si="12"/>
        <v>10.583333333333334</v>
      </c>
      <c r="CE9" t="str" cm="1">
        <f t="array" ref="CE9">IF(BY9="","",_xlfn._xlws.FILTER(SAC,(CName=SD!$C$8)*(EName="Vert Dowels")))</f>
        <v>2200 CD</v>
      </c>
      <c r="CF9" t="str" cm="1">
        <f t="array" ref="CF9">IFERROR(IF(BY9="","",IF(K9="Coupler",_xlfn._xlws.FILTER(CCoupler,(CCName=SD!$C$8)*(CBSize=IF(A8=A9,W8&amp;W9,BX9&amp;W9))*(CCMFM="Male")),"")),"N/A")</f>
        <v/>
      </c>
      <c r="CG9" t="str">
        <f t="shared" si="13"/>
        <v/>
      </c>
      <c r="CH9" t="str">
        <f t="shared" si="14"/>
        <v/>
      </c>
      <c r="CI9" t="str">
        <f>_xlfn.LET(_xlpm.u3_value, U10,_xlpm.hyphen_pos,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K10="Coupler",_xlpm.coupler_value, IF(_xlpm.is_coupler, 0, _xlpm.calculated_value),_xlpm.final_value, _xlpm.calculated_value + SD!$E$13 + _xlpm.coupler_value,IF(CG9="", "", _xlpm.final_value))</f>
        <v/>
      </c>
      <c r="CJ9" t="str" cm="1">
        <f t="array" ref="CJ9">IF(CG9="","",_xlfn._xlws.FILTER(SAC,(CName=SD!$C$8)*(EName="Loose Dowels")))</f>
        <v/>
      </c>
      <c r="CK9" t="str" cm="1">
        <f t="array" ref="CK9">IFERROR(IF(CG9="","",IF(K10="Coupler",_xlfn._xlws.FILTER(CCoupler,(CCName=SD!$C$8)*(CBSize=IF(A9=A10,W9&amp;W10,""))*(CCMFM="Male")),"")),"N/A")</f>
        <v/>
      </c>
      <c r="CL9">
        <f>IFERROR(IF(AM9="Spiral","",IF(A8=A9,"",IF(SD!$C$37=0,"",SD!$C$37))),"")</f>
        <v>3</v>
      </c>
      <c r="CN9">
        <f>IF(AM9="Spiral","",IFERROR(IF(SD!$C$36=0,"",SD!$C$36),""))</f>
        <v>5</v>
      </c>
      <c r="CP9">
        <f>IFERROR(IF(SD!$C$42=SD!$Q$3,'Take-off'!CA9,""),"")</f>
        <v>1.5833333333333335</v>
      </c>
      <c r="CR9">
        <f>IFERROR(IF(SD!$C$22=SD!$U$2,W9,SD!$C$22),"")</f>
        <v>0</v>
      </c>
      <c r="CS9" t="str" cm="1">
        <f t="array" ref="CS9">_xlfn.LET(_xlpm.GR,IF(AND(SD!$C$19=SD!$H$2,Grade!$G$1="Per level"),VLOOKUP(B9,Grade!$E$1:$F$200,2,FALSE),IF(AND(SD!$C$19=SD!$H$2,Grade!$G$1="Per Bar Size"),VLOOKUP(CR9,Grade!$B$1:$C$12,2,0),SD!$C$19)),IF(SD!$C$20=SD!$R$4,IF(A10=A9,"",INDEX(IF(_xlpm.GR=SD!$H$3,A615GR60,IF(_xlpm.GR=SD!$H$4,A615GR75,IF(_xlpm.GR=SD!$H$5,A615GR80,IF(_xlpm.GR=SD!H13,A615GR100,IF(_xlpm.GR=SD!$H$7,A706GR60,IF(_xlpm.GR=SD!$H$8,A706GR80)))))), MATCH(1, (BSize=CR9)*(BCName=SD!$C$8), 0))),""))</f>
        <v/>
      </c>
      <c r="CT9">
        <f>IF(A10=A9,"",IF(SD!$C$23="Match Vertical Bars ",X9,SD!$C$23))</f>
        <v>0</v>
      </c>
      <c r="CU9" t="str" cm="1">
        <f t="array" ref="CU9">IF(A10=A9,"",IF(SD!$C$20="Top dowels",IF(SD!$E$25="No T-Head",IF(SD!$C$24=SD!$Q$3,VLOOKUP(CR9,S90Range,3,FALSE),LEFT(SD!$C$24,FIND("-",SD!$C$24)-1)+(RIGHT(SD!$C$24,LEN(SD!$C$24)-FIND("-",SD!$C$24))/12)),IF(SD!$E$25="T-Head",_xlfn._xlws.FILTER(THead,(TCName=SD!$C$8)*(TSize=CR9)),IF(SD!$E$25="Level Wise",_xlfn.LET(_xlpm.result,_xlfn.XLOOKUP(B9,TDLevel,TDLevelStatus,"No"),IF(_xlpm.result="Yes",_xlfn._xlws.FILTER(THead,(TCName=SD!$C$8)*(TSize=CR9)),IF(SD!$C$24=SD!$Q$3,VLOOKUP(CR9,S90Range,3,FALSE),LEFT(SD!$C$24,FIND("-",SD!$C$24)-1)+(RIGHT(SD!$C$24,LEN(SD!$C$24)-FIND("-", SD!$C$24))/12)))),IF(SD!$E$25="BarSize Wise",_xlfn.LET(_xlpm.result,_xlfn.XLOOKUP(CR9,TDBarSize,TDBarSizeStatus,"No"),IF(_xlpm.result="Yes",_xlfn._xlws.FILTER(THead,(TCName=SD!$C$8)*(TSize=CR9)),IF(SD!$C$24=SD!$Q$3,VLOOKUP(CR9,S90Range,3,FALSE),LEFT(SD!$C$24,FIND("-",SD!$C$24)-1)+(RIGHT(SD!$C$24,LEN(SD!$C$24)-FIND("-",SD!$C$24))/12)))), "")))),""))</f>
        <v/>
      </c>
      <c r="CV9" t="str">
        <f>_xlfn.LET(_xlpm.GRR,IF(AND(SD!$C$19=SD!$H$2,Grade!$G$1="Per level"),VLOOKUP(B9,Grade!$E$1:$F$200,2,FALSE),IF(AND(SD!$C$19=SD!$H$2,Grade!$G$1="Per Bar Size"),VLOOKUP(CR9,Grade!$B$1:$C$12,2,0),SD!$C$19)),IF(SD!$C$25=SD!$W$2,IF(Data!$J9="",IFERROR(INDEX(IF(SD!$C$11="Create",Lap!$A$3:$BF$14,IF(SD!$C$11="Per Uploaded File",Lap!$A$19:$BF$30,"")),MATCH(CR9,Lap!$A$3:$A$14,0),MATCH(VALUE(D9),Lap!$A$3:$BF$3,0)+IF(IFERROR(FIND("Grade 60",_xlpm.GRR),0)&gt;0,0,IF(IFERROR(FIND("Grade 80",_xlpm.GRR),0),1,IF(IFERROR(FIND("Grade 75",_xlpm.GRR),0),2,"")))),""),Data!J9),SD!$C$43))</f>
        <v>Match Lap</v>
      </c>
      <c r="CW9">
        <f t="shared" si="15"/>
        <v>0</v>
      </c>
      <c r="CX9">
        <f t="shared" si="16"/>
        <v>0</v>
      </c>
      <c r="CY9" t="str">
        <f t="shared" si="17"/>
        <v/>
      </c>
      <c r="DA9">
        <f t="shared" si="18"/>
        <v>16</v>
      </c>
      <c r="DB9" t="str">
        <f t="shared" si="19"/>
        <v>19-7</v>
      </c>
      <c r="DC9" s="24">
        <f t="shared" si="20"/>
        <v>19.583333333333332</v>
      </c>
      <c r="DD9">
        <f t="shared" si="21"/>
        <v>19.583333333333332</v>
      </c>
      <c r="DE9" t="s">
        <v>733</v>
      </c>
      <c r="DF9" t="s">
        <v>67</v>
      </c>
      <c r="DG9" t="str">
        <f>VLOOKUP(W9,'Level Wise PSI'!$F$2:$G$12,2,FALSE)</f>
        <v>Double Lift</v>
      </c>
      <c r="DI9" t="str" cm="1">
        <f t="array" ref="DI9">_xlfn.LET(_xlpm.Coup,IFERROR(IF(BY9="","",IF(K9="Coupler",_xlfn._xlws.FILTER(CCFCoupler,(CCName=SD!$C$8)*(CBSize=IF(A8=A9,W8&amp;W9,BX9&amp;W9))),"")),"N/A"),IF(_xlpm.Coup=0,"",_xlpm.Coup))</f>
        <v/>
      </c>
      <c r="DJ9" t="str" cm="1">
        <f t="array" ref="DJ9">_xlfn.LET(_xlpm.Coup3,IFERROR(IF(CG9="","",IF(K10="Coupler",_xlfn._xlws.FILTER(CCFCoupler,(CCName=SD!$C$8)*(CBSize=IF(A9=A10,W9&amp;W10,""))),"")),"N/A"),IF(_xlpm.Coup3=0,"",_xlpm.Coup3))</f>
        <v/>
      </c>
      <c r="DK9" t="str" cm="1">
        <f t="array" ref="DK9">_xlfn.LET(_xlpm.Coup2,IFERROR(IF(A9&lt;&gt;A10,"",IF(DF9="No Lap","",IF(K10="Coupler",_xlfn._xlws.FILTER(CCFCoupler,(CCName=SD!$C$8)*(CBSize=IF(A8=A9,W9&amp;W10,W9&amp;W9))),""))),"N/A"),IF(_xlpm.Coup2=0,"",_xlpm.Coup2))</f>
        <v/>
      </c>
      <c r="DM9" t="str">
        <f>IF(AM9="Spiral","",IF(SD!$C$31=SD!$Y$3,SD!$E$32*2,""))</f>
        <v/>
      </c>
      <c r="DO9" s="24">
        <f t="shared" si="22"/>
        <v>2</v>
      </c>
      <c r="DQ9" t="str">
        <f t="shared" si="23"/>
        <v>Lig</v>
      </c>
      <c r="DR9" t="str">
        <f>IF(AM9="Spiral",((Y9-(SD!$E$12*2))/12),"")</f>
        <v/>
      </c>
      <c r="DS9" t="str">
        <f t="shared" si="24"/>
        <v/>
      </c>
      <c r="DT9" t="str">
        <f t="shared" si="25"/>
        <v/>
      </c>
      <c r="DU9" t="str">
        <f t="shared" si="26"/>
        <v/>
      </c>
    </row>
    <row r="10" spans="1:125" x14ac:dyDescent="0.25">
      <c r="A10">
        <v>17</v>
      </c>
      <c r="B10" t="s">
        <v>664</v>
      </c>
      <c r="C10" s="15">
        <v>2429</v>
      </c>
      <c r="D10" s="15">
        <v>10000</v>
      </c>
      <c r="E10" s="15" t="s">
        <v>702</v>
      </c>
      <c r="F10" s="15" t="s">
        <v>787</v>
      </c>
      <c r="G10" t="s">
        <v>733</v>
      </c>
      <c r="H10" s="15" t="s">
        <v>790</v>
      </c>
      <c r="I10" t="s">
        <v>723</v>
      </c>
      <c r="J10" t="str">
        <f>IF(AND(SD!$C$19=SD!$H$2,Grade!$G$1="Per level"),VLOOKUP(B10,Grade!$E$1:$F$200,2,FALSE),IF(AND(SD!$C$19=SD!$H$2,Grade!$G$1="Per Bar Size"),VLOOKUP(W10,Grade!$B$1:$C$12,2,0),SD!$C$19))</f>
        <v>A615 Grade 60</v>
      </c>
      <c r="K10" t="s">
        <v>67</v>
      </c>
      <c r="L10" t="str">
        <f>IFERROR(IF(A10&lt;&gt;A11,"",IF(DF10="No Lap","",IF(K11="Lap",U10,IF(K11="Coupler",_xlfn._xlws.FILTER(CCoupler,(CCName=SD!$C$8)*(CBSize=IF(A9=A10,W10&amp;W11,W10&amp;W10))*(CCMFM="Male")),"")))),"N/A")</f>
        <v/>
      </c>
      <c r="M10" t="str">
        <f t="shared" si="0"/>
        <v/>
      </c>
      <c r="N10" t="s">
        <v>719</v>
      </c>
      <c r="O10" t="s">
        <v>720</v>
      </c>
      <c r="P10" t="s">
        <v>719</v>
      </c>
      <c r="Q10" t="str">
        <f>IF(AND(SD!$C$29=SD!$P$2,Grade!$O$1="Per level"),VLOOKUP(B10,Grade!$M$1:$N$200,2,FALSE),IF(AND(SD!$C$29=SD!$P$2,Grade!$O$1="Per Bar Size"),VLOOKUP(LEFT(N10,FIND("@",N10)-2),Grade!$J$1:$K$12,2,0),SD!$C$29))</f>
        <v>A615 Grade 60</v>
      </c>
      <c r="R10" t="s">
        <v>725</v>
      </c>
      <c r="S10" s="57">
        <v>10</v>
      </c>
      <c r="U10" t="str">
        <f>IF(Data!$J10="",IFERROR(INDEX(IF(SD!$C$11="Create",Lap!$A$3:$BF$14,IF(SD!$C$11="Per Uploaded File",Lap!$A$19:$BF$30,"")),MATCH(W10,Lap!$A$3:$A$14,0),MATCH(VALUE(D10),Lap!$A$3:$BF$3,0)+IF(IFERROR(FIND("Grade 60",J10),0)&gt;0,0,IF(IFERROR(FIND("Grade 80",J10),0),1,IF(IFERROR(FIND("Grade 75",J10),0),2,"")))),""),Data!J10)</f>
        <v>3-6</v>
      </c>
      <c r="W10" t="s">
        <v>139</v>
      </c>
      <c r="X10">
        <v>6</v>
      </c>
      <c r="Y10" t="str">
        <f t="shared" si="1"/>
        <v xml:space="preserve">14 </v>
      </c>
      <c r="Z10" t="str">
        <f t="shared" si="2"/>
        <v xml:space="preserve"> 24</v>
      </c>
      <c r="AA10" s="24">
        <f t="shared" si="3"/>
        <v>12.25</v>
      </c>
      <c r="BB10" t="e" cm="1">
        <f t="array" ref="BB10">_xlfn.LET(_xlpm.PartF,(_xlfn.LET(_xlpm.grade, Q10,_xlpm.gradeRange, IF(_xlpm.grade=SD!$H$3, A615GR60, IF(_xlpm.grade=SD!$H$4, A615GR75, IF(_xlpm.grade=SD!$H$5, A615GR80, IF(_xlpm.grade=SD!$H$6, A615GR100, IF(_xlpm.grade=SD!$H$7, A706GR60, IF(_xlpm.grade=SD!$H$8, A706GR80)))))),_xlpm.matchValue, MATCH(1, (SD!$AW:$AW=AS10)*(SD!$AX:$AX=SD!$C$8), 0),INDEX(_xlpm.gradeRange, _xlpm.matchValue))),IF(AM10="Spiral",CONCATENATE("SP",_xlpm.PartF),_xlpm.PartF))</f>
        <v>#N/A</v>
      </c>
      <c r="BC10" cm="1">
        <f t="array" ref="BC10">_xlfn.LET(_xlpm.leftPart, LEFT(O10, FIND("@", O10) - 2),_xlpm.grade,Q10,_xlpm.gradeRange,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" cm="1">
        <f t="array" ref="BD10">_xlfn.LET(_xlpm.leftPart, LEFT(P10, FIND("@", P10) - 2),_xlpm.grade, Q10,_xlpm.gradeRange,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">
        <f t="shared" si="4"/>
        <v>2</v>
      </c>
      <c r="BF10">
        <f>IF(SD!$C$32=SD!$I$2,BE10,IF(SD!$C$32=SD!$I$3,DO10,IF(SD!$C$32=SD!$I$5,BA10,IF(SD!$C$32=SD!$I$6,(LEFT(SD!$C$35,FIND("-",SD!$C$35)-1)+RIGHT(SD!$C$35,LEN(SD!$C$35)-FIND("-",SD!$C$35))/12),IF(SD!$C$32=SD!$I$4,(AU10-(BG10+BH10)))))))</f>
        <v>0</v>
      </c>
      <c r="BG10">
        <f>IF(SD!$C$33=SD!$I$2,BE10,IF(SD!$C$33=SD!$I$3,DO10,IF(SD!$C$33=SD!$I$5,BA10,IF(SD!$C$33=SD!$I$6,(LEFT(SD!$C$35,FIND("-",SD!$C$35)-1)+RIGHT(SD!$C$35,LEN(SD!$C$35)-FIND("-",SD!$C$35))/12),IF(SD!$C$33=SD!$I$4,(AU10-(BF10+BH10)))))))</f>
        <v>-1</v>
      </c>
      <c r="BH10">
        <f>IF(SD!$C$34=SD!$I$2,BE10,IF(SD!$C$34=SD!$I$3,DO10,IF(SD!$C$34=SD!$I$5,BA10,IF(SD!$C$34=SD!$I$6,(LEFT(SD!$C$35,FIND("-",SD!$C$35)-1)+RIGHT(SD!$C$35,LEN(SD!$C$35)-FIND("-",SD!$C$35))/12),IF(SD!$C$34=SD!$I$4,(AU10-(BF10+BG10)))))))</f>
        <v>1</v>
      </c>
      <c r="BJ10">
        <f>IF(AM10="Spiral","1",MAX(ROUNDUP(IF(SD!$C$32="",AT10,BF10/(LEFT(RIGHT(N10,LEN(N10)-FIND("@",N10)),LEN(RIGHT(N10,LEN(N10)-FIND("@",N10)))-1)/12)+1),0),0))</f>
        <v>1</v>
      </c>
      <c r="BK10">
        <f>MAX(ROUNDUP(IF(SD!$C$33="","",BG10/(LEFT(RIGHT(O10,LEN(O10)-FIND("@",O10)),LEN(RIGHT(O10,LEN(O10)-FIND("@",O10)))-1)/12)+1),0),0)</f>
        <v>0</v>
      </c>
      <c r="BL10">
        <f>MAX(ROUNDUP(IF(SD!$C$34="","",BH10/(LEFT(RIGHT(P10,LEN(P10)-FIND("@",P10)),LEN(RIGHT(P10,LEN(P10)-FIND("@",P10)))-1)/12)+1),0),0)</f>
        <v>3</v>
      </c>
      <c r="BN10" t="e">
        <f t="shared" si="5"/>
        <v>#N/A</v>
      </c>
      <c r="BO10" t="e">
        <f t="shared" si="6"/>
        <v>#N/A</v>
      </c>
      <c r="BP10" t="e">
        <f t="shared" si="7"/>
        <v>#N/A</v>
      </c>
      <c r="BQ10" s="24" t="e">
        <f>IF(AM10=TRUE,(((Y10-(SD!$E$12*2))*3.14159265359)+BN10+BO10+BP10)/12+AL10,SUM(AF10:AG10,BN10,BO10,BP10,AO10,AQ10)/12)</f>
        <v>#N/A</v>
      </c>
      <c r="BR10" t="e">
        <f t="shared" si="8"/>
        <v>#N/A</v>
      </c>
      <c r="BS10" t="e">
        <f t="shared" si="9"/>
        <v>#N/A</v>
      </c>
      <c r="BT10" t="e">
        <f t="shared" si="10"/>
        <v>#N/A</v>
      </c>
      <c r="BU10" s="24" t="e">
        <f>IF(AM10=TRUE,(((Y10-(SD!$E$12*2))*3.14159265359)+BR10+BS10+BT10)/12+AL10,SUM(AF10:AG10,BR10,BS10,BT10,AO10,AQ10)/12)</f>
        <v>#N/A</v>
      </c>
      <c r="BW10" t="str">
        <f>IFERROR(LEFT(Data!L10,FIND(" -",Data!L10)-1),"")</f>
        <v/>
      </c>
      <c r="BX10" t="str">
        <f>IFERROR(IF(SD!$C$40=SD!$U$2,W10,IF(SD!$C$40=SD!$U$3,RIGHT(Data!L10,LEN(Data!L10)-(FIND("-",Data!L10)+1)),SD!$C$40)),"")</f>
        <v>#7</v>
      </c>
      <c r="BY10" cm="1">
        <f t="array" ref="BY10">IFERROR(_xlfn.LET(_xlpm.GRR,IF(AND(SD!$C$19=SD!$H$2,Grade!$G$1="Per level"),VLOOKUP(B10,Grade!$E$1:$F$200,2,FALSE),IF(AND(SD!$C$19=SD!$H$2,Grade!$G$1="Per Bar Size"),VLOOKUP(BX10,Grade!$B$1:$C$12,2,0),SD!$C$19)),_xlpm.is_equal, A9=A10,_xlpm.grade_range, IF(_xlpm.GRR=SD!$H$3, A615GR60,IF(_xlpm.GRR=SD!$H$4, A615GR75,IF(_xlpm.GRR=SD!$H$5, A615GR80,IF(_xlpm.GRR=SD!H14, A615GR100,IF(_xlpm.GRR=SD!$H$7, A706GR60,IF(_xlpm.GRR=SD!$H$8, A706GR80)))))),_xlpm.match_result, MATCH(1, (BSize=BX10)*(BCName=SD!$C$8), 0),_xlpm.final_result, INDEX(_xlpm.grade_range, _xlpm.match_result),IF(_xlpm.is_equal, "", _xlpm.final_result)),"")</f>
        <v>7</v>
      </c>
      <c r="BZ10">
        <f>IF(A9=A10,"",IF(SD!$C$41="Match Vertical Bars ",X10,IF(SD!$C$41=SD!$V$3,BW10,SD!$C$41)))</f>
        <v>6</v>
      </c>
      <c r="CA10" cm="1">
        <f t="array" ref="CA10">IF(A9=A10,"",IF(SD!$C$44="No T-Head",IF(SD!$C$42=SD!$Q$3,VLOOKUP(BX10,S90Range,3,FALSE),LEFT(SD!$C$42,FIND("-",SD!$C$42)-1)+(RIGHT(SD!$C$42,LEN(SD!$C$42)-FIND("-",SD!$C$42))/12)),IF(SD!$C$44="T-Head",_xlfn._xlws.FILTER(THead,(TCName=SD!$C$8)*(TSize=BX10)),IF(SD!$C$44="Level Wise",_xlfn.LET(_xlpm.result,_xlfn.XLOOKUP(B10,VDLevel,VDLevelStatus,"No"),IF(_xlpm.result="Yes",_xlfn._xlws.FILTER(THead,(TCName=SD!$C$8)*(TSize=BX10)),IF(SD!$C$42=SD!$Q$3,VLOOKUP(BX10,S90Range,3,FALSE),LEFT(SD!$C$42,FIND("-",SD!$C$42)-1)+(RIGHT(SD!$C$42,LEN(SD!$C$42)-FIND("-", SD!$C$42))/12)))),IF(SD!$C$44="BarSize Wise",_xlfn.LET(_xlpm.result,_xlfn.XLOOKUP(BX10,VDBarSize,VDBarSizeStatus,"No"),IF(_xlpm.result="Yes",_xlfn._xlws.FILTER(THead,(TCName=SD!$C$8)*(TSize=BX10)),IF(SD!$C$42=SD!$Q$3,VLOOKUP(BX10,S90Range,3,FALSE),LEFT(SD!$C$42,FIND("-",SD!$C$42)-1)+(RIGHT(SD!$C$42,LEN(SD!$C$42)-FIND("-",SD!$C$42))/12)))), "")))))</f>
        <v>1.1666666666666667</v>
      </c>
      <c r="CB10" t="str" cm="1">
        <f t="array" ref="CB10">_xlfn.LET(_xlpm.GRR,IF(AND(SD!$C$19=SD!$H$2,Grade!$G$1="Per level"),VLOOKUP(B10,Grade!$E$1:$F$200,2,FALSE),IF(AND(SD!$C$19=SD!$H$2,Grade!$G$1="Per Bar Size"),VLOOKUP(BX10,Grade!$B$1:$C$12,2,0),SD!$C$19)),_xlpm.is_coupler, K10="Coupler",_xlpm.condition1, SD!$C$43=SD!$W$2,_xlpm.data_j2_empty, Data!$J10="",_xlpm.lookup_table, IF(SD!$C$11="Create", Lap!$A$3:$BF$14, IF(SD!$C$11="Per Uploaded File", Lap!$A$19:$BF$30, "")),_xlpm.row_match, MATCH(BX10, Lap!$A$3:$A$14, 0),_xlpm.grade_offset, IF(IFERROR(FIND("Grade 60",_xlpm.GRR), 0) &gt; 0, 0, IF(IFERROR(FIND("Grade 80",_xlpm.GRR), 0), 1, IF(IFERROR(FIND("Grade 75",_xlpm.GRR), 0), 2, ""))),_xlpm.col_match, MATCH(VALUE(D10), Lap!$A$3:$BF$3, 0) + _xlpm.grade_offset,_xlpm.index_result, IFERROR(INDEX(_xlpm.lookup_table, _xlpm.row_match, _xlpm.col_match), Data!$J10),_xlpm.result_if_condition1, IF(_xlpm.data_j2_empty, _xlpm.index_result, Data!$J10),IF(_xlpm.is_coupler, 0, IF(_xlpm.condition1, _xlpm.result_if_condition1, SD!$C$43)))</f>
        <v>3-6</v>
      </c>
      <c r="CC10" s="24">
        <f t="shared" si="11"/>
        <v>3.5</v>
      </c>
      <c r="CD10">
        <f t="shared" si="12"/>
        <v>8.6666666666666679</v>
      </c>
      <c r="CE10" t="str" cm="1">
        <f t="array" ref="CE10">IF(BY10="","",_xlfn._xlws.FILTER(SAC,(CName=SD!$C$8)*(EName="Vert Dowels")))</f>
        <v>2200 CD</v>
      </c>
      <c r="CF10" t="str" cm="1">
        <f t="array" ref="CF10">IFERROR(IF(BY10="","",IF(K10="Coupler",_xlfn._xlws.FILTER(CCoupler,(CCName=SD!$C$8)*(CBSize=IF(A9=A10,W9&amp;W10,BX10&amp;W10))*(CCMFM="Male")),"")),"N/A")</f>
        <v/>
      </c>
      <c r="CG10" t="str">
        <f t="shared" si="13"/>
        <v/>
      </c>
      <c r="CH10" t="str">
        <f t="shared" si="14"/>
        <v/>
      </c>
      <c r="CI10" t="str">
        <f>_xlfn.LET(_xlpm.u3_value, U11,_xlpm.hyphen_pos,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K11="Coupler",_xlpm.coupler_value, IF(_xlpm.is_coupler, 0, _xlpm.calculated_value),_xlpm.final_value, _xlpm.calculated_value + SD!$E$13 + _xlpm.coupler_value,IF(CG10="", "", _xlpm.final_value))</f>
        <v/>
      </c>
      <c r="CJ10" t="str" cm="1">
        <f t="array" ref="CJ10">IF(CG10="","",_xlfn._xlws.FILTER(SAC,(CName=SD!$C$8)*(EName="Loose Dowels")))</f>
        <v/>
      </c>
      <c r="CK10" t="str" cm="1">
        <f t="array" ref="CK10">IFERROR(IF(CG10="","",IF(K11="Coupler",_xlfn._xlws.FILTER(CCoupler,(CCName=SD!$C$8)*(CBSize=IF(A10=A11,W10&amp;W11,""))*(CCMFM="Male")),"")),"N/A")</f>
        <v/>
      </c>
      <c r="CL10">
        <f>IFERROR(IF(AM10="Spiral","",IF(A9=A10,"",IF(SD!$C$37=0,"",SD!$C$37))),"")</f>
        <v>3</v>
      </c>
      <c r="CN10">
        <f>IF(AM10="Spiral","",IFERROR(IF(SD!$C$36=0,"",SD!$C$36),""))</f>
        <v>5</v>
      </c>
      <c r="CP10">
        <f>IFERROR(IF(SD!$C$42=SD!$Q$3,'Take-off'!CA10,""),"")</f>
        <v>1.1666666666666667</v>
      </c>
      <c r="CR10">
        <f>IFERROR(IF(SD!$C$22=SD!$U$2,W10,SD!$C$22),"")</f>
        <v>0</v>
      </c>
      <c r="CS10" t="str" cm="1">
        <f t="array" ref="CS10">_xlfn.LET(_xlpm.GR,IF(AND(SD!$C$19=SD!$H$2,Grade!$G$1="Per level"),VLOOKUP(B10,Grade!$E$1:$F$200,2,FALSE),IF(AND(SD!$C$19=SD!$H$2,Grade!$G$1="Per Bar Size"),VLOOKUP(CR10,Grade!$B$1:$C$12,2,0),SD!$C$19)),IF(SD!$C$20=SD!$R$4,IF(A11=A10,"",INDEX(IF(_xlpm.GR=SD!$H$3,A615GR60,IF(_xlpm.GR=SD!$H$4,A615GR75,IF(_xlpm.GR=SD!$H$5,A615GR80,IF(_xlpm.GR=SD!H14,A615GR100,IF(_xlpm.GR=SD!$H$7,A706GR60,IF(_xlpm.GR=SD!$H$8,A706GR80)))))), MATCH(1, (BSize=CR10)*(BCName=SD!$C$8), 0))),""))</f>
        <v/>
      </c>
      <c r="CT10">
        <f>IF(A11=A10,"",IF(SD!$C$23="Match Vertical Bars ",X10,SD!$C$23))</f>
        <v>0</v>
      </c>
      <c r="CU10" t="str" cm="1">
        <f t="array" ref="CU10">IF(A11=A10,"",IF(SD!$C$20="Top dowels",IF(SD!$E$25="No T-Head",IF(SD!$C$24=SD!$Q$3,VLOOKUP(CR10,S90Range,3,FALSE),LEFT(SD!$C$24,FIND("-",SD!$C$24)-1)+(RIGHT(SD!$C$24,LEN(SD!$C$24)-FIND("-",SD!$C$24))/12)),IF(SD!$E$25="T-Head",_xlfn._xlws.FILTER(THead,(TCName=SD!$C$8)*(TSize=CR10)),IF(SD!$E$25="Level Wise",_xlfn.LET(_xlpm.result,_xlfn.XLOOKUP(B10,TDLevel,TDLevelStatus,"No"),IF(_xlpm.result="Yes",_xlfn._xlws.FILTER(THead,(TCName=SD!$C$8)*(TSize=CR10)),IF(SD!$C$24=SD!$Q$3,VLOOKUP(CR10,S90Range,3,FALSE),LEFT(SD!$C$24,FIND("-",SD!$C$24)-1)+(RIGHT(SD!$C$24,LEN(SD!$C$24)-FIND("-", SD!$C$24))/12)))),IF(SD!$E$25="BarSize Wise",_xlfn.LET(_xlpm.result,_xlfn.XLOOKUP(CR10,TDBarSize,TDBarSizeStatus,"No"),IF(_xlpm.result="Yes",_xlfn._xlws.FILTER(THead,(TCName=SD!$C$8)*(TSize=CR10)),IF(SD!$C$24=SD!$Q$3,VLOOKUP(CR10,S90Range,3,FALSE),LEFT(SD!$C$24,FIND("-",SD!$C$24)-1)+(RIGHT(SD!$C$24,LEN(SD!$C$24)-FIND("-",SD!$C$24))/12)))), "")))),""))</f>
        <v/>
      </c>
      <c r="CV10" t="str">
        <f>_xlfn.LET(_xlpm.GRR,IF(AND(SD!$C$19=SD!$H$2,Grade!$G$1="Per level"),VLOOKUP(B10,Grade!$E$1:$F$200,2,FALSE),IF(AND(SD!$C$19=SD!$H$2,Grade!$G$1="Per Bar Size"),VLOOKUP(CR10,Grade!$B$1:$C$12,2,0),SD!$C$19)),IF(SD!$C$25=SD!$W$2,IF(Data!$J10="",IFERROR(INDEX(IF(SD!$C$11="Create",Lap!$A$3:$BF$14,IF(SD!$C$11="Per Uploaded File",Lap!$A$19:$BF$30,"")),MATCH(CR10,Lap!$A$3:$A$14,0),MATCH(VALUE(D10),Lap!$A$3:$BF$3,0)+IF(IFERROR(FIND("Grade 60",_xlpm.GRR),0)&gt;0,0,IF(IFERROR(FIND("Grade 80",_xlpm.GRR),0),1,IF(IFERROR(FIND("Grade 75",_xlpm.GRR),0),2,"")))),""),Data!J10),SD!$C$43))</f>
        <v>Match Lap</v>
      </c>
      <c r="CW10">
        <f t="shared" si="15"/>
        <v>0</v>
      </c>
      <c r="CX10">
        <f t="shared" si="16"/>
        <v>0</v>
      </c>
      <c r="CY10" t="str">
        <f t="shared" si="17"/>
        <v/>
      </c>
      <c r="DA10">
        <f t="shared" si="18"/>
        <v>17</v>
      </c>
      <c r="DB10" t="str">
        <f t="shared" si="19"/>
        <v>12-3</v>
      </c>
      <c r="DC10" s="24">
        <f t="shared" si="20"/>
        <v>12.25</v>
      </c>
      <c r="DD10">
        <f t="shared" si="21"/>
        <v>12.25</v>
      </c>
      <c r="DE10" t="s">
        <v>733</v>
      </c>
      <c r="DF10" t="s">
        <v>67</v>
      </c>
      <c r="DG10" t="str">
        <f>VLOOKUP(W10,'Level Wise PSI'!$F$2:$G$12,2,FALSE)</f>
        <v>Double Lift</v>
      </c>
      <c r="DI10" t="str" cm="1">
        <f t="array" ref="DI10">_xlfn.LET(_xlpm.Coup,IFERROR(IF(BY10="","",IF(K10="Coupler",_xlfn._xlws.FILTER(CCFCoupler,(CCName=SD!$C$8)*(CBSize=IF(A9=A10,W9&amp;W10,BX10&amp;W10))),"")),"N/A"),IF(_xlpm.Coup=0,"",_xlpm.Coup))</f>
        <v/>
      </c>
      <c r="DJ10" t="str" cm="1">
        <f t="array" ref="DJ10">_xlfn.LET(_xlpm.Coup3,IFERROR(IF(CG10="","",IF(K11="Coupler",_xlfn._xlws.FILTER(CCFCoupler,(CCName=SD!$C$8)*(CBSize=IF(A10=A11,W10&amp;W11,""))),"")),"N/A"),IF(_xlpm.Coup3=0,"",_xlpm.Coup3))</f>
        <v/>
      </c>
      <c r="DK10" t="str" cm="1">
        <f t="array" ref="DK10">_xlfn.LET(_xlpm.Coup2,IFERROR(IF(A10&lt;&gt;A11,"",IF(DF10="No Lap","",IF(K11="Coupler",_xlfn._xlws.FILTER(CCFCoupler,(CCName=SD!$C$8)*(CBSize=IF(A9=A10,W10&amp;W11,W10&amp;W10))),""))),"N/A"),IF(_xlpm.Coup2=0,"",_xlpm.Coup2))</f>
        <v/>
      </c>
      <c r="DM10" t="str">
        <f>IF(AM10="Spiral","",IF(SD!$C$31=SD!$Y$3,SD!$E$32*2,""))</f>
        <v/>
      </c>
      <c r="DO10" s="24">
        <f t="shared" si="22"/>
        <v>2</v>
      </c>
      <c r="DQ10" t="str">
        <f t="shared" si="23"/>
        <v>Lig</v>
      </c>
      <c r="DR10" t="str">
        <f>IF(AM10="Spiral",((Y10-(SD!$E$12*2))/12),"")</f>
        <v/>
      </c>
      <c r="DS10" t="str">
        <f t="shared" si="24"/>
        <v/>
      </c>
      <c r="DT10" t="str">
        <f t="shared" si="25"/>
        <v/>
      </c>
      <c r="DU10" t="str">
        <f t="shared" si="26"/>
        <v/>
      </c>
    </row>
    <row r="11" spans="1:125" x14ac:dyDescent="0.25">
      <c r="A11">
        <v>18</v>
      </c>
      <c r="B11" t="s">
        <v>664</v>
      </c>
      <c r="C11" s="15">
        <v>2429</v>
      </c>
      <c r="D11" s="15">
        <v>10000</v>
      </c>
      <c r="E11" t="str">
        <f>IF(B11=Level!$A$2,SD!$C$14,SD!$C$13)</f>
        <v>3-0</v>
      </c>
      <c r="F11" s="15" t="s">
        <v>787</v>
      </c>
      <c r="G11" t="s">
        <v>733</v>
      </c>
      <c r="H11" s="15" t="s">
        <v>788</v>
      </c>
      <c r="I11" t="s">
        <v>727</v>
      </c>
      <c r="J11" t="str">
        <f>IF(AND(SD!$C$19=SD!$H$2,Grade!$G$1="Per level"),VLOOKUP(B11,Grade!$E$1:$F$200,2,FALSE),IF(AND(SD!$C$19=SD!$H$2,Grade!$G$1="Per Bar Size"),VLOOKUP(W11,Grade!$B$1:$C$12,2,0),SD!$C$19))</f>
        <v>A615 Grade 60</v>
      </c>
      <c r="K11" t="s">
        <v>67</v>
      </c>
      <c r="L11" t="str">
        <f>IFERROR(IF(A11&lt;&gt;A12,"",IF(DF11="No Lap","",IF(K12="Lap",U11,IF(K12="Coupler",_xlfn._xlws.FILTER(CCoupler,(CCName=SD!$C$8)*(CBSize=IF(A10=A11,W11&amp;W12,W11&amp;W11))*(CCMFM="Male")),"")))),"N/A")</f>
        <v/>
      </c>
      <c r="M11" t="str">
        <f t="shared" si="0"/>
        <v/>
      </c>
      <c r="N11" t="s">
        <v>719</v>
      </c>
      <c r="O11" t="s">
        <v>720</v>
      </c>
      <c r="P11" t="s">
        <v>719</v>
      </c>
      <c r="Q11" t="str">
        <f>IF(AND(SD!$C$29=SD!$P$2,Grade!$O$1="Per level"),VLOOKUP(B11,Grade!$M$1:$N$200,2,FALSE),IF(AND(SD!$C$29=SD!$P$2,Grade!$O$1="Per Bar Size"),VLOOKUP(LEFT(N11,FIND("@",N11)-2),Grade!$J$1:$K$12,2,0),SD!$C$29))</f>
        <v>A615 Grade 60</v>
      </c>
      <c r="R11" t="s">
        <v>728</v>
      </c>
      <c r="S11" s="57">
        <v>11</v>
      </c>
      <c r="U11" t="str">
        <f>IF(Data!$J11="",IFERROR(INDEX(IF(SD!$C$11="Create",Lap!$A$3:$BF$14,IF(SD!$C$11="Per Uploaded File",Lap!$A$19:$BF$30,"")),MATCH(W11,Lap!$A$3:$A$14,0),MATCH(VALUE(D11),Lap!$A$3:$BF$3,0)+IF(IFERROR(FIND("Grade 60",J11),0)&gt;0,0,IF(IFERROR(FIND("Grade 80",J11),0),1,IF(IFERROR(FIND("Grade 75",J11),0),2,"")))),""),Data!J11)</f>
        <v>4-6</v>
      </c>
      <c r="W11" t="s">
        <v>164</v>
      </c>
      <c r="X11">
        <v>12</v>
      </c>
      <c r="Y11" t="str">
        <f t="shared" si="1"/>
        <v xml:space="preserve">14 </v>
      </c>
      <c r="Z11" t="str">
        <f t="shared" si="2"/>
        <v xml:space="preserve"> 24</v>
      </c>
      <c r="AA11" s="24">
        <f t="shared" si="3"/>
        <v>19.583333333333332</v>
      </c>
      <c r="BB11" t="e" cm="1">
        <f t="array" ref="BB11">_xlfn.LET(_xlpm.PartF,(_xlfn.LET(_xlpm.grade, Q11,_xlpm.gradeRange, IF(_xlpm.grade=SD!$H$3, A615GR60, IF(_xlpm.grade=SD!$H$4, A615GR75, IF(_xlpm.grade=SD!$H$5, A615GR80, IF(_xlpm.grade=SD!$H$6, A615GR100, IF(_xlpm.grade=SD!$H$7, A706GR60, IF(_xlpm.grade=SD!$H$8, A706GR80)))))),_xlpm.matchValue, MATCH(1, (SD!$AW:$AW=AS11)*(SD!$AX:$AX=SD!$C$8), 0),INDEX(_xlpm.gradeRange, _xlpm.matchValue))),IF(AM11="Spiral",CONCATENATE("SP",_xlpm.PartF),_xlpm.PartF))</f>
        <v>#N/A</v>
      </c>
      <c r="BC11" cm="1">
        <f t="array" ref="BC11">_xlfn.LET(_xlpm.leftPart, LEFT(O11, FIND("@", O11) - 2),_xlpm.grade,Q11,_xlpm.gradeRange,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" cm="1">
        <f t="array" ref="BD11">_xlfn.LET(_xlpm.leftPart, LEFT(P11, FIND("@", P11) - 2),_xlpm.grade, Q11,_xlpm.gradeRange,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">
        <f t="shared" si="4"/>
        <v>2</v>
      </c>
      <c r="BF11">
        <f>IF(SD!$C$32=SD!$I$2,BE11,IF(SD!$C$32=SD!$I$3,DO11,IF(SD!$C$32=SD!$I$5,BA11,IF(SD!$C$32=SD!$I$6,(LEFT(SD!$C$35,FIND("-",SD!$C$35)-1)+RIGHT(SD!$C$35,LEN(SD!$C$35)-FIND("-",SD!$C$35))/12),IF(SD!$C$32=SD!$I$4,(AU11-(BG11+BH11)))))))</f>
        <v>0</v>
      </c>
      <c r="BG11">
        <f>IF(SD!$C$33=SD!$I$2,BE11,IF(SD!$C$33=SD!$I$3,DO11,IF(SD!$C$33=SD!$I$5,BA11,IF(SD!$C$33=SD!$I$6,(LEFT(SD!$C$35,FIND("-",SD!$C$35)-1)+RIGHT(SD!$C$35,LEN(SD!$C$35)-FIND("-",SD!$C$35))/12),IF(SD!$C$33=SD!$I$4,(AU11-(BF11+BH11)))))))</f>
        <v>-1</v>
      </c>
      <c r="BH11">
        <f>IF(SD!$C$34=SD!$I$2,BE11,IF(SD!$C$34=SD!$I$3,DO11,IF(SD!$C$34=SD!$I$5,BA11,IF(SD!$C$34=SD!$I$6,(LEFT(SD!$C$35,FIND("-",SD!$C$35)-1)+RIGHT(SD!$C$35,LEN(SD!$C$35)-FIND("-",SD!$C$35))/12),IF(SD!$C$34=SD!$I$4,(AU11-(BF11+BG11)))))))</f>
        <v>1</v>
      </c>
      <c r="BJ11">
        <f>IF(AM11="Spiral","1",MAX(ROUNDUP(IF(SD!$C$32="",AT11,BF11/(LEFT(RIGHT(N11,LEN(N11)-FIND("@",N11)),LEN(RIGHT(N11,LEN(N11)-FIND("@",N11)))-1)/12)+1),0),0))</f>
        <v>1</v>
      </c>
      <c r="BK11">
        <f>MAX(ROUNDUP(IF(SD!$C$33="","",BG11/(LEFT(RIGHT(O11,LEN(O11)-FIND("@",O11)),LEN(RIGHT(O11,LEN(O11)-FIND("@",O11)))-1)/12)+1),0),0)</f>
        <v>0</v>
      </c>
      <c r="BL11">
        <f>MAX(ROUNDUP(IF(SD!$C$34="","",BH11/(LEFT(RIGHT(P11,LEN(P11)-FIND("@",P11)),LEN(RIGHT(P11,LEN(P11)-FIND("@",P11)))-1)/12)+1),0),0)</f>
        <v>3</v>
      </c>
      <c r="BN11" t="e">
        <f t="shared" si="5"/>
        <v>#N/A</v>
      </c>
      <c r="BO11" t="e">
        <f t="shared" si="6"/>
        <v>#N/A</v>
      </c>
      <c r="BP11" t="e">
        <f t="shared" si="7"/>
        <v>#N/A</v>
      </c>
      <c r="BQ11" s="24" t="e">
        <f>IF(AM11=TRUE,(((Y11-(SD!$E$12*2))*3.14159265359)+BN11+BO11+BP11)/12+AL11,SUM(AF11:AG11,BN11,BO11,BP11,AO11,AQ11)/12)</f>
        <v>#N/A</v>
      </c>
      <c r="BR11" t="e">
        <f t="shared" si="8"/>
        <v>#N/A</v>
      </c>
      <c r="BS11" t="e">
        <f t="shared" si="9"/>
        <v>#N/A</v>
      </c>
      <c r="BT11" t="e">
        <f t="shared" si="10"/>
        <v>#N/A</v>
      </c>
      <c r="BU11" s="24" t="e">
        <f>IF(AM11=TRUE,(((Y11-(SD!$E$12*2))*3.14159265359)+BR11+BS11+BT11)/12+AL11,SUM(AF11:AG11,BR11,BS11,BT11,AO11,AQ11)/12)</f>
        <v>#N/A</v>
      </c>
      <c r="BW11" t="str">
        <f>IFERROR(LEFT(Data!L11,FIND(" -",Data!L11)-1),"")</f>
        <v/>
      </c>
      <c r="BX11" t="str">
        <f>IFERROR(IF(SD!$C$40=SD!$U$2,W11,IF(SD!$C$40=SD!$U$3,RIGHT(Data!L11,LEN(Data!L11)-(FIND("-",Data!L11)+1)),SD!$C$40)),"")</f>
        <v>#9</v>
      </c>
      <c r="BY11" cm="1">
        <f t="array" ref="BY11">IFERROR(_xlfn.LET(_xlpm.GRR,IF(AND(SD!$C$19=SD!$H$2,Grade!$G$1="Per level"),VLOOKUP(B11,Grade!$E$1:$F$200,2,FALSE),IF(AND(SD!$C$19=SD!$H$2,Grade!$G$1="Per Bar Size"),VLOOKUP(BX11,Grade!$B$1:$C$12,2,0),SD!$C$19)),_xlpm.is_equal, A10=A11,_xlpm.grade_range, IF(_xlpm.GRR=SD!$H$3, A615GR60,IF(_xlpm.GRR=SD!$H$4, A615GR75,IF(_xlpm.GRR=SD!$H$5, A615GR80,IF(_xlpm.GRR=SD!H15, A615GR100,IF(_xlpm.GRR=SD!$H$7, A706GR60,IF(_xlpm.GRR=SD!$H$8, A706GR80)))))),_xlpm.match_result, MATCH(1, (BSize=BX11)*(BCName=SD!$C$8), 0),_xlpm.final_result, INDEX(_xlpm.grade_range, _xlpm.match_result),IF(_xlpm.is_equal, "", _xlpm.final_result)),"")</f>
        <v>9</v>
      </c>
      <c r="BZ11">
        <f>IF(A10=A11,"",IF(SD!$C$41="Match Vertical Bars ",X11,IF(SD!$C$41=SD!$V$3,BW11,SD!$C$41)))</f>
        <v>12</v>
      </c>
      <c r="CA11" cm="1">
        <f t="array" ref="CA11">IF(A10=A11,"",IF(SD!$C$44="No T-Head",IF(SD!$C$42=SD!$Q$3,VLOOKUP(BX11,S90Range,3,FALSE),LEFT(SD!$C$42,FIND("-",SD!$C$42)-1)+(RIGHT(SD!$C$42,LEN(SD!$C$42)-FIND("-",SD!$C$42))/12)),IF(SD!$C$44="T-Head",_xlfn._xlws.FILTER(THead,(TCName=SD!$C$8)*(TSize=BX11)),IF(SD!$C$44="Level Wise",_xlfn.LET(_xlpm.result,_xlfn.XLOOKUP(B11,VDLevel,VDLevelStatus,"No"),IF(_xlpm.result="Yes",_xlfn._xlws.FILTER(THead,(TCName=SD!$C$8)*(TSize=BX11)),IF(SD!$C$42=SD!$Q$3,VLOOKUP(BX11,S90Range,3,FALSE),LEFT(SD!$C$42,FIND("-",SD!$C$42)-1)+(RIGHT(SD!$C$42,LEN(SD!$C$42)-FIND("-", SD!$C$42))/12)))),IF(SD!$C$44="BarSize Wise",_xlfn.LET(_xlpm.result,_xlfn.XLOOKUP(BX11,VDBarSize,VDBarSizeStatus,"No"),IF(_xlpm.result="Yes",_xlfn._xlws.FILTER(THead,(TCName=SD!$C$8)*(TSize=BX11)),IF(SD!$C$42=SD!$Q$3,VLOOKUP(BX11,S90Range,3,FALSE),LEFT(SD!$C$42,FIND("-",SD!$C$42)-1)+(RIGHT(SD!$C$42,LEN(SD!$C$42)-FIND("-",SD!$C$42))/12)))), "")))))</f>
        <v>1.5833333333333335</v>
      </c>
      <c r="CB11" t="str" cm="1">
        <f t="array" ref="CB11">_xlfn.LET(_xlpm.GRR,IF(AND(SD!$C$19=SD!$H$2,Grade!$G$1="Per level"),VLOOKUP(B11,Grade!$E$1:$F$200,2,FALSE),IF(AND(SD!$C$19=SD!$H$2,Grade!$G$1="Per Bar Size"),VLOOKUP(BX11,Grade!$B$1:$C$12,2,0),SD!$C$19)),_xlpm.is_coupler, K11="Coupler",_xlpm.condition1, SD!$C$43=SD!$W$2,_xlpm.data_j2_empty, Data!$J11="",_xlpm.lookup_table, IF(SD!$C$11="Create", Lap!$A$3:$BF$14, IF(SD!$C$11="Per Uploaded File", Lap!$A$19:$BF$30, "")),_xlpm.row_match, MATCH(BX11, Lap!$A$3:$A$14, 0),_xlpm.grade_offset, IF(IFERROR(FIND("Grade 60",_xlpm.GRR), 0) &gt; 0, 0, IF(IFERROR(FIND("Grade 80",_xlpm.GRR), 0), 1, IF(IFERROR(FIND("Grade 75",_xlpm.GRR), 0), 2, ""))),_xlpm.col_match, MATCH(VALUE(D11), Lap!$A$3:$BF$3, 0) + _xlpm.grade_offset,_xlpm.index_result, IFERROR(INDEX(_xlpm.lookup_table, _xlpm.row_match, _xlpm.col_match), Data!$J11),_xlpm.result_if_condition1, IF(_xlpm.data_j2_empty, _xlpm.index_result, Data!$J11),IF(_xlpm.is_coupler, 0, IF(_xlpm.condition1, _xlpm.result_if_condition1, SD!$C$43)))</f>
        <v>4-6</v>
      </c>
      <c r="CC11" s="24">
        <f t="shared" si="11"/>
        <v>4.5</v>
      </c>
      <c r="CD11">
        <f t="shared" si="12"/>
        <v>9.0833333333333339</v>
      </c>
      <c r="CE11" t="str" cm="1">
        <f t="array" ref="CE11">IF(BY11="","",_xlfn._xlws.FILTER(SAC,(CName=SD!$C$8)*(EName="Vert Dowels")))</f>
        <v>2200 CD</v>
      </c>
      <c r="CF11" t="str" cm="1">
        <f t="array" ref="CF11">IFERROR(IF(BY11="","",IF(K11="Coupler",_xlfn._xlws.FILTER(CCoupler,(CCName=SD!$C$8)*(CBSize=IF(A10=A11,W10&amp;W11,BX11&amp;W11))*(CCMFM="Male")),"")),"N/A")</f>
        <v/>
      </c>
      <c r="CG11" t="str">
        <f t="shared" si="13"/>
        <v/>
      </c>
      <c r="CH11" t="str">
        <f t="shared" si="14"/>
        <v/>
      </c>
      <c r="CI11" t="str">
        <f>_xlfn.LET(_xlpm.u3_value, U12,_xlpm.hyphen_pos,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K12="Coupler",_xlpm.coupler_value, IF(_xlpm.is_coupler, 0, _xlpm.calculated_value),_xlpm.final_value, _xlpm.calculated_value + SD!$E$13 + _xlpm.coupler_value,IF(CG11="", "", _xlpm.final_value))</f>
        <v/>
      </c>
      <c r="CJ11" t="str" cm="1">
        <f t="array" ref="CJ11">IF(CG11="","",_xlfn._xlws.FILTER(SAC,(CName=SD!$C$8)*(EName="Loose Dowels")))</f>
        <v/>
      </c>
      <c r="CK11" t="str" cm="1">
        <f t="array" ref="CK11">IFERROR(IF(CG11="","",IF(K12="Coupler",_xlfn._xlws.FILTER(CCoupler,(CCName=SD!$C$8)*(CBSize=IF(A11=A12,W11&amp;W12,""))*(CCMFM="Male")),"")),"N/A")</f>
        <v/>
      </c>
      <c r="CL11">
        <f>IFERROR(IF(AM11="Spiral","",IF(A10=A11,"",IF(SD!$C$37=0,"",SD!$C$37))),"")</f>
        <v>3</v>
      </c>
      <c r="CN11">
        <f>IF(AM11="Spiral","",IFERROR(IF(SD!$C$36=0,"",SD!$C$36),""))</f>
        <v>5</v>
      </c>
      <c r="CP11">
        <f>IFERROR(IF(SD!$C$42=SD!$Q$3,'Take-off'!CA11,""),"")</f>
        <v>1.5833333333333335</v>
      </c>
      <c r="CR11">
        <f>IFERROR(IF(SD!$C$22=SD!$U$2,W11,SD!$C$22),"")</f>
        <v>0</v>
      </c>
      <c r="CS11" t="str" cm="1">
        <f t="array" ref="CS11">_xlfn.LET(_xlpm.GR,IF(AND(SD!$C$19=SD!$H$2,Grade!$G$1="Per level"),VLOOKUP(B11,Grade!$E$1:$F$200,2,FALSE),IF(AND(SD!$C$19=SD!$H$2,Grade!$G$1="Per Bar Size"),VLOOKUP(CR11,Grade!$B$1:$C$12,2,0),SD!$C$19)),IF(SD!$C$20=SD!$R$4,IF(A12=A11,"",INDEX(IF(_xlpm.GR=SD!$H$3,A615GR60,IF(_xlpm.GR=SD!$H$4,A615GR75,IF(_xlpm.GR=SD!$H$5,A615GR80,IF(_xlpm.GR=SD!H15,A615GR100,IF(_xlpm.GR=SD!$H$7,A706GR60,IF(_xlpm.GR=SD!$H$8,A706GR80)))))), MATCH(1, (BSize=CR11)*(BCName=SD!$C$8), 0))),""))</f>
        <v/>
      </c>
      <c r="CT11">
        <f>IF(A12=A11,"",IF(SD!$C$23="Match Vertical Bars ",X11,SD!$C$23))</f>
        <v>0</v>
      </c>
      <c r="CU11" t="str" cm="1">
        <f t="array" ref="CU11">IF(A12=A11,"",IF(SD!$C$20="Top dowels",IF(SD!$E$25="No T-Head",IF(SD!$C$24=SD!$Q$3,VLOOKUP(CR11,S90Range,3,FALSE),LEFT(SD!$C$24,FIND("-",SD!$C$24)-1)+(RIGHT(SD!$C$24,LEN(SD!$C$24)-FIND("-",SD!$C$24))/12)),IF(SD!$E$25="T-Head",_xlfn._xlws.FILTER(THead,(TCName=SD!$C$8)*(TSize=CR11)),IF(SD!$E$25="Level Wise",_xlfn.LET(_xlpm.result,_xlfn.XLOOKUP(B11,TDLevel,TDLevelStatus,"No"),IF(_xlpm.result="Yes",_xlfn._xlws.FILTER(THead,(TCName=SD!$C$8)*(TSize=CR11)),IF(SD!$C$24=SD!$Q$3,VLOOKUP(CR11,S90Range,3,FALSE),LEFT(SD!$C$24,FIND("-",SD!$C$24)-1)+(RIGHT(SD!$C$24,LEN(SD!$C$24)-FIND("-", SD!$C$24))/12)))),IF(SD!$E$25="BarSize Wise",_xlfn.LET(_xlpm.result,_xlfn.XLOOKUP(CR11,TDBarSize,TDBarSizeStatus,"No"),IF(_xlpm.result="Yes",_xlfn._xlws.FILTER(THead,(TCName=SD!$C$8)*(TSize=CR11)),IF(SD!$C$24=SD!$Q$3,VLOOKUP(CR11,S90Range,3,FALSE),LEFT(SD!$C$24,FIND("-",SD!$C$24)-1)+(RIGHT(SD!$C$24,LEN(SD!$C$24)-FIND("-",SD!$C$24))/12)))), "")))),""))</f>
        <v/>
      </c>
      <c r="CV11" t="str">
        <f>_xlfn.LET(_xlpm.GRR,IF(AND(SD!$C$19=SD!$H$2,Grade!$G$1="Per level"),VLOOKUP(B11,Grade!$E$1:$F$200,2,FALSE),IF(AND(SD!$C$19=SD!$H$2,Grade!$G$1="Per Bar Size"),VLOOKUP(CR11,Grade!$B$1:$C$12,2,0),SD!$C$19)),IF(SD!$C$25=SD!$W$2,IF(Data!$J11="",IFERROR(INDEX(IF(SD!$C$11="Create",Lap!$A$3:$BF$14,IF(SD!$C$11="Per Uploaded File",Lap!$A$19:$BF$30,"")),MATCH(CR11,Lap!$A$3:$A$14,0),MATCH(VALUE(D11),Lap!$A$3:$BF$3,0)+IF(IFERROR(FIND("Grade 60",_xlpm.GRR),0)&gt;0,0,IF(IFERROR(FIND("Grade 80",_xlpm.GRR),0),1,IF(IFERROR(FIND("Grade 75",_xlpm.GRR),0),2,"")))),""),Data!J11),SD!$C$43))</f>
        <v>Match Lap</v>
      </c>
      <c r="CW11">
        <f t="shared" si="15"/>
        <v>0</v>
      </c>
      <c r="CX11">
        <f t="shared" si="16"/>
        <v>0</v>
      </c>
      <c r="CY11" t="str">
        <f t="shared" si="17"/>
        <v/>
      </c>
      <c r="DA11">
        <f t="shared" si="18"/>
        <v>18</v>
      </c>
      <c r="DB11" t="str">
        <f t="shared" si="19"/>
        <v>19-7</v>
      </c>
      <c r="DC11" s="24">
        <f t="shared" si="20"/>
        <v>19.583333333333332</v>
      </c>
      <c r="DD11">
        <f t="shared" si="21"/>
        <v>19.583333333333332</v>
      </c>
      <c r="DE11" t="s">
        <v>733</v>
      </c>
      <c r="DF11" t="s">
        <v>67</v>
      </c>
      <c r="DG11" t="str">
        <f>VLOOKUP(W11,'Level Wise PSI'!$F$2:$G$12,2,FALSE)</f>
        <v>Double Lift</v>
      </c>
      <c r="DI11" t="str" cm="1">
        <f t="array" ref="DI11">_xlfn.LET(_xlpm.Coup,IFERROR(IF(BY11="","",IF(K11="Coupler",_xlfn._xlws.FILTER(CCFCoupler,(CCName=SD!$C$8)*(CBSize=IF(A10=A11,W10&amp;W11,BX11&amp;W11))),"")),"N/A"),IF(_xlpm.Coup=0,"",_xlpm.Coup))</f>
        <v/>
      </c>
      <c r="DJ11" t="str" cm="1">
        <f t="array" ref="DJ11">_xlfn.LET(_xlpm.Coup3,IFERROR(IF(CG11="","",IF(K12="Coupler",_xlfn._xlws.FILTER(CCFCoupler,(CCName=SD!$C$8)*(CBSize=IF(A11=A12,W11&amp;W12,""))),"")),"N/A"),IF(_xlpm.Coup3=0,"",_xlpm.Coup3))</f>
        <v/>
      </c>
      <c r="DK11" t="str" cm="1">
        <f t="array" ref="DK11">_xlfn.LET(_xlpm.Coup2,IFERROR(IF(A11&lt;&gt;A12,"",IF(DF11="No Lap","",IF(K12="Coupler",_xlfn._xlws.FILTER(CCFCoupler,(CCName=SD!$C$8)*(CBSize=IF(A10=A11,W11&amp;W12,W11&amp;W11))),""))),"N/A"),IF(_xlpm.Coup2=0,"",_xlpm.Coup2))</f>
        <v/>
      </c>
      <c r="DM11" t="str">
        <f>IF(AM11="Spiral","",IF(SD!$C$31=SD!$Y$3,SD!$E$32*2,""))</f>
        <v/>
      </c>
      <c r="DO11" s="24">
        <f t="shared" si="22"/>
        <v>2</v>
      </c>
      <c r="DQ11" t="str">
        <f t="shared" si="23"/>
        <v>Lig</v>
      </c>
      <c r="DR11" t="str">
        <f>IF(AM11="Spiral",((Y11-(SD!$E$12*2))/12),"")</f>
        <v/>
      </c>
      <c r="DS11" t="str">
        <f t="shared" si="24"/>
        <v/>
      </c>
      <c r="DT11" t="str">
        <f t="shared" si="25"/>
        <v/>
      </c>
      <c r="DU11" t="str">
        <f t="shared" si="26"/>
        <v/>
      </c>
    </row>
    <row r="12" spans="1:125" x14ac:dyDescent="0.25">
      <c r="A12">
        <v>19</v>
      </c>
      <c r="B12" t="s">
        <v>664</v>
      </c>
      <c r="C12" s="15">
        <v>2429</v>
      </c>
      <c r="D12" s="15">
        <v>10000</v>
      </c>
      <c r="E12" s="15" t="s">
        <v>702</v>
      </c>
      <c r="F12" s="15" t="s">
        <v>787</v>
      </c>
      <c r="G12" t="s">
        <v>726</v>
      </c>
      <c r="H12" s="15" t="s">
        <v>789</v>
      </c>
      <c r="I12" t="s">
        <v>727</v>
      </c>
      <c r="J12" t="str">
        <f>IF(AND(SD!$C$19=SD!$H$2,Grade!$G$1="Per level"),VLOOKUP(B12,Grade!$E$1:$F$200,2,FALSE),IF(AND(SD!$C$19=SD!$H$2,Grade!$G$1="Per Bar Size"),VLOOKUP(W12,Grade!$B$1:$C$12,2,0),SD!$C$19))</f>
        <v>A615 Grade 60</v>
      </c>
      <c r="K12" t="s">
        <v>67</v>
      </c>
      <c r="L12" t="str">
        <f>IFERROR(IF(A12&lt;&gt;A13,"",IF(DF12="No Lap","",IF(K13="Lap",U12,IF(K13="Coupler",_xlfn._xlws.FILTER(CCoupler,(CCName=SD!$C$8)*(CBSize=IF(A11=A12,W12&amp;W13,W12&amp;W12))*(CCMFM="Male")),"")))),"N/A")</f>
        <v/>
      </c>
      <c r="M12" t="str">
        <f t="shared" si="0"/>
        <v/>
      </c>
      <c r="N12" t="s">
        <v>719</v>
      </c>
      <c r="O12" t="s">
        <v>720</v>
      </c>
      <c r="P12" t="s">
        <v>719</v>
      </c>
      <c r="Q12" t="str">
        <f>IF(AND(SD!$C$29=SD!$P$2,Grade!$O$1="Per level"),VLOOKUP(B12,Grade!$M$1:$N$200,2,FALSE),IF(AND(SD!$C$29=SD!$P$2,Grade!$O$1="Per Bar Size"),VLOOKUP(LEFT(N12,FIND("@",N12)-2),Grade!$J$1:$K$12,2,0),SD!$C$29))</f>
        <v>A615 Grade 60</v>
      </c>
      <c r="R12" t="s">
        <v>728</v>
      </c>
      <c r="S12" s="57">
        <v>12</v>
      </c>
      <c r="U12" t="str">
        <f>IF(Data!$J12="",IFERROR(INDEX(IF(SD!$C$11="Create",Lap!$A$3:$BF$14,IF(SD!$C$11="Per Uploaded File",Lap!$A$19:$BF$30,"")),MATCH(W12,Lap!$A$3:$A$14,0),MATCH(VALUE(D12),Lap!$A$3:$BF$3,0)+IF(IFERROR(FIND("Grade 60",J12),0)&gt;0,0,IF(IFERROR(FIND("Grade 80",J12),0),1,IF(IFERROR(FIND("Grade 75",J12),0),2,"")))),""),Data!J12)</f>
        <v>4-6</v>
      </c>
      <c r="W12" t="s">
        <v>164</v>
      </c>
      <c r="X12">
        <v>12</v>
      </c>
      <c r="Y12" t="str">
        <f t="shared" si="1"/>
        <v xml:space="preserve">24 </v>
      </c>
      <c r="Z12" t="str">
        <f t="shared" si="2"/>
        <v xml:space="preserve"> 36</v>
      </c>
      <c r="AA12" s="24">
        <f t="shared" si="3"/>
        <v>21.583333333333332</v>
      </c>
      <c r="BB12" t="e" cm="1">
        <f t="array" ref="BB12">_xlfn.LET(_xlpm.PartF,(_xlfn.LET(_xlpm.grade, Q12,_xlpm.gradeRange, IF(_xlpm.grade=SD!$H$3, A615GR60, IF(_xlpm.grade=SD!$H$4, A615GR75, IF(_xlpm.grade=SD!$H$5, A615GR80, IF(_xlpm.grade=SD!$H$6, A615GR100, IF(_xlpm.grade=SD!$H$7, A706GR60, IF(_xlpm.grade=SD!$H$8, A706GR80)))))),_xlpm.matchValue, MATCH(1, (SD!$AW:$AW=AS12)*(SD!$AX:$AX=SD!$C$8), 0),INDEX(_xlpm.gradeRange, _xlpm.matchValue))),IF(AM12="Spiral",CONCATENATE("SP",_xlpm.PartF),_xlpm.PartF))</f>
        <v>#N/A</v>
      </c>
      <c r="BC12" cm="1">
        <f t="array" ref="BC12">_xlfn.LET(_xlpm.leftPart, LEFT(O12, FIND("@", O12) - 2),_xlpm.grade,Q12,_xlpm.gradeRange,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" cm="1">
        <f t="array" ref="BD12">_xlfn.LET(_xlpm.leftPart, LEFT(P12, FIND("@", P12) - 2),_xlpm.grade, Q12,_xlpm.gradeRange,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">
        <f t="shared" si="4"/>
        <v>3</v>
      </c>
      <c r="BF12">
        <f>IF(SD!$C$32=SD!$I$2,BE12,IF(SD!$C$32=SD!$I$3,DO12,IF(SD!$C$32=SD!$I$5,BA12,IF(SD!$C$32=SD!$I$6,(LEFT(SD!$C$35,FIND("-",SD!$C$35)-1)+RIGHT(SD!$C$35,LEN(SD!$C$35)-FIND("-",SD!$C$35))/12),IF(SD!$C$32=SD!$I$4,(AU12-(BG12+BH12)))))))</f>
        <v>0</v>
      </c>
      <c r="BG12">
        <f>IF(SD!$C$33=SD!$I$2,BE12,IF(SD!$C$33=SD!$I$3,DO12,IF(SD!$C$33=SD!$I$5,BA12,IF(SD!$C$33=SD!$I$6,(LEFT(SD!$C$35,FIND("-",SD!$C$35)-1)+RIGHT(SD!$C$35,LEN(SD!$C$35)-FIND("-",SD!$C$35))/12),IF(SD!$C$33=SD!$I$4,(AU12-(BF12+BH12)))))))</f>
        <v>-1</v>
      </c>
      <c r="BH12">
        <f>IF(SD!$C$34=SD!$I$2,BE12,IF(SD!$C$34=SD!$I$3,DO12,IF(SD!$C$34=SD!$I$5,BA12,IF(SD!$C$34=SD!$I$6,(LEFT(SD!$C$35,FIND("-",SD!$C$35)-1)+RIGHT(SD!$C$35,LEN(SD!$C$35)-FIND("-",SD!$C$35))/12),IF(SD!$C$34=SD!$I$4,(AU12-(BF12+BG12)))))))</f>
        <v>1</v>
      </c>
      <c r="BJ12">
        <f>IF(AM12="Spiral","1",MAX(ROUNDUP(IF(SD!$C$32="",AT12,BF12/(LEFT(RIGHT(N12,LEN(N12)-FIND("@",N12)),LEN(RIGHT(N12,LEN(N12)-FIND("@",N12)))-1)/12)+1),0),0))</f>
        <v>1</v>
      </c>
      <c r="BK12">
        <f>MAX(ROUNDUP(IF(SD!$C$33="","",BG12/(LEFT(RIGHT(O12,LEN(O12)-FIND("@",O12)),LEN(RIGHT(O12,LEN(O12)-FIND("@",O12)))-1)/12)+1),0),0)</f>
        <v>0</v>
      </c>
      <c r="BL12">
        <f>MAX(ROUNDUP(IF(SD!$C$34="","",BH12/(LEFT(RIGHT(P12,LEN(P12)-FIND("@",P12)),LEN(RIGHT(P12,LEN(P12)-FIND("@",P12)))-1)/12)+1),0),0)</f>
        <v>3</v>
      </c>
      <c r="BN12" t="e">
        <f t="shared" si="5"/>
        <v>#N/A</v>
      </c>
      <c r="BO12" t="e">
        <f t="shared" si="6"/>
        <v>#N/A</v>
      </c>
      <c r="BP12" t="e">
        <f t="shared" si="7"/>
        <v>#N/A</v>
      </c>
      <c r="BQ12" s="24" t="e">
        <f>IF(AM12=TRUE,(((Y12-(SD!$E$12*2))*3.14159265359)+BN12+BO12+BP12)/12+AL12,SUM(AF12:AG12,BN12,BO12,BP12,AO12,AQ12)/12)</f>
        <v>#N/A</v>
      </c>
      <c r="BR12" t="e">
        <f t="shared" si="8"/>
        <v>#N/A</v>
      </c>
      <c r="BS12" t="e">
        <f t="shared" si="9"/>
        <v>#N/A</v>
      </c>
      <c r="BT12" t="e">
        <f t="shared" si="10"/>
        <v>#N/A</v>
      </c>
      <c r="BU12" s="24" t="e">
        <f>IF(AM12=TRUE,(((Y12-(SD!$E$12*2))*3.14159265359)+BR12+BS12+BT12)/12+AL12,SUM(AF12:AG12,BR12,BS12,BT12,AO12,AQ12)/12)</f>
        <v>#N/A</v>
      </c>
      <c r="BW12" t="str">
        <f>IFERROR(LEFT(Data!L12,FIND(" -",Data!L12)-1),"")</f>
        <v/>
      </c>
      <c r="BX12" t="str">
        <f>IFERROR(IF(SD!$C$40=SD!$U$2,W12,IF(SD!$C$40=SD!$U$3,RIGHT(Data!L12,LEN(Data!L12)-(FIND("-",Data!L12)+1)),SD!$C$40)),"")</f>
        <v>#9</v>
      </c>
      <c r="BY12" cm="1">
        <f t="array" ref="BY12">IFERROR(_xlfn.LET(_xlpm.GRR,IF(AND(SD!$C$19=SD!$H$2,Grade!$G$1="Per level"),VLOOKUP(B12,Grade!$E$1:$F$200,2,FALSE),IF(AND(SD!$C$19=SD!$H$2,Grade!$G$1="Per Bar Size"),VLOOKUP(BX12,Grade!$B$1:$C$12,2,0),SD!$C$19)),_xlpm.is_equal, A11=A12,_xlpm.grade_range, IF(_xlpm.GRR=SD!$H$3, A615GR60,IF(_xlpm.GRR=SD!$H$4, A615GR75,IF(_xlpm.GRR=SD!$H$5, A615GR80,IF(_xlpm.GRR=SD!H16, A615GR100,IF(_xlpm.GRR=SD!$H$7, A706GR60,IF(_xlpm.GRR=SD!$H$8, A706GR80)))))),_xlpm.match_result, MATCH(1, (BSize=BX12)*(BCName=SD!$C$8), 0),_xlpm.final_result, INDEX(_xlpm.grade_range, _xlpm.match_result),IF(_xlpm.is_equal, "", _xlpm.final_result)),"")</f>
        <v>9</v>
      </c>
      <c r="BZ12">
        <f>IF(A11=A12,"",IF(SD!$C$41="Match Vertical Bars ",X12,IF(SD!$C$41=SD!$V$3,BW12,SD!$C$41)))</f>
        <v>12</v>
      </c>
      <c r="CA12" cm="1">
        <f t="array" ref="CA12">IF(A11=A12,"",IF(SD!$C$44="No T-Head",IF(SD!$C$42=SD!$Q$3,VLOOKUP(BX12,S90Range,3,FALSE),LEFT(SD!$C$42,FIND("-",SD!$C$42)-1)+(RIGHT(SD!$C$42,LEN(SD!$C$42)-FIND("-",SD!$C$42))/12)),IF(SD!$C$44="T-Head",_xlfn._xlws.FILTER(THead,(TCName=SD!$C$8)*(TSize=BX12)),IF(SD!$C$44="Level Wise",_xlfn.LET(_xlpm.result,_xlfn.XLOOKUP(B12,VDLevel,VDLevelStatus,"No"),IF(_xlpm.result="Yes",_xlfn._xlws.FILTER(THead,(TCName=SD!$C$8)*(TSize=BX12)),IF(SD!$C$42=SD!$Q$3,VLOOKUP(BX12,S90Range,3,FALSE),LEFT(SD!$C$42,FIND("-",SD!$C$42)-1)+(RIGHT(SD!$C$42,LEN(SD!$C$42)-FIND("-", SD!$C$42))/12)))),IF(SD!$C$44="BarSize Wise",_xlfn.LET(_xlpm.result,_xlfn.XLOOKUP(BX12,VDBarSize,VDBarSizeStatus,"No"),IF(_xlpm.result="Yes",_xlfn._xlws.FILTER(THead,(TCName=SD!$C$8)*(TSize=BX12)),IF(SD!$C$42=SD!$Q$3,VLOOKUP(BX12,S90Range,3,FALSE),LEFT(SD!$C$42,FIND("-",SD!$C$42)-1)+(RIGHT(SD!$C$42,LEN(SD!$C$42)-FIND("-",SD!$C$42))/12)))), "")))))</f>
        <v>1.5833333333333335</v>
      </c>
      <c r="CB12" t="str" cm="1">
        <f t="array" ref="CB12">_xlfn.LET(_xlpm.GRR,IF(AND(SD!$C$19=SD!$H$2,Grade!$G$1="Per level"),VLOOKUP(B12,Grade!$E$1:$F$200,2,FALSE),IF(AND(SD!$C$19=SD!$H$2,Grade!$G$1="Per Bar Size"),VLOOKUP(BX12,Grade!$B$1:$C$12,2,0),SD!$C$19)),_xlpm.is_coupler, K12="Coupler",_xlpm.condition1, SD!$C$43=SD!$W$2,_xlpm.data_j2_empty, Data!$J12="",_xlpm.lookup_table, IF(SD!$C$11="Create", Lap!$A$3:$BF$14, IF(SD!$C$11="Per Uploaded File", Lap!$A$19:$BF$30, "")),_xlpm.row_match, MATCH(BX12, Lap!$A$3:$A$14, 0),_xlpm.grade_offset, IF(IFERROR(FIND("Grade 60",_xlpm.GRR), 0) &gt; 0, 0, IF(IFERROR(FIND("Grade 80",_xlpm.GRR), 0), 1, IF(IFERROR(FIND("Grade 75",_xlpm.GRR), 0), 2, ""))),_xlpm.col_match, MATCH(VALUE(D12), Lap!$A$3:$BF$3, 0) + _xlpm.grade_offset,_xlpm.index_result, IFERROR(INDEX(_xlpm.lookup_table, _xlpm.row_match, _xlpm.col_match), Data!$J12),_xlpm.result_if_condition1, IF(_xlpm.data_j2_empty, _xlpm.index_result, Data!$J12),IF(_xlpm.is_coupler, 0, IF(_xlpm.condition1, _xlpm.result_if_condition1, SD!$C$43)))</f>
        <v>4-6</v>
      </c>
      <c r="CC12" s="24">
        <f t="shared" si="11"/>
        <v>4.5</v>
      </c>
      <c r="CD12">
        <f t="shared" si="12"/>
        <v>10.083333333333334</v>
      </c>
      <c r="CE12" t="str" cm="1">
        <f t="array" ref="CE12">IF(BY12="","",_xlfn._xlws.FILTER(SAC,(CName=SD!$C$8)*(EName="Vert Dowels")))</f>
        <v>2200 CD</v>
      </c>
      <c r="CF12" t="str" cm="1">
        <f t="array" ref="CF12">IFERROR(IF(BY12="","",IF(K12="Coupler",_xlfn._xlws.FILTER(CCoupler,(CCName=SD!$C$8)*(CBSize=IF(A11=A12,W11&amp;W12,BX12&amp;W12))*(CCMFM="Male")),"")),"N/A")</f>
        <v/>
      </c>
      <c r="CG12" t="str">
        <f t="shared" si="13"/>
        <v/>
      </c>
      <c r="CH12" t="str">
        <f t="shared" si="14"/>
        <v/>
      </c>
      <c r="CI12" t="str">
        <f>_xlfn.LET(_xlpm.u3_value, U13,_xlpm.hyphen_pos,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K13="Coupler",_xlpm.coupler_value, IF(_xlpm.is_coupler, 0, _xlpm.calculated_value),_xlpm.final_value, _xlpm.calculated_value + SD!$E$13 + _xlpm.coupler_value,IF(CG12="", "", _xlpm.final_value))</f>
        <v/>
      </c>
      <c r="CJ12" t="str" cm="1">
        <f t="array" ref="CJ12">IF(CG12="","",_xlfn._xlws.FILTER(SAC,(CName=SD!$C$8)*(EName="Loose Dowels")))</f>
        <v/>
      </c>
      <c r="CK12" t="str" cm="1">
        <f t="array" ref="CK12">IFERROR(IF(CG12="","",IF(K13="Coupler",_xlfn._xlws.FILTER(CCoupler,(CCName=SD!$C$8)*(CBSize=IF(A12=A13,W12&amp;W13,""))*(CCMFM="Male")),"")),"N/A")</f>
        <v/>
      </c>
      <c r="CL12">
        <f>IFERROR(IF(AM12="Spiral","",IF(A11=A12,"",IF(SD!$C$37=0,"",SD!$C$37))),"")</f>
        <v>3</v>
      </c>
      <c r="CN12">
        <f>IF(AM12="Spiral","",IFERROR(IF(SD!$C$36=0,"",SD!$C$36),""))</f>
        <v>5</v>
      </c>
      <c r="CP12">
        <f>IFERROR(IF(SD!$C$42=SD!$Q$3,'Take-off'!CA12,""),"")</f>
        <v>1.5833333333333335</v>
      </c>
      <c r="CR12">
        <f>IFERROR(IF(SD!$C$22=SD!$U$2,W12,SD!$C$22),"")</f>
        <v>0</v>
      </c>
      <c r="CS12" t="str" cm="1">
        <f t="array" ref="CS12">_xlfn.LET(_xlpm.GR,IF(AND(SD!$C$19=SD!$H$2,Grade!$G$1="Per level"),VLOOKUP(B12,Grade!$E$1:$F$200,2,FALSE),IF(AND(SD!$C$19=SD!$H$2,Grade!$G$1="Per Bar Size"),VLOOKUP(CR12,Grade!$B$1:$C$12,2,0),SD!$C$19)),IF(SD!$C$20=SD!$R$4,IF(A13=A12,"",INDEX(IF(_xlpm.GR=SD!$H$3,A615GR60,IF(_xlpm.GR=SD!$H$4,A615GR75,IF(_xlpm.GR=SD!$H$5,A615GR80,IF(_xlpm.GR=SD!H16,A615GR100,IF(_xlpm.GR=SD!$H$7,A706GR60,IF(_xlpm.GR=SD!$H$8,A706GR80)))))), MATCH(1, (BSize=CR12)*(BCName=SD!$C$8), 0))),""))</f>
        <v/>
      </c>
      <c r="CT12">
        <f>IF(A13=A12,"",IF(SD!$C$23="Match Vertical Bars ",X12,SD!$C$23))</f>
        <v>0</v>
      </c>
      <c r="CU12" t="str" cm="1">
        <f t="array" ref="CU12">IF(A13=A12,"",IF(SD!$C$20="Top dowels",IF(SD!$E$25="No T-Head",IF(SD!$C$24=SD!$Q$3,VLOOKUP(CR12,S90Range,3,FALSE),LEFT(SD!$C$24,FIND("-",SD!$C$24)-1)+(RIGHT(SD!$C$24,LEN(SD!$C$24)-FIND("-",SD!$C$24))/12)),IF(SD!$E$25="T-Head",_xlfn._xlws.FILTER(THead,(TCName=SD!$C$8)*(TSize=CR12)),IF(SD!$E$25="Level Wise",_xlfn.LET(_xlpm.result,_xlfn.XLOOKUP(B12,TDLevel,TDLevelStatus,"No"),IF(_xlpm.result="Yes",_xlfn._xlws.FILTER(THead,(TCName=SD!$C$8)*(TSize=CR12)),IF(SD!$C$24=SD!$Q$3,VLOOKUP(CR12,S90Range,3,FALSE),LEFT(SD!$C$24,FIND("-",SD!$C$24)-1)+(RIGHT(SD!$C$24,LEN(SD!$C$24)-FIND("-", SD!$C$24))/12)))),IF(SD!$E$25="BarSize Wise",_xlfn.LET(_xlpm.result,_xlfn.XLOOKUP(CR12,TDBarSize,TDBarSizeStatus,"No"),IF(_xlpm.result="Yes",_xlfn._xlws.FILTER(THead,(TCName=SD!$C$8)*(TSize=CR12)),IF(SD!$C$24=SD!$Q$3,VLOOKUP(CR12,S90Range,3,FALSE),LEFT(SD!$C$24,FIND("-",SD!$C$24)-1)+(RIGHT(SD!$C$24,LEN(SD!$C$24)-FIND("-",SD!$C$24))/12)))), "")))),""))</f>
        <v/>
      </c>
      <c r="CV12" t="str">
        <f>_xlfn.LET(_xlpm.GRR,IF(AND(SD!$C$19=SD!$H$2,Grade!$G$1="Per level"),VLOOKUP(B12,Grade!$E$1:$F$200,2,FALSE),IF(AND(SD!$C$19=SD!$H$2,Grade!$G$1="Per Bar Size"),VLOOKUP(CR12,Grade!$B$1:$C$12,2,0),SD!$C$19)),IF(SD!$C$25=SD!$W$2,IF(Data!$J12="",IFERROR(INDEX(IF(SD!$C$11="Create",Lap!$A$3:$BF$14,IF(SD!$C$11="Per Uploaded File",Lap!$A$19:$BF$30,"")),MATCH(CR12,Lap!$A$3:$A$14,0),MATCH(VALUE(D12),Lap!$A$3:$BF$3,0)+IF(IFERROR(FIND("Grade 60",_xlpm.GRR),0)&gt;0,0,IF(IFERROR(FIND("Grade 80",_xlpm.GRR),0),1,IF(IFERROR(FIND("Grade 75",_xlpm.GRR),0),2,"")))),""),Data!J12),SD!$C$43))</f>
        <v>Match Lap</v>
      </c>
      <c r="CW12">
        <f t="shared" si="15"/>
        <v>0</v>
      </c>
      <c r="CX12">
        <f t="shared" si="16"/>
        <v>0</v>
      </c>
      <c r="CY12" t="str">
        <f t="shared" si="17"/>
        <v/>
      </c>
      <c r="DA12">
        <f t="shared" si="18"/>
        <v>19</v>
      </c>
      <c r="DB12" t="str">
        <f t="shared" si="19"/>
        <v>21-7</v>
      </c>
      <c r="DC12" s="24">
        <f t="shared" si="20"/>
        <v>21.583333333333332</v>
      </c>
      <c r="DD12">
        <f t="shared" si="21"/>
        <v>21.583333333333332</v>
      </c>
      <c r="DE12" t="s">
        <v>726</v>
      </c>
      <c r="DF12" t="s">
        <v>67</v>
      </c>
      <c r="DG12" t="str">
        <f>VLOOKUP(W12,'Level Wise PSI'!$F$2:$G$12,2,FALSE)</f>
        <v>Double Lift</v>
      </c>
      <c r="DI12" t="str" cm="1">
        <f t="array" ref="DI12">_xlfn.LET(_xlpm.Coup,IFERROR(IF(BY12="","",IF(K12="Coupler",_xlfn._xlws.FILTER(CCFCoupler,(CCName=SD!$C$8)*(CBSize=IF(A11=A12,W11&amp;W12,BX12&amp;W12))),"")),"N/A"),IF(_xlpm.Coup=0,"",_xlpm.Coup))</f>
        <v/>
      </c>
      <c r="DJ12" t="str" cm="1">
        <f t="array" ref="DJ12">_xlfn.LET(_xlpm.Coup3,IFERROR(IF(CG12="","",IF(K13="Coupler",_xlfn._xlws.FILTER(CCFCoupler,(CCName=SD!$C$8)*(CBSize=IF(A12=A13,W12&amp;W13,""))),"")),"N/A"),IF(_xlpm.Coup3=0,"",_xlpm.Coup3))</f>
        <v/>
      </c>
      <c r="DK12" t="str" cm="1">
        <f t="array" ref="DK12">_xlfn.LET(_xlpm.Coup2,IFERROR(IF(A12&lt;&gt;A13,"",IF(DF12="No Lap","",IF(K13="Coupler",_xlfn._xlws.FILTER(CCFCoupler,(CCName=SD!$C$8)*(CBSize=IF(A11=A12,W12&amp;W13,W12&amp;W12))),""))),"N/A"),IF(_xlpm.Coup2=0,"",_xlpm.Coup2))</f>
        <v/>
      </c>
      <c r="DM12" t="str">
        <f>IF(AM12="Spiral","",IF(SD!$C$31=SD!$Y$3,SD!$E$32*2,""))</f>
        <v/>
      </c>
      <c r="DO12" s="24">
        <f t="shared" si="22"/>
        <v>3</v>
      </c>
      <c r="DQ12" t="str">
        <f t="shared" si="23"/>
        <v>Lig</v>
      </c>
      <c r="DR12" t="str">
        <f>IF(AM12="Spiral",((Y12-(SD!$E$12*2))/12),"")</f>
        <v/>
      </c>
      <c r="DS12" t="str">
        <f t="shared" si="24"/>
        <v/>
      </c>
      <c r="DT12" t="str">
        <f t="shared" si="25"/>
        <v/>
      </c>
      <c r="DU12" t="str">
        <f t="shared" si="26"/>
        <v/>
      </c>
    </row>
    <row r="13" spans="1:125" x14ac:dyDescent="0.25">
      <c r="A13">
        <v>2</v>
      </c>
      <c r="B13" t="s">
        <v>664</v>
      </c>
      <c r="C13" s="15">
        <v>2429</v>
      </c>
      <c r="D13" s="15">
        <v>10000</v>
      </c>
      <c r="E13" t="str">
        <f>IF(B13=Level!$A$2,SD!$C$14,SD!$C$13)</f>
        <v>3-0</v>
      </c>
      <c r="F13" s="15" t="s">
        <v>787</v>
      </c>
      <c r="G13" t="s">
        <v>734</v>
      </c>
      <c r="H13" s="15" t="s">
        <v>788</v>
      </c>
      <c r="I13" t="s">
        <v>735</v>
      </c>
      <c r="J13" t="str">
        <f>IF(AND(SD!$C$19=SD!$H$2,Grade!$G$1="Per level"),VLOOKUP(B13,Grade!$E$1:$F$200,2,FALSE),IF(AND(SD!$C$19=SD!$H$2,Grade!$G$1="Per Bar Size"),VLOOKUP(W13,Grade!$B$1:$C$12,2,0),SD!$C$19))</f>
        <v>A615 Grade 60</v>
      </c>
      <c r="K13" t="s">
        <v>67</v>
      </c>
      <c r="L13" t="str">
        <f>IFERROR(IF(A13&lt;&gt;A14,"",IF(DF13="No Lap","",IF(K14="Lap",U13,IF(K14="Coupler",_xlfn._xlws.FILTER(CCoupler,(CCName=SD!$C$8)*(CBSize=IF(A12=A13,W13&amp;W14,W13&amp;W13))*(CCMFM="Male")),"")))),"N/A")</f>
        <v/>
      </c>
      <c r="M13" t="str">
        <f t="shared" si="0"/>
        <v/>
      </c>
      <c r="N13" t="s">
        <v>719</v>
      </c>
      <c r="O13" t="s">
        <v>720</v>
      </c>
      <c r="P13" t="s">
        <v>719</v>
      </c>
      <c r="Q13" t="str">
        <f>IF(AND(SD!$C$29=SD!$P$2,Grade!$O$1="Per level"),VLOOKUP(B13,Grade!$M$1:$N$200,2,FALSE),IF(AND(SD!$C$29=SD!$P$2,Grade!$O$1="Per Bar Size"),VLOOKUP(LEFT(N13,FIND("@",N13)-2),Grade!$J$1:$K$12,2,0),SD!$C$29))</f>
        <v>A615 Grade 60</v>
      </c>
      <c r="R13" t="s">
        <v>736</v>
      </c>
      <c r="S13" s="57">
        <v>13</v>
      </c>
      <c r="U13" t="str">
        <f>IF(Data!$J13="",IFERROR(INDEX(IF(SD!$C$11="Create",Lap!$A$3:$BF$14,IF(SD!$C$11="Per Uploaded File",Lap!$A$19:$BF$30,"")),MATCH(W13,Lap!$A$3:$A$14,0),MATCH(VALUE(D13),Lap!$A$3:$BF$3,0)+IF(IFERROR(FIND("Grade 60",J13),0)&gt;0,0,IF(IFERROR(FIND("Grade 80",J13),0),1,IF(IFERROR(FIND("Grade 75",J13),0),2,"")))),""),Data!J13)</f>
        <v>3-6</v>
      </c>
      <c r="W13" t="s">
        <v>139</v>
      </c>
      <c r="X13">
        <v>8</v>
      </c>
      <c r="Y13" t="str">
        <f t="shared" si="1"/>
        <v xml:space="preserve">16 </v>
      </c>
      <c r="Z13" t="str">
        <f t="shared" si="2"/>
        <v xml:space="preserve"> 30</v>
      </c>
      <c r="AA13" s="24">
        <f t="shared" si="3"/>
        <v>19.583333333333332</v>
      </c>
      <c r="BB13" t="e" cm="1">
        <f t="array" ref="BB13">_xlfn.LET(_xlpm.PartF,(_xlfn.LET(_xlpm.grade, Q13,_xlpm.gradeRange, IF(_xlpm.grade=SD!$H$3, A615GR60, IF(_xlpm.grade=SD!$H$4, A615GR75, IF(_xlpm.grade=SD!$H$5, A615GR80, IF(_xlpm.grade=SD!$H$6, A615GR100, IF(_xlpm.grade=SD!$H$7, A706GR60, IF(_xlpm.grade=SD!$H$8, A706GR80)))))),_xlpm.matchValue, MATCH(1, (SD!$AW:$AW=AS13)*(SD!$AX:$AX=SD!$C$8), 0),INDEX(_xlpm.gradeRange, _xlpm.matchValue))),IF(AM13="Spiral",CONCATENATE("SP",_xlpm.PartF),_xlpm.PartF))</f>
        <v>#N/A</v>
      </c>
      <c r="BC13" cm="1">
        <f t="array" ref="BC13">_xlfn.LET(_xlpm.leftPart, LEFT(O13, FIND("@", O13) - 2),_xlpm.grade,Q13,_xlpm.gradeRange,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" cm="1">
        <f t="array" ref="BD13">_xlfn.LET(_xlpm.leftPart, LEFT(P13, FIND("@", P13) - 2),_xlpm.grade, Q13,_xlpm.gradeRange,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">
        <f t="shared" si="4"/>
        <v>2.5</v>
      </c>
      <c r="BF13">
        <f>IF(SD!$C$32=SD!$I$2,BE13,IF(SD!$C$32=SD!$I$3,DO13,IF(SD!$C$32=SD!$I$5,BA13,IF(SD!$C$32=SD!$I$6,(LEFT(SD!$C$35,FIND("-",SD!$C$35)-1)+RIGHT(SD!$C$35,LEN(SD!$C$35)-FIND("-",SD!$C$35))/12),IF(SD!$C$32=SD!$I$4,(AU13-(BG13+BH13)))))))</f>
        <v>0</v>
      </c>
      <c r="BG13">
        <f>IF(SD!$C$33=SD!$I$2,BE13,IF(SD!$C$33=SD!$I$3,DO13,IF(SD!$C$33=SD!$I$5,BA13,IF(SD!$C$33=SD!$I$6,(LEFT(SD!$C$35,FIND("-",SD!$C$35)-1)+RIGHT(SD!$C$35,LEN(SD!$C$35)-FIND("-",SD!$C$35))/12),IF(SD!$C$33=SD!$I$4,(AU13-(BF13+BH13)))))))</f>
        <v>-1</v>
      </c>
      <c r="BH13">
        <f>IF(SD!$C$34=SD!$I$2,BE13,IF(SD!$C$34=SD!$I$3,DO13,IF(SD!$C$34=SD!$I$5,BA13,IF(SD!$C$34=SD!$I$6,(LEFT(SD!$C$35,FIND("-",SD!$C$35)-1)+RIGHT(SD!$C$35,LEN(SD!$C$35)-FIND("-",SD!$C$35))/12),IF(SD!$C$34=SD!$I$4,(AU13-(BF13+BG13)))))))</f>
        <v>1</v>
      </c>
      <c r="BJ13">
        <f>IF(AM13="Spiral","1",MAX(ROUNDUP(IF(SD!$C$32="",AT13,BF13/(LEFT(RIGHT(N13,LEN(N13)-FIND("@",N13)),LEN(RIGHT(N13,LEN(N13)-FIND("@",N13)))-1)/12)+1),0),0))</f>
        <v>1</v>
      </c>
      <c r="BK13">
        <f>MAX(ROUNDUP(IF(SD!$C$33="","",BG13/(LEFT(RIGHT(O13,LEN(O13)-FIND("@",O13)),LEN(RIGHT(O13,LEN(O13)-FIND("@",O13)))-1)/12)+1),0),0)</f>
        <v>0</v>
      </c>
      <c r="BL13">
        <f>MAX(ROUNDUP(IF(SD!$C$34="","",BH13/(LEFT(RIGHT(P13,LEN(P13)-FIND("@",P13)),LEN(RIGHT(P13,LEN(P13)-FIND("@",P13)))-1)/12)+1),0),0)</f>
        <v>3</v>
      </c>
      <c r="BN13" t="e">
        <f t="shared" si="5"/>
        <v>#N/A</v>
      </c>
      <c r="BO13" t="e">
        <f t="shared" si="6"/>
        <v>#N/A</v>
      </c>
      <c r="BP13" t="e">
        <f t="shared" si="7"/>
        <v>#N/A</v>
      </c>
      <c r="BQ13" s="24" t="e">
        <f>IF(AM13=TRUE,(((Y13-(SD!$E$12*2))*3.14159265359)+BN13+BO13+BP13)/12+AL13,SUM(AF13:AG13,BN13,BO13,BP13,AO13,AQ13)/12)</f>
        <v>#N/A</v>
      </c>
      <c r="BR13" t="e">
        <f t="shared" si="8"/>
        <v>#N/A</v>
      </c>
      <c r="BS13" t="e">
        <f t="shared" si="9"/>
        <v>#N/A</v>
      </c>
      <c r="BT13" t="e">
        <f t="shared" si="10"/>
        <v>#N/A</v>
      </c>
      <c r="BU13" s="24" t="e">
        <f>IF(AM13=TRUE,(((Y13-(SD!$E$12*2))*3.14159265359)+BR13+BS13+BT13)/12+AL13,SUM(AF13:AG13,BR13,BS13,BT13,AO13,AQ13)/12)</f>
        <v>#N/A</v>
      </c>
      <c r="BW13" t="str">
        <f>IFERROR(LEFT(Data!L13,FIND(" -",Data!L13)-1),"")</f>
        <v/>
      </c>
      <c r="BX13" t="str">
        <f>IFERROR(IF(SD!$C$40=SD!$U$2,W13,IF(SD!$C$40=SD!$U$3,RIGHT(Data!L13,LEN(Data!L13)-(FIND("-",Data!L13)+1)),SD!$C$40)),"")</f>
        <v>#7</v>
      </c>
      <c r="BY13" cm="1">
        <f t="array" ref="BY13">IFERROR(_xlfn.LET(_xlpm.GRR,IF(AND(SD!$C$19=SD!$H$2,Grade!$G$1="Per level"),VLOOKUP(B13,Grade!$E$1:$F$200,2,FALSE),IF(AND(SD!$C$19=SD!$H$2,Grade!$G$1="Per Bar Size"),VLOOKUP(BX13,Grade!$B$1:$C$12,2,0),SD!$C$19)),_xlpm.is_equal, A12=A13,_xlpm.grade_range, IF(_xlpm.GRR=SD!$H$3, A615GR60,IF(_xlpm.GRR=SD!$H$4, A615GR75,IF(_xlpm.GRR=SD!$H$5, A615GR80,IF(_xlpm.GRR=SD!H17, A615GR100,IF(_xlpm.GRR=SD!$H$7, A706GR60,IF(_xlpm.GRR=SD!$H$8, A706GR80)))))),_xlpm.match_result, MATCH(1, (BSize=BX13)*(BCName=SD!$C$8), 0),_xlpm.final_result, INDEX(_xlpm.grade_range, _xlpm.match_result),IF(_xlpm.is_equal, "", _xlpm.final_result)),"")</f>
        <v>7</v>
      </c>
      <c r="BZ13">
        <f>IF(A12=A13,"",IF(SD!$C$41="Match Vertical Bars ",X13,IF(SD!$C$41=SD!$V$3,BW13,SD!$C$41)))</f>
        <v>8</v>
      </c>
      <c r="CA13" cm="1">
        <f t="array" ref="CA13">IF(A12=A13,"",IF(SD!$C$44="No T-Head",IF(SD!$C$42=SD!$Q$3,VLOOKUP(BX13,S90Range,3,FALSE),LEFT(SD!$C$42,FIND("-",SD!$C$42)-1)+(RIGHT(SD!$C$42,LEN(SD!$C$42)-FIND("-",SD!$C$42))/12)),IF(SD!$C$44="T-Head",_xlfn._xlws.FILTER(THead,(TCName=SD!$C$8)*(TSize=BX13)),IF(SD!$C$44="Level Wise",_xlfn.LET(_xlpm.result,_xlfn.XLOOKUP(B13,VDLevel,VDLevelStatus,"No"),IF(_xlpm.result="Yes",_xlfn._xlws.FILTER(THead,(TCName=SD!$C$8)*(TSize=BX13)),IF(SD!$C$42=SD!$Q$3,VLOOKUP(BX13,S90Range,3,FALSE),LEFT(SD!$C$42,FIND("-",SD!$C$42)-1)+(RIGHT(SD!$C$42,LEN(SD!$C$42)-FIND("-", SD!$C$42))/12)))),IF(SD!$C$44="BarSize Wise",_xlfn.LET(_xlpm.result,_xlfn.XLOOKUP(BX13,VDBarSize,VDBarSizeStatus,"No"),IF(_xlpm.result="Yes",_xlfn._xlws.FILTER(THead,(TCName=SD!$C$8)*(TSize=BX13)),IF(SD!$C$42=SD!$Q$3,VLOOKUP(BX13,S90Range,3,FALSE),LEFT(SD!$C$42,FIND("-",SD!$C$42)-1)+(RIGHT(SD!$C$42,LEN(SD!$C$42)-FIND("-",SD!$C$42))/12)))), "")))))</f>
        <v>1.1666666666666667</v>
      </c>
      <c r="CB13" t="str" cm="1">
        <f t="array" ref="CB13">_xlfn.LET(_xlpm.GRR,IF(AND(SD!$C$19=SD!$H$2,Grade!$G$1="Per level"),VLOOKUP(B13,Grade!$E$1:$F$200,2,FALSE),IF(AND(SD!$C$19=SD!$H$2,Grade!$G$1="Per Bar Size"),VLOOKUP(BX13,Grade!$B$1:$C$12,2,0),SD!$C$19)),_xlpm.is_coupler, K13="Coupler",_xlpm.condition1, SD!$C$43=SD!$W$2,_xlpm.data_j2_empty, Data!$J13="",_xlpm.lookup_table, IF(SD!$C$11="Create", Lap!$A$3:$BF$14, IF(SD!$C$11="Per Uploaded File", Lap!$A$19:$BF$30, "")),_xlpm.row_match, MATCH(BX13, Lap!$A$3:$A$14, 0),_xlpm.grade_offset, IF(IFERROR(FIND("Grade 60",_xlpm.GRR), 0) &gt; 0, 0, IF(IFERROR(FIND("Grade 80",_xlpm.GRR), 0), 1, IF(IFERROR(FIND("Grade 75",_xlpm.GRR), 0), 2, ""))),_xlpm.col_match, MATCH(VALUE(D13), Lap!$A$3:$BF$3, 0) + _xlpm.grade_offset,_xlpm.index_result, IFERROR(INDEX(_xlpm.lookup_table, _xlpm.row_match, _xlpm.col_match), Data!$J13),_xlpm.result_if_condition1, IF(_xlpm.data_j2_empty, _xlpm.index_result, Data!$J13),IF(_xlpm.is_coupler, 0, IF(_xlpm.condition1, _xlpm.result_if_condition1, SD!$C$43)))</f>
        <v>3-6</v>
      </c>
      <c r="CC13" s="24">
        <f t="shared" si="11"/>
        <v>3.5</v>
      </c>
      <c r="CD13">
        <f t="shared" si="12"/>
        <v>7.666666666666667</v>
      </c>
      <c r="CE13" t="str" cm="1">
        <f t="array" ref="CE13">IF(BY13="","",_xlfn._xlws.FILTER(SAC,(CName=SD!$C$8)*(EName="Vert Dowels")))</f>
        <v>2200 CD</v>
      </c>
      <c r="CF13" t="str" cm="1">
        <f t="array" ref="CF13">IFERROR(IF(BY13="","",IF(K13="Coupler",_xlfn._xlws.FILTER(CCoupler,(CCName=SD!$C$8)*(CBSize=IF(A12=A13,W12&amp;W13,BX13&amp;W13))*(CCMFM="Male")),"")),"N/A")</f>
        <v/>
      </c>
      <c r="CG13" t="str">
        <f t="shared" si="13"/>
        <v/>
      </c>
      <c r="CH13" t="str">
        <f t="shared" si="14"/>
        <v/>
      </c>
      <c r="CI13" t="str">
        <f>_xlfn.LET(_xlpm.u3_value, U14,_xlpm.hyphen_pos,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K14="Coupler",_xlpm.coupler_value, IF(_xlpm.is_coupler, 0, _xlpm.calculated_value),_xlpm.final_value, _xlpm.calculated_value + SD!$E$13 + _xlpm.coupler_value,IF(CG13="", "", _xlpm.final_value))</f>
        <v/>
      </c>
      <c r="CJ13" t="str" cm="1">
        <f t="array" ref="CJ13">IF(CG13="","",_xlfn._xlws.FILTER(SAC,(CName=SD!$C$8)*(EName="Loose Dowels")))</f>
        <v/>
      </c>
      <c r="CK13" t="str" cm="1">
        <f t="array" ref="CK13">IFERROR(IF(CG13="","",IF(K14="Coupler",_xlfn._xlws.FILTER(CCoupler,(CCName=SD!$C$8)*(CBSize=IF(A13=A14,W13&amp;W14,""))*(CCMFM="Male")),"")),"N/A")</f>
        <v/>
      </c>
      <c r="CL13">
        <f>IFERROR(IF(AM13="Spiral","",IF(A12=A13,"",IF(SD!$C$37=0,"",SD!$C$37))),"")</f>
        <v>3</v>
      </c>
      <c r="CN13">
        <f>IF(AM13="Spiral","",IFERROR(IF(SD!$C$36=0,"",SD!$C$36),""))</f>
        <v>5</v>
      </c>
      <c r="CP13">
        <f>IFERROR(IF(SD!$C$42=SD!$Q$3,'Take-off'!CA13,""),"")</f>
        <v>1.1666666666666667</v>
      </c>
      <c r="CR13">
        <f>IFERROR(IF(SD!$C$22=SD!$U$2,W13,SD!$C$22),"")</f>
        <v>0</v>
      </c>
      <c r="CS13" t="str" cm="1">
        <f t="array" ref="CS13">_xlfn.LET(_xlpm.GR,IF(AND(SD!$C$19=SD!$H$2,Grade!$G$1="Per level"),VLOOKUP(B13,Grade!$E$1:$F$200,2,FALSE),IF(AND(SD!$C$19=SD!$H$2,Grade!$G$1="Per Bar Size"),VLOOKUP(CR13,Grade!$B$1:$C$12,2,0),SD!$C$19)),IF(SD!$C$20=SD!$R$4,IF(A14=A13,"",INDEX(IF(_xlpm.GR=SD!$H$3,A615GR60,IF(_xlpm.GR=SD!$H$4,A615GR75,IF(_xlpm.GR=SD!$H$5,A615GR80,IF(_xlpm.GR=SD!H17,A615GR100,IF(_xlpm.GR=SD!$H$7,A706GR60,IF(_xlpm.GR=SD!$H$8,A706GR80)))))), MATCH(1, (BSize=CR13)*(BCName=SD!$C$8), 0))),""))</f>
        <v/>
      </c>
      <c r="CT13">
        <f>IF(A14=A13,"",IF(SD!$C$23="Match Vertical Bars ",X13,SD!$C$23))</f>
        <v>0</v>
      </c>
      <c r="CU13" t="str" cm="1">
        <f t="array" ref="CU13">IF(A14=A13,"",IF(SD!$C$20="Top dowels",IF(SD!$E$25="No T-Head",IF(SD!$C$24=SD!$Q$3,VLOOKUP(CR13,S90Range,3,FALSE),LEFT(SD!$C$24,FIND("-",SD!$C$24)-1)+(RIGHT(SD!$C$24,LEN(SD!$C$24)-FIND("-",SD!$C$24))/12)),IF(SD!$E$25="T-Head",_xlfn._xlws.FILTER(THead,(TCName=SD!$C$8)*(TSize=CR13)),IF(SD!$E$25="Level Wise",_xlfn.LET(_xlpm.result,_xlfn.XLOOKUP(B13,TDLevel,TDLevelStatus,"No"),IF(_xlpm.result="Yes",_xlfn._xlws.FILTER(THead,(TCName=SD!$C$8)*(TSize=CR13)),IF(SD!$C$24=SD!$Q$3,VLOOKUP(CR13,S90Range,3,FALSE),LEFT(SD!$C$24,FIND("-",SD!$C$24)-1)+(RIGHT(SD!$C$24,LEN(SD!$C$24)-FIND("-", SD!$C$24))/12)))),IF(SD!$E$25="BarSize Wise",_xlfn.LET(_xlpm.result,_xlfn.XLOOKUP(CR13,TDBarSize,TDBarSizeStatus,"No"),IF(_xlpm.result="Yes",_xlfn._xlws.FILTER(THead,(TCName=SD!$C$8)*(TSize=CR13)),IF(SD!$C$24=SD!$Q$3,VLOOKUP(CR13,S90Range,3,FALSE),LEFT(SD!$C$24,FIND("-",SD!$C$24)-1)+(RIGHT(SD!$C$24,LEN(SD!$C$24)-FIND("-",SD!$C$24))/12)))), "")))),""))</f>
        <v/>
      </c>
      <c r="CV13" t="str">
        <f>_xlfn.LET(_xlpm.GRR,IF(AND(SD!$C$19=SD!$H$2,Grade!$G$1="Per level"),VLOOKUP(B13,Grade!$E$1:$F$200,2,FALSE),IF(AND(SD!$C$19=SD!$H$2,Grade!$G$1="Per Bar Size"),VLOOKUP(CR13,Grade!$B$1:$C$12,2,0),SD!$C$19)),IF(SD!$C$25=SD!$W$2,IF(Data!$J13="",IFERROR(INDEX(IF(SD!$C$11="Create",Lap!$A$3:$BF$14,IF(SD!$C$11="Per Uploaded File",Lap!$A$19:$BF$30,"")),MATCH(CR13,Lap!$A$3:$A$14,0),MATCH(VALUE(D13),Lap!$A$3:$BF$3,0)+IF(IFERROR(FIND("Grade 60",_xlpm.GRR),0)&gt;0,0,IF(IFERROR(FIND("Grade 80",_xlpm.GRR),0),1,IF(IFERROR(FIND("Grade 75",_xlpm.GRR),0),2,"")))),""),Data!J13),SD!$C$43))</f>
        <v>Match Lap</v>
      </c>
      <c r="CW13">
        <f t="shared" si="15"/>
        <v>0</v>
      </c>
      <c r="CX13">
        <f t="shared" si="16"/>
        <v>0</v>
      </c>
      <c r="CY13" t="str">
        <f t="shared" si="17"/>
        <v/>
      </c>
      <c r="DA13">
        <f t="shared" si="18"/>
        <v>2</v>
      </c>
      <c r="DB13" t="str">
        <f t="shared" si="19"/>
        <v>19-7</v>
      </c>
      <c r="DC13" s="24">
        <f t="shared" si="20"/>
        <v>19.583333333333332</v>
      </c>
      <c r="DD13">
        <f t="shared" si="21"/>
        <v>19.583333333333332</v>
      </c>
      <c r="DE13" t="s">
        <v>734</v>
      </c>
      <c r="DF13" t="s">
        <v>67</v>
      </c>
      <c r="DG13" t="str">
        <f>VLOOKUP(W13,'Level Wise PSI'!$F$2:$G$12,2,FALSE)</f>
        <v>Double Lift</v>
      </c>
      <c r="DI13" t="str" cm="1">
        <f t="array" ref="DI13">_xlfn.LET(_xlpm.Coup,IFERROR(IF(BY13="","",IF(K13="Coupler",_xlfn._xlws.FILTER(CCFCoupler,(CCName=SD!$C$8)*(CBSize=IF(A12=A13,W12&amp;W13,BX13&amp;W13))),"")),"N/A"),IF(_xlpm.Coup=0,"",_xlpm.Coup))</f>
        <v/>
      </c>
      <c r="DJ13" t="str" cm="1">
        <f t="array" ref="DJ13">_xlfn.LET(_xlpm.Coup3,IFERROR(IF(CG13="","",IF(K14="Coupler",_xlfn._xlws.FILTER(CCFCoupler,(CCName=SD!$C$8)*(CBSize=IF(A13=A14,W13&amp;W14,""))),"")),"N/A"),IF(_xlpm.Coup3=0,"",_xlpm.Coup3))</f>
        <v/>
      </c>
      <c r="DK13" t="str" cm="1">
        <f t="array" ref="DK13">_xlfn.LET(_xlpm.Coup2,IFERROR(IF(A13&lt;&gt;A14,"",IF(DF13="No Lap","",IF(K14="Coupler",_xlfn._xlws.FILTER(CCFCoupler,(CCName=SD!$C$8)*(CBSize=IF(A12=A13,W13&amp;W14,W13&amp;W13))),""))),"N/A"),IF(_xlpm.Coup2=0,"",_xlpm.Coup2))</f>
        <v/>
      </c>
      <c r="DM13" t="str">
        <f>IF(AM13="Spiral","",IF(SD!$C$31=SD!$Y$3,SD!$E$32*2,""))</f>
        <v/>
      </c>
      <c r="DO13" s="24">
        <f t="shared" si="22"/>
        <v>2.5</v>
      </c>
      <c r="DQ13" t="str">
        <f t="shared" si="23"/>
        <v>Lig</v>
      </c>
      <c r="DR13" t="str">
        <f>IF(AM13="Spiral",((Y13-(SD!$E$12*2))/12),"")</f>
        <v/>
      </c>
      <c r="DS13" t="str">
        <f t="shared" si="24"/>
        <v/>
      </c>
      <c r="DT13" t="str">
        <f t="shared" si="25"/>
        <v/>
      </c>
      <c r="DU13" t="str">
        <f t="shared" si="26"/>
        <v/>
      </c>
    </row>
    <row r="14" spans="1:125" x14ac:dyDescent="0.25">
      <c r="A14">
        <v>20</v>
      </c>
      <c r="B14" t="s">
        <v>664</v>
      </c>
      <c r="C14" s="15">
        <v>2429</v>
      </c>
      <c r="D14" s="15">
        <v>10000</v>
      </c>
      <c r="E14" s="15" t="s">
        <v>702</v>
      </c>
      <c r="F14" s="15" t="s">
        <v>787</v>
      </c>
      <c r="G14" t="s">
        <v>726</v>
      </c>
      <c r="H14" s="15" t="s">
        <v>789</v>
      </c>
      <c r="I14" t="s">
        <v>727</v>
      </c>
      <c r="J14" t="str">
        <f>IF(AND(SD!$C$19=SD!$H$2,Grade!$G$1="Per level"),VLOOKUP(B14,Grade!$E$1:$F$200,2,FALSE),IF(AND(SD!$C$19=SD!$H$2,Grade!$G$1="Per Bar Size"),VLOOKUP(W14,Grade!$B$1:$C$12,2,0),SD!$C$19))</f>
        <v>A615 Grade 60</v>
      </c>
      <c r="K14" t="s">
        <v>67</v>
      </c>
      <c r="L14" t="str">
        <f>IFERROR(IF(A14&lt;&gt;A15,"",IF(DF14="No Lap","",IF(K15="Lap",U14,IF(K15="Coupler",_xlfn._xlws.FILTER(CCoupler,(CCName=SD!$C$8)*(CBSize=IF(A13=A14,W14&amp;W15,W14&amp;W14))*(CCMFM="Male")),"")))),"N/A")</f>
        <v/>
      </c>
      <c r="M14" t="str">
        <f t="shared" si="0"/>
        <v/>
      </c>
      <c r="N14" t="s">
        <v>719</v>
      </c>
      <c r="O14" t="s">
        <v>720</v>
      </c>
      <c r="P14" t="s">
        <v>719</v>
      </c>
      <c r="Q14" t="str">
        <f>IF(AND(SD!$C$29=SD!$P$2,Grade!$O$1="Per level"),VLOOKUP(B14,Grade!$M$1:$N$200,2,FALSE),IF(AND(SD!$C$29=SD!$P$2,Grade!$O$1="Per Bar Size"),VLOOKUP(LEFT(N14,FIND("@",N14)-2),Grade!$J$1:$K$12,2,0),SD!$C$29))</f>
        <v>A615 Grade 60</v>
      </c>
      <c r="R14" t="s">
        <v>728</v>
      </c>
      <c r="S14" s="57">
        <v>14</v>
      </c>
      <c r="U14" t="str">
        <f>IF(Data!$J14="",IFERROR(INDEX(IF(SD!$C$11="Create",Lap!$A$3:$BF$14,IF(SD!$C$11="Per Uploaded File",Lap!$A$19:$BF$30,"")),MATCH(W14,Lap!$A$3:$A$14,0),MATCH(VALUE(D14),Lap!$A$3:$BF$3,0)+IF(IFERROR(FIND("Grade 60",J14),0)&gt;0,0,IF(IFERROR(FIND("Grade 80",J14),0),1,IF(IFERROR(FIND("Grade 75",J14),0),2,"")))),""),Data!J14)</f>
        <v>4-6</v>
      </c>
      <c r="W14" t="s">
        <v>164</v>
      </c>
      <c r="X14">
        <v>12</v>
      </c>
      <c r="Y14" t="str">
        <f t="shared" si="1"/>
        <v xml:space="preserve">24 </v>
      </c>
      <c r="Z14" t="str">
        <f t="shared" si="2"/>
        <v xml:space="preserve"> 36</v>
      </c>
      <c r="AA14" s="24">
        <f t="shared" si="3"/>
        <v>21.583333333333332</v>
      </c>
      <c r="BB14" t="e" cm="1">
        <f t="array" ref="BB14">_xlfn.LET(_xlpm.PartF,(_xlfn.LET(_xlpm.grade, Q14,_xlpm.gradeRange, IF(_xlpm.grade=SD!$H$3, A615GR60, IF(_xlpm.grade=SD!$H$4, A615GR75, IF(_xlpm.grade=SD!$H$5, A615GR80, IF(_xlpm.grade=SD!$H$6, A615GR100, IF(_xlpm.grade=SD!$H$7, A706GR60, IF(_xlpm.grade=SD!$H$8, A706GR80)))))),_xlpm.matchValue, MATCH(1, (SD!$AW:$AW=AS14)*(SD!$AX:$AX=SD!$C$8), 0),INDEX(_xlpm.gradeRange, _xlpm.matchValue))),IF(AM14="Spiral",CONCATENATE("SP",_xlpm.PartF),_xlpm.PartF))</f>
        <v>#N/A</v>
      </c>
      <c r="BC14" cm="1">
        <f t="array" ref="BC14">_xlfn.LET(_xlpm.leftPart, LEFT(O14, FIND("@", O14) - 2),_xlpm.grade,Q14,_xlpm.gradeRange,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" cm="1">
        <f t="array" ref="BD14">_xlfn.LET(_xlpm.leftPart, LEFT(P14, FIND("@", P14) - 2),_xlpm.grade, Q14,_xlpm.gradeRange,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">
        <f t="shared" si="4"/>
        <v>3</v>
      </c>
      <c r="BF14">
        <f>IF(SD!$C$32=SD!$I$2,BE14,IF(SD!$C$32=SD!$I$3,DO14,IF(SD!$C$32=SD!$I$5,BA14,IF(SD!$C$32=SD!$I$6,(LEFT(SD!$C$35,FIND("-",SD!$C$35)-1)+RIGHT(SD!$C$35,LEN(SD!$C$35)-FIND("-",SD!$C$35))/12),IF(SD!$C$32=SD!$I$4,(AU14-(BG14+BH14)))))))</f>
        <v>0</v>
      </c>
      <c r="BG14">
        <f>IF(SD!$C$33=SD!$I$2,BE14,IF(SD!$C$33=SD!$I$3,DO14,IF(SD!$C$33=SD!$I$5,BA14,IF(SD!$C$33=SD!$I$6,(LEFT(SD!$C$35,FIND("-",SD!$C$35)-1)+RIGHT(SD!$C$35,LEN(SD!$C$35)-FIND("-",SD!$C$35))/12),IF(SD!$C$33=SD!$I$4,(AU14-(BF14+BH14)))))))</f>
        <v>-1</v>
      </c>
      <c r="BH14">
        <f>IF(SD!$C$34=SD!$I$2,BE14,IF(SD!$C$34=SD!$I$3,DO14,IF(SD!$C$34=SD!$I$5,BA14,IF(SD!$C$34=SD!$I$6,(LEFT(SD!$C$35,FIND("-",SD!$C$35)-1)+RIGHT(SD!$C$35,LEN(SD!$C$35)-FIND("-",SD!$C$35))/12),IF(SD!$C$34=SD!$I$4,(AU14-(BF14+BG14)))))))</f>
        <v>1</v>
      </c>
      <c r="BJ14">
        <f>IF(AM14="Spiral","1",MAX(ROUNDUP(IF(SD!$C$32="",AT14,BF14/(LEFT(RIGHT(N14,LEN(N14)-FIND("@",N14)),LEN(RIGHT(N14,LEN(N14)-FIND("@",N14)))-1)/12)+1),0),0))</f>
        <v>1</v>
      </c>
      <c r="BK14">
        <f>MAX(ROUNDUP(IF(SD!$C$33="","",BG14/(LEFT(RIGHT(O14,LEN(O14)-FIND("@",O14)),LEN(RIGHT(O14,LEN(O14)-FIND("@",O14)))-1)/12)+1),0),0)</f>
        <v>0</v>
      </c>
      <c r="BL14">
        <f>MAX(ROUNDUP(IF(SD!$C$34="","",BH14/(LEFT(RIGHT(P14,LEN(P14)-FIND("@",P14)),LEN(RIGHT(P14,LEN(P14)-FIND("@",P14)))-1)/12)+1),0),0)</f>
        <v>3</v>
      </c>
      <c r="BN14" t="e">
        <f t="shared" si="5"/>
        <v>#N/A</v>
      </c>
      <c r="BO14" t="e">
        <f t="shared" si="6"/>
        <v>#N/A</v>
      </c>
      <c r="BP14" t="e">
        <f t="shared" si="7"/>
        <v>#N/A</v>
      </c>
      <c r="BQ14" s="24" t="e">
        <f>IF(AM14=TRUE,(((Y14-(SD!$E$12*2))*3.14159265359)+BN14+BO14+BP14)/12+AL14,SUM(AF14:AG14,BN14,BO14,BP14,AO14,AQ14)/12)</f>
        <v>#N/A</v>
      </c>
      <c r="BR14" t="e">
        <f t="shared" si="8"/>
        <v>#N/A</v>
      </c>
      <c r="BS14" t="e">
        <f t="shared" si="9"/>
        <v>#N/A</v>
      </c>
      <c r="BT14" t="e">
        <f t="shared" si="10"/>
        <v>#N/A</v>
      </c>
      <c r="BU14" s="24" t="e">
        <f>IF(AM14=TRUE,(((Y14-(SD!$E$12*2))*3.14159265359)+BR14+BS14+BT14)/12+AL14,SUM(AF14:AG14,BR14,BS14,BT14,AO14,AQ14)/12)</f>
        <v>#N/A</v>
      </c>
      <c r="BW14" t="str">
        <f>IFERROR(LEFT(Data!L14,FIND(" -",Data!L14)-1),"")</f>
        <v/>
      </c>
      <c r="BX14" t="str">
        <f>IFERROR(IF(SD!$C$40=SD!$U$2,W14,IF(SD!$C$40=SD!$U$3,RIGHT(Data!L14,LEN(Data!L14)-(FIND("-",Data!L14)+1)),SD!$C$40)),"")</f>
        <v>#9</v>
      </c>
      <c r="BY14" cm="1">
        <f t="array" ref="BY14">IFERROR(_xlfn.LET(_xlpm.GRR,IF(AND(SD!$C$19=SD!$H$2,Grade!$G$1="Per level"),VLOOKUP(B14,Grade!$E$1:$F$200,2,FALSE),IF(AND(SD!$C$19=SD!$H$2,Grade!$G$1="Per Bar Size"),VLOOKUP(BX14,Grade!$B$1:$C$12,2,0),SD!$C$19)),_xlpm.is_equal, A13=A14,_xlpm.grade_range, IF(_xlpm.GRR=SD!$H$3, A615GR60,IF(_xlpm.GRR=SD!$H$4, A615GR75,IF(_xlpm.GRR=SD!$H$5, A615GR80,IF(_xlpm.GRR=SD!H18, A615GR100,IF(_xlpm.GRR=SD!$H$7, A706GR60,IF(_xlpm.GRR=SD!$H$8, A706GR80)))))),_xlpm.match_result, MATCH(1, (BSize=BX14)*(BCName=SD!$C$8), 0),_xlpm.final_result, INDEX(_xlpm.grade_range, _xlpm.match_result),IF(_xlpm.is_equal, "", _xlpm.final_result)),"")</f>
        <v>9</v>
      </c>
      <c r="BZ14">
        <f>IF(A13=A14,"",IF(SD!$C$41="Match Vertical Bars ",X14,IF(SD!$C$41=SD!$V$3,BW14,SD!$C$41)))</f>
        <v>12</v>
      </c>
      <c r="CA14" cm="1">
        <f t="array" ref="CA14">IF(A13=A14,"",IF(SD!$C$44="No T-Head",IF(SD!$C$42=SD!$Q$3,VLOOKUP(BX14,S90Range,3,FALSE),LEFT(SD!$C$42,FIND("-",SD!$C$42)-1)+(RIGHT(SD!$C$42,LEN(SD!$C$42)-FIND("-",SD!$C$42))/12)),IF(SD!$C$44="T-Head",_xlfn._xlws.FILTER(THead,(TCName=SD!$C$8)*(TSize=BX14)),IF(SD!$C$44="Level Wise",_xlfn.LET(_xlpm.result,_xlfn.XLOOKUP(B14,VDLevel,VDLevelStatus,"No"),IF(_xlpm.result="Yes",_xlfn._xlws.FILTER(THead,(TCName=SD!$C$8)*(TSize=BX14)),IF(SD!$C$42=SD!$Q$3,VLOOKUP(BX14,S90Range,3,FALSE),LEFT(SD!$C$42,FIND("-",SD!$C$42)-1)+(RIGHT(SD!$C$42,LEN(SD!$C$42)-FIND("-", SD!$C$42))/12)))),IF(SD!$C$44="BarSize Wise",_xlfn.LET(_xlpm.result,_xlfn.XLOOKUP(BX14,VDBarSize,VDBarSizeStatus,"No"),IF(_xlpm.result="Yes",_xlfn._xlws.FILTER(THead,(TCName=SD!$C$8)*(TSize=BX14)),IF(SD!$C$42=SD!$Q$3,VLOOKUP(BX14,S90Range,3,FALSE),LEFT(SD!$C$42,FIND("-",SD!$C$42)-1)+(RIGHT(SD!$C$42,LEN(SD!$C$42)-FIND("-",SD!$C$42))/12)))), "")))))</f>
        <v>1.5833333333333335</v>
      </c>
      <c r="CB14" t="str" cm="1">
        <f t="array" ref="CB14">_xlfn.LET(_xlpm.GRR,IF(AND(SD!$C$19=SD!$H$2,Grade!$G$1="Per level"),VLOOKUP(B14,Grade!$E$1:$F$200,2,FALSE),IF(AND(SD!$C$19=SD!$H$2,Grade!$G$1="Per Bar Size"),VLOOKUP(BX14,Grade!$B$1:$C$12,2,0),SD!$C$19)),_xlpm.is_coupler, K14="Coupler",_xlpm.condition1, SD!$C$43=SD!$W$2,_xlpm.data_j2_empty, Data!$J14="",_xlpm.lookup_table, IF(SD!$C$11="Create", Lap!$A$3:$BF$14, IF(SD!$C$11="Per Uploaded File", Lap!$A$19:$BF$30, "")),_xlpm.row_match, MATCH(BX14, Lap!$A$3:$A$14, 0),_xlpm.grade_offset, IF(IFERROR(FIND("Grade 60",_xlpm.GRR), 0) &gt; 0, 0, IF(IFERROR(FIND("Grade 80",_xlpm.GRR), 0), 1, IF(IFERROR(FIND("Grade 75",_xlpm.GRR), 0), 2, ""))),_xlpm.col_match, MATCH(VALUE(D14), Lap!$A$3:$BF$3, 0) + _xlpm.grade_offset,_xlpm.index_result, IFERROR(INDEX(_xlpm.lookup_table, _xlpm.row_match, _xlpm.col_match), Data!$J14),_xlpm.result_if_condition1, IF(_xlpm.data_j2_empty, _xlpm.index_result, Data!$J14),IF(_xlpm.is_coupler, 0, IF(_xlpm.condition1, _xlpm.result_if_condition1, SD!$C$43)))</f>
        <v>4-6</v>
      </c>
      <c r="CC14" s="24">
        <f t="shared" si="11"/>
        <v>4.5</v>
      </c>
      <c r="CD14">
        <f t="shared" si="12"/>
        <v>10.083333333333334</v>
      </c>
      <c r="CE14" t="str" cm="1">
        <f t="array" ref="CE14">IF(BY14="","",_xlfn._xlws.FILTER(SAC,(CName=SD!$C$8)*(EName="Vert Dowels")))</f>
        <v>2200 CD</v>
      </c>
      <c r="CF14" t="str" cm="1">
        <f t="array" ref="CF14">IFERROR(IF(BY14="","",IF(K14="Coupler",_xlfn._xlws.FILTER(CCoupler,(CCName=SD!$C$8)*(CBSize=IF(A13=A14,W13&amp;W14,BX14&amp;W14))*(CCMFM="Male")),"")),"N/A")</f>
        <v/>
      </c>
      <c r="CG14" t="str">
        <f t="shared" si="13"/>
        <v/>
      </c>
      <c r="CH14" t="str">
        <f t="shared" si="14"/>
        <v/>
      </c>
      <c r="CI14" t="str">
        <f>_xlfn.LET(_xlpm.u3_value, U15,_xlpm.hyphen_pos,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K15="Coupler",_xlpm.coupler_value, IF(_xlpm.is_coupler, 0, _xlpm.calculated_value),_xlpm.final_value, _xlpm.calculated_value + SD!$E$13 + _xlpm.coupler_value,IF(CG14="", "", _xlpm.final_value))</f>
        <v/>
      </c>
      <c r="CJ14" t="str" cm="1">
        <f t="array" ref="CJ14">IF(CG14="","",_xlfn._xlws.FILTER(SAC,(CName=SD!$C$8)*(EName="Loose Dowels")))</f>
        <v/>
      </c>
      <c r="CK14" t="str" cm="1">
        <f t="array" ref="CK14">IFERROR(IF(CG14="","",IF(K15="Coupler",_xlfn._xlws.FILTER(CCoupler,(CCName=SD!$C$8)*(CBSize=IF(A14=A15,W14&amp;W15,""))*(CCMFM="Male")),"")),"N/A")</f>
        <v/>
      </c>
      <c r="CL14">
        <f>IFERROR(IF(AM14="Spiral","",IF(A13=A14,"",IF(SD!$C$37=0,"",SD!$C$37))),"")</f>
        <v>3</v>
      </c>
      <c r="CN14">
        <f>IF(AM14="Spiral","",IFERROR(IF(SD!$C$36=0,"",SD!$C$36),""))</f>
        <v>5</v>
      </c>
      <c r="CP14">
        <f>IFERROR(IF(SD!$C$42=SD!$Q$3,'Take-off'!CA14,""),"")</f>
        <v>1.5833333333333335</v>
      </c>
      <c r="CR14">
        <f>IFERROR(IF(SD!$C$22=SD!$U$2,W14,SD!$C$22),"")</f>
        <v>0</v>
      </c>
      <c r="CS14" t="str" cm="1">
        <f t="array" ref="CS14">_xlfn.LET(_xlpm.GR,IF(AND(SD!$C$19=SD!$H$2,Grade!$G$1="Per level"),VLOOKUP(B14,Grade!$E$1:$F$200,2,FALSE),IF(AND(SD!$C$19=SD!$H$2,Grade!$G$1="Per Bar Size"),VLOOKUP(CR14,Grade!$B$1:$C$12,2,0),SD!$C$19)),IF(SD!$C$20=SD!$R$4,IF(A15=A14,"",INDEX(IF(_xlpm.GR=SD!$H$3,A615GR60,IF(_xlpm.GR=SD!$H$4,A615GR75,IF(_xlpm.GR=SD!$H$5,A615GR80,IF(_xlpm.GR=SD!H18,A615GR100,IF(_xlpm.GR=SD!$H$7,A706GR60,IF(_xlpm.GR=SD!$H$8,A706GR80)))))), MATCH(1, (BSize=CR14)*(BCName=SD!$C$8), 0))),""))</f>
        <v/>
      </c>
      <c r="CT14">
        <f>IF(A15=A14,"",IF(SD!$C$23="Match Vertical Bars ",X14,SD!$C$23))</f>
        <v>0</v>
      </c>
      <c r="CU14" t="str" cm="1">
        <f t="array" ref="CU14">IF(A15=A14,"",IF(SD!$C$20="Top dowels",IF(SD!$E$25="No T-Head",IF(SD!$C$24=SD!$Q$3,VLOOKUP(CR14,S90Range,3,FALSE),LEFT(SD!$C$24,FIND("-",SD!$C$24)-1)+(RIGHT(SD!$C$24,LEN(SD!$C$24)-FIND("-",SD!$C$24))/12)),IF(SD!$E$25="T-Head",_xlfn._xlws.FILTER(THead,(TCName=SD!$C$8)*(TSize=CR14)),IF(SD!$E$25="Level Wise",_xlfn.LET(_xlpm.result,_xlfn.XLOOKUP(B14,TDLevel,TDLevelStatus,"No"),IF(_xlpm.result="Yes",_xlfn._xlws.FILTER(THead,(TCName=SD!$C$8)*(TSize=CR14)),IF(SD!$C$24=SD!$Q$3,VLOOKUP(CR14,S90Range,3,FALSE),LEFT(SD!$C$24,FIND("-",SD!$C$24)-1)+(RIGHT(SD!$C$24,LEN(SD!$C$24)-FIND("-", SD!$C$24))/12)))),IF(SD!$E$25="BarSize Wise",_xlfn.LET(_xlpm.result,_xlfn.XLOOKUP(CR14,TDBarSize,TDBarSizeStatus,"No"),IF(_xlpm.result="Yes",_xlfn._xlws.FILTER(THead,(TCName=SD!$C$8)*(TSize=CR14)),IF(SD!$C$24=SD!$Q$3,VLOOKUP(CR14,S90Range,3,FALSE),LEFT(SD!$C$24,FIND("-",SD!$C$24)-1)+(RIGHT(SD!$C$24,LEN(SD!$C$24)-FIND("-",SD!$C$24))/12)))), "")))),""))</f>
        <v/>
      </c>
      <c r="CV14" t="str">
        <f>_xlfn.LET(_xlpm.GRR,IF(AND(SD!$C$19=SD!$H$2,Grade!$G$1="Per level"),VLOOKUP(B14,Grade!$E$1:$F$200,2,FALSE),IF(AND(SD!$C$19=SD!$H$2,Grade!$G$1="Per Bar Size"),VLOOKUP(CR14,Grade!$B$1:$C$12,2,0),SD!$C$19)),IF(SD!$C$25=SD!$W$2,IF(Data!$J14="",IFERROR(INDEX(IF(SD!$C$11="Create",Lap!$A$3:$BF$14,IF(SD!$C$11="Per Uploaded File",Lap!$A$19:$BF$30,"")),MATCH(CR14,Lap!$A$3:$A$14,0),MATCH(VALUE(D14),Lap!$A$3:$BF$3,0)+IF(IFERROR(FIND("Grade 60",_xlpm.GRR),0)&gt;0,0,IF(IFERROR(FIND("Grade 80",_xlpm.GRR),0),1,IF(IFERROR(FIND("Grade 75",_xlpm.GRR),0),2,"")))),""),Data!J14),SD!$C$43))</f>
        <v>Match Lap</v>
      </c>
      <c r="CW14">
        <f t="shared" si="15"/>
        <v>0</v>
      </c>
      <c r="CX14">
        <f t="shared" si="16"/>
        <v>0</v>
      </c>
      <c r="CY14" t="str">
        <f t="shared" si="17"/>
        <v/>
      </c>
      <c r="DA14">
        <f t="shared" si="18"/>
        <v>20</v>
      </c>
      <c r="DB14" t="str">
        <f t="shared" si="19"/>
        <v>21-7</v>
      </c>
      <c r="DC14" s="24">
        <f t="shared" si="20"/>
        <v>21.583333333333332</v>
      </c>
      <c r="DD14">
        <f t="shared" si="21"/>
        <v>21.583333333333332</v>
      </c>
      <c r="DE14" t="s">
        <v>726</v>
      </c>
      <c r="DF14" t="s">
        <v>67</v>
      </c>
      <c r="DG14" t="str">
        <f>VLOOKUP(W14,'Level Wise PSI'!$F$2:$G$12,2,FALSE)</f>
        <v>Double Lift</v>
      </c>
      <c r="DI14" t="str" cm="1">
        <f t="array" ref="DI14">_xlfn.LET(_xlpm.Coup,IFERROR(IF(BY14="","",IF(K14="Coupler",_xlfn._xlws.FILTER(CCFCoupler,(CCName=SD!$C$8)*(CBSize=IF(A13=A14,W13&amp;W14,BX14&amp;W14))),"")),"N/A"),IF(_xlpm.Coup=0,"",_xlpm.Coup))</f>
        <v/>
      </c>
      <c r="DJ14" t="str" cm="1">
        <f t="array" ref="DJ14">_xlfn.LET(_xlpm.Coup3,IFERROR(IF(CG14="","",IF(K15="Coupler",_xlfn._xlws.FILTER(CCFCoupler,(CCName=SD!$C$8)*(CBSize=IF(A14=A15,W14&amp;W15,""))),"")),"N/A"),IF(_xlpm.Coup3=0,"",_xlpm.Coup3))</f>
        <v/>
      </c>
      <c r="DK14" t="str" cm="1">
        <f t="array" ref="DK14">_xlfn.LET(_xlpm.Coup2,IFERROR(IF(A14&lt;&gt;A15,"",IF(DF14="No Lap","",IF(K15="Coupler",_xlfn._xlws.FILTER(CCFCoupler,(CCName=SD!$C$8)*(CBSize=IF(A13=A14,W14&amp;W15,W14&amp;W14))),""))),"N/A"),IF(_xlpm.Coup2=0,"",_xlpm.Coup2))</f>
        <v/>
      </c>
      <c r="DM14" t="str">
        <f>IF(AM14="Spiral","",IF(SD!$C$31=SD!$Y$3,SD!$E$32*2,""))</f>
        <v/>
      </c>
      <c r="DO14" s="24">
        <f t="shared" si="22"/>
        <v>3</v>
      </c>
      <c r="DQ14" t="str">
        <f t="shared" si="23"/>
        <v>Lig</v>
      </c>
      <c r="DR14" t="str">
        <f>IF(AM14="Spiral",((Y14-(SD!$E$12*2))/12),"")</f>
        <v/>
      </c>
      <c r="DS14" t="str">
        <f t="shared" si="24"/>
        <v/>
      </c>
      <c r="DT14" t="str">
        <f t="shared" si="25"/>
        <v/>
      </c>
      <c r="DU14" t="str">
        <f t="shared" si="26"/>
        <v/>
      </c>
    </row>
    <row r="15" spans="1:125" x14ac:dyDescent="0.25">
      <c r="A15">
        <v>21</v>
      </c>
      <c r="B15" t="s">
        <v>664</v>
      </c>
      <c r="C15" s="15">
        <v>2429</v>
      </c>
      <c r="D15" s="15">
        <v>10000</v>
      </c>
      <c r="E15" s="15" t="s">
        <v>702</v>
      </c>
      <c r="F15" s="15" t="s">
        <v>787</v>
      </c>
      <c r="G15" t="s">
        <v>726</v>
      </c>
      <c r="H15" s="15" t="s">
        <v>789</v>
      </c>
      <c r="I15" t="s">
        <v>727</v>
      </c>
      <c r="J15" t="str">
        <f>IF(AND(SD!$C$19=SD!$H$2,Grade!$G$1="Per level"),VLOOKUP(B15,Grade!$E$1:$F$200,2,FALSE),IF(AND(SD!$C$19=SD!$H$2,Grade!$G$1="Per Bar Size"),VLOOKUP(W15,Grade!$B$1:$C$12,2,0),SD!$C$19))</f>
        <v>A615 Grade 60</v>
      </c>
      <c r="K15" t="s">
        <v>67</v>
      </c>
      <c r="L15" t="str">
        <f>IFERROR(IF(A15&lt;&gt;A16,"",IF(DF15="No Lap","",IF(K16="Lap",U15,IF(K16="Coupler",_xlfn._xlws.FILTER(CCoupler,(CCName=SD!$C$8)*(CBSize=IF(A14=A15,W15&amp;W16,W15&amp;W15))*(CCMFM="Male")),"")))),"N/A")</f>
        <v/>
      </c>
      <c r="M15" t="str">
        <f t="shared" si="0"/>
        <v/>
      </c>
      <c r="N15" t="s">
        <v>719</v>
      </c>
      <c r="O15" t="s">
        <v>720</v>
      </c>
      <c r="P15" t="s">
        <v>719</v>
      </c>
      <c r="Q15" t="str">
        <f>IF(AND(SD!$C$29=SD!$P$2,Grade!$O$1="Per level"),VLOOKUP(B15,Grade!$M$1:$N$200,2,FALSE),IF(AND(SD!$C$29=SD!$P$2,Grade!$O$1="Per Bar Size"),VLOOKUP(LEFT(N15,FIND("@",N15)-2),Grade!$J$1:$K$12,2,0),SD!$C$29))</f>
        <v>A615 Grade 60</v>
      </c>
      <c r="R15" t="s">
        <v>728</v>
      </c>
      <c r="S15" s="57">
        <v>15</v>
      </c>
      <c r="U15" t="str">
        <f>IF(Data!$J15="",IFERROR(INDEX(IF(SD!$C$11="Create",Lap!$A$3:$BF$14,IF(SD!$C$11="Per Uploaded File",Lap!$A$19:$BF$30,"")),MATCH(W15,Lap!$A$3:$A$14,0),MATCH(VALUE(D15),Lap!$A$3:$BF$3,0)+IF(IFERROR(FIND("Grade 60",J15),0)&gt;0,0,IF(IFERROR(FIND("Grade 80",J15),0),1,IF(IFERROR(FIND("Grade 75",J15),0),2,"")))),""),Data!J15)</f>
        <v>4-6</v>
      </c>
      <c r="W15" t="s">
        <v>164</v>
      </c>
      <c r="X15">
        <v>12</v>
      </c>
      <c r="Y15" t="str">
        <f t="shared" si="1"/>
        <v xml:space="preserve">24 </v>
      </c>
      <c r="Z15" t="str">
        <f t="shared" si="2"/>
        <v xml:space="preserve"> 36</v>
      </c>
      <c r="AA15" s="24">
        <f t="shared" si="3"/>
        <v>21.583333333333332</v>
      </c>
      <c r="BB15" t="e" cm="1">
        <f t="array" ref="BB15">_xlfn.LET(_xlpm.PartF,(_xlfn.LET(_xlpm.grade, Q15,_xlpm.gradeRange, IF(_xlpm.grade=SD!$H$3, A615GR60, IF(_xlpm.grade=SD!$H$4, A615GR75, IF(_xlpm.grade=SD!$H$5, A615GR80, IF(_xlpm.grade=SD!$H$6, A615GR100, IF(_xlpm.grade=SD!$H$7, A706GR60, IF(_xlpm.grade=SD!$H$8, A706GR80)))))),_xlpm.matchValue, MATCH(1, (SD!$AW:$AW=AS15)*(SD!$AX:$AX=SD!$C$8), 0),INDEX(_xlpm.gradeRange, _xlpm.matchValue))),IF(AM15="Spiral",CONCATENATE("SP",_xlpm.PartF),_xlpm.PartF))</f>
        <v>#N/A</v>
      </c>
      <c r="BC15" cm="1">
        <f t="array" ref="BC15">_xlfn.LET(_xlpm.leftPart, LEFT(O15, FIND("@", O15) - 2),_xlpm.grade,Q15,_xlpm.gradeRange,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" cm="1">
        <f t="array" ref="BD15">_xlfn.LET(_xlpm.leftPart, LEFT(P15, FIND("@", P15) - 2),_xlpm.grade, Q15,_xlpm.gradeRange,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">
        <f t="shared" si="4"/>
        <v>3</v>
      </c>
      <c r="BF15">
        <f>IF(SD!$C$32=SD!$I$2,BE15,IF(SD!$C$32=SD!$I$3,DO15,IF(SD!$C$32=SD!$I$5,BA15,IF(SD!$C$32=SD!$I$6,(LEFT(SD!$C$35,FIND("-",SD!$C$35)-1)+RIGHT(SD!$C$35,LEN(SD!$C$35)-FIND("-",SD!$C$35))/12),IF(SD!$C$32=SD!$I$4,(AU15-(BG15+BH15)))))))</f>
        <v>0</v>
      </c>
      <c r="BG15">
        <f>IF(SD!$C$33=SD!$I$2,BE15,IF(SD!$C$33=SD!$I$3,DO15,IF(SD!$C$33=SD!$I$5,BA15,IF(SD!$C$33=SD!$I$6,(LEFT(SD!$C$35,FIND("-",SD!$C$35)-1)+RIGHT(SD!$C$35,LEN(SD!$C$35)-FIND("-",SD!$C$35))/12),IF(SD!$C$33=SD!$I$4,(AU15-(BF15+BH15)))))))</f>
        <v>-1</v>
      </c>
      <c r="BH15">
        <f>IF(SD!$C$34=SD!$I$2,BE15,IF(SD!$C$34=SD!$I$3,DO15,IF(SD!$C$34=SD!$I$5,BA15,IF(SD!$C$34=SD!$I$6,(LEFT(SD!$C$35,FIND("-",SD!$C$35)-1)+RIGHT(SD!$C$35,LEN(SD!$C$35)-FIND("-",SD!$C$35))/12),IF(SD!$C$34=SD!$I$4,(AU15-(BF15+BG15)))))))</f>
        <v>1</v>
      </c>
      <c r="BJ15">
        <f>IF(AM15="Spiral","1",MAX(ROUNDUP(IF(SD!$C$32="",AT15,BF15/(LEFT(RIGHT(N15,LEN(N15)-FIND("@",N15)),LEN(RIGHT(N15,LEN(N15)-FIND("@",N15)))-1)/12)+1),0),0))</f>
        <v>1</v>
      </c>
      <c r="BK15">
        <f>MAX(ROUNDUP(IF(SD!$C$33="","",BG15/(LEFT(RIGHT(O15,LEN(O15)-FIND("@",O15)),LEN(RIGHT(O15,LEN(O15)-FIND("@",O15)))-1)/12)+1),0),0)</f>
        <v>0</v>
      </c>
      <c r="BL15">
        <f>MAX(ROUNDUP(IF(SD!$C$34="","",BH15/(LEFT(RIGHT(P15,LEN(P15)-FIND("@",P15)),LEN(RIGHT(P15,LEN(P15)-FIND("@",P15)))-1)/12)+1),0),0)</f>
        <v>3</v>
      </c>
      <c r="BN15" t="e">
        <f t="shared" si="5"/>
        <v>#N/A</v>
      </c>
      <c r="BO15" t="e">
        <f t="shared" si="6"/>
        <v>#N/A</v>
      </c>
      <c r="BP15" t="e">
        <f t="shared" si="7"/>
        <v>#N/A</v>
      </c>
      <c r="BQ15" s="24" t="e">
        <f>IF(AM15=TRUE,(((Y15-(SD!$E$12*2))*3.14159265359)+BN15+BO15+BP15)/12+AL15,SUM(AF15:AG15,BN15,BO15,BP15,AO15,AQ15)/12)</f>
        <v>#N/A</v>
      </c>
      <c r="BR15" t="e">
        <f t="shared" si="8"/>
        <v>#N/A</v>
      </c>
      <c r="BS15" t="e">
        <f t="shared" si="9"/>
        <v>#N/A</v>
      </c>
      <c r="BT15" t="e">
        <f t="shared" si="10"/>
        <v>#N/A</v>
      </c>
      <c r="BU15" s="24" t="e">
        <f>IF(AM15=TRUE,(((Y15-(SD!$E$12*2))*3.14159265359)+BR15+BS15+BT15)/12+AL15,SUM(AF15:AG15,BR15,BS15,BT15,AO15,AQ15)/12)</f>
        <v>#N/A</v>
      </c>
      <c r="BW15" t="str">
        <f>IFERROR(LEFT(Data!L15,FIND(" -",Data!L15)-1),"")</f>
        <v/>
      </c>
      <c r="BX15" t="str">
        <f>IFERROR(IF(SD!$C$40=SD!$U$2,W15,IF(SD!$C$40=SD!$U$3,RIGHT(Data!L15,LEN(Data!L15)-(FIND("-",Data!L15)+1)),SD!$C$40)),"")</f>
        <v>#9</v>
      </c>
      <c r="BY15" cm="1">
        <f t="array" ref="BY15">IFERROR(_xlfn.LET(_xlpm.GRR,IF(AND(SD!$C$19=SD!$H$2,Grade!$G$1="Per level"),VLOOKUP(B15,Grade!$E$1:$F$200,2,FALSE),IF(AND(SD!$C$19=SD!$H$2,Grade!$G$1="Per Bar Size"),VLOOKUP(BX15,Grade!$B$1:$C$12,2,0),SD!$C$19)),_xlpm.is_equal, A14=A15,_xlpm.grade_range, IF(_xlpm.GRR=SD!$H$3, A615GR60,IF(_xlpm.GRR=SD!$H$4, A615GR75,IF(_xlpm.GRR=SD!$H$5, A615GR80,IF(_xlpm.GRR=SD!H19, A615GR100,IF(_xlpm.GRR=SD!$H$7, A706GR60,IF(_xlpm.GRR=SD!$H$8, A706GR80)))))),_xlpm.match_result, MATCH(1, (BSize=BX15)*(BCName=SD!$C$8), 0),_xlpm.final_result, INDEX(_xlpm.grade_range, _xlpm.match_result),IF(_xlpm.is_equal, "", _xlpm.final_result)),"")</f>
        <v>9</v>
      </c>
      <c r="BZ15">
        <f>IF(A14=A15,"",IF(SD!$C$41="Match Vertical Bars ",X15,IF(SD!$C$41=SD!$V$3,BW15,SD!$C$41)))</f>
        <v>12</v>
      </c>
      <c r="CA15" cm="1">
        <f t="array" ref="CA15">IF(A14=A15,"",IF(SD!$C$44="No T-Head",IF(SD!$C$42=SD!$Q$3,VLOOKUP(BX15,S90Range,3,FALSE),LEFT(SD!$C$42,FIND("-",SD!$C$42)-1)+(RIGHT(SD!$C$42,LEN(SD!$C$42)-FIND("-",SD!$C$42))/12)),IF(SD!$C$44="T-Head",_xlfn._xlws.FILTER(THead,(TCName=SD!$C$8)*(TSize=BX15)),IF(SD!$C$44="Level Wise",_xlfn.LET(_xlpm.result,_xlfn.XLOOKUP(B15,VDLevel,VDLevelStatus,"No"),IF(_xlpm.result="Yes",_xlfn._xlws.FILTER(THead,(TCName=SD!$C$8)*(TSize=BX15)),IF(SD!$C$42=SD!$Q$3,VLOOKUP(BX15,S90Range,3,FALSE),LEFT(SD!$C$42,FIND("-",SD!$C$42)-1)+(RIGHT(SD!$C$42,LEN(SD!$C$42)-FIND("-", SD!$C$42))/12)))),IF(SD!$C$44="BarSize Wise",_xlfn.LET(_xlpm.result,_xlfn.XLOOKUP(BX15,VDBarSize,VDBarSizeStatus,"No"),IF(_xlpm.result="Yes",_xlfn._xlws.FILTER(THead,(TCName=SD!$C$8)*(TSize=BX15)),IF(SD!$C$42=SD!$Q$3,VLOOKUP(BX15,S90Range,3,FALSE),LEFT(SD!$C$42,FIND("-",SD!$C$42)-1)+(RIGHT(SD!$C$42,LEN(SD!$C$42)-FIND("-",SD!$C$42))/12)))), "")))))</f>
        <v>1.5833333333333335</v>
      </c>
      <c r="CB15" t="str" cm="1">
        <f t="array" ref="CB15">_xlfn.LET(_xlpm.GRR,IF(AND(SD!$C$19=SD!$H$2,Grade!$G$1="Per level"),VLOOKUP(B15,Grade!$E$1:$F$200,2,FALSE),IF(AND(SD!$C$19=SD!$H$2,Grade!$G$1="Per Bar Size"),VLOOKUP(BX15,Grade!$B$1:$C$12,2,0),SD!$C$19)),_xlpm.is_coupler, K15="Coupler",_xlpm.condition1, SD!$C$43=SD!$W$2,_xlpm.data_j2_empty, Data!$J15="",_xlpm.lookup_table, IF(SD!$C$11="Create", Lap!$A$3:$BF$14, IF(SD!$C$11="Per Uploaded File", Lap!$A$19:$BF$30, "")),_xlpm.row_match, MATCH(BX15, Lap!$A$3:$A$14, 0),_xlpm.grade_offset, IF(IFERROR(FIND("Grade 60",_xlpm.GRR), 0) &gt; 0, 0, IF(IFERROR(FIND("Grade 80",_xlpm.GRR), 0), 1, IF(IFERROR(FIND("Grade 75",_xlpm.GRR), 0), 2, ""))),_xlpm.col_match, MATCH(VALUE(D15), Lap!$A$3:$BF$3, 0) + _xlpm.grade_offset,_xlpm.index_result, IFERROR(INDEX(_xlpm.lookup_table, _xlpm.row_match, _xlpm.col_match), Data!$J15),_xlpm.result_if_condition1, IF(_xlpm.data_j2_empty, _xlpm.index_result, Data!$J15),IF(_xlpm.is_coupler, 0, IF(_xlpm.condition1, _xlpm.result_if_condition1, SD!$C$43)))</f>
        <v>4-6</v>
      </c>
      <c r="CC15" s="24">
        <f t="shared" si="11"/>
        <v>4.5</v>
      </c>
      <c r="CD15">
        <f t="shared" si="12"/>
        <v>10.083333333333334</v>
      </c>
      <c r="CE15" t="str" cm="1">
        <f t="array" ref="CE15">IF(BY15="","",_xlfn._xlws.FILTER(SAC,(CName=SD!$C$8)*(EName="Vert Dowels")))</f>
        <v>2200 CD</v>
      </c>
      <c r="CF15" t="str" cm="1">
        <f t="array" ref="CF15">IFERROR(IF(BY15="","",IF(K15="Coupler",_xlfn._xlws.FILTER(CCoupler,(CCName=SD!$C$8)*(CBSize=IF(A14=A15,W14&amp;W15,BX15&amp;W15))*(CCMFM="Male")),"")),"N/A")</f>
        <v/>
      </c>
      <c r="CG15" t="str">
        <f t="shared" si="13"/>
        <v/>
      </c>
      <c r="CH15" t="str">
        <f t="shared" si="14"/>
        <v/>
      </c>
      <c r="CI15" t="str">
        <f>_xlfn.LET(_xlpm.u3_value, U16,_xlpm.hyphen_pos,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K16="Coupler",_xlpm.coupler_value, IF(_xlpm.is_coupler, 0, _xlpm.calculated_value),_xlpm.final_value, _xlpm.calculated_value + SD!$E$13 + _xlpm.coupler_value,IF(CG15="", "", _xlpm.final_value))</f>
        <v/>
      </c>
      <c r="CJ15" t="str" cm="1">
        <f t="array" ref="CJ15">IF(CG15="","",_xlfn._xlws.FILTER(SAC,(CName=SD!$C$8)*(EName="Loose Dowels")))</f>
        <v/>
      </c>
      <c r="CK15" t="str" cm="1">
        <f t="array" ref="CK15">IFERROR(IF(CG15="","",IF(K16="Coupler",_xlfn._xlws.FILTER(CCoupler,(CCName=SD!$C$8)*(CBSize=IF(A15=A16,W15&amp;W16,""))*(CCMFM="Male")),"")),"N/A")</f>
        <v/>
      </c>
      <c r="CL15">
        <f>IFERROR(IF(AM15="Spiral","",IF(A14=A15,"",IF(SD!$C$37=0,"",SD!$C$37))),"")</f>
        <v>3</v>
      </c>
      <c r="CN15">
        <f>IF(AM15="Spiral","",IFERROR(IF(SD!$C$36=0,"",SD!$C$36),""))</f>
        <v>5</v>
      </c>
      <c r="CP15">
        <f>IFERROR(IF(SD!$C$42=SD!$Q$3,'Take-off'!CA15,""),"")</f>
        <v>1.5833333333333335</v>
      </c>
      <c r="CR15">
        <f>IFERROR(IF(SD!$C$22=SD!$U$2,W15,SD!$C$22),"")</f>
        <v>0</v>
      </c>
      <c r="CS15" t="str" cm="1">
        <f t="array" ref="CS15">_xlfn.LET(_xlpm.GR,IF(AND(SD!$C$19=SD!$H$2,Grade!$G$1="Per level"),VLOOKUP(B15,Grade!$E$1:$F$200,2,FALSE),IF(AND(SD!$C$19=SD!$H$2,Grade!$G$1="Per Bar Size"),VLOOKUP(CR15,Grade!$B$1:$C$12,2,0),SD!$C$19)),IF(SD!$C$20=SD!$R$4,IF(A16=A15,"",INDEX(IF(_xlpm.GR=SD!$H$3,A615GR60,IF(_xlpm.GR=SD!$H$4,A615GR75,IF(_xlpm.GR=SD!$H$5,A615GR80,IF(_xlpm.GR=SD!H19,A615GR100,IF(_xlpm.GR=SD!$H$7,A706GR60,IF(_xlpm.GR=SD!$H$8,A706GR80)))))), MATCH(1, (BSize=CR15)*(BCName=SD!$C$8), 0))),""))</f>
        <v/>
      </c>
      <c r="CT15">
        <f>IF(A16=A15,"",IF(SD!$C$23="Match Vertical Bars ",X15,SD!$C$23))</f>
        <v>0</v>
      </c>
      <c r="CU15" t="str" cm="1">
        <f t="array" ref="CU15">IF(A16=A15,"",IF(SD!$C$20="Top dowels",IF(SD!$E$25="No T-Head",IF(SD!$C$24=SD!$Q$3,VLOOKUP(CR15,S90Range,3,FALSE),LEFT(SD!$C$24,FIND("-",SD!$C$24)-1)+(RIGHT(SD!$C$24,LEN(SD!$C$24)-FIND("-",SD!$C$24))/12)),IF(SD!$E$25="T-Head",_xlfn._xlws.FILTER(THead,(TCName=SD!$C$8)*(TSize=CR15)),IF(SD!$E$25="Level Wise",_xlfn.LET(_xlpm.result,_xlfn.XLOOKUP(B15,TDLevel,TDLevelStatus,"No"),IF(_xlpm.result="Yes",_xlfn._xlws.FILTER(THead,(TCName=SD!$C$8)*(TSize=CR15)),IF(SD!$C$24=SD!$Q$3,VLOOKUP(CR15,S90Range,3,FALSE),LEFT(SD!$C$24,FIND("-",SD!$C$24)-1)+(RIGHT(SD!$C$24,LEN(SD!$C$24)-FIND("-", SD!$C$24))/12)))),IF(SD!$E$25="BarSize Wise",_xlfn.LET(_xlpm.result,_xlfn.XLOOKUP(CR15,TDBarSize,TDBarSizeStatus,"No"),IF(_xlpm.result="Yes",_xlfn._xlws.FILTER(THead,(TCName=SD!$C$8)*(TSize=CR15)),IF(SD!$C$24=SD!$Q$3,VLOOKUP(CR15,S90Range,3,FALSE),LEFT(SD!$C$24,FIND("-",SD!$C$24)-1)+(RIGHT(SD!$C$24,LEN(SD!$C$24)-FIND("-",SD!$C$24))/12)))), "")))),""))</f>
        <v/>
      </c>
      <c r="CV15" t="str">
        <f>_xlfn.LET(_xlpm.GRR,IF(AND(SD!$C$19=SD!$H$2,Grade!$G$1="Per level"),VLOOKUP(B15,Grade!$E$1:$F$200,2,FALSE),IF(AND(SD!$C$19=SD!$H$2,Grade!$G$1="Per Bar Size"),VLOOKUP(CR15,Grade!$B$1:$C$12,2,0),SD!$C$19)),IF(SD!$C$25=SD!$W$2,IF(Data!$J15="",IFERROR(INDEX(IF(SD!$C$11="Create",Lap!$A$3:$BF$14,IF(SD!$C$11="Per Uploaded File",Lap!$A$19:$BF$30,"")),MATCH(CR15,Lap!$A$3:$A$14,0),MATCH(VALUE(D15),Lap!$A$3:$BF$3,0)+IF(IFERROR(FIND("Grade 60",_xlpm.GRR),0)&gt;0,0,IF(IFERROR(FIND("Grade 80",_xlpm.GRR),0),1,IF(IFERROR(FIND("Grade 75",_xlpm.GRR),0),2,"")))),""),Data!J15),SD!$C$43))</f>
        <v>Match Lap</v>
      </c>
      <c r="CW15">
        <f t="shared" si="15"/>
        <v>0</v>
      </c>
      <c r="CX15">
        <f t="shared" si="16"/>
        <v>0</v>
      </c>
      <c r="CY15" t="str">
        <f t="shared" si="17"/>
        <v/>
      </c>
      <c r="DA15">
        <f t="shared" si="18"/>
        <v>21</v>
      </c>
      <c r="DB15" t="str">
        <f t="shared" si="19"/>
        <v>21-7</v>
      </c>
      <c r="DC15" s="24">
        <f t="shared" si="20"/>
        <v>21.583333333333332</v>
      </c>
      <c r="DD15">
        <f t="shared" si="21"/>
        <v>21.583333333333332</v>
      </c>
      <c r="DE15" t="s">
        <v>726</v>
      </c>
      <c r="DF15" t="s">
        <v>67</v>
      </c>
      <c r="DG15" t="str">
        <f>VLOOKUP(W15,'Level Wise PSI'!$F$2:$G$12,2,FALSE)</f>
        <v>Double Lift</v>
      </c>
      <c r="DI15" t="str" cm="1">
        <f t="array" ref="DI15">_xlfn.LET(_xlpm.Coup,IFERROR(IF(BY15="","",IF(K15="Coupler",_xlfn._xlws.FILTER(CCFCoupler,(CCName=SD!$C$8)*(CBSize=IF(A14=A15,W14&amp;W15,BX15&amp;W15))),"")),"N/A"),IF(_xlpm.Coup=0,"",_xlpm.Coup))</f>
        <v/>
      </c>
      <c r="DJ15" t="str" cm="1">
        <f t="array" ref="DJ15">_xlfn.LET(_xlpm.Coup3,IFERROR(IF(CG15="","",IF(K16="Coupler",_xlfn._xlws.FILTER(CCFCoupler,(CCName=SD!$C$8)*(CBSize=IF(A15=A16,W15&amp;W16,""))),"")),"N/A"),IF(_xlpm.Coup3=0,"",_xlpm.Coup3))</f>
        <v/>
      </c>
      <c r="DK15" t="str" cm="1">
        <f t="array" ref="DK15">_xlfn.LET(_xlpm.Coup2,IFERROR(IF(A15&lt;&gt;A16,"",IF(DF15="No Lap","",IF(K16="Coupler",_xlfn._xlws.FILTER(CCFCoupler,(CCName=SD!$C$8)*(CBSize=IF(A14=A15,W15&amp;W16,W15&amp;W15))),""))),"N/A"),IF(_xlpm.Coup2=0,"",_xlpm.Coup2))</f>
        <v/>
      </c>
      <c r="DM15" t="str">
        <f>IF(AM15="Spiral","",IF(SD!$C$31=SD!$Y$3,SD!$E$32*2,""))</f>
        <v/>
      </c>
      <c r="DO15" s="24">
        <f t="shared" si="22"/>
        <v>3</v>
      </c>
      <c r="DQ15" t="str">
        <f t="shared" si="23"/>
        <v>Lig</v>
      </c>
      <c r="DR15" t="str">
        <f>IF(AM15="Spiral",((Y15-(SD!$E$12*2))/12),"")</f>
        <v/>
      </c>
      <c r="DS15" t="str">
        <f t="shared" si="24"/>
        <v/>
      </c>
      <c r="DT15" t="str">
        <f t="shared" si="25"/>
        <v/>
      </c>
      <c r="DU15" t="str">
        <f t="shared" si="26"/>
        <v/>
      </c>
    </row>
    <row r="16" spans="1:125" x14ac:dyDescent="0.25">
      <c r="A16">
        <v>22</v>
      </c>
      <c r="B16" t="s">
        <v>664</v>
      </c>
      <c r="C16" s="15">
        <v>2429</v>
      </c>
      <c r="D16" s="15">
        <v>10000</v>
      </c>
      <c r="E16" s="15" t="s">
        <v>705</v>
      </c>
      <c r="F16" s="15" t="s">
        <v>787</v>
      </c>
      <c r="G16" t="s">
        <v>726</v>
      </c>
      <c r="H16" s="15" t="s">
        <v>789</v>
      </c>
      <c r="I16" t="s">
        <v>737</v>
      </c>
      <c r="J16" t="str">
        <f>IF(AND(SD!$C$19=SD!$H$2,Grade!$G$1="Per level"),VLOOKUP(B16,Grade!$E$1:$F$200,2,FALSE),IF(AND(SD!$C$19=SD!$H$2,Grade!$G$1="Per Bar Size"),VLOOKUP(W16,Grade!$B$1:$C$12,2,0),SD!$C$19))</f>
        <v>A615 Grade 60</v>
      </c>
      <c r="K16" t="s">
        <v>67</v>
      </c>
      <c r="L16" t="str">
        <f>IFERROR(IF(A16&lt;&gt;A17,"",IF(DF16="No Lap","",IF(K17="Lap",U16,IF(K17="Coupler",_xlfn._xlws.FILTER(CCoupler,(CCName=SD!$C$8)*(CBSize=IF(A15=A16,W16&amp;W17,W16&amp;W16))*(CCMFM="Male")),"")))),"N/A")</f>
        <v/>
      </c>
      <c r="M16" t="str">
        <f t="shared" si="0"/>
        <v/>
      </c>
      <c r="N16" t="s">
        <v>719</v>
      </c>
      <c r="O16" t="s">
        <v>720</v>
      </c>
      <c r="P16" t="s">
        <v>719</v>
      </c>
      <c r="Q16" t="str">
        <f>IF(AND(SD!$C$29=SD!$P$2,Grade!$O$1="Per level"),VLOOKUP(B16,Grade!$M$1:$N$200,2,FALSE),IF(AND(SD!$C$29=SD!$P$2,Grade!$O$1="Per Bar Size"),VLOOKUP(LEFT(N16,FIND("@",N16)-2),Grade!$J$1:$K$12,2,0),SD!$C$29))</f>
        <v>A615 Grade 60</v>
      </c>
      <c r="R16" t="s">
        <v>738</v>
      </c>
      <c r="S16" s="57">
        <v>16</v>
      </c>
      <c r="U16" t="str">
        <f>IF(Data!$J16="",IFERROR(INDEX(IF(SD!$C$11="Create",Lap!$A$3:$BF$14,IF(SD!$C$11="Per Uploaded File",Lap!$A$19:$BF$30,"")),MATCH(W16,Lap!$A$3:$A$14,0),MATCH(VALUE(D16),Lap!$A$3:$BF$3,0)+IF(IFERROR(FIND("Grade 60",J16),0)&gt;0,0,IF(IFERROR(FIND("Grade 80",J16),0),1,IF(IFERROR(FIND("Grade 75",J16),0),2,"")))),""),Data!J16)</f>
        <v>4-6</v>
      </c>
      <c r="W16" t="s">
        <v>164</v>
      </c>
      <c r="X16">
        <v>18</v>
      </c>
      <c r="Y16" t="str">
        <f t="shared" si="1"/>
        <v xml:space="preserve">24 </v>
      </c>
      <c r="Z16" t="str">
        <f t="shared" si="2"/>
        <v xml:space="preserve"> 36</v>
      </c>
      <c r="AA16" s="24">
        <f t="shared" si="3"/>
        <v>21.583333333333332</v>
      </c>
      <c r="BB16" t="e" cm="1">
        <f t="array" ref="BB16">_xlfn.LET(_xlpm.PartF,(_xlfn.LET(_xlpm.grade, Q16,_xlpm.gradeRange, IF(_xlpm.grade=SD!$H$3, A615GR60, IF(_xlpm.grade=SD!$H$4, A615GR75, IF(_xlpm.grade=SD!$H$5, A615GR80, IF(_xlpm.grade=SD!$H$6, A615GR100, IF(_xlpm.grade=SD!$H$7, A706GR60, IF(_xlpm.grade=SD!$H$8, A706GR80)))))),_xlpm.matchValue, MATCH(1, (SD!$AW:$AW=AS16)*(SD!$AX:$AX=SD!$C$8), 0),INDEX(_xlpm.gradeRange, _xlpm.matchValue))),IF(AM16="Spiral",CONCATENATE("SP",_xlpm.PartF),_xlpm.PartF))</f>
        <v>#N/A</v>
      </c>
      <c r="BC16" cm="1">
        <f t="array" ref="BC16">_xlfn.LET(_xlpm.leftPart, LEFT(O16, FIND("@", O16) - 2),_xlpm.grade,Q16,_xlpm.gradeRange,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" cm="1">
        <f t="array" ref="BD16">_xlfn.LET(_xlpm.leftPart, LEFT(P16, FIND("@", P16) - 2),_xlpm.grade, Q16,_xlpm.gradeRange,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">
        <f t="shared" si="4"/>
        <v>3</v>
      </c>
      <c r="BF16">
        <f>IF(SD!$C$32=SD!$I$2,BE16,IF(SD!$C$32=SD!$I$3,DO16,IF(SD!$C$32=SD!$I$5,BA16,IF(SD!$C$32=SD!$I$6,(LEFT(SD!$C$35,FIND("-",SD!$C$35)-1)+RIGHT(SD!$C$35,LEN(SD!$C$35)-FIND("-",SD!$C$35))/12),IF(SD!$C$32=SD!$I$4,(AU16-(BG16+BH16)))))))</f>
        <v>0</v>
      </c>
      <c r="BG16">
        <f>IF(SD!$C$33=SD!$I$2,BE16,IF(SD!$C$33=SD!$I$3,DO16,IF(SD!$C$33=SD!$I$5,BA16,IF(SD!$C$33=SD!$I$6,(LEFT(SD!$C$35,FIND("-",SD!$C$35)-1)+RIGHT(SD!$C$35,LEN(SD!$C$35)-FIND("-",SD!$C$35))/12),IF(SD!$C$33=SD!$I$4,(AU16-(BF16+BH16)))))))</f>
        <v>-1</v>
      </c>
      <c r="BH16">
        <f>IF(SD!$C$34=SD!$I$2,BE16,IF(SD!$C$34=SD!$I$3,DO16,IF(SD!$C$34=SD!$I$5,BA16,IF(SD!$C$34=SD!$I$6,(LEFT(SD!$C$35,FIND("-",SD!$C$35)-1)+RIGHT(SD!$C$35,LEN(SD!$C$35)-FIND("-",SD!$C$35))/12),IF(SD!$C$34=SD!$I$4,(AU16-(BF16+BG16)))))))</f>
        <v>1</v>
      </c>
      <c r="BJ16">
        <f>IF(AM16="Spiral","1",MAX(ROUNDUP(IF(SD!$C$32="",AT16,BF16/(LEFT(RIGHT(N16,LEN(N16)-FIND("@",N16)),LEN(RIGHT(N16,LEN(N16)-FIND("@",N16)))-1)/12)+1),0),0))</f>
        <v>1</v>
      </c>
      <c r="BK16">
        <f>MAX(ROUNDUP(IF(SD!$C$33="","",BG16/(LEFT(RIGHT(O16,LEN(O16)-FIND("@",O16)),LEN(RIGHT(O16,LEN(O16)-FIND("@",O16)))-1)/12)+1),0),0)</f>
        <v>0</v>
      </c>
      <c r="BL16">
        <f>MAX(ROUNDUP(IF(SD!$C$34="","",BH16/(LEFT(RIGHT(P16,LEN(P16)-FIND("@",P16)),LEN(RIGHT(P16,LEN(P16)-FIND("@",P16)))-1)/12)+1),0),0)</f>
        <v>3</v>
      </c>
      <c r="BN16" t="e">
        <f t="shared" si="5"/>
        <v>#N/A</v>
      </c>
      <c r="BO16" t="e">
        <f t="shared" si="6"/>
        <v>#N/A</v>
      </c>
      <c r="BP16" t="e">
        <f t="shared" si="7"/>
        <v>#N/A</v>
      </c>
      <c r="BQ16" s="24" t="e">
        <f>IF(AM16=TRUE,(((Y16-(SD!$E$12*2))*3.14159265359)+BN16+BO16+BP16)/12+AL16,SUM(AF16:AG16,BN16,BO16,BP16,AO16,AQ16)/12)</f>
        <v>#N/A</v>
      </c>
      <c r="BR16" t="e">
        <f t="shared" si="8"/>
        <v>#N/A</v>
      </c>
      <c r="BS16" t="e">
        <f t="shared" si="9"/>
        <v>#N/A</v>
      </c>
      <c r="BT16" t="e">
        <f t="shared" si="10"/>
        <v>#N/A</v>
      </c>
      <c r="BU16" s="24" t="e">
        <f>IF(AM16=TRUE,(((Y16-(SD!$E$12*2))*3.14159265359)+BR16+BS16+BT16)/12+AL16,SUM(AF16:AG16,BR16,BS16,BT16,AO16,AQ16)/12)</f>
        <v>#N/A</v>
      </c>
      <c r="BW16" t="str">
        <f>IFERROR(LEFT(Data!L16,FIND(" -",Data!L16)-1),"")</f>
        <v/>
      </c>
      <c r="BX16" t="str">
        <f>IFERROR(IF(SD!$C$40=SD!$U$2,W16,IF(SD!$C$40=SD!$U$3,RIGHT(Data!L16,LEN(Data!L16)-(FIND("-",Data!L16)+1)),SD!$C$40)),"")</f>
        <v>#9</v>
      </c>
      <c r="BY16" cm="1">
        <f t="array" ref="BY16">IFERROR(_xlfn.LET(_xlpm.GRR,IF(AND(SD!$C$19=SD!$H$2,Grade!$G$1="Per level"),VLOOKUP(B16,Grade!$E$1:$F$200,2,FALSE),IF(AND(SD!$C$19=SD!$H$2,Grade!$G$1="Per Bar Size"),VLOOKUP(BX16,Grade!$B$1:$C$12,2,0),SD!$C$19)),_xlpm.is_equal, A15=A16,_xlpm.grade_range, IF(_xlpm.GRR=SD!$H$3, A615GR60,IF(_xlpm.GRR=SD!$H$4, A615GR75,IF(_xlpm.GRR=SD!$H$5, A615GR80,IF(_xlpm.GRR=SD!H20, A615GR100,IF(_xlpm.GRR=SD!$H$7, A706GR60,IF(_xlpm.GRR=SD!$H$8, A706GR80)))))),_xlpm.match_result, MATCH(1, (BSize=BX16)*(BCName=SD!$C$8), 0),_xlpm.final_result, INDEX(_xlpm.grade_range, _xlpm.match_result),IF(_xlpm.is_equal, "", _xlpm.final_result)),"")</f>
        <v>9</v>
      </c>
      <c r="BZ16">
        <f>IF(A15=A16,"",IF(SD!$C$41="Match Vertical Bars ",X16,IF(SD!$C$41=SD!$V$3,BW16,SD!$C$41)))</f>
        <v>18</v>
      </c>
      <c r="CA16" cm="1">
        <f t="array" ref="CA16">IF(A15=A16,"",IF(SD!$C$44="No T-Head",IF(SD!$C$42=SD!$Q$3,VLOOKUP(BX16,S90Range,3,FALSE),LEFT(SD!$C$42,FIND("-",SD!$C$42)-1)+(RIGHT(SD!$C$42,LEN(SD!$C$42)-FIND("-",SD!$C$42))/12)),IF(SD!$C$44="T-Head",_xlfn._xlws.FILTER(THead,(TCName=SD!$C$8)*(TSize=BX16)),IF(SD!$C$44="Level Wise",_xlfn.LET(_xlpm.result,_xlfn.XLOOKUP(B16,VDLevel,VDLevelStatus,"No"),IF(_xlpm.result="Yes",_xlfn._xlws.FILTER(THead,(TCName=SD!$C$8)*(TSize=BX16)),IF(SD!$C$42=SD!$Q$3,VLOOKUP(BX16,S90Range,3,FALSE),LEFT(SD!$C$42,FIND("-",SD!$C$42)-1)+(RIGHT(SD!$C$42,LEN(SD!$C$42)-FIND("-", SD!$C$42))/12)))),IF(SD!$C$44="BarSize Wise",_xlfn.LET(_xlpm.result,_xlfn.XLOOKUP(BX16,VDBarSize,VDBarSizeStatus,"No"),IF(_xlpm.result="Yes",_xlfn._xlws.FILTER(THead,(TCName=SD!$C$8)*(TSize=BX16)),IF(SD!$C$42=SD!$Q$3,VLOOKUP(BX16,S90Range,3,FALSE),LEFT(SD!$C$42,FIND("-",SD!$C$42)-1)+(RIGHT(SD!$C$42,LEN(SD!$C$42)-FIND("-",SD!$C$42))/12)))), "")))))</f>
        <v>1.5833333333333335</v>
      </c>
      <c r="CB16" t="str" cm="1">
        <f t="array" ref="CB16">_xlfn.LET(_xlpm.GRR,IF(AND(SD!$C$19=SD!$H$2,Grade!$G$1="Per level"),VLOOKUP(B16,Grade!$E$1:$F$200,2,FALSE),IF(AND(SD!$C$19=SD!$H$2,Grade!$G$1="Per Bar Size"),VLOOKUP(BX16,Grade!$B$1:$C$12,2,0),SD!$C$19)),_xlpm.is_coupler, K16="Coupler",_xlpm.condition1, SD!$C$43=SD!$W$2,_xlpm.data_j2_empty, Data!$J16="",_xlpm.lookup_table, IF(SD!$C$11="Create", Lap!$A$3:$BF$14, IF(SD!$C$11="Per Uploaded File", Lap!$A$19:$BF$30, "")),_xlpm.row_match, MATCH(BX16, Lap!$A$3:$A$14, 0),_xlpm.grade_offset, IF(IFERROR(FIND("Grade 60",_xlpm.GRR), 0) &gt; 0, 0, IF(IFERROR(FIND("Grade 80",_xlpm.GRR), 0), 1, IF(IFERROR(FIND("Grade 75",_xlpm.GRR), 0), 2, ""))),_xlpm.col_match, MATCH(VALUE(D16), Lap!$A$3:$BF$3, 0) + _xlpm.grade_offset,_xlpm.index_result, IFERROR(INDEX(_xlpm.lookup_table, _xlpm.row_match, _xlpm.col_match), Data!$J16),_xlpm.result_if_condition1, IF(_xlpm.data_j2_empty, _xlpm.index_result, Data!$J16),IF(_xlpm.is_coupler, 0, IF(_xlpm.condition1, _xlpm.result_if_condition1, SD!$C$43)))</f>
        <v>4-6</v>
      </c>
      <c r="CC16" s="24">
        <f t="shared" si="11"/>
        <v>4.5</v>
      </c>
      <c r="CD16">
        <f t="shared" si="12"/>
        <v>10.75</v>
      </c>
      <c r="CE16" t="str" cm="1">
        <f t="array" ref="CE16">IF(BY16="","",_xlfn._xlws.FILTER(SAC,(CName=SD!$C$8)*(EName="Vert Dowels")))</f>
        <v>2200 CD</v>
      </c>
      <c r="CF16" t="str" cm="1">
        <f t="array" ref="CF16">IFERROR(IF(BY16="","",IF(K16="Coupler",_xlfn._xlws.FILTER(CCoupler,(CCName=SD!$C$8)*(CBSize=IF(A15=A16,W15&amp;W16,BX16&amp;W16))*(CCMFM="Male")),"")),"N/A")</f>
        <v/>
      </c>
      <c r="CG16" t="str">
        <f t="shared" si="13"/>
        <v/>
      </c>
      <c r="CH16" t="str">
        <f t="shared" si="14"/>
        <v/>
      </c>
      <c r="CI16" t="str">
        <f>_xlfn.LET(_xlpm.u3_value, U17,_xlpm.hyphen_pos,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K17="Coupler",_xlpm.coupler_value, IF(_xlpm.is_coupler, 0, _xlpm.calculated_value),_xlpm.final_value, _xlpm.calculated_value + SD!$E$13 + _xlpm.coupler_value,IF(CG16="", "", _xlpm.final_value))</f>
        <v/>
      </c>
      <c r="CJ16" t="str" cm="1">
        <f t="array" ref="CJ16">IF(CG16="","",_xlfn._xlws.FILTER(SAC,(CName=SD!$C$8)*(EName="Loose Dowels")))</f>
        <v/>
      </c>
      <c r="CK16" t="str" cm="1">
        <f t="array" ref="CK16">IFERROR(IF(CG16="","",IF(K17="Coupler",_xlfn._xlws.FILTER(CCoupler,(CCName=SD!$C$8)*(CBSize=IF(A16=A17,W16&amp;W17,""))*(CCMFM="Male")),"")),"N/A")</f>
        <v/>
      </c>
      <c r="CL16">
        <f>IFERROR(IF(AM16="Spiral","",IF(A15=A16,"",IF(SD!$C$37=0,"",SD!$C$37))),"")</f>
        <v>3</v>
      </c>
      <c r="CN16">
        <f>IF(AM16="Spiral","",IFERROR(IF(SD!$C$36=0,"",SD!$C$36),""))</f>
        <v>5</v>
      </c>
      <c r="CP16">
        <f>IFERROR(IF(SD!$C$42=SD!$Q$3,'Take-off'!CA16,""),"")</f>
        <v>1.5833333333333335</v>
      </c>
      <c r="CR16">
        <f>IFERROR(IF(SD!$C$22=SD!$U$2,W16,SD!$C$22),"")</f>
        <v>0</v>
      </c>
      <c r="CS16" t="str" cm="1">
        <f t="array" ref="CS16">_xlfn.LET(_xlpm.GR,IF(AND(SD!$C$19=SD!$H$2,Grade!$G$1="Per level"),VLOOKUP(B16,Grade!$E$1:$F$200,2,FALSE),IF(AND(SD!$C$19=SD!$H$2,Grade!$G$1="Per Bar Size"),VLOOKUP(CR16,Grade!$B$1:$C$12,2,0),SD!$C$19)),IF(SD!$C$20=SD!$R$4,IF(A17=A16,"",INDEX(IF(_xlpm.GR=SD!$H$3,A615GR60,IF(_xlpm.GR=SD!$H$4,A615GR75,IF(_xlpm.GR=SD!$H$5,A615GR80,IF(_xlpm.GR=SD!H20,A615GR100,IF(_xlpm.GR=SD!$H$7,A706GR60,IF(_xlpm.GR=SD!$H$8,A706GR80)))))), MATCH(1, (BSize=CR16)*(BCName=SD!$C$8), 0))),""))</f>
        <v/>
      </c>
      <c r="CT16">
        <f>IF(A17=A16,"",IF(SD!$C$23="Match Vertical Bars ",X16,SD!$C$23))</f>
        <v>0</v>
      </c>
      <c r="CU16" t="str" cm="1">
        <f t="array" ref="CU16">IF(A17=A16,"",IF(SD!$C$20="Top dowels",IF(SD!$E$25="No T-Head",IF(SD!$C$24=SD!$Q$3,VLOOKUP(CR16,S90Range,3,FALSE),LEFT(SD!$C$24,FIND("-",SD!$C$24)-1)+(RIGHT(SD!$C$24,LEN(SD!$C$24)-FIND("-",SD!$C$24))/12)),IF(SD!$E$25="T-Head",_xlfn._xlws.FILTER(THead,(TCName=SD!$C$8)*(TSize=CR16)),IF(SD!$E$25="Level Wise",_xlfn.LET(_xlpm.result,_xlfn.XLOOKUP(B16,TDLevel,TDLevelStatus,"No"),IF(_xlpm.result="Yes",_xlfn._xlws.FILTER(THead,(TCName=SD!$C$8)*(TSize=CR16)),IF(SD!$C$24=SD!$Q$3,VLOOKUP(CR16,S90Range,3,FALSE),LEFT(SD!$C$24,FIND("-",SD!$C$24)-1)+(RIGHT(SD!$C$24,LEN(SD!$C$24)-FIND("-", SD!$C$24))/12)))),IF(SD!$E$25="BarSize Wise",_xlfn.LET(_xlpm.result,_xlfn.XLOOKUP(CR16,TDBarSize,TDBarSizeStatus,"No"),IF(_xlpm.result="Yes",_xlfn._xlws.FILTER(THead,(TCName=SD!$C$8)*(TSize=CR16)),IF(SD!$C$24=SD!$Q$3,VLOOKUP(CR16,S90Range,3,FALSE),LEFT(SD!$C$24,FIND("-",SD!$C$24)-1)+(RIGHT(SD!$C$24,LEN(SD!$C$24)-FIND("-",SD!$C$24))/12)))), "")))),""))</f>
        <v/>
      </c>
      <c r="CV16" t="str">
        <f>_xlfn.LET(_xlpm.GRR,IF(AND(SD!$C$19=SD!$H$2,Grade!$G$1="Per level"),VLOOKUP(B16,Grade!$E$1:$F$200,2,FALSE),IF(AND(SD!$C$19=SD!$H$2,Grade!$G$1="Per Bar Size"),VLOOKUP(CR16,Grade!$B$1:$C$12,2,0),SD!$C$19)),IF(SD!$C$25=SD!$W$2,IF(Data!$J16="",IFERROR(INDEX(IF(SD!$C$11="Create",Lap!$A$3:$BF$14,IF(SD!$C$11="Per Uploaded File",Lap!$A$19:$BF$30,"")),MATCH(CR16,Lap!$A$3:$A$14,0),MATCH(VALUE(D16),Lap!$A$3:$BF$3,0)+IF(IFERROR(FIND("Grade 60",_xlpm.GRR),0)&gt;0,0,IF(IFERROR(FIND("Grade 80",_xlpm.GRR),0),1,IF(IFERROR(FIND("Grade 75",_xlpm.GRR),0),2,"")))),""),Data!J16),SD!$C$43))</f>
        <v>Match Lap</v>
      </c>
      <c r="CW16">
        <f t="shared" si="15"/>
        <v>0</v>
      </c>
      <c r="CX16">
        <f t="shared" si="16"/>
        <v>0</v>
      </c>
      <c r="CY16" t="str">
        <f t="shared" si="17"/>
        <v/>
      </c>
      <c r="DA16">
        <f t="shared" si="18"/>
        <v>22</v>
      </c>
      <c r="DB16" t="str">
        <f t="shared" si="19"/>
        <v>21-7</v>
      </c>
      <c r="DC16" s="24">
        <f t="shared" si="20"/>
        <v>21.583333333333332</v>
      </c>
      <c r="DD16">
        <f t="shared" si="21"/>
        <v>21.583333333333332</v>
      </c>
      <c r="DE16" t="s">
        <v>726</v>
      </c>
      <c r="DF16" t="s">
        <v>67</v>
      </c>
      <c r="DG16" t="str">
        <f>VLOOKUP(W16,'Level Wise PSI'!$F$2:$G$12,2,FALSE)</f>
        <v>Double Lift</v>
      </c>
      <c r="DI16" t="str" cm="1">
        <f t="array" ref="DI16">_xlfn.LET(_xlpm.Coup,IFERROR(IF(BY16="","",IF(K16="Coupler",_xlfn._xlws.FILTER(CCFCoupler,(CCName=SD!$C$8)*(CBSize=IF(A15=A16,W15&amp;W16,BX16&amp;W16))),"")),"N/A"),IF(_xlpm.Coup=0,"",_xlpm.Coup))</f>
        <v/>
      </c>
      <c r="DJ16" t="str" cm="1">
        <f t="array" ref="DJ16">_xlfn.LET(_xlpm.Coup3,IFERROR(IF(CG16="","",IF(K17="Coupler",_xlfn._xlws.FILTER(CCFCoupler,(CCName=SD!$C$8)*(CBSize=IF(A16=A17,W16&amp;W17,""))),"")),"N/A"),IF(_xlpm.Coup3=0,"",_xlpm.Coup3))</f>
        <v/>
      </c>
      <c r="DK16" t="str" cm="1">
        <f t="array" ref="DK16">_xlfn.LET(_xlpm.Coup2,IFERROR(IF(A16&lt;&gt;A17,"",IF(DF16="No Lap","",IF(K17="Coupler",_xlfn._xlws.FILTER(CCFCoupler,(CCName=SD!$C$8)*(CBSize=IF(A15=A16,W16&amp;W17,W16&amp;W16))),""))),"N/A"),IF(_xlpm.Coup2=0,"",_xlpm.Coup2))</f>
        <v/>
      </c>
      <c r="DM16" t="str">
        <f>IF(AM16="Spiral","",IF(SD!$C$31=SD!$Y$3,SD!$E$32*2,""))</f>
        <v/>
      </c>
      <c r="DO16" s="24">
        <f t="shared" si="22"/>
        <v>3</v>
      </c>
      <c r="DQ16" t="str">
        <f t="shared" si="23"/>
        <v>Lig</v>
      </c>
      <c r="DR16" t="str">
        <f>IF(AM16="Spiral",((Y16-(SD!$E$12*2))/12),"")</f>
        <v/>
      </c>
      <c r="DS16" t="str">
        <f t="shared" si="24"/>
        <v/>
      </c>
      <c r="DT16" t="str">
        <f t="shared" si="25"/>
        <v/>
      </c>
      <c r="DU16" t="str">
        <f t="shared" si="26"/>
        <v/>
      </c>
    </row>
    <row r="17" spans="1:125" x14ac:dyDescent="0.25">
      <c r="A17">
        <v>23</v>
      </c>
      <c r="B17" t="s">
        <v>664</v>
      </c>
      <c r="C17" s="15">
        <v>2429</v>
      </c>
      <c r="D17" s="15">
        <v>10000</v>
      </c>
      <c r="E17" s="15" t="s">
        <v>708</v>
      </c>
      <c r="F17" s="15" t="s">
        <v>787</v>
      </c>
      <c r="G17" t="s">
        <v>733</v>
      </c>
      <c r="H17" s="15" t="s">
        <v>788</v>
      </c>
      <c r="I17" t="s">
        <v>723</v>
      </c>
      <c r="J17" t="str">
        <f>IF(AND(SD!$C$19=SD!$H$2,Grade!$G$1="Per level"),VLOOKUP(B17,Grade!$E$1:$F$200,2,FALSE),IF(AND(SD!$C$19=SD!$H$2,Grade!$G$1="Per Bar Size"),VLOOKUP(W17,Grade!$B$1:$C$12,2,0),SD!$C$19))</f>
        <v>A615 Grade 60</v>
      </c>
      <c r="K17" t="s">
        <v>67</v>
      </c>
      <c r="L17" t="str">
        <f>IFERROR(IF(A17&lt;&gt;A18,"",IF(DF17="No Lap","",IF(K18="Lap",U17,IF(K18="Coupler",_xlfn._xlws.FILTER(CCoupler,(CCName=SD!$C$8)*(CBSize=IF(A16=A17,W17&amp;W18,W17&amp;W17))*(CCMFM="Male")),"")))),"N/A")</f>
        <v/>
      </c>
      <c r="M17" t="str">
        <f t="shared" si="0"/>
        <v/>
      </c>
      <c r="N17" t="s">
        <v>719</v>
      </c>
      <c r="O17" t="s">
        <v>720</v>
      </c>
      <c r="P17" t="s">
        <v>719</v>
      </c>
      <c r="Q17" t="str">
        <f>IF(AND(SD!$C$29=SD!$P$2,Grade!$O$1="Per level"),VLOOKUP(B17,Grade!$M$1:$N$200,2,FALSE),IF(AND(SD!$C$29=SD!$P$2,Grade!$O$1="Per Bar Size"),VLOOKUP(LEFT(N17,FIND("@",N17)-2),Grade!$J$1:$K$12,2,0),SD!$C$29))</f>
        <v>A615 Grade 60</v>
      </c>
      <c r="R17" t="s">
        <v>725</v>
      </c>
      <c r="S17" s="57">
        <v>17</v>
      </c>
      <c r="U17" t="str">
        <f>IF(Data!$J17="",IFERROR(INDEX(IF(SD!$C$11="Create",Lap!$A$3:$BF$14,IF(SD!$C$11="Per Uploaded File",Lap!$A$19:$BF$30,"")),MATCH(W17,Lap!$A$3:$A$14,0),MATCH(VALUE(D17),Lap!$A$3:$BF$3,0)+IF(IFERROR(FIND("Grade 60",J17),0)&gt;0,0,IF(IFERROR(FIND("Grade 80",J17),0),1,IF(IFERROR(FIND("Grade 75",J17),0),2,"")))),""),Data!J17)</f>
        <v>3-6</v>
      </c>
      <c r="W17" t="s">
        <v>139</v>
      </c>
      <c r="X17">
        <v>6</v>
      </c>
      <c r="Y17" t="str">
        <f t="shared" si="1"/>
        <v xml:space="preserve">14 </v>
      </c>
      <c r="Z17" t="str">
        <f t="shared" si="2"/>
        <v xml:space="preserve"> 24</v>
      </c>
      <c r="AA17" s="24">
        <f t="shared" si="3"/>
        <v>19.583333333333332</v>
      </c>
      <c r="BB17" t="e" cm="1">
        <f t="array" ref="BB17">_xlfn.LET(_xlpm.PartF,(_xlfn.LET(_xlpm.grade, Q17,_xlpm.gradeRange, IF(_xlpm.grade=SD!$H$3, A615GR60, IF(_xlpm.grade=SD!$H$4, A615GR75, IF(_xlpm.grade=SD!$H$5, A615GR80, IF(_xlpm.grade=SD!$H$6, A615GR100, IF(_xlpm.grade=SD!$H$7, A706GR60, IF(_xlpm.grade=SD!$H$8, A706GR80)))))),_xlpm.matchValue, MATCH(1, (SD!$AW:$AW=AS17)*(SD!$AX:$AX=SD!$C$8), 0),INDEX(_xlpm.gradeRange, _xlpm.matchValue))),IF(AM17="Spiral",CONCATENATE("SP",_xlpm.PartF),_xlpm.PartF))</f>
        <v>#N/A</v>
      </c>
      <c r="BC17" cm="1">
        <f t="array" ref="BC17">_xlfn.LET(_xlpm.leftPart, LEFT(O17, FIND("@", O17) - 2),_xlpm.grade,Q17,_xlpm.gradeRange,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" cm="1">
        <f t="array" ref="BD17">_xlfn.LET(_xlpm.leftPart, LEFT(P17, FIND("@", P17) - 2),_xlpm.grade, Q17,_xlpm.gradeRange,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">
        <f t="shared" si="4"/>
        <v>2</v>
      </c>
      <c r="BF17">
        <f>IF(SD!$C$32=SD!$I$2,BE17,IF(SD!$C$32=SD!$I$3,DO17,IF(SD!$C$32=SD!$I$5,BA17,IF(SD!$C$32=SD!$I$6,(LEFT(SD!$C$35,FIND("-",SD!$C$35)-1)+RIGHT(SD!$C$35,LEN(SD!$C$35)-FIND("-",SD!$C$35))/12),IF(SD!$C$32=SD!$I$4,(AU17-(BG17+BH17)))))))</f>
        <v>0</v>
      </c>
      <c r="BG17">
        <f>IF(SD!$C$33=SD!$I$2,BE17,IF(SD!$C$33=SD!$I$3,DO17,IF(SD!$C$33=SD!$I$5,BA17,IF(SD!$C$33=SD!$I$6,(LEFT(SD!$C$35,FIND("-",SD!$C$35)-1)+RIGHT(SD!$C$35,LEN(SD!$C$35)-FIND("-",SD!$C$35))/12),IF(SD!$C$33=SD!$I$4,(AU17-(BF17+BH17)))))))</f>
        <v>-1</v>
      </c>
      <c r="BH17">
        <f>IF(SD!$C$34=SD!$I$2,BE17,IF(SD!$C$34=SD!$I$3,DO17,IF(SD!$C$34=SD!$I$5,BA17,IF(SD!$C$34=SD!$I$6,(LEFT(SD!$C$35,FIND("-",SD!$C$35)-1)+RIGHT(SD!$C$35,LEN(SD!$C$35)-FIND("-",SD!$C$35))/12),IF(SD!$C$34=SD!$I$4,(AU17-(BF17+BG17)))))))</f>
        <v>1</v>
      </c>
      <c r="BJ17">
        <f>IF(AM17="Spiral","1",MAX(ROUNDUP(IF(SD!$C$32="",AT17,BF17/(LEFT(RIGHT(N17,LEN(N17)-FIND("@",N17)),LEN(RIGHT(N17,LEN(N17)-FIND("@",N17)))-1)/12)+1),0),0))</f>
        <v>1</v>
      </c>
      <c r="BK17">
        <f>MAX(ROUNDUP(IF(SD!$C$33="","",BG17/(LEFT(RIGHT(O17,LEN(O17)-FIND("@",O17)),LEN(RIGHT(O17,LEN(O17)-FIND("@",O17)))-1)/12)+1),0),0)</f>
        <v>0</v>
      </c>
      <c r="BL17">
        <f>MAX(ROUNDUP(IF(SD!$C$34="","",BH17/(LEFT(RIGHT(P17,LEN(P17)-FIND("@",P17)),LEN(RIGHT(P17,LEN(P17)-FIND("@",P17)))-1)/12)+1),0),0)</f>
        <v>3</v>
      </c>
      <c r="BN17" t="e">
        <f t="shared" si="5"/>
        <v>#N/A</v>
      </c>
      <c r="BO17" t="e">
        <f t="shared" si="6"/>
        <v>#N/A</v>
      </c>
      <c r="BP17" t="e">
        <f t="shared" si="7"/>
        <v>#N/A</v>
      </c>
      <c r="BQ17" s="24" t="e">
        <f>IF(AM17=TRUE,(((Y17-(SD!$E$12*2))*3.14159265359)+BN17+BO17+BP17)/12+AL17,SUM(AF17:AG17,BN17,BO17,BP17,AO17,AQ17)/12)</f>
        <v>#N/A</v>
      </c>
      <c r="BR17" t="e">
        <f t="shared" si="8"/>
        <v>#N/A</v>
      </c>
      <c r="BS17" t="e">
        <f t="shared" si="9"/>
        <v>#N/A</v>
      </c>
      <c r="BT17" t="e">
        <f t="shared" si="10"/>
        <v>#N/A</v>
      </c>
      <c r="BU17" s="24" t="e">
        <f>IF(AM17=TRUE,(((Y17-(SD!$E$12*2))*3.14159265359)+BR17+BS17+BT17)/12+AL17,SUM(AF17:AG17,BR17,BS17,BT17,AO17,AQ17)/12)</f>
        <v>#N/A</v>
      </c>
      <c r="BW17" t="str">
        <f>IFERROR(LEFT(Data!L17,FIND(" -",Data!L17)-1),"")</f>
        <v/>
      </c>
      <c r="BX17" t="str">
        <f>IFERROR(IF(SD!$C$40=SD!$U$2,W17,IF(SD!$C$40=SD!$U$3,RIGHT(Data!L17,LEN(Data!L17)-(FIND("-",Data!L17)+1)),SD!$C$40)),"")</f>
        <v>#7</v>
      </c>
      <c r="BY17" cm="1">
        <f t="array" ref="BY17">IFERROR(_xlfn.LET(_xlpm.GRR,IF(AND(SD!$C$19=SD!$H$2,Grade!$G$1="Per level"),VLOOKUP(B17,Grade!$E$1:$F$200,2,FALSE),IF(AND(SD!$C$19=SD!$H$2,Grade!$G$1="Per Bar Size"),VLOOKUP(BX17,Grade!$B$1:$C$12,2,0),SD!$C$19)),_xlpm.is_equal, A16=A17,_xlpm.grade_range, IF(_xlpm.GRR=SD!$H$3, A615GR60,IF(_xlpm.GRR=SD!$H$4, A615GR75,IF(_xlpm.GRR=SD!$H$5, A615GR80,IF(_xlpm.GRR=SD!H21, A615GR100,IF(_xlpm.GRR=SD!$H$7, A706GR60,IF(_xlpm.GRR=SD!$H$8, A706GR80)))))),_xlpm.match_result, MATCH(1, (BSize=BX17)*(BCName=SD!$C$8), 0),_xlpm.final_result, INDEX(_xlpm.grade_range, _xlpm.match_result),IF(_xlpm.is_equal, "", _xlpm.final_result)),"")</f>
        <v>7</v>
      </c>
      <c r="BZ17">
        <f>IF(A16=A17,"",IF(SD!$C$41="Match Vertical Bars ",X17,IF(SD!$C$41=SD!$V$3,BW17,SD!$C$41)))</f>
        <v>6</v>
      </c>
      <c r="CA17" cm="1">
        <f t="array" ref="CA17">IF(A16=A17,"",IF(SD!$C$44="No T-Head",IF(SD!$C$42=SD!$Q$3,VLOOKUP(BX17,S90Range,3,FALSE),LEFT(SD!$C$42,FIND("-",SD!$C$42)-1)+(RIGHT(SD!$C$42,LEN(SD!$C$42)-FIND("-",SD!$C$42))/12)),IF(SD!$C$44="T-Head",_xlfn._xlws.FILTER(THead,(TCName=SD!$C$8)*(TSize=BX17)),IF(SD!$C$44="Level Wise",_xlfn.LET(_xlpm.result,_xlfn.XLOOKUP(B17,VDLevel,VDLevelStatus,"No"),IF(_xlpm.result="Yes",_xlfn._xlws.FILTER(THead,(TCName=SD!$C$8)*(TSize=BX17)),IF(SD!$C$42=SD!$Q$3,VLOOKUP(BX17,S90Range,3,FALSE),LEFT(SD!$C$42,FIND("-",SD!$C$42)-1)+(RIGHT(SD!$C$42,LEN(SD!$C$42)-FIND("-", SD!$C$42))/12)))),IF(SD!$C$44="BarSize Wise",_xlfn.LET(_xlpm.result,_xlfn.XLOOKUP(BX17,VDBarSize,VDBarSizeStatus,"No"),IF(_xlpm.result="Yes",_xlfn._xlws.FILTER(THead,(TCName=SD!$C$8)*(TSize=BX17)),IF(SD!$C$42=SD!$Q$3,VLOOKUP(BX17,S90Range,3,FALSE),LEFT(SD!$C$42,FIND("-",SD!$C$42)-1)+(RIGHT(SD!$C$42,LEN(SD!$C$42)-FIND("-",SD!$C$42))/12)))), "")))))</f>
        <v>1.1666666666666667</v>
      </c>
      <c r="CB17" t="str" cm="1">
        <f t="array" ref="CB17">_xlfn.LET(_xlpm.GRR,IF(AND(SD!$C$19=SD!$H$2,Grade!$G$1="Per level"),VLOOKUP(B17,Grade!$E$1:$F$200,2,FALSE),IF(AND(SD!$C$19=SD!$H$2,Grade!$G$1="Per Bar Size"),VLOOKUP(BX17,Grade!$B$1:$C$12,2,0),SD!$C$19)),_xlpm.is_coupler, K17="Coupler",_xlpm.condition1, SD!$C$43=SD!$W$2,_xlpm.data_j2_empty, Data!$J17="",_xlpm.lookup_table, IF(SD!$C$11="Create", Lap!$A$3:$BF$14, IF(SD!$C$11="Per Uploaded File", Lap!$A$19:$BF$30, "")),_xlpm.row_match, MATCH(BX17, Lap!$A$3:$A$14, 0),_xlpm.grade_offset, IF(IFERROR(FIND("Grade 60",_xlpm.GRR), 0) &gt; 0, 0, IF(IFERROR(FIND("Grade 80",_xlpm.GRR), 0), 1, IF(IFERROR(FIND("Grade 75",_xlpm.GRR), 0), 2, ""))),_xlpm.col_match, MATCH(VALUE(D17), Lap!$A$3:$BF$3, 0) + _xlpm.grade_offset,_xlpm.index_result, IFERROR(INDEX(_xlpm.lookup_table, _xlpm.row_match, _xlpm.col_match), Data!$J17),_xlpm.result_if_condition1, IF(_xlpm.data_j2_empty, _xlpm.index_result, Data!$J17),IF(_xlpm.is_coupler, 0, IF(_xlpm.condition1, _xlpm.result_if_condition1, SD!$C$43)))</f>
        <v>3-6</v>
      </c>
      <c r="CC17" s="24">
        <f t="shared" si="11"/>
        <v>3.5</v>
      </c>
      <c r="CD17">
        <f t="shared" si="12"/>
        <v>9.6666666666666679</v>
      </c>
      <c r="CE17" t="str" cm="1">
        <f t="array" ref="CE17">IF(BY17="","",_xlfn._xlws.FILTER(SAC,(CName=SD!$C$8)*(EName="Vert Dowels")))</f>
        <v>2200 CD</v>
      </c>
      <c r="CF17" t="str" cm="1">
        <f t="array" ref="CF17">IFERROR(IF(BY17="","",IF(K17="Coupler",_xlfn._xlws.FILTER(CCoupler,(CCName=SD!$C$8)*(CBSize=IF(A16=A17,W16&amp;W17,BX17&amp;W17))*(CCMFM="Male")),"")),"N/A")</f>
        <v/>
      </c>
      <c r="CG17" t="str">
        <f t="shared" si="13"/>
        <v/>
      </c>
      <c r="CH17" t="str">
        <f t="shared" si="14"/>
        <v/>
      </c>
      <c r="CI17" t="str">
        <f>_xlfn.LET(_xlpm.u3_value, U18,_xlpm.hyphen_pos,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K18="Coupler",_xlpm.coupler_value, IF(_xlpm.is_coupler, 0, _xlpm.calculated_value),_xlpm.final_value, _xlpm.calculated_value + SD!$E$13 + _xlpm.coupler_value,IF(CG17="", "", _xlpm.final_value))</f>
        <v/>
      </c>
      <c r="CJ17" t="str" cm="1">
        <f t="array" ref="CJ17">IF(CG17="","",_xlfn._xlws.FILTER(SAC,(CName=SD!$C$8)*(EName="Loose Dowels")))</f>
        <v/>
      </c>
      <c r="CK17" t="str" cm="1">
        <f t="array" ref="CK17">IFERROR(IF(CG17="","",IF(K18="Coupler",_xlfn._xlws.FILTER(CCoupler,(CCName=SD!$C$8)*(CBSize=IF(A17=A18,W17&amp;W18,""))*(CCMFM="Male")),"")),"N/A")</f>
        <v/>
      </c>
      <c r="CL17">
        <f>IFERROR(IF(AM17="Spiral","",IF(A16=A17,"",IF(SD!$C$37=0,"",SD!$C$37))),"")</f>
        <v>3</v>
      </c>
      <c r="CN17">
        <f>IF(AM17="Spiral","",IFERROR(IF(SD!$C$36=0,"",SD!$C$36),""))</f>
        <v>5</v>
      </c>
      <c r="CP17">
        <f>IFERROR(IF(SD!$C$42=SD!$Q$3,'Take-off'!CA17,""),"")</f>
        <v>1.1666666666666667</v>
      </c>
      <c r="CR17">
        <f>IFERROR(IF(SD!$C$22=SD!$U$2,W17,SD!$C$22),"")</f>
        <v>0</v>
      </c>
      <c r="CS17" t="str" cm="1">
        <f t="array" ref="CS17">_xlfn.LET(_xlpm.GR,IF(AND(SD!$C$19=SD!$H$2,Grade!$G$1="Per level"),VLOOKUP(B17,Grade!$E$1:$F$200,2,FALSE),IF(AND(SD!$C$19=SD!$H$2,Grade!$G$1="Per Bar Size"),VLOOKUP(CR17,Grade!$B$1:$C$12,2,0),SD!$C$19)),IF(SD!$C$20=SD!$R$4,IF(A18=A17,"",INDEX(IF(_xlpm.GR=SD!$H$3,A615GR60,IF(_xlpm.GR=SD!$H$4,A615GR75,IF(_xlpm.GR=SD!$H$5,A615GR80,IF(_xlpm.GR=SD!H21,A615GR100,IF(_xlpm.GR=SD!$H$7,A706GR60,IF(_xlpm.GR=SD!$H$8,A706GR80)))))), MATCH(1, (BSize=CR17)*(BCName=SD!$C$8), 0))),""))</f>
        <v/>
      </c>
      <c r="CT17">
        <f>IF(A18=A17,"",IF(SD!$C$23="Match Vertical Bars ",X17,SD!$C$23))</f>
        <v>0</v>
      </c>
      <c r="CU17" t="str" cm="1">
        <f t="array" ref="CU17">IF(A18=A17,"",IF(SD!$C$20="Top dowels",IF(SD!$E$25="No T-Head",IF(SD!$C$24=SD!$Q$3,VLOOKUP(CR17,S90Range,3,FALSE),LEFT(SD!$C$24,FIND("-",SD!$C$24)-1)+(RIGHT(SD!$C$24,LEN(SD!$C$24)-FIND("-",SD!$C$24))/12)),IF(SD!$E$25="T-Head",_xlfn._xlws.FILTER(THead,(TCName=SD!$C$8)*(TSize=CR17)),IF(SD!$E$25="Level Wise",_xlfn.LET(_xlpm.result,_xlfn.XLOOKUP(B17,TDLevel,TDLevelStatus,"No"),IF(_xlpm.result="Yes",_xlfn._xlws.FILTER(THead,(TCName=SD!$C$8)*(TSize=CR17)),IF(SD!$C$24=SD!$Q$3,VLOOKUP(CR17,S90Range,3,FALSE),LEFT(SD!$C$24,FIND("-",SD!$C$24)-1)+(RIGHT(SD!$C$24,LEN(SD!$C$24)-FIND("-", SD!$C$24))/12)))),IF(SD!$E$25="BarSize Wise",_xlfn.LET(_xlpm.result,_xlfn.XLOOKUP(CR17,TDBarSize,TDBarSizeStatus,"No"),IF(_xlpm.result="Yes",_xlfn._xlws.FILTER(THead,(TCName=SD!$C$8)*(TSize=CR17)),IF(SD!$C$24=SD!$Q$3,VLOOKUP(CR17,S90Range,3,FALSE),LEFT(SD!$C$24,FIND("-",SD!$C$24)-1)+(RIGHT(SD!$C$24,LEN(SD!$C$24)-FIND("-",SD!$C$24))/12)))), "")))),""))</f>
        <v/>
      </c>
      <c r="CV17" t="str">
        <f>_xlfn.LET(_xlpm.GRR,IF(AND(SD!$C$19=SD!$H$2,Grade!$G$1="Per level"),VLOOKUP(B17,Grade!$E$1:$F$200,2,FALSE),IF(AND(SD!$C$19=SD!$H$2,Grade!$G$1="Per Bar Size"),VLOOKUP(CR17,Grade!$B$1:$C$12,2,0),SD!$C$19)),IF(SD!$C$25=SD!$W$2,IF(Data!$J17="",IFERROR(INDEX(IF(SD!$C$11="Create",Lap!$A$3:$BF$14,IF(SD!$C$11="Per Uploaded File",Lap!$A$19:$BF$30,"")),MATCH(CR17,Lap!$A$3:$A$14,0),MATCH(VALUE(D17),Lap!$A$3:$BF$3,0)+IF(IFERROR(FIND("Grade 60",_xlpm.GRR),0)&gt;0,0,IF(IFERROR(FIND("Grade 80",_xlpm.GRR),0),1,IF(IFERROR(FIND("Grade 75",_xlpm.GRR),0),2,"")))),""),Data!J17),SD!$C$43))</f>
        <v>Match Lap</v>
      </c>
      <c r="CW17">
        <f t="shared" si="15"/>
        <v>0</v>
      </c>
      <c r="CX17">
        <f t="shared" si="16"/>
        <v>0</v>
      </c>
      <c r="CY17" t="str">
        <f t="shared" si="17"/>
        <v/>
      </c>
      <c r="DA17">
        <f t="shared" si="18"/>
        <v>23</v>
      </c>
      <c r="DB17" t="str">
        <f t="shared" si="19"/>
        <v>19-7</v>
      </c>
      <c r="DC17" s="24">
        <f t="shared" si="20"/>
        <v>19.583333333333332</v>
      </c>
      <c r="DD17">
        <f t="shared" si="21"/>
        <v>19.583333333333332</v>
      </c>
      <c r="DE17" t="s">
        <v>733</v>
      </c>
      <c r="DF17" t="s">
        <v>67</v>
      </c>
      <c r="DG17" t="str">
        <f>VLOOKUP(W17,'Level Wise PSI'!$F$2:$G$12,2,FALSE)</f>
        <v>Double Lift</v>
      </c>
      <c r="DI17" t="str" cm="1">
        <f t="array" ref="DI17">_xlfn.LET(_xlpm.Coup,IFERROR(IF(BY17="","",IF(K17="Coupler",_xlfn._xlws.FILTER(CCFCoupler,(CCName=SD!$C$8)*(CBSize=IF(A16=A17,W16&amp;W17,BX17&amp;W17))),"")),"N/A"),IF(_xlpm.Coup=0,"",_xlpm.Coup))</f>
        <v/>
      </c>
      <c r="DJ17" t="str" cm="1">
        <f t="array" ref="DJ17">_xlfn.LET(_xlpm.Coup3,IFERROR(IF(CG17="","",IF(K18="Coupler",_xlfn._xlws.FILTER(CCFCoupler,(CCName=SD!$C$8)*(CBSize=IF(A17=A18,W17&amp;W18,""))),"")),"N/A"),IF(_xlpm.Coup3=0,"",_xlpm.Coup3))</f>
        <v/>
      </c>
      <c r="DK17" t="str" cm="1">
        <f t="array" ref="DK17">_xlfn.LET(_xlpm.Coup2,IFERROR(IF(A17&lt;&gt;A18,"",IF(DF17="No Lap","",IF(K18="Coupler",_xlfn._xlws.FILTER(CCFCoupler,(CCName=SD!$C$8)*(CBSize=IF(A16=A17,W17&amp;W18,W17&amp;W17))),""))),"N/A"),IF(_xlpm.Coup2=0,"",_xlpm.Coup2))</f>
        <v/>
      </c>
      <c r="DM17" t="str">
        <f>IF(AM17="Spiral","",IF(SD!$C$31=SD!$Y$3,SD!$E$32*2,""))</f>
        <v/>
      </c>
      <c r="DO17" s="24">
        <f t="shared" si="22"/>
        <v>2</v>
      </c>
      <c r="DQ17" t="str">
        <f t="shared" si="23"/>
        <v>Lig</v>
      </c>
      <c r="DR17" t="str">
        <f>IF(AM17="Spiral",((Y17-(SD!$E$12*2))/12),"")</f>
        <v/>
      </c>
      <c r="DS17" t="str">
        <f t="shared" si="24"/>
        <v/>
      </c>
      <c r="DT17" t="str">
        <f t="shared" si="25"/>
        <v/>
      </c>
      <c r="DU17" t="str">
        <f t="shared" si="26"/>
        <v/>
      </c>
    </row>
    <row r="18" spans="1:125" x14ac:dyDescent="0.25">
      <c r="A18">
        <v>24</v>
      </c>
      <c r="B18" t="s">
        <v>664</v>
      </c>
      <c r="C18" s="15">
        <v>2429</v>
      </c>
      <c r="D18" s="15">
        <v>10000</v>
      </c>
      <c r="E18" s="15" t="s">
        <v>702</v>
      </c>
      <c r="F18" s="15" t="s">
        <v>787</v>
      </c>
      <c r="G18" s="15" t="s">
        <v>733</v>
      </c>
      <c r="H18" s="15" t="s">
        <v>790</v>
      </c>
      <c r="I18" t="s">
        <v>723</v>
      </c>
      <c r="J18" t="str">
        <f>IF(AND(SD!$C$19=SD!$H$2,Grade!$G$1="Per level"),VLOOKUP(B18,Grade!$E$1:$F$200,2,FALSE),IF(AND(SD!$C$19=SD!$H$2,Grade!$G$1="Per Bar Size"),VLOOKUP(W18,Grade!$B$1:$C$12,2,0),SD!$C$19))</f>
        <v>A615 Grade 60</v>
      </c>
      <c r="K18" t="s">
        <v>67</v>
      </c>
      <c r="L18" t="str">
        <f>IFERROR(IF(A18&lt;&gt;A19,"",IF(DF18="No Lap","",IF(K19="Lap",U18,IF(K19="Coupler",_xlfn._xlws.FILTER(CCoupler,(CCName=SD!$C$8)*(CBSize=IF(A17=A18,W18&amp;W19,W18&amp;W18))*(CCMFM="Male")),"")))),"N/A")</f>
        <v/>
      </c>
      <c r="M18" t="str">
        <f t="shared" si="0"/>
        <v/>
      </c>
      <c r="N18" t="s">
        <v>719</v>
      </c>
      <c r="O18" t="s">
        <v>720</v>
      </c>
      <c r="P18" t="s">
        <v>719</v>
      </c>
      <c r="Q18" t="str">
        <f>IF(AND(SD!$C$29=SD!$P$2,Grade!$O$1="Per level"),VLOOKUP(B18,Grade!$M$1:$N$200,2,FALSE),IF(AND(SD!$C$29=SD!$P$2,Grade!$O$1="Per Bar Size"),VLOOKUP(LEFT(N18,FIND("@",N18)-2),Grade!$J$1:$K$12,2,0),SD!$C$29))</f>
        <v>A615 Grade 60</v>
      </c>
      <c r="R18" t="s">
        <v>725</v>
      </c>
      <c r="S18" s="57">
        <v>18</v>
      </c>
      <c r="U18" t="str">
        <f>IF(Data!$J18="",IFERROR(INDEX(IF(SD!$C$11="Create",Lap!$A$3:$BF$14,IF(SD!$C$11="Per Uploaded File",Lap!$A$19:$BF$30,"")),MATCH(W18,Lap!$A$3:$A$14,0),MATCH(VALUE(D18),Lap!$A$3:$BF$3,0)+IF(IFERROR(FIND("Grade 60",J18),0)&gt;0,0,IF(IFERROR(FIND("Grade 80",J18),0),1,IF(IFERROR(FIND("Grade 75",J18),0),2,"")))),""),Data!J18)</f>
        <v>3-6</v>
      </c>
      <c r="W18" t="s">
        <v>139</v>
      </c>
      <c r="X18">
        <v>6</v>
      </c>
      <c r="Y18" t="str">
        <f t="shared" si="1"/>
        <v xml:space="preserve">14 </v>
      </c>
      <c r="Z18" t="str">
        <f t="shared" si="2"/>
        <v xml:space="preserve"> 24</v>
      </c>
      <c r="AA18" s="24">
        <f t="shared" si="3"/>
        <v>12.25</v>
      </c>
      <c r="BB18" t="e" cm="1">
        <f t="array" ref="BB18">_xlfn.LET(_xlpm.PartF,(_xlfn.LET(_xlpm.grade, Q18,_xlpm.gradeRange, IF(_xlpm.grade=SD!$H$3, A615GR60, IF(_xlpm.grade=SD!$H$4, A615GR75, IF(_xlpm.grade=SD!$H$5, A615GR80, IF(_xlpm.grade=SD!$H$6, A615GR100, IF(_xlpm.grade=SD!$H$7, A706GR60, IF(_xlpm.grade=SD!$H$8, A706GR80)))))),_xlpm.matchValue, MATCH(1, (SD!$AW:$AW=AS18)*(SD!$AX:$AX=SD!$C$8), 0),INDEX(_xlpm.gradeRange, _xlpm.matchValue))),IF(AM18="Spiral",CONCATENATE("SP",_xlpm.PartF),_xlpm.PartF))</f>
        <v>#N/A</v>
      </c>
      <c r="BC18" cm="1">
        <f t="array" ref="BC18">_xlfn.LET(_xlpm.leftPart, LEFT(O18, FIND("@", O18) - 2),_xlpm.grade,Q18,_xlpm.gradeRange,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" cm="1">
        <f t="array" ref="BD18">_xlfn.LET(_xlpm.leftPart, LEFT(P18, FIND("@", P18) - 2),_xlpm.grade, Q18,_xlpm.gradeRange,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">
        <f t="shared" si="4"/>
        <v>2</v>
      </c>
      <c r="BF18">
        <f>IF(SD!$C$32=SD!$I$2,BE18,IF(SD!$C$32=SD!$I$3,DO18,IF(SD!$C$32=SD!$I$5,BA18,IF(SD!$C$32=SD!$I$6,(LEFT(SD!$C$35,FIND("-",SD!$C$35)-1)+RIGHT(SD!$C$35,LEN(SD!$C$35)-FIND("-",SD!$C$35))/12),IF(SD!$C$32=SD!$I$4,(AU18-(BG18+BH18)))))))</f>
        <v>0</v>
      </c>
      <c r="BG18">
        <f>IF(SD!$C$33=SD!$I$2,BE18,IF(SD!$C$33=SD!$I$3,DO18,IF(SD!$C$33=SD!$I$5,BA18,IF(SD!$C$33=SD!$I$6,(LEFT(SD!$C$35,FIND("-",SD!$C$35)-1)+RIGHT(SD!$C$35,LEN(SD!$C$35)-FIND("-",SD!$C$35))/12),IF(SD!$C$33=SD!$I$4,(AU18-(BF18+BH18)))))))</f>
        <v>-1</v>
      </c>
      <c r="BH18">
        <f>IF(SD!$C$34=SD!$I$2,BE18,IF(SD!$C$34=SD!$I$3,DO18,IF(SD!$C$34=SD!$I$5,BA18,IF(SD!$C$34=SD!$I$6,(LEFT(SD!$C$35,FIND("-",SD!$C$35)-1)+RIGHT(SD!$C$35,LEN(SD!$C$35)-FIND("-",SD!$C$35))/12),IF(SD!$C$34=SD!$I$4,(AU18-(BF18+BG18)))))))</f>
        <v>1</v>
      </c>
      <c r="BJ18">
        <f>IF(AM18="Spiral","1",MAX(ROUNDUP(IF(SD!$C$32="",AT18,BF18/(LEFT(RIGHT(N18,LEN(N18)-FIND("@",N18)),LEN(RIGHT(N18,LEN(N18)-FIND("@",N18)))-1)/12)+1),0),0))</f>
        <v>1</v>
      </c>
      <c r="BK18">
        <f>MAX(ROUNDUP(IF(SD!$C$33="","",BG18/(LEFT(RIGHT(O18,LEN(O18)-FIND("@",O18)),LEN(RIGHT(O18,LEN(O18)-FIND("@",O18)))-1)/12)+1),0),0)</f>
        <v>0</v>
      </c>
      <c r="BL18">
        <f>MAX(ROUNDUP(IF(SD!$C$34="","",BH18/(LEFT(RIGHT(P18,LEN(P18)-FIND("@",P18)),LEN(RIGHT(P18,LEN(P18)-FIND("@",P18)))-1)/12)+1),0),0)</f>
        <v>3</v>
      </c>
      <c r="BN18" t="e">
        <f t="shared" si="5"/>
        <v>#N/A</v>
      </c>
      <c r="BO18" t="e">
        <f t="shared" si="6"/>
        <v>#N/A</v>
      </c>
      <c r="BP18" t="e">
        <f t="shared" si="7"/>
        <v>#N/A</v>
      </c>
      <c r="BQ18" s="24" t="e">
        <f>IF(AM18=TRUE,(((Y18-(SD!$E$12*2))*3.14159265359)+BN18+BO18+BP18)/12+AL18,SUM(AF18:AG18,BN18,BO18,BP18,AO18,AQ18)/12)</f>
        <v>#N/A</v>
      </c>
      <c r="BR18" t="e">
        <f t="shared" si="8"/>
        <v>#N/A</v>
      </c>
      <c r="BS18" t="e">
        <f t="shared" si="9"/>
        <v>#N/A</v>
      </c>
      <c r="BT18" t="e">
        <f t="shared" si="10"/>
        <v>#N/A</v>
      </c>
      <c r="BU18" s="24" t="e">
        <f>IF(AM18=TRUE,(((Y18-(SD!$E$12*2))*3.14159265359)+BR18+BS18+BT18)/12+AL18,SUM(AF18:AG18,BR18,BS18,BT18,AO18,AQ18)/12)</f>
        <v>#N/A</v>
      </c>
      <c r="BW18" t="str">
        <f>IFERROR(LEFT(Data!L18,FIND(" -",Data!L18)-1),"")</f>
        <v/>
      </c>
      <c r="BX18" t="str">
        <f>IFERROR(IF(SD!$C$40=SD!$U$2,W18,IF(SD!$C$40=SD!$U$3,RIGHT(Data!L18,LEN(Data!L18)-(FIND("-",Data!L18)+1)),SD!$C$40)),"")</f>
        <v>#7</v>
      </c>
      <c r="BY18" cm="1">
        <f t="array" ref="BY18">IFERROR(_xlfn.LET(_xlpm.GRR,IF(AND(SD!$C$19=SD!$H$2,Grade!$G$1="Per level"),VLOOKUP(B18,Grade!$E$1:$F$200,2,FALSE),IF(AND(SD!$C$19=SD!$H$2,Grade!$G$1="Per Bar Size"),VLOOKUP(BX18,Grade!$B$1:$C$12,2,0),SD!$C$19)),_xlpm.is_equal, A17=A18,_xlpm.grade_range, IF(_xlpm.GRR=SD!$H$3, A615GR60,IF(_xlpm.GRR=SD!$H$4, A615GR75,IF(_xlpm.GRR=SD!$H$5, A615GR80,IF(_xlpm.GRR=SD!H22, A615GR100,IF(_xlpm.GRR=SD!$H$7, A706GR60,IF(_xlpm.GRR=SD!$H$8, A706GR80)))))),_xlpm.match_result, MATCH(1, (BSize=BX18)*(BCName=SD!$C$8), 0),_xlpm.final_result, INDEX(_xlpm.grade_range, _xlpm.match_result),IF(_xlpm.is_equal, "", _xlpm.final_result)),"")</f>
        <v>7</v>
      </c>
      <c r="BZ18">
        <f>IF(A17=A18,"",IF(SD!$C$41="Match Vertical Bars ",X18,IF(SD!$C$41=SD!$V$3,BW18,SD!$C$41)))</f>
        <v>6</v>
      </c>
      <c r="CA18" cm="1">
        <f t="array" ref="CA18">IF(A17=A18,"",IF(SD!$C$44="No T-Head",IF(SD!$C$42=SD!$Q$3,VLOOKUP(BX18,S90Range,3,FALSE),LEFT(SD!$C$42,FIND("-",SD!$C$42)-1)+(RIGHT(SD!$C$42,LEN(SD!$C$42)-FIND("-",SD!$C$42))/12)),IF(SD!$C$44="T-Head",_xlfn._xlws.FILTER(THead,(TCName=SD!$C$8)*(TSize=BX18)),IF(SD!$C$44="Level Wise",_xlfn.LET(_xlpm.result,_xlfn.XLOOKUP(B18,VDLevel,VDLevelStatus,"No"),IF(_xlpm.result="Yes",_xlfn._xlws.FILTER(THead,(TCName=SD!$C$8)*(TSize=BX18)),IF(SD!$C$42=SD!$Q$3,VLOOKUP(BX18,S90Range,3,FALSE),LEFT(SD!$C$42,FIND("-",SD!$C$42)-1)+(RIGHT(SD!$C$42,LEN(SD!$C$42)-FIND("-", SD!$C$42))/12)))),IF(SD!$C$44="BarSize Wise",_xlfn.LET(_xlpm.result,_xlfn.XLOOKUP(BX18,VDBarSize,VDBarSizeStatus,"No"),IF(_xlpm.result="Yes",_xlfn._xlws.FILTER(THead,(TCName=SD!$C$8)*(TSize=BX18)),IF(SD!$C$42=SD!$Q$3,VLOOKUP(BX18,S90Range,3,FALSE),LEFT(SD!$C$42,FIND("-",SD!$C$42)-1)+(RIGHT(SD!$C$42,LEN(SD!$C$42)-FIND("-",SD!$C$42))/12)))), "")))))</f>
        <v>1.1666666666666667</v>
      </c>
      <c r="CB18" t="str" cm="1">
        <f t="array" ref="CB18">_xlfn.LET(_xlpm.GRR,IF(AND(SD!$C$19=SD!$H$2,Grade!$G$1="Per level"),VLOOKUP(B18,Grade!$E$1:$F$200,2,FALSE),IF(AND(SD!$C$19=SD!$H$2,Grade!$G$1="Per Bar Size"),VLOOKUP(BX18,Grade!$B$1:$C$12,2,0),SD!$C$19)),_xlpm.is_coupler, K18="Coupler",_xlpm.condition1, SD!$C$43=SD!$W$2,_xlpm.data_j2_empty, Data!$J18="",_xlpm.lookup_table, IF(SD!$C$11="Create", Lap!$A$3:$BF$14, IF(SD!$C$11="Per Uploaded File", Lap!$A$19:$BF$30, "")),_xlpm.row_match, MATCH(BX18, Lap!$A$3:$A$14, 0),_xlpm.grade_offset, IF(IFERROR(FIND("Grade 60",_xlpm.GRR), 0) &gt; 0, 0, IF(IFERROR(FIND("Grade 80",_xlpm.GRR), 0), 1, IF(IFERROR(FIND("Grade 75",_xlpm.GRR), 0), 2, ""))),_xlpm.col_match, MATCH(VALUE(D18), Lap!$A$3:$BF$3, 0) + _xlpm.grade_offset,_xlpm.index_result, IFERROR(INDEX(_xlpm.lookup_table, _xlpm.row_match, _xlpm.col_match), Data!$J18),_xlpm.result_if_condition1, IF(_xlpm.data_j2_empty, _xlpm.index_result, Data!$J18),IF(_xlpm.is_coupler, 0, IF(_xlpm.condition1, _xlpm.result_if_condition1, SD!$C$43)))</f>
        <v>3-6</v>
      </c>
      <c r="CC18" s="24">
        <f t="shared" si="11"/>
        <v>3.5</v>
      </c>
      <c r="CD18">
        <f t="shared" si="12"/>
        <v>8.6666666666666679</v>
      </c>
      <c r="CE18" t="str" cm="1">
        <f t="array" ref="CE18">IF(BY18="","",_xlfn._xlws.FILTER(SAC,(CName=SD!$C$8)*(EName="Vert Dowels")))</f>
        <v>2200 CD</v>
      </c>
      <c r="CF18" t="str" cm="1">
        <f t="array" ref="CF18">IFERROR(IF(BY18="","",IF(K18="Coupler",_xlfn._xlws.FILTER(CCoupler,(CCName=SD!$C$8)*(CBSize=IF(A17=A18,W17&amp;W18,BX18&amp;W18))*(CCMFM="Male")),"")),"N/A")</f>
        <v/>
      </c>
      <c r="CG18" t="str">
        <f t="shared" si="13"/>
        <v/>
      </c>
      <c r="CH18" t="str">
        <f t="shared" si="14"/>
        <v/>
      </c>
      <c r="CI18" t="str">
        <f>_xlfn.LET(_xlpm.u3_value, U19,_xlpm.hyphen_pos,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K19="Coupler",_xlpm.coupler_value, IF(_xlpm.is_coupler, 0, _xlpm.calculated_value),_xlpm.final_value, _xlpm.calculated_value + SD!$E$13 + _xlpm.coupler_value,IF(CG18="", "", _xlpm.final_value))</f>
        <v/>
      </c>
      <c r="CJ18" t="str" cm="1">
        <f t="array" ref="CJ18">IF(CG18="","",_xlfn._xlws.FILTER(SAC,(CName=SD!$C$8)*(EName="Loose Dowels")))</f>
        <v/>
      </c>
      <c r="CK18" t="str" cm="1">
        <f t="array" ref="CK18">IFERROR(IF(CG18="","",IF(K19="Coupler",_xlfn._xlws.FILTER(CCoupler,(CCName=SD!$C$8)*(CBSize=IF(A18=A19,W18&amp;W19,""))*(CCMFM="Male")),"")),"N/A")</f>
        <v/>
      </c>
      <c r="CL18">
        <f>IFERROR(IF(AM18="Spiral","",IF(A17=A18,"",IF(SD!$C$37=0,"",SD!$C$37))),"")</f>
        <v>3</v>
      </c>
      <c r="CN18">
        <f>IF(AM18="Spiral","",IFERROR(IF(SD!$C$36=0,"",SD!$C$36),""))</f>
        <v>5</v>
      </c>
      <c r="CP18">
        <f>IFERROR(IF(SD!$C$42=SD!$Q$3,'Take-off'!CA18,""),"")</f>
        <v>1.1666666666666667</v>
      </c>
      <c r="CR18">
        <f>IFERROR(IF(SD!$C$22=SD!$U$2,W18,SD!$C$22),"")</f>
        <v>0</v>
      </c>
      <c r="CS18" t="str" cm="1">
        <f t="array" ref="CS18">_xlfn.LET(_xlpm.GR,IF(AND(SD!$C$19=SD!$H$2,Grade!$G$1="Per level"),VLOOKUP(B18,Grade!$E$1:$F$200,2,FALSE),IF(AND(SD!$C$19=SD!$H$2,Grade!$G$1="Per Bar Size"),VLOOKUP(CR18,Grade!$B$1:$C$12,2,0),SD!$C$19)),IF(SD!$C$20=SD!$R$4,IF(A19=A18,"",INDEX(IF(_xlpm.GR=SD!$H$3,A615GR60,IF(_xlpm.GR=SD!$H$4,A615GR75,IF(_xlpm.GR=SD!$H$5,A615GR80,IF(_xlpm.GR=SD!H22,A615GR100,IF(_xlpm.GR=SD!$H$7,A706GR60,IF(_xlpm.GR=SD!$H$8,A706GR80)))))), MATCH(1, (BSize=CR18)*(BCName=SD!$C$8), 0))),""))</f>
        <v/>
      </c>
      <c r="CT18">
        <f>IF(A19=A18,"",IF(SD!$C$23="Match Vertical Bars ",X18,SD!$C$23))</f>
        <v>0</v>
      </c>
      <c r="CU18" t="str" cm="1">
        <f t="array" ref="CU18">IF(A19=A18,"",IF(SD!$C$20="Top dowels",IF(SD!$E$25="No T-Head",IF(SD!$C$24=SD!$Q$3,VLOOKUP(CR18,S90Range,3,FALSE),LEFT(SD!$C$24,FIND("-",SD!$C$24)-1)+(RIGHT(SD!$C$24,LEN(SD!$C$24)-FIND("-",SD!$C$24))/12)),IF(SD!$E$25="T-Head",_xlfn._xlws.FILTER(THead,(TCName=SD!$C$8)*(TSize=CR18)),IF(SD!$E$25="Level Wise",_xlfn.LET(_xlpm.result,_xlfn.XLOOKUP(B18,TDLevel,TDLevelStatus,"No"),IF(_xlpm.result="Yes",_xlfn._xlws.FILTER(THead,(TCName=SD!$C$8)*(TSize=CR18)),IF(SD!$C$24=SD!$Q$3,VLOOKUP(CR18,S90Range,3,FALSE),LEFT(SD!$C$24,FIND("-",SD!$C$24)-1)+(RIGHT(SD!$C$24,LEN(SD!$C$24)-FIND("-", SD!$C$24))/12)))),IF(SD!$E$25="BarSize Wise",_xlfn.LET(_xlpm.result,_xlfn.XLOOKUP(CR18,TDBarSize,TDBarSizeStatus,"No"),IF(_xlpm.result="Yes",_xlfn._xlws.FILTER(THead,(TCName=SD!$C$8)*(TSize=CR18)),IF(SD!$C$24=SD!$Q$3,VLOOKUP(CR18,S90Range,3,FALSE),LEFT(SD!$C$24,FIND("-",SD!$C$24)-1)+(RIGHT(SD!$C$24,LEN(SD!$C$24)-FIND("-",SD!$C$24))/12)))), "")))),""))</f>
        <v/>
      </c>
      <c r="CV18" t="str">
        <f>_xlfn.LET(_xlpm.GRR,IF(AND(SD!$C$19=SD!$H$2,Grade!$G$1="Per level"),VLOOKUP(B18,Grade!$E$1:$F$200,2,FALSE),IF(AND(SD!$C$19=SD!$H$2,Grade!$G$1="Per Bar Size"),VLOOKUP(CR18,Grade!$B$1:$C$12,2,0),SD!$C$19)),IF(SD!$C$25=SD!$W$2,IF(Data!$J18="",IFERROR(INDEX(IF(SD!$C$11="Create",Lap!$A$3:$BF$14,IF(SD!$C$11="Per Uploaded File",Lap!$A$19:$BF$30,"")),MATCH(CR18,Lap!$A$3:$A$14,0),MATCH(VALUE(D18),Lap!$A$3:$BF$3,0)+IF(IFERROR(FIND("Grade 60",_xlpm.GRR),0)&gt;0,0,IF(IFERROR(FIND("Grade 80",_xlpm.GRR),0),1,IF(IFERROR(FIND("Grade 75",_xlpm.GRR),0),2,"")))),""),Data!J18),SD!$C$43))</f>
        <v>Match Lap</v>
      </c>
      <c r="CW18">
        <f t="shared" si="15"/>
        <v>0</v>
      </c>
      <c r="CX18">
        <f t="shared" si="16"/>
        <v>0</v>
      </c>
      <c r="CY18" t="str">
        <f t="shared" si="17"/>
        <v/>
      </c>
      <c r="DA18">
        <f t="shared" si="18"/>
        <v>24</v>
      </c>
      <c r="DB18" t="str">
        <f t="shared" si="19"/>
        <v>12-3</v>
      </c>
      <c r="DC18" s="24">
        <f t="shared" si="20"/>
        <v>12.25</v>
      </c>
      <c r="DD18">
        <f t="shared" si="21"/>
        <v>12.25</v>
      </c>
      <c r="DE18" t="s">
        <v>733</v>
      </c>
      <c r="DF18" t="s">
        <v>67</v>
      </c>
      <c r="DG18" t="str">
        <f>VLOOKUP(W18,'Level Wise PSI'!$F$2:$G$12,2,FALSE)</f>
        <v>Double Lift</v>
      </c>
      <c r="DI18" t="str" cm="1">
        <f t="array" ref="DI18">_xlfn.LET(_xlpm.Coup,IFERROR(IF(BY18="","",IF(K18="Coupler",_xlfn._xlws.FILTER(CCFCoupler,(CCName=SD!$C$8)*(CBSize=IF(A17=A18,W17&amp;W18,BX18&amp;W18))),"")),"N/A"),IF(_xlpm.Coup=0,"",_xlpm.Coup))</f>
        <v/>
      </c>
      <c r="DJ18" t="str" cm="1">
        <f t="array" ref="DJ18">_xlfn.LET(_xlpm.Coup3,IFERROR(IF(CG18="","",IF(K19="Coupler",_xlfn._xlws.FILTER(CCFCoupler,(CCName=SD!$C$8)*(CBSize=IF(A18=A19,W18&amp;W19,""))),"")),"N/A"),IF(_xlpm.Coup3=0,"",_xlpm.Coup3))</f>
        <v/>
      </c>
      <c r="DK18" t="str" cm="1">
        <f t="array" ref="DK18">_xlfn.LET(_xlpm.Coup2,IFERROR(IF(A18&lt;&gt;A19,"",IF(DF18="No Lap","",IF(K19="Coupler",_xlfn._xlws.FILTER(CCFCoupler,(CCName=SD!$C$8)*(CBSize=IF(A17=A18,W18&amp;W19,W18&amp;W18))),""))),"N/A"),IF(_xlpm.Coup2=0,"",_xlpm.Coup2))</f>
        <v/>
      </c>
      <c r="DM18" t="str">
        <f>IF(AM18="Spiral","",IF(SD!$C$31=SD!$Y$3,SD!$E$32*2,""))</f>
        <v/>
      </c>
      <c r="DO18" s="24">
        <f t="shared" si="22"/>
        <v>2</v>
      </c>
      <c r="DQ18" t="str">
        <f t="shared" si="23"/>
        <v>Lig</v>
      </c>
      <c r="DR18" t="str">
        <f>IF(AM18="Spiral",((Y18-(SD!$E$12*2))/12),"")</f>
        <v/>
      </c>
      <c r="DS18" t="str">
        <f t="shared" si="24"/>
        <v/>
      </c>
      <c r="DT18" t="str">
        <f t="shared" si="25"/>
        <v/>
      </c>
      <c r="DU18" t="str">
        <f t="shared" si="26"/>
        <v/>
      </c>
    </row>
    <row r="19" spans="1:125" x14ac:dyDescent="0.25">
      <c r="A19">
        <v>25</v>
      </c>
      <c r="B19" t="s">
        <v>664</v>
      </c>
      <c r="C19" s="15">
        <v>2429</v>
      </c>
      <c r="D19" s="15">
        <v>10000</v>
      </c>
      <c r="E19" t="str">
        <f>IF(B19=Level!$A$2,SD!$C$14,SD!$C$13)</f>
        <v>3-0</v>
      </c>
      <c r="F19" s="15" t="s">
        <v>787</v>
      </c>
      <c r="G19" t="s">
        <v>733</v>
      </c>
      <c r="H19" s="15" t="s">
        <v>788</v>
      </c>
      <c r="I19" t="s">
        <v>723</v>
      </c>
      <c r="J19" t="str">
        <f>IF(AND(SD!$C$19=SD!$H$2,Grade!$G$1="Per level"),VLOOKUP(B19,Grade!$E$1:$F$200,2,FALSE),IF(AND(SD!$C$19=SD!$H$2,Grade!$G$1="Per Bar Size"),VLOOKUP(W19,Grade!$B$1:$C$12,2,0),SD!$C$19))</f>
        <v>A615 Grade 60</v>
      </c>
      <c r="K19" t="s">
        <v>67</v>
      </c>
      <c r="L19" t="str">
        <f>IFERROR(IF(A19&lt;&gt;A20,"",IF(DF19="No Lap","",IF(K20="Lap",U19,IF(K20="Coupler",_xlfn._xlws.FILTER(CCoupler,(CCName=SD!$C$8)*(CBSize=IF(A18=A19,W19&amp;W20,W19&amp;W19))*(CCMFM="Male")),"")))),"N/A")</f>
        <v/>
      </c>
      <c r="M19" t="str">
        <f t="shared" si="0"/>
        <v/>
      </c>
      <c r="N19" t="s">
        <v>719</v>
      </c>
      <c r="O19" t="s">
        <v>720</v>
      </c>
      <c r="P19" t="s">
        <v>719</v>
      </c>
      <c r="Q19" t="str">
        <f>IF(AND(SD!$C$29=SD!$P$2,Grade!$O$1="Per level"),VLOOKUP(B19,Grade!$M$1:$N$200,2,FALSE),IF(AND(SD!$C$29=SD!$P$2,Grade!$O$1="Per Bar Size"),VLOOKUP(LEFT(N19,FIND("@",N19)-2),Grade!$J$1:$K$12,2,0),SD!$C$29))</f>
        <v>A615 Grade 60</v>
      </c>
      <c r="R19" t="s">
        <v>725</v>
      </c>
      <c r="S19" s="57">
        <v>19</v>
      </c>
      <c r="U19" t="str">
        <f>IF(Data!$J19="",IFERROR(INDEX(IF(SD!$C$11="Create",Lap!$A$3:$BF$14,IF(SD!$C$11="Per Uploaded File",Lap!$A$19:$BF$30,"")),MATCH(W19,Lap!$A$3:$A$14,0),MATCH(VALUE(D19),Lap!$A$3:$BF$3,0)+IF(IFERROR(FIND("Grade 60",J19),0)&gt;0,0,IF(IFERROR(FIND("Grade 80",J19),0),1,IF(IFERROR(FIND("Grade 75",J19),0),2,"")))),""),Data!J19)</f>
        <v>3-6</v>
      </c>
      <c r="W19" t="s">
        <v>139</v>
      </c>
      <c r="X19">
        <v>6</v>
      </c>
      <c r="Y19" t="str">
        <f t="shared" si="1"/>
        <v xml:space="preserve">14 </v>
      </c>
      <c r="Z19" t="str">
        <f t="shared" si="2"/>
        <v xml:space="preserve"> 24</v>
      </c>
      <c r="AA19" s="24">
        <f t="shared" si="3"/>
        <v>19.583333333333332</v>
      </c>
      <c r="BB19" t="e" cm="1">
        <f t="array" ref="BB19">_xlfn.LET(_xlpm.PartF,(_xlfn.LET(_xlpm.grade, Q19,_xlpm.gradeRange, IF(_xlpm.grade=SD!$H$3, A615GR60, IF(_xlpm.grade=SD!$H$4, A615GR75, IF(_xlpm.grade=SD!$H$5, A615GR80, IF(_xlpm.grade=SD!$H$6, A615GR100, IF(_xlpm.grade=SD!$H$7, A706GR60, IF(_xlpm.grade=SD!$H$8, A706GR80)))))),_xlpm.matchValue, MATCH(1, (SD!$AW:$AW=AS19)*(SD!$AX:$AX=SD!$C$8), 0),INDEX(_xlpm.gradeRange, _xlpm.matchValue))),IF(AM19="Spiral",CONCATENATE("SP",_xlpm.PartF),_xlpm.PartF))</f>
        <v>#N/A</v>
      </c>
      <c r="BC19" cm="1">
        <f t="array" ref="BC19">_xlfn.LET(_xlpm.leftPart, LEFT(O19, FIND("@", O19) - 2),_xlpm.grade,Q19,_xlpm.gradeRange,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" cm="1">
        <f t="array" ref="BD19">_xlfn.LET(_xlpm.leftPart, LEFT(P19, FIND("@", P19) - 2),_xlpm.grade, Q19,_xlpm.gradeRange,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">
        <f t="shared" si="4"/>
        <v>2</v>
      </c>
      <c r="BF19">
        <f>IF(SD!$C$32=SD!$I$2,BE19,IF(SD!$C$32=SD!$I$3,DO19,IF(SD!$C$32=SD!$I$5,BA19,IF(SD!$C$32=SD!$I$6,(LEFT(SD!$C$35,FIND("-",SD!$C$35)-1)+RIGHT(SD!$C$35,LEN(SD!$C$35)-FIND("-",SD!$C$35))/12),IF(SD!$C$32=SD!$I$4,(AU19-(BG19+BH19)))))))</f>
        <v>0</v>
      </c>
      <c r="BG19">
        <f>IF(SD!$C$33=SD!$I$2,BE19,IF(SD!$C$33=SD!$I$3,DO19,IF(SD!$C$33=SD!$I$5,BA19,IF(SD!$C$33=SD!$I$6,(LEFT(SD!$C$35,FIND("-",SD!$C$35)-1)+RIGHT(SD!$C$35,LEN(SD!$C$35)-FIND("-",SD!$C$35))/12),IF(SD!$C$33=SD!$I$4,(AU19-(BF19+BH19)))))))</f>
        <v>-1</v>
      </c>
      <c r="BH19">
        <f>IF(SD!$C$34=SD!$I$2,BE19,IF(SD!$C$34=SD!$I$3,DO19,IF(SD!$C$34=SD!$I$5,BA19,IF(SD!$C$34=SD!$I$6,(LEFT(SD!$C$35,FIND("-",SD!$C$35)-1)+RIGHT(SD!$C$35,LEN(SD!$C$35)-FIND("-",SD!$C$35))/12),IF(SD!$C$34=SD!$I$4,(AU19-(BF19+BG19)))))))</f>
        <v>1</v>
      </c>
      <c r="BJ19">
        <f>IF(AM19="Spiral","1",MAX(ROUNDUP(IF(SD!$C$32="",AT19,BF19/(LEFT(RIGHT(N19,LEN(N19)-FIND("@",N19)),LEN(RIGHT(N19,LEN(N19)-FIND("@",N19)))-1)/12)+1),0),0))</f>
        <v>1</v>
      </c>
      <c r="BK19">
        <f>MAX(ROUNDUP(IF(SD!$C$33="","",BG19/(LEFT(RIGHT(O19,LEN(O19)-FIND("@",O19)),LEN(RIGHT(O19,LEN(O19)-FIND("@",O19)))-1)/12)+1),0),0)</f>
        <v>0</v>
      </c>
      <c r="BL19">
        <f>MAX(ROUNDUP(IF(SD!$C$34="","",BH19/(LEFT(RIGHT(P19,LEN(P19)-FIND("@",P19)),LEN(RIGHT(P19,LEN(P19)-FIND("@",P19)))-1)/12)+1),0),0)</f>
        <v>3</v>
      </c>
      <c r="BN19" t="e">
        <f t="shared" si="5"/>
        <v>#N/A</v>
      </c>
      <c r="BO19" t="e">
        <f t="shared" si="6"/>
        <v>#N/A</v>
      </c>
      <c r="BP19" t="e">
        <f t="shared" si="7"/>
        <v>#N/A</v>
      </c>
      <c r="BQ19" s="24" t="e">
        <f>IF(AM19=TRUE,(((Y19-(SD!$E$12*2))*3.14159265359)+BN19+BO19+BP19)/12+AL19,SUM(AF19:AG19,BN19,BO19,BP19,AO19,AQ19)/12)</f>
        <v>#N/A</v>
      </c>
      <c r="BR19" t="e">
        <f t="shared" si="8"/>
        <v>#N/A</v>
      </c>
      <c r="BS19" t="e">
        <f t="shared" si="9"/>
        <v>#N/A</v>
      </c>
      <c r="BT19" t="e">
        <f t="shared" si="10"/>
        <v>#N/A</v>
      </c>
      <c r="BU19" s="24" t="e">
        <f>IF(AM19=TRUE,(((Y19-(SD!$E$12*2))*3.14159265359)+BR19+BS19+BT19)/12+AL19,SUM(AF19:AG19,BR19,BS19,BT19,AO19,AQ19)/12)</f>
        <v>#N/A</v>
      </c>
      <c r="BW19" t="str">
        <f>IFERROR(LEFT(Data!L19,FIND(" -",Data!L19)-1),"")</f>
        <v/>
      </c>
      <c r="BX19" t="str">
        <f>IFERROR(IF(SD!$C$40=SD!$U$2,W19,IF(SD!$C$40=SD!$U$3,RIGHT(Data!L19,LEN(Data!L19)-(FIND("-",Data!L19)+1)),SD!$C$40)),"")</f>
        <v>#7</v>
      </c>
      <c r="BY19" cm="1">
        <f t="array" ref="BY19">IFERROR(_xlfn.LET(_xlpm.GRR,IF(AND(SD!$C$19=SD!$H$2,Grade!$G$1="Per level"),VLOOKUP(B19,Grade!$E$1:$F$200,2,FALSE),IF(AND(SD!$C$19=SD!$H$2,Grade!$G$1="Per Bar Size"),VLOOKUP(BX19,Grade!$B$1:$C$12,2,0),SD!$C$19)),_xlpm.is_equal, A18=A19,_xlpm.grade_range, IF(_xlpm.GRR=SD!$H$3, A615GR60,IF(_xlpm.GRR=SD!$H$4, A615GR75,IF(_xlpm.GRR=SD!$H$5, A615GR80,IF(_xlpm.GRR=SD!H23, A615GR100,IF(_xlpm.GRR=SD!$H$7, A706GR60,IF(_xlpm.GRR=SD!$H$8, A706GR80)))))),_xlpm.match_result, MATCH(1, (BSize=BX19)*(BCName=SD!$C$8), 0),_xlpm.final_result, INDEX(_xlpm.grade_range, _xlpm.match_result),IF(_xlpm.is_equal, "", _xlpm.final_result)),"")</f>
        <v>7</v>
      </c>
      <c r="BZ19">
        <f>IF(A18=A19,"",IF(SD!$C$41="Match Vertical Bars ",X19,IF(SD!$C$41=SD!$V$3,BW19,SD!$C$41)))</f>
        <v>6</v>
      </c>
      <c r="CA19" cm="1">
        <f t="array" ref="CA19">IF(A18=A19,"",IF(SD!$C$44="No T-Head",IF(SD!$C$42=SD!$Q$3,VLOOKUP(BX19,S90Range,3,FALSE),LEFT(SD!$C$42,FIND("-",SD!$C$42)-1)+(RIGHT(SD!$C$42,LEN(SD!$C$42)-FIND("-",SD!$C$42))/12)),IF(SD!$C$44="T-Head",_xlfn._xlws.FILTER(THead,(TCName=SD!$C$8)*(TSize=BX19)),IF(SD!$C$44="Level Wise",_xlfn.LET(_xlpm.result,_xlfn.XLOOKUP(B19,VDLevel,VDLevelStatus,"No"),IF(_xlpm.result="Yes",_xlfn._xlws.FILTER(THead,(TCName=SD!$C$8)*(TSize=BX19)),IF(SD!$C$42=SD!$Q$3,VLOOKUP(BX19,S90Range,3,FALSE),LEFT(SD!$C$42,FIND("-",SD!$C$42)-1)+(RIGHT(SD!$C$42,LEN(SD!$C$42)-FIND("-", SD!$C$42))/12)))),IF(SD!$C$44="BarSize Wise",_xlfn.LET(_xlpm.result,_xlfn.XLOOKUP(BX19,VDBarSize,VDBarSizeStatus,"No"),IF(_xlpm.result="Yes",_xlfn._xlws.FILTER(THead,(TCName=SD!$C$8)*(TSize=BX19)),IF(SD!$C$42=SD!$Q$3,VLOOKUP(BX19,S90Range,3,FALSE),LEFT(SD!$C$42,FIND("-",SD!$C$42)-1)+(RIGHT(SD!$C$42,LEN(SD!$C$42)-FIND("-",SD!$C$42))/12)))), "")))))</f>
        <v>1.1666666666666667</v>
      </c>
      <c r="CB19" t="str" cm="1">
        <f t="array" ref="CB19">_xlfn.LET(_xlpm.GRR,IF(AND(SD!$C$19=SD!$H$2,Grade!$G$1="Per level"),VLOOKUP(B19,Grade!$E$1:$F$200,2,FALSE),IF(AND(SD!$C$19=SD!$H$2,Grade!$G$1="Per Bar Size"),VLOOKUP(BX19,Grade!$B$1:$C$12,2,0),SD!$C$19)),_xlpm.is_coupler, K19="Coupler",_xlpm.condition1, SD!$C$43=SD!$W$2,_xlpm.data_j2_empty, Data!$J19="",_xlpm.lookup_table, IF(SD!$C$11="Create", Lap!$A$3:$BF$14, IF(SD!$C$11="Per Uploaded File", Lap!$A$19:$BF$30, "")),_xlpm.row_match, MATCH(BX19, Lap!$A$3:$A$14, 0),_xlpm.grade_offset, IF(IFERROR(FIND("Grade 60",_xlpm.GRR), 0) &gt; 0, 0, IF(IFERROR(FIND("Grade 80",_xlpm.GRR), 0), 1, IF(IFERROR(FIND("Grade 75",_xlpm.GRR), 0), 2, ""))),_xlpm.col_match, MATCH(VALUE(D19), Lap!$A$3:$BF$3, 0) + _xlpm.grade_offset,_xlpm.index_result, IFERROR(INDEX(_xlpm.lookup_table, _xlpm.row_match, _xlpm.col_match), Data!$J19),_xlpm.result_if_condition1, IF(_xlpm.data_j2_empty, _xlpm.index_result, Data!$J19),IF(_xlpm.is_coupler, 0, IF(_xlpm.condition1, _xlpm.result_if_condition1, SD!$C$43)))</f>
        <v>3-6</v>
      </c>
      <c r="CC19" s="24">
        <f t="shared" si="11"/>
        <v>3.5</v>
      </c>
      <c r="CD19">
        <f t="shared" si="12"/>
        <v>7.666666666666667</v>
      </c>
      <c r="CE19" t="str" cm="1">
        <f t="array" ref="CE19">IF(BY19="","",_xlfn._xlws.FILTER(SAC,(CName=SD!$C$8)*(EName="Vert Dowels")))</f>
        <v>2200 CD</v>
      </c>
      <c r="CF19" t="str" cm="1">
        <f t="array" ref="CF19">IFERROR(IF(BY19="","",IF(K19="Coupler",_xlfn._xlws.FILTER(CCoupler,(CCName=SD!$C$8)*(CBSize=IF(A18=A19,W18&amp;W19,BX19&amp;W19))*(CCMFM="Male")),"")),"N/A")</f>
        <v/>
      </c>
      <c r="CG19" t="str">
        <f t="shared" si="13"/>
        <v/>
      </c>
      <c r="CH19" t="str">
        <f t="shared" si="14"/>
        <v/>
      </c>
      <c r="CI19" t="str">
        <f>_xlfn.LET(_xlpm.u3_value, U20,_xlpm.hyphen_pos,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K20="Coupler",_xlpm.coupler_value, IF(_xlpm.is_coupler, 0, _xlpm.calculated_value),_xlpm.final_value, _xlpm.calculated_value + SD!$E$13 + _xlpm.coupler_value,IF(CG19="", "", _xlpm.final_value))</f>
        <v/>
      </c>
      <c r="CJ19" t="str" cm="1">
        <f t="array" ref="CJ19">IF(CG19="","",_xlfn._xlws.FILTER(SAC,(CName=SD!$C$8)*(EName="Loose Dowels")))</f>
        <v/>
      </c>
      <c r="CK19" t="str" cm="1">
        <f t="array" ref="CK19">IFERROR(IF(CG19="","",IF(K20="Coupler",_xlfn._xlws.FILTER(CCoupler,(CCName=SD!$C$8)*(CBSize=IF(A19=A20,W19&amp;W20,""))*(CCMFM="Male")),"")),"N/A")</f>
        <v/>
      </c>
      <c r="CL19">
        <f>IFERROR(IF(AM19="Spiral","",IF(A18=A19,"",IF(SD!$C$37=0,"",SD!$C$37))),"")</f>
        <v>3</v>
      </c>
      <c r="CN19">
        <f>IF(AM19="Spiral","",IFERROR(IF(SD!$C$36=0,"",SD!$C$36),""))</f>
        <v>5</v>
      </c>
      <c r="CP19">
        <f>IFERROR(IF(SD!$C$42=SD!$Q$3,'Take-off'!CA19,""),"")</f>
        <v>1.1666666666666667</v>
      </c>
      <c r="CR19">
        <f>IFERROR(IF(SD!$C$22=SD!$U$2,W19,SD!$C$22),"")</f>
        <v>0</v>
      </c>
      <c r="CS19" t="str" cm="1">
        <f t="array" ref="CS19">_xlfn.LET(_xlpm.GR,IF(AND(SD!$C$19=SD!$H$2,Grade!$G$1="Per level"),VLOOKUP(B19,Grade!$E$1:$F$200,2,FALSE),IF(AND(SD!$C$19=SD!$H$2,Grade!$G$1="Per Bar Size"),VLOOKUP(CR19,Grade!$B$1:$C$12,2,0),SD!$C$19)),IF(SD!$C$20=SD!$R$4,IF(A20=A19,"",INDEX(IF(_xlpm.GR=SD!$H$3,A615GR60,IF(_xlpm.GR=SD!$H$4,A615GR75,IF(_xlpm.GR=SD!$H$5,A615GR80,IF(_xlpm.GR=SD!H23,A615GR100,IF(_xlpm.GR=SD!$H$7,A706GR60,IF(_xlpm.GR=SD!$H$8,A706GR80)))))), MATCH(1, (BSize=CR19)*(BCName=SD!$C$8), 0))),""))</f>
        <v/>
      </c>
      <c r="CT19">
        <f>IF(A20=A19,"",IF(SD!$C$23="Match Vertical Bars ",X19,SD!$C$23))</f>
        <v>0</v>
      </c>
      <c r="CU19" t="str" cm="1">
        <f t="array" ref="CU19">IF(A20=A19,"",IF(SD!$C$20="Top dowels",IF(SD!$E$25="No T-Head",IF(SD!$C$24=SD!$Q$3,VLOOKUP(CR19,S90Range,3,FALSE),LEFT(SD!$C$24,FIND("-",SD!$C$24)-1)+(RIGHT(SD!$C$24,LEN(SD!$C$24)-FIND("-",SD!$C$24))/12)),IF(SD!$E$25="T-Head",_xlfn._xlws.FILTER(THead,(TCName=SD!$C$8)*(TSize=CR19)),IF(SD!$E$25="Level Wise",_xlfn.LET(_xlpm.result,_xlfn.XLOOKUP(B19,TDLevel,TDLevelStatus,"No"),IF(_xlpm.result="Yes",_xlfn._xlws.FILTER(THead,(TCName=SD!$C$8)*(TSize=CR19)),IF(SD!$C$24=SD!$Q$3,VLOOKUP(CR19,S90Range,3,FALSE),LEFT(SD!$C$24,FIND("-",SD!$C$24)-1)+(RIGHT(SD!$C$24,LEN(SD!$C$24)-FIND("-", SD!$C$24))/12)))),IF(SD!$E$25="BarSize Wise",_xlfn.LET(_xlpm.result,_xlfn.XLOOKUP(CR19,TDBarSize,TDBarSizeStatus,"No"),IF(_xlpm.result="Yes",_xlfn._xlws.FILTER(THead,(TCName=SD!$C$8)*(TSize=CR19)),IF(SD!$C$24=SD!$Q$3,VLOOKUP(CR19,S90Range,3,FALSE),LEFT(SD!$C$24,FIND("-",SD!$C$24)-1)+(RIGHT(SD!$C$24,LEN(SD!$C$24)-FIND("-",SD!$C$24))/12)))), "")))),""))</f>
        <v/>
      </c>
      <c r="CV19" t="str">
        <f>_xlfn.LET(_xlpm.GRR,IF(AND(SD!$C$19=SD!$H$2,Grade!$G$1="Per level"),VLOOKUP(B19,Grade!$E$1:$F$200,2,FALSE),IF(AND(SD!$C$19=SD!$H$2,Grade!$G$1="Per Bar Size"),VLOOKUP(CR19,Grade!$B$1:$C$12,2,0),SD!$C$19)),IF(SD!$C$25=SD!$W$2,IF(Data!$J19="",IFERROR(INDEX(IF(SD!$C$11="Create",Lap!$A$3:$BF$14,IF(SD!$C$11="Per Uploaded File",Lap!$A$19:$BF$30,"")),MATCH(CR19,Lap!$A$3:$A$14,0),MATCH(VALUE(D19),Lap!$A$3:$BF$3,0)+IF(IFERROR(FIND("Grade 60",_xlpm.GRR),0)&gt;0,0,IF(IFERROR(FIND("Grade 80",_xlpm.GRR),0),1,IF(IFERROR(FIND("Grade 75",_xlpm.GRR),0),2,"")))),""),Data!J19),SD!$C$43))</f>
        <v>Match Lap</v>
      </c>
      <c r="CW19">
        <f t="shared" si="15"/>
        <v>0</v>
      </c>
      <c r="CX19">
        <f t="shared" si="16"/>
        <v>0</v>
      </c>
      <c r="CY19" t="str">
        <f t="shared" si="17"/>
        <v/>
      </c>
      <c r="DA19">
        <f t="shared" si="18"/>
        <v>25</v>
      </c>
      <c r="DB19" t="str">
        <f t="shared" si="19"/>
        <v>19-7</v>
      </c>
      <c r="DC19" s="24">
        <f t="shared" si="20"/>
        <v>19.583333333333332</v>
      </c>
      <c r="DD19">
        <f t="shared" si="21"/>
        <v>19.583333333333332</v>
      </c>
      <c r="DE19" t="s">
        <v>733</v>
      </c>
      <c r="DF19" t="s">
        <v>67</v>
      </c>
      <c r="DG19" t="str">
        <f>VLOOKUP(W19,'Level Wise PSI'!$F$2:$G$12,2,FALSE)</f>
        <v>Double Lift</v>
      </c>
      <c r="DI19" t="str" cm="1">
        <f t="array" ref="DI19">_xlfn.LET(_xlpm.Coup,IFERROR(IF(BY19="","",IF(K19="Coupler",_xlfn._xlws.FILTER(CCFCoupler,(CCName=SD!$C$8)*(CBSize=IF(A18=A19,W18&amp;W19,BX19&amp;W19))),"")),"N/A"),IF(_xlpm.Coup=0,"",_xlpm.Coup))</f>
        <v/>
      </c>
      <c r="DJ19" t="str" cm="1">
        <f t="array" ref="DJ19">_xlfn.LET(_xlpm.Coup3,IFERROR(IF(CG19="","",IF(K20="Coupler",_xlfn._xlws.FILTER(CCFCoupler,(CCName=SD!$C$8)*(CBSize=IF(A19=A20,W19&amp;W20,""))),"")),"N/A"),IF(_xlpm.Coup3=0,"",_xlpm.Coup3))</f>
        <v/>
      </c>
      <c r="DK19" t="str" cm="1">
        <f t="array" ref="DK19">_xlfn.LET(_xlpm.Coup2,IFERROR(IF(A19&lt;&gt;A20,"",IF(DF19="No Lap","",IF(K20="Coupler",_xlfn._xlws.FILTER(CCFCoupler,(CCName=SD!$C$8)*(CBSize=IF(A18=A19,W19&amp;W20,W19&amp;W19))),""))),"N/A"),IF(_xlpm.Coup2=0,"",_xlpm.Coup2))</f>
        <v/>
      </c>
      <c r="DM19" t="str">
        <f>IF(AM19="Spiral","",IF(SD!$C$31=SD!$Y$3,SD!$E$32*2,""))</f>
        <v/>
      </c>
      <c r="DO19" s="24">
        <f t="shared" si="22"/>
        <v>2</v>
      </c>
      <c r="DQ19" t="str">
        <f t="shared" si="23"/>
        <v>Lig</v>
      </c>
      <c r="DR19" t="str">
        <f>IF(AM19="Spiral",((Y19-(SD!$E$12*2))/12),"")</f>
        <v/>
      </c>
      <c r="DS19" t="str">
        <f t="shared" si="24"/>
        <v/>
      </c>
      <c r="DT19" t="str">
        <f t="shared" si="25"/>
        <v/>
      </c>
      <c r="DU19" t="str">
        <f t="shared" si="26"/>
        <v/>
      </c>
    </row>
    <row r="20" spans="1:125" x14ac:dyDescent="0.25">
      <c r="A20">
        <v>26</v>
      </c>
      <c r="B20" t="s">
        <v>664</v>
      </c>
      <c r="C20" s="15">
        <v>2429</v>
      </c>
      <c r="D20" s="15">
        <v>10000</v>
      </c>
      <c r="E20" s="15" t="s">
        <v>791</v>
      </c>
      <c r="F20" s="15" t="s">
        <v>787</v>
      </c>
      <c r="G20" t="s">
        <v>726</v>
      </c>
      <c r="H20" s="15" t="s">
        <v>789</v>
      </c>
      <c r="I20" t="s">
        <v>739</v>
      </c>
      <c r="J20" t="str">
        <f>IF(AND(SD!$C$19=SD!$H$2,Grade!$G$1="Per level"),VLOOKUP(B20,Grade!$E$1:$F$200,2,FALSE),IF(AND(SD!$C$19=SD!$H$2,Grade!$G$1="Per Bar Size"),VLOOKUP(W20,Grade!$B$1:$C$12,2,0),SD!$C$19))</f>
        <v>A615 Grade 60</v>
      </c>
      <c r="K20" t="s">
        <v>67</v>
      </c>
      <c r="L20" t="str">
        <f>IFERROR(IF(A20&lt;&gt;A21,"",IF(DF20="No Lap","",IF(K21="Lap",U20,IF(K21="Coupler",_xlfn._xlws.FILTER(CCoupler,(CCName=SD!$C$8)*(CBSize=IF(A19=A20,W20&amp;W21,W20&amp;W20))*(CCMFM="Male")),"")))),"N/A")</f>
        <v>5-1</v>
      </c>
      <c r="M20" t="str">
        <f t="shared" si="0"/>
        <v>10 - #10</v>
      </c>
      <c r="N20" t="s">
        <v>719</v>
      </c>
      <c r="O20" t="s">
        <v>720</v>
      </c>
      <c r="P20" t="s">
        <v>719</v>
      </c>
      <c r="Q20" t="str">
        <f>IF(AND(SD!$C$29=SD!$P$2,Grade!$O$1="Per level"),VLOOKUP(B20,Grade!$M$1:$N$200,2,FALSE),IF(AND(SD!$C$29=SD!$P$2,Grade!$O$1="Per Bar Size"),VLOOKUP(LEFT(N20,FIND("@",N20)-2),Grade!$J$1:$K$12,2,0),SD!$C$29))</f>
        <v>A615 Grade 60</v>
      </c>
      <c r="R20" t="s">
        <v>736</v>
      </c>
      <c r="S20" s="57">
        <v>20</v>
      </c>
      <c r="U20" t="str">
        <f>IF(Data!$J20="",IFERROR(INDEX(IF(SD!$C$11="Create",Lap!$A$3:$BF$14,IF(SD!$C$11="Per Uploaded File",Lap!$A$19:$BF$30,"")),MATCH(W20,Lap!$A$3:$A$14,0),MATCH(VALUE(D20),Lap!$A$3:$BF$3,0)+IF(IFERROR(FIND("Grade 60",J20),0)&gt;0,0,IF(IFERROR(FIND("Grade 80",J20),0),1,IF(IFERROR(FIND("Grade 75",J20),0),2,"")))),""),Data!J20)</f>
        <v>5-1</v>
      </c>
      <c r="W20" t="s">
        <v>176</v>
      </c>
      <c r="X20">
        <v>8</v>
      </c>
      <c r="Y20" t="str">
        <f t="shared" si="1"/>
        <v xml:space="preserve">24 </v>
      </c>
      <c r="Z20" t="str">
        <f t="shared" si="2"/>
        <v xml:space="preserve"> 36</v>
      </c>
      <c r="AA20" s="24">
        <f t="shared" si="3"/>
        <v>26.666666666666668</v>
      </c>
      <c r="BB20" t="e" cm="1">
        <f t="array" ref="BB20">_xlfn.LET(_xlpm.PartF,(_xlfn.LET(_xlpm.grade, Q20,_xlpm.gradeRange, IF(_xlpm.grade=SD!$H$3, A615GR60, IF(_xlpm.grade=SD!$H$4, A615GR75, IF(_xlpm.grade=SD!$H$5, A615GR80, IF(_xlpm.grade=SD!$H$6, A615GR100, IF(_xlpm.grade=SD!$H$7, A706GR60, IF(_xlpm.grade=SD!$H$8, A706GR80)))))),_xlpm.matchValue, MATCH(1, (SD!$AW:$AW=AS20)*(SD!$AX:$AX=SD!$C$8), 0),INDEX(_xlpm.gradeRange, _xlpm.matchValue))),IF(AM20="Spiral",CONCATENATE("SP",_xlpm.PartF),_xlpm.PartF))</f>
        <v>#N/A</v>
      </c>
      <c r="BC20" cm="1">
        <f t="array" ref="BC20">_xlfn.LET(_xlpm.leftPart, LEFT(O20, FIND("@", O20) - 2),_xlpm.grade,Q20,_xlpm.gradeRange,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" cm="1">
        <f t="array" ref="BD20">_xlfn.LET(_xlpm.leftPart, LEFT(P20, FIND("@", P20) - 2),_xlpm.grade, Q20,_xlpm.gradeRange,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">
        <f t="shared" si="4"/>
        <v>3</v>
      </c>
      <c r="BF20">
        <f>IF(SD!$C$32=SD!$I$2,BE20,IF(SD!$C$32=SD!$I$3,DO20,IF(SD!$C$32=SD!$I$5,BA20,IF(SD!$C$32=SD!$I$6,(LEFT(SD!$C$35,FIND("-",SD!$C$35)-1)+RIGHT(SD!$C$35,LEN(SD!$C$35)-FIND("-",SD!$C$35))/12),IF(SD!$C$32=SD!$I$4,(AU20-(BG20+BH20)))))))</f>
        <v>0</v>
      </c>
      <c r="BG20">
        <f>IF(SD!$C$33=SD!$I$2,BE20,IF(SD!$C$33=SD!$I$3,DO20,IF(SD!$C$33=SD!$I$5,BA20,IF(SD!$C$33=SD!$I$6,(LEFT(SD!$C$35,FIND("-",SD!$C$35)-1)+RIGHT(SD!$C$35,LEN(SD!$C$35)-FIND("-",SD!$C$35))/12),IF(SD!$C$33=SD!$I$4,(AU20-(BF20+BH20)))))))</f>
        <v>-1</v>
      </c>
      <c r="BH20">
        <f>IF(SD!$C$34=SD!$I$2,BE20,IF(SD!$C$34=SD!$I$3,DO20,IF(SD!$C$34=SD!$I$5,BA20,IF(SD!$C$34=SD!$I$6,(LEFT(SD!$C$35,FIND("-",SD!$C$35)-1)+RIGHT(SD!$C$35,LEN(SD!$C$35)-FIND("-",SD!$C$35))/12),IF(SD!$C$34=SD!$I$4,(AU20-(BF20+BG20)))))))</f>
        <v>1</v>
      </c>
      <c r="BJ20">
        <f>IF(AM20="Spiral","1",MAX(ROUNDUP(IF(SD!$C$32="",AT20,BF20/(LEFT(RIGHT(N20,LEN(N20)-FIND("@",N20)),LEN(RIGHT(N20,LEN(N20)-FIND("@",N20)))-1)/12)+1),0),0))</f>
        <v>1</v>
      </c>
      <c r="BK20">
        <f>MAX(ROUNDUP(IF(SD!$C$33="","",BG20/(LEFT(RIGHT(O20,LEN(O20)-FIND("@",O20)),LEN(RIGHT(O20,LEN(O20)-FIND("@",O20)))-1)/12)+1),0),0)</f>
        <v>0</v>
      </c>
      <c r="BL20">
        <f>MAX(ROUNDUP(IF(SD!$C$34="","",BH20/(LEFT(RIGHT(P20,LEN(P20)-FIND("@",P20)),LEN(RIGHT(P20,LEN(P20)-FIND("@",P20)))-1)/12)+1),0),0)</f>
        <v>3</v>
      </c>
      <c r="BN20" t="e">
        <f t="shared" si="5"/>
        <v>#N/A</v>
      </c>
      <c r="BO20" t="e">
        <f t="shared" si="6"/>
        <v>#N/A</v>
      </c>
      <c r="BP20" t="e">
        <f t="shared" si="7"/>
        <v>#N/A</v>
      </c>
      <c r="BQ20" s="24" t="e">
        <f>IF(AM20=TRUE,(((Y20-(SD!$E$12*2))*3.14159265359)+BN20+BO20+BP20)/12+AL20,SUM(AF20:AG20,BN20,BO20,BP20,AO20,AQ20)/12)</f>
        <v>#N/A</v>
      </c>
      <c r="BR20" t="e">
        <f t="shared" si="8"/>
        <v>#N/A</v>
      </c>
      <c r="BS20" t="e">
        <f t="shared" si="9"/>
        <v>#N/A</v>
      </c>
      <c r="BT20" t="e">
        <f t="shared" si="10"/>
        <v>#N/A</v>
      </c>
      <c r="BU20" s="24" t="e">
        <f>IF(AM20=TRUE,(((Y20-(SD!$E$12*2))*3.14159265359)+BR20+BS20+BT20)/12+AL20,SUM(AF20:AG20,BR20,BS20,BT20,AO20,AQ20)/12)</f>
        <v>#N/A</v>
      </c>
      <c r="BW20" t="str">
        <f>IFERROR(LEFT(Data!L20,FIND(" -",Data!L20)-1),"")</f>
        <v/>
      </c>
      <c r="BX20" t="str">
        <f>IFERROR(IF(SD!$C$40=SD!$U$2,W20,IF(SD!$C$40=SD!$U$3,RIGHT(Data!L20,LEN(Data!L20)-(FIND("-",Data!L20)+1)),SD!$C$40)),"")</f>
        <v>#10</v>
      </c>
      <c r="BY20" cm="1">
        <f t="array" ref="BY20">IFERROR(_xlfn.LET(_xlpm.GRR,IF(AND(SD!$C$19=SD!$H$2,Grade!$G$1="Per level"),VLOOKUP(B20,Grade!$E$1:$F$200,2,FALSE),IF(AND(SD!$C$19=SD!$H$2,Grade!$G$1="Per Bar Size"),VLOOKUP(BX20,Grade!$B$1:$C$12,2,0),SD!$C$19)),_xlpm.is_equal, A19=A20,_xlpm.grade_range, IF(_xlpm.GRR=SD!$H$3, A615GR60,IF(_xlpm.GRR=SD!$H$4, A615GR75,IF(_xlpm.GRR=SD!$H$5, A615GR80,IF(_xlpm.GRR=SD!H24, A615GR100,IF(_xlpm.GRR=SD!$H$7, A706GR60,IF(_xlpm.GRR=SD!$H$8, A706GR80)))))),_xlpm.match_result, MATCH(1, (BSize=BX20)*(BCName=SD!$C$8), 0),_xlpm.final_result, INDEX(_xlpm.grade_range, _xlpm.match_result),IF(_xlpm.is_equal, "", _xlpm.final_result)),"")</f>
        <v>10</v>
      </c>
      <c r="BZ20">
        <f>IF(A19=A20,"",IF(SD!$C$41="Match Vertical Bars ",X20,IF(SD!$C$41=SD!$V$3,BW20,SD!$C$41)))</f>
        <v>8</v>
      </c>
      <c r="CA20" cm="1">
        <f t="array" ref="CA20">IF(A19=A20,"",IF(SD!$C$44="No T-Head",IF(SD!$C$42=SD!$Q$3,VLOOKUP(BX20,S90Range,3,FALSE),LEFT(SD!$C$42,FIND("-",SD!$C$42)-1)+(RIGHT(SD!$C$42,LEN(SD!$C$42)-FIND("-",SD!$C$42))/12)),IF(SD!$C$44="T-Head",_xlfn._xlws.FILTER(THead,(TCName=SD!$C$8)*(TSize=BX20)),IF(SD!$C$44="Level Wise",_xlfn.LET(_xlpm.result,_xlfn.XLOOKUP(B20,VDLevel,VDLevelStatus,"No"),IF(_xlpm.result="Yes",_xlfn._xlws.FILTER(THead,(TCName=SD!$C$8)*(TSize=BX20)),IF(SD!$C$42=SD!$Q$3,VLOOKUP(BX20,S90Range,3,FALSE),LEFT(SD!$C$42,FIND("-",SD!$C$42)-1)+(RIGHT(SD!$C$42,LEN(SD!$C$42)-FIND("-", SD!$C$42))/12)))),IF(SD!$C$44="BarSize Wise",_xlfn.LET(_xlpm.result,_xlfn.XLOOKUP(BX20,VDBarSize,VDBarSizeStatus,"No"),IF(_xlpm.result="Yes",_xlfn._xlws.FILTER(THead,(TCName=SD!$C$8)*(TSize=BX20)),IF(SD!$C$42=SD!$Q$3,VLOOKUP(BX20,S90Range,3,FALSE),LEFT(SD!$C$42,FIND("-",SD!$C$42)-1)+(RIGHT(SD!$C$42,LEN(SD!$C$42)-FIND("-",SD!$C$42))/12)))), "")))))</f>
        <v>1.8333333333333335</v>
      </c>
      <c r="CB20" t="str" cm="1">
        <f t="array" ref="CB20">_xlfn.LET(_xlpm.GRR,IF(AND(SD!$C$19=SD!$H$2,Grade!$G$1="Per level"),VLOOKUP(B20,Grade!$E$1:$F$200,2,FALSE),IF(AND(SD!$C$19=SD!$H$2,Grade!$G$1="Per Bar Size"),VLOOKUP(BX20,Grade!$B$1:$C$12,2,0),SD!$C$19)),_xlpm.is_coupler, K20="Coupler",_xlpm.condition1, SD!$C$43=SD!$W$2,_xlpm.data_j2_empty, Data!$J20="",_xlpm.lookup_table, IF(SD!$C$11="Create", Lap!$A$3:$BF$14, IF(SD!$C$11="Per Uploaded File", Lap!$A$19:$BF$30, "")),_xlpm.row_match, MATCH(BX20, Lap!$A$3:$A$14, 0),_xlpm.grade_offset, IF(IFERROR(FIND("Grade 60",_xlpm.GRR), 0) &gt; 0, 0, IF(IFERROR(FIND("Grade 80",_xlpm.GRR), 0), 1, IF(IFERROR(FIND("Grade 75",_xlpm.GRR), 0), 2, ""))),_xlpm.col_match, MATCH(VALUE(D20), Lap!$A$3:$BF$3, 0) + _xlpm.grade_offset,_xlpm.index_result, IFERROR(INDEX(_xlpm.lookup_table, _xlpm.row_match, _xlpm.col_match), Data!$J20),_xlpm.result_if_condition1, IF(_xlpm.data_j2_empty, _xlpm.index_result, Data!$J20),IF(_xlpm.is_coupler, 0, IF(_xlpm.condition1, _xlpm.result_if_condition1, SD!$C$43)))</f>
        <v>5-1</v>
      </c>
      <c r="CC20" s="24">
        <f t="shared" si="11"/>
        <v>5.083333333333333</v>
      </c>
      <c r="CD20">
        <f t="shared" si="12"/>
        <v>12.75</v>
      </c>
      <c r="CE20" t="str" cm="1">
        <f t="array" ref="CE20">IF(BY20="","",_xlfn._xlws.FILTER(SAC,(CName=SD!$C$8)*(EName="Vert Dowels")))</f>
        <v>2200 CD</v>
      </c>
      <c r="CF20" t="str" cm="1">
        <f t="array" ref="CF20">IFERROR(IF(BY20="","",IF(K20="Coupler",_xlfn._xlws.FILTER(CCoupler,(CCName=SD!$C$8)*(CBSize=IF(A19=A20,W19&amp;W20,BX20&amp;W20))*(CCMFM="Male")),"")),"N/A")</f>
        <v/>
      </c>
      <c r="CG20" t="str">
        <f t="shared" si="13"/>
        <v>10</v>
      </c>
      <c r="CH20">
        <f t="shared" si="14"/>
        <v>0</v>
      </c>
      <c r="CI20">
        <f>_xlfn.LET(_xlpm.u3_value, U21,_xlpm.hyphen_pos,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K21="Coupler",_xlpm.coupler_value, IF(_xlpm.is_coupler, 0, _xlpm.calculated_value),_xlpm.final_value, _xlpm.calculated_value + SD!$E$13 + _xlpm.coupler_value,IF(CG20="", "", _xlpm.final_value))</f>
        <v>10.833333333333332</v>
      </c>
      <c r="CJ20" cm="1">
        <f t="array" ref="CJ20">IF(CG20="","",_xlfn._xlws.FILTER(SAC,(CName=SD!$C$8)*(EName="Loose Dowels")))</f>
        <v>2429</v>
      </c>
      <c r="CK20" t="str" cm="1">
        <f t="array" ref="CK20">IFERROR(IF(CG20="","",IF(K21="Coupler",_xlfn._xlws.FILTER(CCoupler,(CCName=SD!$C$8)*(CBSize=IF(A20=A21,W20&amp;W21,""))*(CCMFM="Male")),"")),"N/A")</f>
        <v/>
      </c>
      <c r="CL20">
        <f>IFERROR(IF(AM20="Spiral","",IF(A19=A20,"",IF(SD!$C$37=0,"",SD!$C$37))),"")</f>
        <v>3</v>
      </c>
      <c r="CN20">
        <f>IF(AM20="Spiral","",IFERROR(IF(SD!$C$36=0,"",SD!$C$36),""))</f>
        <v>5</v>
      </c>
      <c r="CP20">
        <f>IFERROR(IF(SD!$C$42=SD!$Q$3,'Take-off'!CA20,""),"")</f>
        <v>1.8333333333333335</v>
      </c>
      <c r="CR20">
        <f>IFERROR(IF(SD!$C$22=SD!$U$2,W20,SD!$C$22),"")</f>
        <v>0</v>
      </c>
      <c r="CS20" t="str" cm="1">
        <f t="array" ref="CS20">_xlfn.LET(_xlpm.GR,IF(AND(SD!$C$19=SD!$H$2,Grade!$G$1="Per level"),VLOOKUP(B20,Grade!$E$1:$F$200,2,FALSE),IF(AND(SD!$C$19=SD!$H$2,Grade!$G$1="Per Bar Size"),VLOOKUP(CR20,Grade!$B$1:$C$12,2,0),SD!$C$19)),IF(SD!$C$20=SD!$R$4,IF(A21=A20,"",INDEX(IF(_xlpm.GR=SD!$H$3,A615GR60,IF(_xlpm.GR=SD!$H$4,A615GR75,IF(_xlpm.GR=SD!$H$5,A615GR80,IF(_xlpm.GR=SD!H24,A615GR100,IF(_xlpm.GR=SD!$H$7,A706GR60,IF(_xlpm.GR=SD!$H$8,A706GR80)))))), MATCH(1, (BSize=CR20)*(BCName=SD!$C$8), 0))),""))</f>
        <v/>
      </c>
      <c r="CT20" t="str">
        <f>IF(A21=A20,"",IF(SD!$C$23="Match Vertical Bars ",X20,SD!$C$23))</f>
        <v/>
      </c>
      <c r="CU20" t="str" cm="1">
        <f t="array" ref="CU20">IF(A21=A20,"",IF(SD!$C$20="Top dowels",IF(SD!$E$25="No T-Head",IF(SD!$C$24=SD!$Q$3,VLOOKUP(CR20,S90Range,3,FALSE),LEFT(SD!$C$24,FIND("-",SD!$C$24)-1)+(RIGHT(SD!$C$24,LEN(SD!$C$24)-FIND("-",SD!$C$24))/12)),IF(SD!$E$25="T-Head",_xlfn._xlws.FILTER(THead,(TCName=SD!$C$8)*(TSize=CR20)),IF(SD!$E$25="Level Wise",_xlfn.LET(_xlpm.result,_xlfn.XLOOKUP(B20,TDLevel,TDLevelStatus,"No"),IF(_xlpm.result="Yes",_xlfn._xlws.FILTER(THead,(TCName=SD!$C$8)*(TSize=CR20)),IF(SD!$C$24=SD!$Q$3,VLOOKUP(CR20,S90Range,3,FALSE),LEFT(SD!$C$24,FIND("-",SD!$C$24)-1)+(RIGHT(SD!$C$24,LEN(SD!$C$24)-FIND("-", SD!$C$24))/12)))),IF(SD!$E$25="BarSize Wise",_xlfn.LET(_xlpm.result,_xlfn.XLOOKUP(CR20,TDBarSize,TDBarSizeStatus,"No"),IF(_xlpm.result="Yes",_xlfn._xlws.FILTER(THead,(TCName=SD!$C$8)*(TSize=CR20)),IF(SD!$C$24=SD!$Q$3,VLOOKUP(CR20,S90Range,3,FALSE),LEFT(SD!$C$24,FIND("-",SD!$C$24)-1)+(RIGHT(SD!$C$24,LEN(SD!$C$24)-FIND("-",SD!$C$24))/12)))), "")))),""))</f>
        <v/>
      </c>
      <c r="CV20" t="str">
        <f>_xlfn.LET(_xlpm.GRR,IF(AND(SD!$C$19=SD!$H$2,Grade!$G$1="Per level"),VLOOKUP(B20,Grade!$E$1:$F$200,2,FALSE),IF(AND(SD!$C$19=SD!$H$2,Grade!$G$1="Per Bar Size"),VLOOKUP(CR20,Grade!$B$1:$C$12,2,0),SD!$C$19)),IF(SD!$C$25=SD!$W$2,IF(Data!$J20="",IFERROR(INDEX(IF(SD!$C$11="Create",Lap!$A$3:$BF$14,IF(SD!$C$11="Per Uploaded File",Lap!$A$19:$BF$30,"")),MATCH(CR20,Lap!$A$3:$A$14,0),MATCH(VALUE(D20),Lap!$A$3:$BF$3,0)+IF(IFERROR(FIND("Grade 60",_xlpm.GRR),0)&gt;0,0,IF(IFERROR(FIND("Grade 80",_xlpm.GRR),0),1,IF(IFERROR(FIND("Grade 75",_xlpm.GRR),0),2,"")))),""),Data!J20),SD!$C$43))</f>
        <v>Match Lap</v>
      </c>
      <c r="CW20">
        <f t="shared" si="15"/>
        <v>0</v>
      </c>
      <c r="CX20">
        <f t="shared" si="16"/>
        <v>0</v>
      </c>
      <c r="CY20" t="str">
        <f t="shared" si="17"/>
        <v/>
      </c>
      <c r="DA20">
        <f t="shared" si="18"/>
        <v>26</v>
      </c>
      <c r="DB20" t="str">
        <f t="shared" si="19"/>
        <v>138-0</v>
      </c>
      <c r="DC20" s="24">
        <f t="shared" si="20"/>
        <v>137.99999999999997</v>
      </c>
      <c r="DD20">
        <f t="shared" si="21"/>
        <v>21.583333333333332</v>
      </c>
      <c r="DE20" t="s">
        <v>785</v>
      </c>
      <c r="DF20" t="s">
        <v>67</v>
      </c>
      <c r="DG20" t="str">
        <f>VLOOKUP(W20,'Level Wise PSI'!$F$2:$G$12,2,FALSE)</f>
        <v>Double Lift</v>
      </c>
      <c r="DI20" t="str" cm="1">
        <f t="array" ref="DI20">_xlfn.LET(_xlpm.Coup,IFERROR(IF(BY20="","",IF(K20="Coupler",_xlfn._xlws.FILTER(CCFCoupler,(CCName=SD!$C$8)*(CBSize=IF(A19=A20,W19&amp;W20,BX20&amp;W20))),"")),"N/A"),IF(_xlpm.Coup=0,"",_xlpm.Coup))</f>
        <v/>
      </c>
      <c r="DJ20" t="str" cm="1">
        <f t="array" ref="DJ20">_xlfn.LET(_xlpm.Coup3,IFERROR(IF(CG20="","",IF(K21="Coupler",_xlfn._xlws.FILTER(CCFCoupler,(CCName=SD!$C$8)*(CBSize=IF(A20=A21,W20&amp;W21,""))),"")),"N/A"),IF(_xlpm.Coup3=0,"",_xlpm.Coup3))</f>
        <v/>
      </c>
      <c r="DK20" t="str" cm="1">
        <f t="array" ref="DK20">_xlfn.LET(_xlpm.Coup2,IFERROR(IF(A20&lt;&gt;A21,"",IF(DF20="No Lap","",IF(K21="Coupler",_xlfn._xlws.FILTER(CCFCoupler,(CCName=SD!$C$8)*(CBSize=IF(A19=A20,W20&amp;W21,W20&amp;W20))),""))),"N/A"),IF(_xlpm.Coup2=0,"",_xlpm.Coup2))</f>
        <v/>
      </c>
      <c r="DM20" t="str">
        <f>IF(AM20="Spiral","",IF(SD!$C$31=SD!$Y$3,SD!$E$32*2,""))</f>
        <v/>
      </c>
      <c r="DO20" s="24">
        <f t="shared" si="22"/>
        <v>3</v>
      </c>
      <c r="DQ20" t="str">
        <f t="shared" si="23"/>
        <v>Lig</v>
      </c>
      <c r="DR20" t="str">
        <f>IF(AM20="Spiral",((Y20-(SD!$E$12*2))/12),"")</f>
        <v/>
      </c>
      <c r="DS20" t="str">
        <f t="shared" si="24"/>
        <v/>
      </c>
      <c r="DT20" t="str">
        <f t="shared" si="25"/>
        <v/>
      </c>
      <c r="DU20" t="str">
        <f t="shared" si="26"/>
        <v/>
      </c>
    </row>
    <row r="21" spans="1:125" x14ac:dyDescent="0.25">
      <c r="A21">
        <v>26</v>
      </c>
      <c r="B21" t="s">
        <v>667</v>
      </c>
      <c r="C21" s="15">
        <v>2429</v>
      </c>
      <c r="D21" s="15">
        <v>10000</v>
      </c>
      <c r="E21" t="str">
        <f>IF(B21=Level!$A$2,SD!$C$14,SD!$C$13)</f>
        <v>0-8</v>
      </c>
      <c r="F21" s="15" t="s">
        <v>787</v>
      </c>
      <c r="G21" t="s">
        <v>740</v>
      </c>
      <c r="H21" t="str">
        <f>RIGHT(VLOOKUP(B21,Level!A:C,3,FALSE),LEN(VLOOKUP(B21,Level!A:C,3,FALSE))-1)</f>
        <v>10-7</v>
      </c>
      <c r="I21" t="s">
        <v>741</v>
      </c>
      <c r="J21" t="str">
        <f>IF(AND(SD!$C$19=SD!$H$2,Grade!$G$1="Per level"),VLOOKUP(B21,Grade!$E$1:$F$200,2,FALSE),IF(AND(SD!$C$19=SD!$H$2,Grade!$G$1="Per Bar Size"),VLOOKUP(W21,Grade!$B$1:$C$12,2,0),SD!$C$19))</f>
        <v>A615 Grade 60</v>
      </c>
      <c r="K21" t="s">
        <v>67</v>
      </c>
      <c r="L21" t="str">
        <f>IFERROR(IF(A21&lt;&gt;A22,"",IF(DF21="No Lap","",IF(K22="Lap",U21,IF(K22="Coupler",_xlfn._xlws.FILTER(CCoupler,(CCName=SD!$C$8)*(CBSize=IF(A20=A21,W21&amp;W22,W21&amp;W21))*(CCMFM="Male")),"")))),"N/A")</f>
        <v>5-1</v>
      </c>
      <c r="M21" t="str">
        <f t="shared" si="0"/>
        <v/>
      </c>
      <c r="N21" t="s">
        <v>719</v>
      </c>
      <c r="O21" t="s">
        <v>720</v>
      </c>
      <c r="P21" t="s">
        <v>719</v>
      </c>
      <c r="Q21" t="str">
        <f>IF(AND(SD!$C$29=SD!$P$2,Grade!$O$1="Per level"),VLOOKUP(B21,Grade!$M$1:$N$200,2,FALSE),IF(AND(SD!$C$29=SD!$P$2,Grade!$O$1="Per Bar Size"),VLOOKUP(LEFT(N21,FIND("@",N21)-2),Grade!$J$1:$K$12,2,0),SD!$C$29))</f>
        <v>A615 Grade 60</v>
      </c>
      <c r="R21" t="s">
        <v>740</v>
      </c>
      <c r="S21" s="57">
        <v>21</v>
      </c>
      <c r="U21" t="str">
        <f>IF(Data!$J21="",IFERROR(INDEX(IF(SD!$C$11="Create",Lap!$A$3:$BF$14,IF(SD!$C$11="Per Uploaded File",Lap!$A$19:$BF$30,"")),MATCH(W21,Lap!$A$3:$A$14,0),MATCH(VALUE(D21),Lap!$A$3:$BF$3,0)+IF(IFERROR(FIND("Grade 60",J21),0)&gt;0,0,IF(IFERROR(FIND("Grade 80",J21),0),1,IF(IFERROR(FIND("Grade 75",J21),0),2,"")))),""),Data!J21)</f>
        <v>5-1</v>
      </c>
      <c r="W21" t="s">
        <v>176</v>
      </c>
      <c r="X21">
        <v>10</v>
      </c>
      <c r="Y21" t="str">
        <f t="shared" si="1"/>
        <v>36</v>
      </c>
      <c r="Z21">
        <f t="shared" si="2"/>
        <v>0</v>
      </c>
      <c r="AA21" s="24">
        <f t="shared" si="3"/>
        <v>15.666666666666666</v>
      </c>
      <c r="BB21" t="e" cm="1">
        <f t="array" ref="BB21">_xlfn.LET(_xlpm.PartF,(_xlfn.LET(_xlpm.grade, Q21,_xlpm.gradeRange, IF(_xlpm.grade=SD!$H$3, A615GR60, IF(_xlpm.grade=SD!$H$4, A615GR75, IF(_xlpm.grade=SD!$H$5, A615GR80, IF(_xlpm.grade=SD!$H$6, A615GR100, IF(_xlpm.grade=SD!$H$7, A706GR60, IF(_xlpm.grade=SD!$H$8, A706GR80)))))),_xlpm.matchValue, MATCH(1, (SD!$AW:$AW=AS21)*(SD!$AX:$AX=SD!$C$8), 0),INDEX(_xlpm.gradeRange, _xlpm.matchValue))),IF(AM21="Spiral",CONCATENATE("SP",_xlpm.PartF),_xlpm.PartF))</f>
        <v>#N/A</v>
      </c>
      <c r="BC21" cm="1">
        <f t="array" ref="BC21">_xlfn.LET(_xlpm.leftPart, LEFT(O21, FIND("@", O21) - 2),_xlpm.grade,Q21,_xlpm.gradeRange,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" cm="1">
        <f t="array" ref="BD21">_xlfn.LET(_xlpm.leftPart, LEFT(P21, FIND("@", P21) - 2),_xlpm.grade, Q21,_xlpm.gradeRange,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">
        <f t="shared" si="4"/>
        <v>3</v>
      </c>
      <c r="BF21">
        <f>IF(SD!$C$32=SD!$I$2,BE21,IF(SD!$C$32=SD!$I$3,DO21,IF(SD!$C$32=SD!$I$5,BA21,IF(SD!$C$32=SD!$I$6,(LEFT(SD!$C$35,FIND("-",SD!$C$35)-1)+RIGHT(SD!$C$35,LEN(SD!$C$35)-FIND("-",SD!$C$35))/12),IF(SD!$C$32=SD!$I$4,(AU21-(BG21+BH21)))))))</f>
        <v>0</v>
      </c>
      <c r="BG21">
        <f>IF(SD!$C$33=SD!$I$2,BE21,IF(SD!$C$33=SD!$I$3,DO21,IF(SD!$C$33=SD!$I$5,BA21,IF(SD!$C$33=SD!$I$6,(LEFT(SD!$C$35,FIND("-",SD!$C$35)-1)+RIGHT(SD!$C$35,LEN(SD!$C$35)-FIND("-",SD!$C$35))/12),IF(SD!$C$33=SD!$I$4,(AU21-(BF21+BH21)))))))</f>
        <v>-1</v>
      </c>
      <c r="BH21">
        <f>IF(SD!$C$34=SD!$I$2,BE21,IF(SD!$C$34=SD!$I$3,DO21,IF(SD!$C$34=SD!$I$5,BA21,IF(SD!$C$34=SD!$I$6,(LEFT(SD!$C$35,FIND("-",SD!$C$35)-1)+RIGHT(SD!$C$35,LEN(SD!$C$35)-FIND("-",SD!$C$35))/12),IF(SD!$C$34=SD!$I$4,(AU21-(BF21+BG21)))))))</f>
        <v>1</v>
      </c>
      <c r="BJ21">
        <f>IF(AM21="Spiral","1",MAX(ROUNDUP(IF(SD!$C$32="",AT21,BF21/(LEFT(RIGHT(N21,LEN(N21)-FIND("@",N21)),LEN(RIGHT(N21,LEN(N21)-FIND("@",N21)))-1)/12)+1),0),0))</f>
        <v>1</v>
      </c>
      <c r="BK21">
        <f>MAX(ROUNDUP(IF(SD!$C$33="","",BG21/(LEFT(RIGHT(O21,LEN(O21)-FIND("@",O21)),LEN(RIGHT(O21,LEN(O21)-FIND("@",O21)))-1)/12)+1),0),0)</f>
        <v>0</v>
      </c>
      <c r="BL21">
        <f>MAX(ROUNDUP(IF(SD!$C$34="","",BH21/(LEFT(RIGHT(P21,LEN(P21)-FIND("@",P21)),LEN(RIGHT(P21,LEN(P21)-FIND("@",P21)))-1)/12)+1),0),0)</f>
        <v>3</v>
      </c>
      <c r="BN21" t="e">
        <f t="shared" si="5"/>
        <v>#N/A</v>
      </c>
      <c r="BO21" t="e">
        <f t="shared" si="6"/>
        <v>#N/A</v>
      </c>
      <c r="BP21" t="e">
        <f t="shared" si="7"/>
        <v>#N/A</v>
      </c>
      <c r="BQ21" s="24" t="e">
        <f>IF(AM21=TRUE,(((Y21-(SD!$E$12*2))*3.14159265359)+BN21+BO21+BP21)/12+AL21,SUM(AF21:AG21,BN21,BO21,BP21,AO21,AQ21)/12)</f>
        <v>#N/A</v>
      </c>
      <c r="BR21" t="e">
        <f t="shared" si="8"/>
        <v>#N/A</v>
      </c>
      <c r="BS21" t="e">
        <f t="shared" si="9"/>
        <v>#N/A</v>
      </c>
      <c r="BT21" t="e">
        <f t="shared" si="10"/>
        <v>#N/A</v>
      </c>
      <c r="BU21" s="24" t="e">
        <f>IF(AM21=TRUE,(((Y21-(SD!$E$12*2))*3.14159265359)+BR21+BS21+BT21)/12+AL21,SUM(AF21:AG21,BR21,BS21,BT21,AO21,AQ21)/12)</f>
        <v>#N/A</v>
      </c>
      <c r="BW21" t="str">
        <f>IFERROR(LEFT(Data!L21,FIND(" -",Data!L21)-1),"")</f>
        <v/>
      </c>
      <c r="BX21" t="str">
        <f>IFERROR(IF(SD!$C$40=SD!$U$2,W21,IF(SD!$C$40=SD!$U$3,RIGHT(Data!L21,LEN(Data!L21)-(FIND("-",Data!L21)+1)),SD!$C$40)),"")</f>
        <v>#10</v>
      </c>
      <c r="BY21" t="str" cm="1">
        <f t="array" ref="BY21">IFERROR(_xlfn.LET(_xlpm.GRR,IF(AND(SD!$C$19=SD!$H$2,Grade!$G$1="Per level"),VLOOKUP(B21,Grade!$E$1:$F$200,2,FALSE),IF(AND(SD!$C$19=SD!$H$2,Grade!$G$1="Per Bar Size"),VLOOKUP(BX21,Grade!$B$1:$C$12,2,0),SD!$C$19)),_xlpm.is_equal, A20=A21,_xlpm.grade_range, IF(_xlpm.GRR=SD!$H$3, A615GR60,IF(_xlpm.GRR=SD!$H$4, A615GR75,IF(_xlpm.GRR=SD!$H$5, A615GR80,IF(_xlpm.GRR=SD!H25, A615GR100,IF(_xlpm.GRR=SD!$H$7, A706GR60,IF(_xlpm.GRR=SD!$H$8, A706GR80)))))),_xlpm.match_result, MATCH(1, (BSize=BX21)*(BCName=SD!$C$8), 0),_xlpm.final_result, INDEX(_xlpm.grade_range, _xlpm.match_result),IF(_xlpm.is_equal, "", _xlpm.final_result)),"")</f>
        <v/>
      </c>
      <c r="BZ21" t="str">
        <f>IF(A20=A21,"",IF(SD!$C$41="Match Vertical Bars ",X21,IF(SD!$C$41=SD!$V$3,BW21,SD!$C$41)))</f>
        <v/>
      </c>
      <c r="CA21" t="str" cm="1">
        <f t="array" ref="CA21">IF(A20=A21,"",IF(SD!$C$44="No T-Head",IF(SD!$C$42=SD!$Q$3,VLOOKUP(BX21,S90Range,3,FALSE),LEFT(SD!$C$42,FIND("-",SD!$C$42)-1)+(RIGHT(SD!$C$42,LEN(SD!$C$42)-FIND("-",SD!$C$42))/12)),IF(SD!$C$44="T-Head",_xlfn._xlws.FILTER(THead,(TCName=SD!$C$8)*(TSize=BX21)),IF(SD!$C$44="Level Wise",_xlfn.LET(_xlpm.result,_xlfn.XLOOKUP(B21,VDLevel,VDLevelStatus,"No"),IF(_xlpm.result="Yes",_xlfn._xlws.FILTER(THead,(TCName=SD!$C$8)*(TSize=BX21)),IF(SD!$C$42=SD!$Q$3,VLOOKUP(BX21,S90Range,3,FALSE),LEFT(SD!$C$42,FIND("-",SD!$C$42)-1)+(RIGHT(SD!$C$42,LEN(SD!$C$42)-FIND("-", SD!$C$42))/12)))),IF(SD!$C$44="BarSize Wise",_xlfn.LET(_xlpm.result,_xlfn.XLOOKUP(BX21,VDBarSize,VDBarSizeStatus,"No"),IF(_xlpm.result="Yes",_xlfn._xlws.FILTER(THead,(TCName=SD!$C$8)*(TSize=BX21)),IF(SD!$C$42=SD!$Q$3,VLOOKUP(BX21,S90Range,3,FALSE),LEFT(SD!$C$42,FIND("-",SD!$C$42)-1)+(RIGHT(SD!$C$42,LEN(SD!$C$42)-FIND("-",SD!$C$42))/12)))), "")))))</f>
        <v/>
      </c>
      <c r="CB21" t="str" cm="1">
        <f t="array" ref="CB21">_xlfn.LET(_xlpm.GRR,IF(AND(SD!$C$19=SD!$H$2,Grade!$G$1="Per level"),VLOOKUP(B21,Grade!$E$1:$F$200,2,FALSE),IF(AND(SD!$C$19=SD!$H$2,Grade!$G$1="Per Bar Size"),VLOOKUP(BX21,Grade!$B$1:$C$12,2,0),SD!$C$19)),_xlpm.is_coupler, K21="Coupler",_xlpm.condition1, SD!$C$43=SD!$W$2,_xlpm.data_j2_empty, Data!$J21="",_xlpm.lookup_table, IF(SD!$C$11="Create", Lap!$A$3:$BF$14, IF(SD!$C$11="Per Uploaded File", Lap!$A$19:$BF$30, "")),_xlpm.row_match, MATCH(BX21, Lap!$A$3:$A$14, 0),_xlpm.grade_offset, IF(IFERROR(FIND("Grade 60",_xlpm.GRR), 0) &gt; 0, 0, IF(IFERROR(FIND("Grade 80",_xlpm.GRR), 0), 1, IF(IFERROR(FIND("Grade 75",_xlpm.GRR), 0), 2, ""))),_xlpm.col_match, MATCH(VALUE(D21), Lap!$A$3:$BF$3, 0) + _xlpm.grade_offset,_xlpm.index_result, IFERROR(INDEX(_xlpm.lookup_table, _xlpm.row_match, _xlpm.col_match), Data!$J21),_xlpm.result_if_condition1, IF(_xlpm.data_j2_empty, _xlpm.index_result, Data!$J21),IF(_xlpm.is_coupler, 0, IF(_xlpm.condition1, _xlpm.result_if_condition1, SD!$C$43)))</f>
        <v>5-1</v>
      </c>
      <c r="CC21" s="24">
        <f t="shared" si="11"/>
        <v>5.083333333333333</v>
      </c>
      <c r="CD21">
        <f t="shared" si="12"/>
        <v>5.75</v>
      </c>
      <c r="CE21" t="str" cm="1">
        <f t="array" ref="CE21">IF(BY21="","",_xlfn._xlws.FILTER(SAC,(CName=SD!$C$8)*(EName="Vert Dowels")))</f>
        <v/>
      </c>
      <c r="CF21" t="str" cm="1">
        <f t="array" ref="CF21">IFERROR(IF(BY21="","",IF(K21="Coupler",_xlfn._xlws.FILTER(CCoupler,(CCName=SD!$C$8)*(CBSize=IF(A20=A21,W20&amp;W21,BX21&amp;W21))*(CCMFM="Male")),"")),"N/A")</f>
        <v/>
      </c>
      <c r="CG21" t="str">
        <f t="shared" si="13"/>
        <v/>
      </c>
      <c r="CH21" t="str">
        <f t="shared" si="14"/>
        <v/>
      </c>
      <c r="CI21" t="str">
        <f>_xlfn.LET(_xlpm.u3_value, U22,_xlpm.hyphen_pos,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K22="Coupler",_xlpm.coupler_value, IF(_xlpm.is_coupler, 0, _xlpm.calculated_value),_xlpm.final_value, _xlpm.calculated_value + SD!$E$13 + _xlpm.coupler_value,IF(CG21="", "", _xlpm.final_value))</f>
        <v/>
      </c>
      <c r="CJ21" t="str" cm="1">
        <f t="array" ref="CJ21">IF(CG21="","",_xlfn._xlws.FILTER(SAC,(CName=SD!$C$8)*(EName="Loose Dowels")))</f>
        <v/>
      </c>
      <c r="CK21" t="str" cm="1">
        <f t="array" ref="CK21">IFERROR(IF(CG21="","",IF(K22="Coupler",_xlfn._xlws.FILTER(CCoupler,(CCName=SD!$C$8)*(CBSize=IF(A21=A22,W21&amp;W22,""))*(CCMFM="Male")),"")),"N/A")</f>
        <v/>
      </c>
      <c r="CL21" t="str">
        <f>IFERROR(IF(AM21="Spiral","",IF(A20=A21,"",IF(SD!$C$37=0,"",SD!$C$37))),"")</f>
        <v/>
      </c>
      <c r="CN21">
        <f>IF(AM21="Spiral","",IFERROR(IF(SD!$C$36=0,"",SD!$C$36),""))</f>
        <v>5</v>
      </c>
      <c r="CP21" t="str">
        <f>IFERROR(IF(SD!$C$42=SD!$Q$3,'Take-off'!CA21,""),"")</f>
        <v/>
      </c>
      <c r="CR21">
        <f>IFERROR(IF(SD!$C$22=SD!$U$2,W21,SD!$C$22),"")</f>
        <v>0</v>
      </c>
      <c r="CS21" t="str" cm="1">
        <f t="array" ref="CS21">_xlfn.LET(_xlpm.GR,IF(AND(SD!$C$19=SD!$H$2,Grade!$G$1="Per level"),VLOOKUP(B21,Grade!$E$1:$F$200,2,FALSE),IF(AND(SD!$C$19=SD!$H$2,Grade!$G$1="Per Bar Size"),VLOOKUP(CR21,Grade!$B$1:$C$12,2,0),SD!$C$19)),IF(SD!$C$20=SD!$R$4,IF(A22=A21,"",INDEX(IF(_xlpm.GR=SD!$H$3,A615GR60,IF(_xlpm.GR=SD!$H$4,A615GR75,IF(_xlpm.GR=SD!$H$5,A615GR80,IF(_xlpm.GR=SD!H25,A615GR100,IF(_xlpm.GR=SD!$H$7,A706GR60,IF(_xlpm.GR=SD!$H$8,A706GR80)))))), MATCH(1, (BSize=CR21)*(BCName=SD!$C$8), 0))),""))</f>
        <v/>
      </c>
      <c r="CT21" t="str">
        <f>IF(A22=A21,"",IF(SD!$C$23="Match Vertical Bars ",X21,SD!$C$23))</f>
        <v/>
      </c>
      <c r="CU21" t="str" cm="1">
        <f t="array" ref="CU21">IF(A22=A21,"",IF(SD!$C$20="Top dowels",IF(SD!$E$25="No T-Head",IF(SD!$C$24=SD!$Q$3,VLOOKUP(CR21,S90Range,3,FALSE),LEFT(SD!$C$24,FIND("-",SD!$C$24)-1)+(RIGHT(SD!$C$24,LEN(SD!$C$24)-FIND("-",SD!$C$24))/12)),IF(SD!$E$25="T-Head",_xlfn._xlws.FILTER(THead,(TCName=SD!$C$8)*(TSize=CR21)),IF(SD!$E$25="Level Wise",_xlfn.LET(_xlpm.result,_xlfn.XLOOKUP(B21,TDLevel,TDLevelStatus,"No"),IF(_xlpm.result="Yes",_xlfn._xlws.FILTER(THead,(TCName=SD!$C$8)*(TSize=CR21)),IF(SD!$C$24=SD!$Q$3,VLOOKUP(CR21,S90Range,3,FALSE),LEFT(SD!$C$24,FIND("-",SD!$C$24)-1)+(RIGHT(SD!$C$24,LEN(SD!$C$24)-FIND("-", SD!$C$24))/12)))),IF(SD!$E$25="BarSize Wise",_xlfn.LET(_xlpm.result,_xlfn.XLOOKUP(CR21,TDBarSize,TDBarSizeStatus,"No"),IF(_xlpm.result="Yes",_xlfn._xlws.FILTER(THead,(TCName=SD!$C$8)*(TSize=CR21)),IF(SD!$C$24=SD!$Q$3,VLOOKUP(CR21,S90Range,3,FALSE),LEFT(SD!$C$24,FIND("-",SD!$C$24)-1)+(RIGHT(SD!$C$24,LEN(SD!$C$24)-FIND("-",SD!$C$24))/12)))), "")))),""))</f>
        <v/>
      </c>
      <c r="CV21" t="str">
        <f>_xlfn.LET(_xlpm.GRR,IF(AND(SD!$C$19=SD!$H$2,Grade!$G$1="Per level"),VLOOKUP(B21,Grade!$E$1:$F$200,2,FALSE),IF(AND(SD!$C$19=SD!$H$2,Grade!$G$1="Per Bar Size"),VLOOKUP(CR21,Grade!$B$1:$C$12,2,0),SD!$C$19)),IF(SD!$C$25=SD!$W$2,IF(Data!$J21="",IFERROR(INDEX(IF(SD!$C$11="Create",Lap!$A$3:$BF$14,IF(SD!$C$11="Per Uploaded File",Lap!$A$19:$BF$30,"")),MATCH(CR21,Lap!$A$3:$A$14,0),MATCH(VALUE(D21),Lap!$A$3:$BF$3,0)+IF(IFERROR(FIND("Grade 60",_xlpm.GRR),0)&gt;0,0,IF(IFERROR(FIND("Grade 80",_xlpm.GRR),0),1,IF(IFERROR(FIND("Grade 75",_xlpm.GRR),0),2,"")))),""),Data!J21),SD!$C$43))</f>
        <v>Match Lap</v>
      </c>
      <c r="CW21">
        <f t="shared" si="15"/>
        <v>0</v>
      </c>
      <c r="CX21">
        <f t="shared" si="16"/>
        <v>0</v>
      </c>
      <c r="CY21" t="str">
        <f t="shared" si="17"/>
        <v/>
      </c>
      <c r="DA21" t="str">
        <f t="shared" si="18"/>
        <v/>
      </c>
      <c r="DB21" t="str">
        <f t="shared" si="19"/>
        <v/>
      </c>
      <c r="DC21" s="24" t="str">
        <f t="shared" si="20"/>
        <v/>
      </c>
      <c r="DD21">
        <f t="shared" si="21"/>
        <v>10.583333333333334</v>
      </c>
      <c r="DE21" t="s">
        <v>785</v>
      </c>
      <c r="DF21" t="s">
        <v>67</v>
      </c>
      <c r="DG21" t="str">
        <f>VLOOKUP(W21,'Level Wise PSI'!$F$2:$G$12,2,FALSE)</f>
        <v>Double Lift</v>
      </c>
      <c r="DI21" t="str" cm="1">
        <f t="array" ref="DI21">_xlfn.LET(_xlpm.Coup,IFERROR(IF(BY21="","",IF(K21="Coupler",_xlfn._xlws.FILTER(CCFCoupler,(CCName=SD!$C$8)*(CBSize=IF(A20=A21,W20&amp;W21,BX21&amp;W21))),"")),"N/A"),IF(_xlpm.Coup=0,"",_xlpm.Coup))</f>
        <v/>
      </c>
      <c r="DJ21" t="str" cm="1">
        <f t="array" ref="DJ21">_xlfn.LET(_xlpm.Coup3,IFERROR(IF(CG21="","",IF(K22="Coupler",_xlfn._xlws.FILTER(CCFCoupler,(CCName=SD!$C$8)*(CBSize=IF(A21=A22,W21&amp;W22,""))),"")),"N/A"),IF(_xlpm.Coup3=0,"",_xlpm.Coup3))</f>
        <v/>
      </c>
      <c r="DK21" t="str" cm="1">
        <f t="array" ref="DK21">_xlfn.LET(_xlpm.Coup2,IFERROR(IF(A21&lt;&gt;A22,"",IF(DF21="No Lap","",IF(K22="Coupler",_xlfn._xlws.FILTER(CCFCoupler,(CCName=SD!$C$8)*(CBSize=IF(A20=A21,W21&amp;W22,W21&amp;W21))),""))),"N/A"),IF(_xlpm.Coup2=0,"",_xlpm.Coup2))</f>
        <v/>
      </c>
      <c r="DM21" t="str">
        <f>IF(AM21="Spiral","",IF(SD!$C$31=SD!$Y$3,SD!$E$32*2,""))</f>
        <v/>
      </c>
      <c r="DO21" s="24">
        <f t="shared" si="22"/>
        <v>3</v>
      </c>
      <c r="DQ21" t="str">
        <f t="shared" si="23"/>
        <v>Lig</v>
      </c>
      <c r="DR21" t="str">
        <f>IF(AM21="Spiral",((Y21-(SD!$E$12*2))/12),"")</f>
        <v/>
      </c>
      <c r="DS21" t="str">
        <f t="shared" si="24"/>
        <v/>
      </c>
      <c r="DT21" t="str">
        <f t="shared" si="25"/>
        <v/>
      </c>
      <c r="DU21" t="str">
        <f t="shared" si="26"/>
        <v/>
      </c>
    </row>
    <row r="22" spans="1:125" x14ac:dyDescent="0.25">
      <c r="A22">
        <v>26</v>
      </c>
      <c r="B22" t="s">
        <v>670</v>
      </c>
      <c r="C22" s="15">
        <v>2429</v>
      </c>
      <c r="D22" s="15">
        <v>10000</v>
      </c>
      <c r="E22" t="str">
        <f>IF(B22=Level!$A$2,SD!$C$14,SD!$C$13)</f>
        <v>0-8</v>
      </c>
      <c r="F22" s="15" t="s">
        <v>787</v>
      </c>
      <c r="G22" t="s">
        <v>742</v>
      </c>
      <c r="H22" t="str">
        <f>RIGHT(VLOOKUP(B22,Level!A:C,3,FALSE),LEN(VLOOKUP(B22,Level!A:C,3,FALSE))-1)</f>
        <v>10-7</v>
      </c>
      <c r="I22" t="s">
        <v>743</v>
      </c>
      <c r="J22" t="str">
        <f>IF(AND(SD!$C$19=SD!$H$2,Grade!$G$1="Per level"),VLOOKUP(B22,Grade!$E$1:$F$200,2,FALSE),IF(AND(SD!$C$19=SD!$H$2,Grade!$G$1="Per Bar Size"),VLOOKUP(W22,Grade!$B$1:$C$12,2,0),SD!$C$19))</f>
        <v>A615 Grade 60</v>
      </c>
      <c r="K22" t="s">
        <v>67</v>
      </c>
      <c r="L22" t="str">
        <f>IFERROR(IF(A22&lt;&gt;A23,"",IF(DF22="No Lap","",IF(K23="Lap",U22,IF(K23="Coupler",_xlfn._xlws.FILTER(CCoupler,(CCName=SD!$C$8)*(CBSize=IF(A21=A22,W22&amp;W23,W22&amp;W22))*(CCMFM="Male")),"")))),"N/A")</f>
        <v>5-1</v>
      </c>
      <c r="M22" t="str">
        <f t="shared" si="0"/>
        <v/>
      </c>
      <c r="N22" t="s">
        <v>719</v>
      </c>
      <c r="O22" t="s">
        <v>720</v>
      </c>
      <c r="P22" t="s">
        <v>719</v>
      </c>
      <c r="Q22" t="str">
        <f>IF(AND(SD!$C$29=SD!$P$2,Grade!$O$1="Per level"),VLOOKUP(B22,Grade!$M$1:$N$200,2,FALSE),IF(AND(SD!$C$29=SD!$P$2,Grade!$O$1="Per Bar Size"),VLOOKUP(LEFT(N22,FIND("@",N22)-2),Grade!$J$1:$K$12,2,0),SD!$C$29))</f>
        <v>A615 Grade 60</v>
      </c>
      <c r="R22" t="s">
        <v>742</v>
      </c>
      <c r="S22" s="57">
        <v>22</v>
      </c>
      <c r="U22" t="str">
        <f>IF(Data!$J22="",IFERROR(INDEX(IF(SD!$C$11="Create",Lap!$A$3:$BF$14,IF(SD!$C$11="Per Uploaded File",Lap!$A$19:$BF$30,"")),MATCH(W22,Lap!$A$3:$A$14,0),MATCH(VALUE(D22),Lap!$A$3:$BF$3,0)+IF(IFERROR(FIND("Grade 60",J22),0)&gt;0,0,IF(IFERROR(FIND("Grade 80",J22),0),1,IF(IFERROR(FIND("Grade 75",J22),0),2,"")))),""),Data!J22)</f>
        <v>5-1</v>
      </c>
      <c r="W22" t="s">
        <v>176</v>
      </c>
      <c r="X22">
        <v>6</v>
      </c>
      <c r="Y22" t="str">
        <f t="shared" si="1"/>
        <v>30</v>
      </c>
      <c r="Z22">
        <f t="shared" si="2"/>
        <v>0</v>
      </c>
      <c r="AA22" s="24">
        <f t="shared" si="3"/>
        <v>15.666666666666666</v>
      </c>
      <c r="BB22" t="e" cm="1">
        <f t="array" ref="BB22">_xlfn.LET(_xlpm.PartF,(_xlfn.LET(_xlpm.grade, Q22,_xlpm.gradeRange, IF(_xlpm.grade=SD!$H$3, A615GR60, IF(_xlpm.grade=SD!$H$4, A615GR75, IF(_xlpm.grade=SD!$H$5, A615GR80, IF(_xlpm.grade=SD!$H$6, A615GR100, IF(_xlpm.grade=SD!$H$7, A706GR60, IF(_xlpm.grade=SD!$H$8, A706GR80)))))),_xlpm.matchValue, MATCH(1, (SD!$AW:$AW=AS22)*(SD!$AX:$AX=SD!$C$8), 0),INDEX(_xlpm.gradeRange, _xlpm.matchValue))),IF(AM22="Spiral",CONCATENATE("SP",_xlpm.PartF),_xlpm.PartF))</f>
        <v>#N/A</v>
      </c>
      <c r="BC22" cm="1">
        <f t="array" ref="BC22">_xlfn.LET(_xlpm.leftPart, LEFT(O22, FIND("@", O22) - 2),_xlpm.grade,Q22,_xlpm.gradeRange,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" cm="1">
        <f t="array" ref="BD22">_xlfn.LET(_xlpm.leftPart, LEFT(P22, FIND("@", P22) - 2),_xlpm.grade, Q22,_xlpm.gradeRange,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">
        <f t="shared" si="4"/>
        <v>2.5</v>
      </c>
      <c r="BF22">
        <f>IF(SD!$C$32=SD!$I$2,BE22,IF(SD!$C$32=SD!$I$3,DO22,IF(SD!$C$32=SD!$I$5,BA22,IF(SD!$C$32=SD!$I$6,(LEFT(SD!$C$35,FIND("-",SD!$C$35)-1)+RIGHT(SD!$C$35,LEN(SD!$C$35)-FIND("-",SD!$C$35))/12),IF(SD!$C$32=SD!$I$4,(AU22-(BG22+BH22)))))))</f>
        <v>0</v>
      </c>
      <c r="BG22">
        <f>IF(SD!$C$33=SD!$I$2,BE22,IF(SD!$C$33=SD!$I$3,DO22,IF(SD!$C$33=SD!$I$5,BA22,IF(SD!$C$33=SD!$I$6,(LEFT(SD!$C$35,FIND("-",SD!$C$35)-1)+RIGHT(SD!$C$35,LEN(SD!$C$35)-FIND("-",SD!$C$35))/12),IF(SD!$C$33=SD!$I$4,(AU22-(BF22+BH22)))))))</f>
        <v>-1</v>
      </c>
      <c r="BH22">
        <f>IF(SD!$C$34=SD!$I$2,BE22,IF(SD!$C$34=SD!$I$3,DO22,IF(SD!$C$34=SD!$I$5,BA22,IF(SD!$C$34=SD!$I$6,(LEFT(SD!$C$35,FIND("-",SD!$C$35)-1)+RIGHT(SD!$C$35,LEN(SD!$C$35)-FIND("-",SD!$C$35))/12),IF(SD!$C$34=SD!$I$4,(AU22-(BF22+BG22)))))))</f>
        <v>1</v>
      </c>
      <c r="BJ22">
        <f>IF(AM22="Spiral","1",MAX(ROUNDUP(IF(SD!$C$32="",AT22,BF22/(LEFT(RIGHT(N22,LEN(N22)-FIND("@",N22)),LEN(RIGHT(N22,LEN(N22)-FIND("@",N22)))-1)/12)+1),0),0))</f>
        <v>1</v>
      </c>
      <c r="BK22">
        <f>MAX(ROUNDUP(IF(SD!$C$33="","",BG22/(LEFT(RIGHT(O22,LEN(O22)-FIND("@",O22)),LEN(RIGHT(O22,LEN(O22)-FIND("@",O22)))-1)/12)+1),0),0)</f>
        <v>0</v>
      </c>
      <c r="BL22">
        <f>MAX(ROUNDUP(IF(SD!$C$34="","",BH22/(LEFT(RIGHT(P22,LEN(P22)-FIND("@",P22)),LEN(RIGHT(P22,LEN(P22)-FIND("@",P22)))-1)/12)+1),0),0)</f>
        <v>3</v>
      </c>
      <c r="BN22" t="e">
        <f t="shared" si="5"/>
        <v>#N/A</v>
      </c>
      <c r="BO22" t="e">
        <f t="shared" si="6"/>
        <v>#N/A</v>
      </c>
      <c r="BP22" t="e">
        <f t="shared" si="7"/>
        <v>#N/A</v>
      </c>
      <c r="BQ22" s="24" t="e">
        <f>IF(AM22=TRUE,(((Y22-(SD!$E$12*2))*3.14159265359)+BN22+BO22+BP22)/12+AL22,SUM(AF22:AG22,BN22,BO22,BP22,AO22,AQ22)/12)</f>
        <v>#N/A</v>
      </c>
      <c r="BR22" t="e">
        <f t="shared" si="8"/>
        <v>#N/A</v>
      </c>
      <c r="BS22" t="e">
        <f t="shared" si="9"/>
        <v>#N/A</v>
      </c>
      <c r="BT22" t="e">
        <f t="shared" si="10"/>
        <v>#N/A</v>
      </c>
      <c r="BU22" s="24" t="e">
        <f>IF(AM22=TRUE,(((Y22-(SD!$E$12*2))*3.14159265359)+BR22+BS22+BT22)/12+AL22,SUM(AF22:AG22,BR22,BS22,BT22,AO22,AQ22)/12)</f>
        <v>#N/A</v>
      </c>
      <c r="BW22" t="str">
        <f>IFERROR(LEFT(Data!L22,FIND(" -",Data!L22)-1),"")</f>
        <v/>
      </c>
      <c r="BX22" t="str">
        <f>IFERROR(IF(SD!$C$40=SD!$U$2,W22,IF(SD!$C$40=SD!$U$3,RIGHT(Data!L22,LEN(Data!L22)-(FIND("-",Data!L22)+1)),SD!$C$40)),"")</f>
        <v>#10</v>
      </c>
      <c r="BY22" t="str" cm="1">
        <f t="array" ref="BY22">IFERROR(_xlfn.LET(_xlpm.GRR,IF(AND(SD!$C$19=SD!$H$2,Grade!$G$1="Per level"),VLOOKUP(B22,Grade!$E$1:$F$200,2,FALSE),IF(AND(SD!$C$19=SD!$H$2,Grade!$G$1="Per Bar Size"),VLOOKUP(BX22,Grade!$B$1:$C$12,2,0),SD!$C$19)),_xlpm.is_equal, A21=A22,_xlpm.grade_range, IF(_xlpm.GRR=SD!$H$3, A615GR60,IF(_xlpm.GRR=SD!$H$4, A615GR75,IF(_xlpm.GRR=SD!$H$5, A615GR80,IF(_xlpm.GRR=SD!H26, A615GR100,IF(_xlpm.GRR=SD!$H$7, A706GR60,IF(_xlpm.GRR=SD!$H$8, A706GR80)))))),_xlpm.match_result, MATCH(1, (BSize=BX22)*(BCName=SD!$C$8), 0),_xlpm.final_result, INDEX(_xlpm.grade_range, _xlpm.match_result),IF(_xlpm.is_equal, "", _xlpm.final_result)),"")</f>
        <v/>
      </c>
      <c r="BZ22" t="str">
        <f>IF(A21=A22,"",IF(SD!$C$41="Match Vertical Bars ",X22,IF(SD!$C$41=SD!$V$3,BW22,SD!$C$41)))</f>
        <v/>
      </c>
      <c r="CA22" t="str" cm="1">
        <f t="array" ref="CA22">IF(A21=A22,"",IF(SD!$C$44="No T-Head",IF(SD!$C$42=SD!$Q$3,VLOOKUP(BX22,S90Range,3,FALSE),LEFT(SD!$C$42,FIND("-",SD!$C$42)-1)+(RIGHT(SD!$C$42,LEN(SD!$C$42)-FIND("-",SD!$C$42))/12)),IF(SD!$C$44="T-Head",_xlfn._xlws.FILTER(THead,(TCName=SD!$C$8)*(TSize=BX22)),IF(SD!$C$44="Level Wise",_xlfn.LET(_xlpm.result,_xlfn.XLOOKUP(B22,VDLevel,VDLevelStatus,"No"),IF(_xlpm.result="Yes",_xlfn._xlws.FILTER(THead,(TCName=SD!$C$8)*(TSize=BX22)),IF(SD!$C$42=SD!$Q$3,VLOOKUP(BX22,S90Range,3,FALSE),LEFT(SD!$C$42,FIND("-",SD!$C$42)-1)+(RIGHT(SD!$C$42,LEN(SD!$C$42)-FIND("-", SD!$C$42))/12)))),IF(SD!$C$44="BarSize Wise",_xlfn.LET(_xlpm.result,_xlfn.XLOOKUP(BX22,VDBarSize,VDBarSizeStatus,"No"),IF(_xlpm.result="Yes",_xlfn._xlws.FILTER(THead,(TCName=SD!$C$8)*(TSize=BX22)),IF(SD!$C$42=SD!$Q$3,VLOOKUP(BX22,S90Range,3,FALSE),LEFT(SD!$C$42,FIND("-",SD!$C$42)-1)+(RIGHT(SD!$C$42,LEN(SD!$C$42)-FIND("-",SD!$C$42))/12)))), "")))))</f>
        <v/>
      </c>
      <c r="CB22" t="str" cm="1">
        <f t="array" ref="CB22">_xlfn.LET(_xlpm.GRR,IF(AND(SD!$C$19=SD!$H$2,Grade!$G$1="Per level"),VLOOKUP(B22,Grade!$E$1:$F$200,2,FALSE),IF(AND(SD!$C$19=SD!$H$2,Grade!$G$1="Per Bar Size"),VLOOKUP(BX22,Grade!$B$1:$C$12,2,0),SD!$C$19)),_xlpm.is_coupler, K22="Coupler",_xlpm.condition1, SD!$C$43=SD!$W$2,_xlpm.data_j2_empty, Data!$J22="",_xlpm.lookup_table, IF(SD!$C$11="Create", Lap!$A$3:$BF$14, IF(SD!$C$11="Per Uploaded File", Lap!$A$19:$BF$30, "")),_xlpm.row_match, MATCH(BX22, Lap!$A$3:$A$14, 0),_xlpm.grade_offset, IF(IFERROR(FIND("Grade 60",_xlpm.GRR), 0) &gt; 0, 0, IF(IFERROR(FIND("Grade 80",_xlpm.GRR), 0), 1, IF(IFERROR(FIND("Grade 75",_xlpm.GRR), 0), 2, ""))),_xlpm.col_match, MATCH(VALUE(D22), Lap!$A$3:$BF$3, 0) + _xlpm.grade_offset,_xlpm.index_result, IFERROR(INDEX(_xlpm.lookup_table, _xlpm.row_match, _xlpm.col_match), Data!$J22),_xlpm.result_if_condition1, IF(_xlpm.data_j2_empty, _xlpm.index_result, Data!$J22),IF(_xlpm.is_coupler, 0, IF(_xlpm.condition1, _xlpm.result_if_condition1, SD!$C$43)))</f>
        <v>5-1</v>
      </c>
      <c r="CC22" s="24">
        <f t="shared" si="11"/>
        <v>5.083333333333333</v>
      </c>
      <c r="CD22">
        <f t="shared" si="12"/>
        <v>5.75</v>
      </c>
      <c r="CE22" t="str" cm="1">
        <f t="array" ref="CE22">IF(BY22="","",_xlfn._xlws.FILTER(SAC,(CName=SD!$C$8)*(EName="Vert Dowels")))</f>
        <v/>
      </c>
      <c r="CF22" t="str" cm="1">
        <f t="array" ref="CF22">IFERROR(IF(BY22="","",IF(K22="Coupler",_xlfn._xlws.FILTER(CCoupler,(CCName=SD!$C$8)*(CBSize=IF(A21=A22,W21&amp;W22,BX22&amp;W22))*(CCMFM="Male")),"")),"N/A")</f>
        <v/>
      </c>
      <c r="CG22" t="str">
        <f t="shared" si="13"/>
        <v/>
      </c>
      <c r="CH22" t="str">
        <f t="shared" si="14"/>
        <v/>
      </c>
      <c r="CI22" t="str">
        <f>_xlfn.LET(_xlpm.u3_value, U23,_xlpm.hyphen_pos,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K23="Coupler",_xlpm.coupler_value, IF(_xlpm.is_coupler, 0, _xlpm.calculated_value),_xlpm.final_value, _xlpm.calculated_value + SD!$E$13 + _xlpm.coupler_value,IF(CG22="", "", _xlpm.final_value))</f>
        <v/>
      </c>
      <c r="CJ22" t="str" cm="1">
        <f t="array" ref="CJ22">IF(CG22="","",_xlfn._xlws.FILTER(SAC,(CName=SD!$C$8)*(EName="Loose Dowels")))</f>
        <v/>
      </c>
      <c r="CK22" t="str" cm="1">
        <f t="array" ref="CK22">IFERROR(IF(CG22="","",IF(K23="Coupler",_xlfn._xlws.FILTER(CCoupler,(CCName=SD!$C$8)*(CBSize=IF(A22=A23,W22&amp;W23,""))*(CCMFM="Male")),"")),"N/A")</f>
        <v/>
      </c>
      <c r="CL22" t="str">
        <f>IFERROR(IF(AM22="Spiral","",IF(A21=A22,"",IF(SD!$C$37=0,"",SD!$C$37))),"")</f>
        <v/>
      </c>
      <c r="CN22">
        <f>IF(AM22="Spiral","",IFERROR(IF(SD!$C$36=0,"",SD!$C$36),""))</f>
        <v>5</v>
      </c>
      <c r="CP22" t="str">
        <f>IFERROR(IF(SD!$C$42=SD!$Q$3,'Take-off'!CA22,""),"")</f>
        <v/>
      </c>
      <c r="CR22">
        <f>IFERROR(IF(SD!$C$22=SD!$U$2,W22,SD!$C$22),"")</f>
        <v>0</v>
      </c>
      <c r="CS22" t="str" cm="1">
        <f t="array" ref="CS22">_xlfn.LET(_xlpm.GR,IF(AND(SD!$C$19=SD!$H$2,Grade!$G$1="Per level"),VLOOKUP(B22,Grade!$E$1:$F$200,2,FALSE),IF(AND(SD!$C$19=SD!$H$2,Grade!$G$1="Per Bar Size"),VLOOKUP(CR22,Grade!$B$1:$C$12,2,0),SD!$C$19)),IF(SD!$C$20=SD!$R$4,IF(A23=A22,"",INDEX(IF(_xlpm.GR=SD!$H$3,A615GR60,IF(_xlpm.GR=SD!$H$4,A615GR75,IF(_xlpm.GR=SD!$H$5,A615GR80,IF(_xlpm.GR=SD!H26,A615GR100,IF(_xlpm.GR=SD!$H$7,A706GR60,IF(_xlpm.GR=SD!$H$8,A706GR80)))))), MATCH(1, (BSize=CR22)*(BCName=SD!$C$8), 0))),""))</f>
        <v/>
      </c>
      <c r="CT22" t="str">
        <f>IF(A23=A22,"",IF(SD!$C$23="Match Vertical Bars ",X22,SD!$C$23))</f>
        <v/>
      </c>
      <c r="CU22" t="str" cm="1">
        <f t="array" ref="CU22">IF(A23=A22,"",IF(SD!$C$20="Top dowels",IF(SD!$E$25="No T-Head",IF(SD!$C$24=SD!$Q$3,VLOOKUP(CR22,S90Range,3,FALSE),LEFT(SD!$C$24,FIND("-",SD!$C$24)-1)+(RIGHT(SD!$C$24,LEN(SD!$C$24)-FIND("-",SD!$C$24))/12)),IF(SD!$E$25="T-Head",_xlfn._xlws.FILTER(THead,(TCName=SD!$C$8)*(TSize=CR22)),IF(SD!$E$25="Level Wise",_xlfn.LET(_xlpm.result,_xlfn.XLOOKUP(B22,TDLevel,TDLevelStatus,"No"),IF(_xlpm.result="Yes",_xlfn._xlws.FILTER(THead,(TCName=SD!$C$8)*(TSize=CR22)),IF(SD!$C$24=SD!$Q$3,VLOOKUP(CR22,S90Range,3,FALSE),LEFT(SD!$C$24,FIND("-",SD!$C$24)-1)+(RIGHT(SD!$C$24,LEN(SD!$C$24)-FIND("-", SD!$C$24))/12)))),IF(SD!$E$25="BarSize Wise",_xlfn.LET(_xlpm.result,_xlfn.XLOOKUP(CR22,TDBarSize,TDBarSizeStatus,"No"),IF(_xlpm.result="Yes",_xlfn._xlws.FILTER(THead,(TCName=SD!$C$8)*(TSize=CR22)),IF(SD!$C$24=SD!$Q$3,VLOOKUP(CR22,S90Range,3,FALSE),LEFT(SD!$C$24,FIND("-",SD!$C$24)-1)+(RIGHT(SD!$C$24,LEN(SD!$C$24)-FIND("-",SD!$C$24))/12)))), "")))),""))</f>
        <v/>
      </c>
      <c r="CV22" t="str">
        <f>_xlfn.LET(_xlpm.GRR,IF(AND(SD!$C$19=SD!$H$2,Grade!$G$1="Per level"),VLOOKUP(B22,Grade!$E$1:$F$200,2,FALSE),IF(AND(SD!$C$19=SD!$H$2,Grade!$G$1="Per Bar Size"),VLOOKUP(CR22,Grade!$B$1:$C$12,2,0),SD!$C$19)),IF(SD!$C$25=SD!$W$2,IF(Data!$J22="",IFERROR(INDEX(IF(SD!$C$11="Create",Lap!$A$3:$BF$14,IF(SD!$C$11="Per Uploaded File",Lap!$A$19:$BF$30,"")),MATCH(CR22,Lap!$A$3:$A$14,0),MATCH(VALUE(D22),Lap!$A$3:$BF$3,0)+IF(IFERROR(FIND("Grade 60",_xlpm.GRR),0)&gt;0,0,IF(IFERROR(FIND("Grade 80",_xlpm.GRR),0),1,IF(IFERROR(FIND("Grade 75",_xlpm.GRR),0),2,"")))),""),Data!J22),SD!$C$43))</f>
        <v>Match Lap</v>
      </c>
      <c r="CW22">
        <f t="shared" si="15"/>
        <v>0</v>
      </c>
      <c r="CX22">
        <f t="shared" si="16"/>
        <v>0</v>
      </c>
      <c r="CY22" t="str">
        <f t="shared" si="17"/>
        <v/>
      </c>
      <c r="DA22" t="str">
        <f t="shared" si="18"/>
        <v/>
      </c>
      <c r="DB22" t="str">
        <f t="shared" si="19"/>
        <v/>
      </c>
      <c r="DC22" s="24" t="str">
        <f t="shared" si="20"/>
        <v/>
      </c>
      <c r="DD22">
        <f t="shared" si="21"/>
        <v>10.583333333333334</v>
      </c>
      <c r="DE22" t="s">
        <v>785</v>
      </c>
      <c r="DF22" t="s">
        <v>67</v>
      </c>
      <c r="DG22" t="str">
        <f>VLOOKUP(W22,'Level Wise PSI'!$F$2:$G$12,2,FALSE)</f>
        <v>Double Lift</v>
      </c>
      <c r="DI22" t="str" cm="1">
        <f t="array" ref="DI22">_xlfn.LET(_xlpm.Coup,IFERROR(IF(BY22="","",IF(K22="Coupler",_xlfn._xlws.FILTER(CCFCoupler,(CCName=SD!$C$8)*(CBSize=IF(A21=A22,W21&amp;W22,BX22&amp;W22))),"")),"N/A"),IF(_xlpm.Coup=0,"",_xlpm.Coup))</f>
        <v/>
      </c>
      <c r="DJ22" t="str" cm="1">
        <f t="array" ref="DJ22">_xlfn.LET(_xlpm.Coup3,IFERROR(IF(CG22="","",IF(K23="Coupler",_xlfn._xlws.FILTER(CCFCoupler,(CCName=SD!$C$8)*(CBSize=IF(A22=A23,W22&amp;W23,""))),"")),"N/A"),IF(_xlpm.Coup3=0,"",_xlpm.Coup3))</f>
        <v/>
      </c>
      <c r="DK22" t="str" cm="1">
        <f t="array" ref="DK22">_xlfn.LET(_xlpm.Coup2,IFERROR(IF(A22&lt;&gt;A23,"",IF(DF22="No Lap","",IF(K23="Coupler",_xlfn._xlws.FILTER(CCFCoupler,(CCName=SD!$C$8)*(CBSize=IF(A21=A22,W22&amp;W23,W22&amp;W22))),""))),"N/A"),IF(_xlpm.Coup2=0,"",_xlpm.Coup2))</f>
        <v/>
      </c>
      <c r="DM22" t="str">
        <f>IF(AM22="Spiral","",IF(SD!$C$31=SD!$Y$3,SD!$E$32*2,""))</f>
        <v/>
      </c>
      <c r="DO22" s="24">
        <f t="shared" si="22"/>
        <v>2.5</v>
      </c>
      <c r="DQ22" t="str">
        <f t="shared" si="23"/>
        <v>Lig</v>
      </c>
      <c r="DR22" t="str">
        <f>IF(AM22="Spiral",((Y22-(SD!$E$12*2))/12),"")</f>
        <v/>
      </c>
      <c r="DS22" t="str">
        <f t="shared" si="24"/>
        <v/>
      </c>
      <c r="DT22" t="str">
        <f t="shared" si="25"/>
        <v/>
      </c>
      <c r="DU22" t="str">
        <f t="shared" si="26"/>
        <v/>
      </c>
    </row>
    <row r="23" spans="1:125" x14ac:dyDescent="0.25">
      <c r="A23">
        <v>26</v>
      </c>
      <c r="B23" t="s">
        <v>672</v>
      </c>
      <c r="C23" s="15">
        <v>2429</v>
      </c>
      <c r="D23" s="15">
        <v>10000</v>
      </c>
      <c r="E23" t="str">
        <f>IF(B23=Level!$A$2,SD!$C$14,SD!$C$13)</f>
        <v>0-8</v>
      </c>
      <c r="F23" s="15" t="s">
        <v>787</v>
      </c>
      <c r="G23" t="s">
        <v>742</v>
      </c>
      <c r="H23" t="str">
        <f>RIGHT(VLOOKUP(B23,Level!A:C,3,FALSE),LEN(VLOOKUP(B23,Level!A:C,3,FALSE))-1)</f>
        <v>10-7</v>
      </c>
      <c r="I23" t="s">
        <v>743</v>
      </c>
      <c r="J23" t="str">
        <f>IF(AND(SD!$C$19=SD!$H$2,Grade!$G$1="Per level"),VLOOKUP(B23,Grade!$E$1:$F$200,2,FALSE),IF(AND(SD!$C$19=SD!$H$2,Grade!$G$1="Per Bar Size"),VLOOKUP(W23,Grade!$B$1:$C$12,2,0),SD!$C$19))</f>
        <v>A615 Grade 60</v>
      </c>
      <c r="K23" t="s">
        <v>67</v>
      </c>
      <c r="L23" t="str">
        <f>IFERROR(IF(A23&lt;&gt;A24,"",IF(DF23="No Lap","",IF(K24="Lap",U23,IF(K24="Coupler",_xlfn._xlws.FILTER(CCoupler,(CCName=SD!$C$8)*(CBSize=IF(A22=A23,W23&amp;W24,W23&amp;W23))*(CCMFM="Male")),"")))),"N/A")</f>
        <v>5-1</v>
      </c>
      <c r="M23" t="str">
        <f t="shared" si="0"/>
        <v/>
      </c>
      <c r="N23" t="s">
        <v>719</v>
      </c>
      <c r="O23" t="s">
        <v>720</v>
      </c>
      <c r="P23" t="s">
        <v>719</v>
      </c>
      <c r="Q23" t="str">
        <f>IF(AND(SD!$C$29=SD!$P$2,Grade!$O$1="Per level"),VLOOKUP(B23,Grade!$M$1:$N$200,2,FALSE),IF(AND(SD!$C$29=SD!$P$2,Grade!$O$1="Per Bar Size"),VLOOKUP(LEFT(N23,FIND("@",N23)-2),Grade!$J$1:$K$12,2,0),SD!$C$29))</f>
        <v>A615 Grade 60</v>
      </c>
      <c r="R23" t="s">
        <v>742</v>
      </c>
      <c r="S23" s="57">
        <v>23</v>
      </c>
      <c r="U23" t="str">
        <f>IF(Data!$J23="",IFERROR(INDEX(IF(SD!$C$11="Create",Lap!$A$3:$BF$14,IF(SD!$C$11="Per Uploaded File",Lap!$A$19:$BF$30,"")),MATCH(W23,Lap!$A$3:$A$14,0),MATCH(VALUE(D23),Lap!$A$3:$BF$3,0)+IF(IFERROR(FIND("Grade 60",J23),0)&gt;0,0,IF(IFERROR(FIND("Grade 80",J23),0),1,IF(IFERROR(FIND("Grade 75",J23),0),2,"")))),""),Data!J23)</f>
        <v>5-1</v>
      </c>
      <c r="W23" t="s">
        <v>176</v>
      </c>
      <c r="X23">
        <v>6</v>
      </c>
      <c r="Y23" t="str">
        <f t="shared" si="1"/>
        <v>30</v>
      </c>
      <c r="Z23">
        <f t="shared" si="2"/>
        <v>0</v>
      </c>
      <c r="AA23" s="24">
        <f t="shared" si="3"/>
        <v>15.666666666666666</v>
      </c>
      <c r="BB23" t="e" cm="1">
        <f t="array" ref="BB23">_xlfn.LET(_xlpm.PartF,(_xlfn.LET(_xlpm.grade, Q23,_xlpm.gradeRange, IF(_xlpm.grade=SD!$H$3, A615GR60, IF(_xlpm.grade=SD!$H$4, A615GR75, IF(_xlpm.grade=SD!$H$5, A615GR80, IF(_xlpm.grade=SD!$H$6, A615GR100, IF(_xlpm.grade=SD!$H$7, A706GR60, IF(_xlpm.grade=SD!$H$8, A706GR80)))))),_xlpm.matchValue, MATCH(1, (SD!$AW:$AW=AS23)*(SD!$AX:$AX=SD!$C$8), 0),INDEX(_xlpm.gradeRange, _xlpm.matchValue))),IF(AM23="Spiral",CONCATENATE("SP",_xlpm.PartF),_xlpm.PartF))</f>
        <v>#N/A</v>
      </c>
      <c r="BC23" cm="1">
        <f t="array" ref="BC23">_xlfn.LET(_xlpm.leftPart, LEFT(O23, FIND("@", O23) - 2),_xlpm.grade,Q23,_xlpm.gradeRange,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3" cm="1">
        <f t="array" ref="BD23">_xlfn.LET(_xlpm.leftPart, LEFT(P23, FIND("@", P23) - 2),_xlpm.grade, Q23,_xlpm.gradeRange,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3">
        <f t="shared" si="4"/>
        <v>2.5</v>
      </c>
      <c r="BF23">
        <f>IF(SD!$C$32=SD!$I$2,BE23,IF(SD!$C$32=SD!$I$3,DO23,IF(SD!$C$32=SD!$I$5,BA23,IF(SD!$C$32=SD!$I$6,(LEFT(SD!$C$35,FIND("-",SD!$C$35)-1)+RIGHT(SD!$C$35,LEN(SD!$C$35)-FIND("-",SD!$C$35))/12),IF(SD!$C$32=SD!$I$4,(AU23-(BG23+BH23)))))))</f>
        <v>0</v>
      </c>
      <c r="BG23">
        <f>IF(SD!$C$33=SD!$I$2,BE23,IF(SD!$C$33=SD!$I$3,DO23,IF(SD!$C$33=SD!$I$5,BA23,IF(SD!$C$33=SD!$I$6,(LEFT(SD!$C$35,FIND("-",SD!$C$35)-1)+RIGHT(SD!$C$35,LEN(SD!$C$35)-FIND("-",SD!$C$35))/12),IF(SD!$C$33=SD!$I$4,(AU23-(BF23+BH23)))))))</f>
        <v>-1</v>
      </c>
      <c r="BH23">
        <f>IF(SD!$C$34=SD!$I$2,BE23,IF(SD!$C$34=SD!$I$3,DO23,IF(SD!$C$34=SD!$I$5,BA23,IF(SD!$C$34=SD!$I$6,(LEFT(SD!$C$35,FIND("-",SD!$C$35)-1)+RIGHT(SD!$C$35,LEN(SD!$C$35)-FIND("-",SD!$C$35))/12),IF(SD!$C$34=SD!$I$4,(AU23-(BF23+BG23)))))))</f>
        <v>1</v>
      </c>
      <c r="BJ23">
        <f>IF(AM23="Spiral","1",MAX(ROUNDUP(IF(SD!$C$32="",AT23,BF23/(LEFT(RIGHT(N23,LEN(N23)-FIND("@",N23)),LEN(RIGHT(N23,LEN(N23)-FIND("@",N23)))-1)/12)+1),0),0))</f>
        <v>1</v>
      </c>
      <c r="BK23">
        <f>MAX(ROUNDUP(IF(SD!$C$33="","",BG23/(LEFT(RIGHT(O23,LEN(O23)-FIND("@",O23)),LEN(RIGHT(O23,LEN(O23)-FIND("@",O23)))-1)/12)+1),0),0)</f>
        <v>0</v>
      </c>
      <c r="BL23">
        <f>MAX(ROUNDUP(IF(SD!$C$34="","",BH23/(LEFT(RIGHT(P23,LEN(P23)-FIND("@",P23)),LEN(RIGHT(P23,LEN(P23)-FIND("@",P23)))-1)/12)+1),0),0)</f>
        <v>3</v>
      </c>
      <c r="BN23" t="e">
        <f t="shared" si="5"/>
        <v>#N/A</v>
      </c>
      <c r="BO23" t="e">
        <f t="shared" si="6"/>
        <v>#N/A</v>
      </c>
      <c r="BP23" t="e">
        <f t="shared" si="7"/>
        <v>#N/A</v>
      </c>
      <c r="BQ23" s="24" t="e">
        <f>IF(AM23=TRUE,(((Y23-(SD!$E$12*2))*3.14159265359)+BN23+BO23+BP23)/12+AL23,SUM(AF23:AG23,BN23,BO23,BP23,AO23,AQ23)/12)</f>
        <v>#N/A</v>
      </c>
      <c r="BR23" t="e">
        <f t="shared" si="8"/>
        <v>#N/A</v>
      </c>
      <c r="BS23" t="e">
        <f t="shared" si="9"/>
        <v>#N/A</v>
      </c>
      <c r="BT23" t="e">
        <f t="shared" si="10"/>
        <v>#N/A</v>
      </c>
      <c r="BU23" s="24" t="e">
        <f>IF(AM23=TRUE,(((Y23-(SD!$E$12*2))*3.14159265359)+BR23+BS23+BT23)/12+AL23,SUM(AF23:AG23,BR23,BS23,BT23,AO23,AQ23)/12)</f>
        <v>#N/A</v>
      </c>
      <c r="BW23" t="str">
        <f>IFERROR(LEFT(Data!L23,FIND(" -",Data!L23)-1),"")</f>
        <v/>
      </c>
      <c r="BX23" t="str">
        <f>IFERROR(IF(SD!$C$40=SD!$U$2,W23,IF(SD!$C$40=SD!$U$3,RIGHT(Data!L23,LEN(Data!L23)-(FIND("-",Data!L23)+1)),SD!$C$40)),"")</f>
        <v>#10</v>
      </c>
      <c r="BY23" t="str" cm="1">
        <f t="array" ref="BY23">IFERROR(_xlfn.LET(_xlpm.GRR,IF(AND(SD!$C$19=SD!$H$2,Grade!$G$1="Per level"),VLOOKUP(B23,Grade!$E$1:$F$200,2,FALSE),IF(AND(SD!$C$19=SD!$H$2,Grade!$G$1="Per Bar Size"),VLOOKUP(BX23,Grade!$B$1:$C$12,2,0),SD!$C$19)),_xlpm.is_equal, A22=A23,_xlpm.grade_range, IF(_xlpm.GRR=SD!$H$3, A615GR60,IF(_xlpm.GRR=SD!$H$4, A615GR75,IF(_xlpm.GRR=SD!$H$5, A615GR80,IF(_xlpm.GRR=SD!H27, A615GR100,IF(_xlpm.GRR=SD!$H$7, A706GR60,IF(_xlpm.GRR=SD!$H$8, A706GR80)))))),_xlpm.match_result, MATCH(1, (BSize=BX23)*(BCName=SD!$C$8), 0),_xlpm.final_result, INDEX(_xlpm.grade_range, _xlpm.match_result),IF(_xlpm.is_equal, "", _xlpm.final_result)),"")</f>
        <v/>
      </c>
      <c r="BZ23" t="str">
        <f>IF(A22=A23,"",IF(SD!$C$41="Match Vertical Bars ",X23,IF(SD!$C$41=SD!$V$3,BW23,SD!$C$41)))</f>
        <v/>
      </c>
      <c r="CA23" t="str" cm="1">
        <f t="array" ref="CA23">IF(A22=A23,"",IF(SD!$C$44="No T-Head",IF(SD!$C$42=SD!$Q$3,VLOOKUP(BX23,S90Range,3,FALSE),LEFT(SD!$C$42,FIND("-",SD!$C$42)-1)+(RIGHT(SD!$C$42,LEN(SD!$C$42)-FIND("-",SD!$C$42))/12)),IF(SD!$C$44="T-Head",_xlfn._xlws.FILTER(THead,(TCName=SD!$C$8)*(TSize=BX23)),IF(SD!$C$44="Level Wise",_xlfn.LET(_xlpm.result,_xlfn.XLOOKUP(B23,VDLevel,VDLevelStatus,"No"),IF(_xlpm.result="Yes",_xlfn._xlws.FILTER(THead,(TCName=SD!$C$8)*(TSize=BX23)),IF(SD!$C$42=SD!$Q$3,VLOOKUP(BX23,S90Range,3,FALSE),LEFT(SD!$C$42,FIND("-",SD!$C$42)-1)+(RIGHT(SD!$C$42,LEN(SD!$C$42)-FIND("-", SD!$C$42))/12)))),IF(SD!$C$44="BarSize Wise",_xlfn.LET(_xlpm.result,_xlfn.XLOOKUP(BX23,VDBarSize,VDBarSizeStatus,"No"),IF(_xlpm.result="Yes",_xlfn._xlws.FILTER(THead,(TCName=SD!$C$8)*(TSize=BX23)),IF(SD!$C$42=SD!$Q$3,VLOOKUP(BX23,S90Range,3,FALSE),LEFT(SD!$C$42,FIND("-",SD!$C$42)-1)+(RIGHT(SD!$C$42,LEN(SD!$C$42)-FIND("-",SD!$C$42))/12)))), "")))))</f>
        <v/>
      </c>
      <c r="CB23" t="str" cm="1">
        <f t="array" ref="CB23">_xlfn.LET(_xlpm.GRR,IF(AND(SD!$C$19=SD!$H$2,Grade!$G$1="Per level"),VLOOKUP(B23,Grade!$E$1:$F$200,2,FALSE),IF(AND(SD!$C$19=SD!$H$2,Grade!$G$1="Per Bar Size"),VLOOKUP(BX23,Grade!$B$1:$C$12,2,0),SD!$C$19)),_xlpm.is_coupler, K23="Coupler",_xlpm.condition1, SD!$C$43=SD!$W$2,_xlpm.data_j2_empty, Data!$J23="",_xlpm.lookup_table, IF(SD!$C$11="Create", Lap!$A$3:$BF$14, IF(SD!$C$11="Per Uploaded File", Lap!$A$19:$BF$30, "")),_xlpm.row_match, MATCH(BX23, Lap!$A$3:$A$14, 0),_xlpm.grade_offset, IF(IFERROR(FIND("Grade 60",_xlpm.GRR), 0) &gt; 0, 0, IF(IFERROR(FIND("Grade 80",_xlpm.GRR), 0), 1, IF(IFERROR(FIND("Grade 75",_xlpm.GRR), 0), 2, ""))),_xlpm.col_match, MATCH(VALUE(D23), Lap!$A$3:$BF$3, 0) + _xlpm.grade_offset,_xlpm.index_result, IFERROR(INDEX(_xlpm.lookup_table, _xlpm.row_match, _xlpm.col_match), Data!$J23),_xlpm.result_if_condition1, IF(_xlpm.data_j2_empty, _xlpm.index_result, Data!$J23),IF(_xlpm.is_coupler, 0, IF(_xlpm.condition1, _xlpm.result_if_condition1, SD!$C$43)))</f>
        <v>5-1</v>
      </c>
      <c r="CC23" s="24">
        <f t="shared" si="11"/>
        <v>5.083333333333333</v>
      </c>
      <c r="CD23">
        <f t="shared" si="12"/>
        <v>5.75</v>
      </c>
      <c r="CE23" t="str" cm="1">
        <f t="array" ref="CE23">IF(BY23="","",_xlfn._xlws.FILTER(SAC,(CName=SD!$C$8)*(EName="Vert Dowels")))</f>
        <v/>
      </c>
      <c r="CF23" t="str" cm="1">
        <f t="array" ref="CF23">IFERROR(IF(BY23="","",IF(K23="Coupler",_xlfn._xlws.FILTER(CCoupler,(CCName=SD!$C$8)*(CBSize=IF(A22=A23,W22&amp;W23,BX23&amp;W23))*(CCMFM="Male")),"")),"N/A")</f>
        <v/>
      </c>
      <c r="CG23" t="str">
        <f t="shared" si="13"/>
        <v/>
      </c>
      <c r="CH23" t="str">
        <f t="shared" si="14"/>
        <v/>
      </c>
      <c r="CI23" t="str">
        <f>_xlfn.LET(_xlpm.u3_value, U24,_xlpm.hyphen_pos,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K24="Coupler",_xlpm.coupler_value, IF(_xlpm.is_coupler, 0, _xlpm.calculated_value),_xlpm.final_value, _xlpm.calculated_value + SD!$E$13 + _xlpm.coupler_value,IF(CG23="", "", _xlpm.final_value))</f>
        <v/>
      </c>
      <c r="CJ23" t="str" cm="1">
        <f t="array" ref="CJ23">IF(CG23="","",_xlfn._xlws.FILTER(SAC,(CName=SD!$C$8)*(EName="Loose Dowels")))</f>
        <v/>
      </c>
      <c r="CK23" t="str" cm="1">
        <f t="array" ref="CK23">IFERROR(IF(CG23="","",IF(K24="Coupler",_xlfn._xlws.FILTER(CCoupler,(CCName=SD!$C$8)*(CBSize=IF(A23=A24,W23&amp;W24,""))*(CCMFM="Male")),"")),"N/A")</f>
        <v/>
      </c>
      <c r="CL23" t="str">
        <f>IFERROR(IF(AM23="Spiral","",IF(A22=A23,"",IF(SD!$C$37=0,"",SD!$C$37))),"")</f>
        <v/>
      </c>
      <c r="CN23">
        <f>IF(AM23="Spiral","",IFERROR(IF(SD!$C$36=0,"",SD!$C$36),""))</f>
        <v>5</v>
      </c>
      <c r="CP23" t="str">
        <f>IFERROR(IF(SD!$C$42=SD!$Q$3,'Take-off'!CA23,""),"")</f>
        <v/>
      </c>
      <c r="CR23">
        <f>IFERROR(IF(SD!$C$22=SD!$U$2,W23,SD!$C$22),"")</f>
        <v>0</v>
      </c>
      <c r="CS23" t="str" cm="1">
        <f t="array" ref="CS23">_xlfn.LET(_xlpm.GR,IF(AND(SD!$C$19=SD!$H$2,Grade!$G$1="Per level"),VLOOKUP(B23,Grade!$E$1:$F$200,2,FALSE),IF(AND(SD!$C$19=SD!$H$2,Grade!$G$1="Per Bar Size"),VLOOKUP(CR23,Grade!$B$1:$C$12,2,0),SD!$C$19)),IF(SD!$C$20=SD!$R$4,IF(A24=A23,"",INDEX(IF(_xlpm.GR=SD!$H$3,A615GR60,IF(_xlpm.GR=SD!$H$4,A615GR75,IF(_xlpm.GR=SD!$H$5,A615GR80,IF(_xlpm.GR=SD!H27,A615GR100,IF(_xlpm.GR=SD!$H$7,A706GR60,IF(_xlpm.GR=SD!$H$8,A706GR80)))))), MATCH(1, (BSize=CR23)*(BCName=SD!$C$8), 0))),""))</f>
        <v/>
      </c>
      <c r="CT23" t="str">
        <f>IF(A24=A23,"",IF(SD!$C$23="Match Vertical Bars ",X23,SD!$C$23))</f>
        <v/>
      </c>
      <c r="CU23" t="str" cm="1">
        <f t="array" ref="CU23">IF(A24=A23,"",IF(SD!$C$20="Top dowels",IF(SD!$E$25="No T-Head",IF(SD!$C$24=SD!$Q$3,VLOOKUP(CR23,S90Range,3,FALSE),LEFT(SD!$C$24,FIND("-",SD!$C$24)-1)+(RIGHT(SD!$C$24,LEN(SD!$C$24)-FIND("-",SD!$C$24))/12)),IF(SD!$E$25="T-Head",_xlfn._xlws.FILTER(THead,(TCName=SD!$C$8)*(TSize=CR23)),IF(SD!$E$25="Level Wise",_xlfn.LET(_xlpm.result,_xlfn.XLOOKUP(B23,TDLevel,TDLevelStatus,"No"),IF(_xlpm.result="Yes",_xlfn._xlws.FILTER(THead,(TCName=SD!$C$8)*(TSize=CR23)),IF(SD!$C$24=SD!$Q$3,VLOOKUP(CR23,S90Range,3,FALSE),LEFT(SD!$C$24,FIND("-",SD!$C$24)-1)+(RIGHT(SD!$C$24,LEN(SD!$C$24)-FIND("-", SD!$C$24))/12)))),IF(SD!$E$25="BarSize Wise",_xlfn.LET(_xlpm.result,_xlfn.XLOOKUP(CR23,TDBarSize,TDBarSizeStatus,"No"),IF(_xlpm.result="Yes",_xlfn._xlws.FILTER(THead,(TCName=SD!$C$8)*(TSize=CR23)),IF(SD!$C$24=SD!$Q$3,VLOOKUP(CR23,S90Range,3,FALSE),LEFT(SD!$C$24,FIND("-",SD!$C$24)-1)+(RIGHT(SD!$C$24,LEN(SD!$C$24)-FIND("-",SD!$C$24))/12)))), "")))),""))</f>
        <v/>
      </c>
      <c r="CV23" t="str">
        <f>_xlfn.LET(_xlpm.GRR,IF(AND(SD!$C$19=SD!$H$2,Grade!$G$1="Per level"),VLOOKUP(B23,Grade!$E$1:$F$200,2,FALSE),IF(AND(SD!$C$19=SD!$H$2,Grade!$G$1="Per Bar Size"),VLOOKUP(CR23,Grade!$B$1:$C$12,2,0),SD!$C$19)),IF(SD!$C$25=SD!$W$2,IF(Data!$J23="",IFERROR(INDEX(IF(SD!$C$11="Create",Lap!$A$3:$BF$14,IF(SD!$C$11="Per Uploaded File",Lap!$A$19:$BF$30,"")),MATCH(CR23,Lap!$A$3:$A$14,0),MATCH(VALUE(D23),Lap!$A$3:$BF$3,0)+IF(IFERROR(FIND("Grade 60",_xlpm.GRR),0)&gt;0,0,IF(IFERROR(FIND("Grade 80",_xlpm.GRR),0),1,IF(IFERROR(FIND("Grade 75",_xlpm.GRR),0),2,"")))),""),Data!J23),SD!$C$43))</f>
        <v>Match Lap</v>
      </c>
      <c r="CW23">
        <f t="shared" si="15"/>
        <v>0</v>
      </c>
      <c r="CX23">
        <f t="shared" si="16"/>
        <v>0</v>
      </c>
      <c r="CY23" t="str">
        <f t="shared" si="17"/>
        <v/>
      </c>
      <c r="DA23" t="str">
        <f t="shared" si="18"/>
        <v/>
      </c>
      <c r="DB23" t="str">
        <f t="shared" si="19"/>
        <v/>
      </c>
      <c r="DC23" s="24" t="str">
        <f t="shared" si="20"/>
        <v/>
      </c>
      <c r="DD23">
        <f t="shared" si="21"/>
        <v>10.583333333333334</v>
      </c>
      <c r="DE23" t="s">
        <v>785</v>
      </c>
      <c r="DF23" t="s">
        <v>67</v>
      </c>
      <c r="DG23" t="str">
        <f>VLOOKUP(W23,'Level Wise PSI'!$F$2:$G$12,2,FALSE)</f>
        <v>Double Lift</v>
      </c>
      <c r="DI23" t="str" cm="1">
        <f t="array" ref="DI23">_xlfn.LET(_xlpm.Coup,IFERROR(IF(BY23="","",IF(K23="Coupler",_xlfn._xlws.FILTER(CCFCoupler,(CCName=SD!$C$8)*(CBSize=IF(A22=A23,W22&amp;W23,BX23&amp;W23))),"")),"N/A"),IF(_xlpm.Coup=0,"",_xlpm.Coup))</f>
        <v/>
      </c>
      <c r="DJ23" t="str" cm="1">
        <f t="array" ref="DJ23">_xlfn.LET(_xlpm.Coup3,IFERROR(IF(CG23="","",IF(K24="Coupler",_xlfn._xlws.FILTER(CCFCoupler,(CCName=SD!$C$8)*(CBSize=IF(A23=A24,W23&amp;W24,""))),"")),"N/A"),IF(_xlpm.Coup3=0,"",_xlpm.Coup3))</f>
        <v/>
      </c>
      <c r="DK23" t="str" cm="1">
        <f t="array" ref="DK23">_xlfn.LET(_xlpm.Coup2,IFERROR(IF(A23&lt;&gt;A24,"",IF(DF23="No Lap","",IF(K24="Coupler",_xlfn._xlws.FILTER(CCFCoupler,(CCName=SD!$C$8)*(CBSize=IF(A22=A23,W23&amp;W24,W23&amp;W23))),""))),"N/A"),IF(_xlpm.Coup2=0,"",_xlpm.Coup2))</f>
        <v/>
      </c>
      <c r="DM23" t="str">
        <f>IF(AM23="Spiral","",IF(SD!$C$31=SD!$Y$3,SD!$E$32*2,""))</f>
        <v/>
      </c>
      <c r="DO23" s="24">
        <f t="shared" si="22"/>
        <v>2.5</v>
      </c>
      <c r="DQ23" t="str">
        <f t="shared" si="23"/>
        <v>Lig</v>
      </c>
      <c r="DR23" t="str">
        <f>IF(AM23="Spiral",((Y23-(SD!$E$12*2))/12),"")</f>
        <v/>
      </c>
      <c r="DS23" t="str">
        <f t="shared" si="24"/>
        <v/>
      </c>
      <c r="DT23" t="str">
        <f t="shared" si="25"/>
        <v/>
      </c>
      <c r="DU23" t="str">
        <f t="shared" si="26"/>
        <v/>
      </c>
    </row>
    <row r="24" spans="1:125" x14ac:dyDescent="0.25">
      <c r="A24">
        <v>26</v>
      </c>
      <c r="B24" t="s">
        <v>674</v>
      </c>
      <c r="C24" s="15">
        <v>2429</v>
      </c>
      <c r="D24" s="15">
        <v>10000</v>
      </c>
      <c r="E24" t="str">
        <f>IF(B24=Level!$A$2,SD!$C$14,SD!$C$13)</f>
        <v>0-8</v>
      </c>
      <c r="F24" s="15" t="s">
        <v>787</v>
      </c>
      <c r="G24" t="s">
        <v>742</v>
      </c>
      <c r="H24" t="str">
        <f>RIGHT(VLOOKUP(B24,Level!A:C,3,FALSE),LEN(VLOOKUP(B24,Level!A:C,3,FALSE))-1)</f>
        <v>10-7</v>
      </c>
      <c r="I24" t="s">
        <v>743</v>
      </c>
      <c r="J24" t="str">
        <f>IF(AND(SD!$C$19=SD!$H$2,Grade!$G$1="Per level"),VLOOKUP(B24,Grade!$E$1:$F$200,2,FALSE),IF(AND(SD!$C$19=SD!$H$2,Grade!$G$1="Per Bar Size"),VLOOKUP(W24,Grade!$B$1:$C$12,2,0),SD!$C$19))</f>
        <v>A615 Grade 60</v>
      </c>
      <c r="K24" t="s">
        <v>67</v>
      </c>
      <c r="L24" t="str">
        <f>IFERROR(IF(A24&lt;&gt;A25,"",IF(DF24="No Lap","",IF(K25="Lap",U24,IF(K25="Coupler",_xlfn._xlws.FILTER(CCoupler,(CCName=SD!$C$8)*(CBSize=IF(A23=A24,W24&amp;W25,W24&amp;W24))*(CCMFM="Male")),"")))),"N/A")</f>
        <v>5-1</v>
      </c>
      <c r="M24" t="str">
        <f t="shared" si="0"/>
        <v/>
      </c>
      <c r="N24" t="s">
        <v>719</v>
      </c>
      <c r="O24" t="s">
        <v>720</v>
      </c>
      <c r="P24" t="s">
        <v>719</v>
      </c>
      <c r="Q24" t="str">
        <f>IF(AND(SD!$C$29=SD!$P$2,Grade!$O$1="Per level"),VLOOKUP(B24,Grade!$M$1:$N$200,2,FALSE),IF(AND(SD!$C$29=SD!$P$2,Grade!$O$1="Per Bar Size"),VLOOKUP(LEFT(N24,FIND("@",N24)-2),Grade!$J$1:$K$12,2,0),SD!$C$29))</f>
        <v>A615 Grade 60</v>
      </c>
      <c r="R24" t="s">
        <v>742</v>
      </c>
      <c r="S24" s="57">
        <v>24</v>
      </c>
      <c r="U24" t="str">
        <f>IF(Data!$J24="",IFERROR(INDEX(IF(SD!$C$11="Create",Lap!$A$3:$BF$14,IF(SD!$C$11="Per Uploaded File",Lap!$A$19:$BF$30,"")),MATCH(W24,Lap!$A$3:$A$14,0),MATCH(VALUE(D24),Lap!$A$3:$BF$3,0)+IF(IFERROR(FIND("Grade 60",J24),0)&gt;0,0,IF(IFERROR(FIND("Grade 80",J24),0),1,IF(IFERROR(FIND("Grade 75",J24),0),2,"")))),""),Data!J24)</f>
        <v>5-1</v>
      </c>
      <c r="W24" t="s">
        <v>176</v>
      </c>
      <c r="X24">
        <v>6</v>
      </c>
      <c r="Y24" t="str">
        <f t="shared" si="1"/>
        <v>30</v>
      </c>
      <c r="Z24">
        <f t="shared" si="2"/>
        <v>0</v>
      </c>
      <c r="AA24" s="24">
        <f t="shared" si="3"/>
        <v>15.666666666666666</v>
      </c>
      <c r="BB24" t="e" cm="1">
        <f t="array" ref="BB24">_xlfn.LET(_xlpm.PartF,(_xlfn.LET(_xlpm.grade, Q24,_xlpm.gradeRange, IF(_xlpm.grade=SD!$H$3, A615GR60, IF(_xlpm.grade=SD!$H$4, A615GR75, IF(_xlpm.grade=SD!$H$5, A615GR80, IF(_xlpm.grade=SD!$H$6, A615GR100, IF(_xlpm.grade=SD!$H$7, A706GR60, IF(_xlpm.grade=SD!$H$8, A706GR80)))))),_xlpm.matchValue, MATCH(1, (SD!$AW:$AW=AS24)*(SD!$AX:$AX=SD!$C$8), 0),INDEX(_xlpm.gradeRange, _xlpm.matchValue))),IF(AM24="Spiral",CONCATENATE("SP",_xlpm.PartF),_xlpm.PartF))</f>
        <v>#N/A</v>
      </c>
      <c r="BC24" cm="1">
        <f t="array" ref="BC24">_xlfn.LET(_xlpm.leftPart, LEFT(O24, FIND("@", O24) - 2),_xlpm.grade,Q24,_xlpm.gradeRange,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4" cm="1">
        <f t="array" ref="BD24">_xlfn.LET(_xlpm.leftPart, LEFT(P24, FIND("@", P24) - 2),_xlpm.grade, Q24,_xlpm.gradeRange,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4">
        <f t="shared" si="4"/>
        <v>2.5</v>
      </c>
      <c r="BF24">
        <f>IF(SD!$C$32=SD!$I$2,BE24,IF(SD!$C$32=SD!$I$3,DO24,IF(SD!$C$32=SD!$I$5,BA24,IF(SD!$C$32=SD!$I$6,(LEFT(SD!$C$35,FIND("-",SD!$C$35)-1)+RIGHT(SD!$C$35,LEN(SD!$C$35)-FIND("-",SD!$C$35))/12),IF(SD!$C$32=SD!$I$4,(AU24-(BG24+BH24)))))))</f>
        <v>0</v>
      </c>
      <c r="BG24">
        <f>IF(SD!$C$33=SD!$I$2,BE24,IF(SD!$C$33=SD!$I$3,DO24,IF(SD!$C$33=SD!$I$5,BA24,IF(SD!$C$33=SD!$I$6,(LEFT(SD!$C$35,FIND("-",SD!$C$35)-1)+RIGHT(SD!$C$35,LEN(SD!$C$35)-FIND("-",SD!$C$35))/12),IF(SD!$C$33=SD!$I$4,(AU24-(BF24+BH24)))))))</f>
        <v>-1</v>
      </c>
      <c r="BH24">
        <f>IF(SD!$C$34=SD!$I$2,BE24,IF(SD!$C$34=SD!$I$3,DO24,IF(SD!$C$34=SD!$I$5,BA24,IF(SD!$C$34=SD!$I$6,(LEFT(SD!$C$35,FIND("-",SD!$C$35)-1)+RIGHT(SD!$C$35,LEN(SD!$C$35)-FIND("-",SD!$C$35))/12),IF(SD!$C$34=SD!$I$4,(AU24-(BF24+BG24)))))))</f>
        <v>1</v>
      </c>
      <c r="BJ24">
        <f>IF(AM24="Spiral","1",MAX(ROUNDUP(IF(SD!$C$32="",AT24,BF24/(LEFT(RIGHT(N24,LEN(N24)-FIND("@",N24)),LEN(RIGHT(N24,LEN(N24)-FIND("@",N24)))-1)/12)+1),0),0))</f>
        <v>1</v>
      </c>
      <c r="BK24">
        <f>MAX(ROUNDUP(IF(SD!$C$33="","",BG24/(LEFT(RIGHT(O24,LEN(O24)-FIND("@",O24)),LEN(RIGHT(O24,LEN(O24)-FIND("@",O24)))-1)/12)+1),0),0)</f>
        <v>0</v>
      </c>
      <c r="BL24">
        <f>MAX(ROUNDUP(IF(SD!$C$34="","",BH24/(LEFT(RIGHT(P24,LEN(P24)-FIND("@",P24)),LEN(RIGHT(P24,LEN(P24)-FIND("@",P24)))-1)/12)+1),0),0)</f>
        <v>3</v>
      </c>
      <c r="BN24" t="e">
        <f t="shared" si="5"/>
        <v>#N/A</v>
      </c>
      <c r="BO24" t="e">
        <f t="shared" si="6"/>
        <v>#N/A</v>
      </c>
      <c r="BP24" t="e">
        <f t="shared" si="7"/>
        <v>#N/A</v>
      </c>
      <c r="BQ24" s="24" t="e">
        <f>IF(AM24=TRUE,(((Y24-(SD!$E$12*2))*3.14159265359)+BN24+BO24+BP24)/12+AL24,SUM(AF24:AG24,BN24,BO24,BP24,AO24,AQ24)/12)</f>
        <v>#N/A</v>
      </c>
      <c r="BR24" t="e">
        <f t="shared" si="8"/>
        <v>#N/A</v>
      </c>
      <c r="BS24" t="e">
        <f t="shared" si="9"/>
        <v>#N/A</v>
      </c>
      <c r="BT24" t="e">
        <f t="shared" si="10"/>
        <v>#N/A</v>
      </c>
      <c r="BU24" s="24" t="e">
        <f>IF(AM24=TRUE,(((Y24-(SD!$E$12*2))*3.14159265359)+BR24+BS24+BT24)/12+AL24,SUM(AF24:AG24,BR24,BS24,BT24,AO24,AQ24)/12)</f>
        <v>#N/A</v>
      </c>
      <c r="BW24" t="str">
        <f>IFERROR(LEFT(Data!L24,FIND(" -",Data!L24)-1),"")</f>
        <v/>
      </c>
      <c r="BX24" t="str">
        <f>IFERROR(IF(SD!$C$40=SD!$U$2,W24,IF(SD!$C$40=SD!$U$3,RIGHT(Data!L24,LEN(Data!L24)-(FIND("-",Data!L24)+1)),SD!$C$40)),"")</f>
        <v>#10</v>
      </c>
      <c r="BY24" t="str" cm="1">
        <f t="array" ref="BY24">IFERROR(_xlfn.LET(_xlpm.GRR,IF(AND(SD!$C$19=SD!$H$2,Grade!$G$1="Per level"),VLOOKUP(B24,Grade!$E$1:$F$200,2,FALSE),IF(AND(SD!$C$19=SD!$H$2,Grade!$G$1="Per Bar Size"),VLOOKUP(BX24,Grade!$B$1:$C$12,2,0),SD!$C$19)),_xlpm.is_equal, A23=A24,_xlpm.grade_range, IF(_xlpm.GRR=SD!$H$3, A615GR60,IF(_xlpm.GRR=SD!$H$4, A615GR75,IF(_xlpm.GRR=SD!$H$5, A615GR80,IF(_xlpm.GRR=SD!H28, A615GR100,IF(_xlpm.GRR=SD!$H$7, A706GR60,IF(_xlpm.GRR=SD!$H$8, A706GR80)))))),_xlpm.match_result, MATCH(1, (BSize=BX24)*(BCName=SD!$C$8), 0),_xlpm.final_result, INDEX(_xlpm.grade_range, _xlpm.match_result),IF(_xlpm.is_equal, "", _xlpm.final_result)),"")</f>
        <v/>
      </c>
      <c r="BZ24" t="str">
        <f>IF(A23=A24,"",IF(SD!$C$41="Match Vertical Bars ",X24,IF(SD!$C$41=SD!$V$3,BW24,SD!$C$41)))</f>
        <v/>
      </c>
      <c r="CA24" t="str" cm="1">
        <f t="array" ref="CA24">IF(A23=A24,"",IF(SD!$C$44="No T-Head",IF(SD!$C$42=SD!$Q$3,VLOOKUP(BX24,S90Range,3,FALSE),LEFT(SD!$C$42,FIND("-",SD!$C$42)-1)+(RIGHT(SD!$C$42,LEN(SD!$C$42)-FIND("-",SD!$C$42))/12)),IF(SD!$C$44="T-Head",_xlfn._xlws.FILTER(THead,(TCName=SD!$C$8)*(TSize=BX24)),IF(SD!$C$44="Level Wise",_xlfn.LET(_xlpm.result,_xlfn.XLOOKUP(B24,VDLevel,VDLevelStatus,"No"),IF(_xlpm.result="Yes",_xlfn._xlws.FILTER(THead,(TCName=SD!$C$8)*(TSize=BX24)),IF(SD!$C$42=SD!$Q$3,VLOOKUP(BX24,S90Range,3,FALSE),LEFT(SD!$C$42,FIND("-",SD!$C$42)-1)+(RIGHT(SD!$C$42,LEN(SD!$C$42)-FIND("-", SD!$C$42))/12)))),IF(SD!$C$44="BarSize Wise",_xlfn.LET(_xlpm.result,_xlfn.XLOOKUP(BX24,VDBarSize,VDBarSizeStatus,"No"),IF(_xlpm.result="Yes",_xlfn._xlws.FILTER(THead,(TCName=SD!$C$8)*(TSize=BX24)),IF(SD!$C$42=SD!$Q$3,VLOOKUP(BX24,S90Range,3,FALSE),LEFT(SD!$C$42,FIND("-",SD!$C$42)-1)+(RIGHT(SD!$C$42,LEN(SD!$C$42)-FIND("-",SD!$C$42))/12)))), "")))))</f>
        <v/>
      </c>
      <c r="CB24" t="str" cm="1">
        <f t="array" ref="CB24">_xlfn.LET(_xlpm.GRR,IF(AND(SD!$C$19=SD!$H$2,Grade!$G$1="Per level"),VLOOKUP(B24,Grade!$E$1:$F$200,2,FALSE),IF(AND(SD!$C$19=SD!$H$2,Grade!$G$1="Per Bar Size"),VLOOKUP(BX24,Grade!$B$1:$C$12,2,0),SD!$C$19)),_xlpm.is_coupler, K24="Coupler",_xlpm.condition1, SD!$C$43=SD!$W$2,_xlpm.data_j2_empty, Data!$J24="",_xlpm.lookup_table, IF(SD!$C$11="Create", Lap!$A$3:$BF$14, IF(SD!$C$11="Per Uploaded File", Lap!$A$19:$BF$30, "")),_xlpm.row_match, MATCH(BX24, Lap!$A$3:$A$14, 0),_xlpm.grade_offset, IF(IFERROR(FIND("Grade 60",_xlpm.GRR), 0) &gt; 0, 0, IF(IFERROR(FIND("Grade 80",_xlpm.GRR), 0), 1, IF(IFERROR(FIND("Grade 75",_xlpm.GRR), 0), 2, ""))),_xlpm.col_match, MATCH(VALUE(D24), Lap!$A$3:$BF$3, 0) + _xlpm.grade_offset,_xlpm.index_result, IFERROR(INDEX(_xlpm.lookup_table, _xlpm.row_match, _xlpm.col_match), Data!$J24),_xlpm.result_if_condition1, IF(_xlpm.data_j2_empty, _xlpm.index_result, Data!$J24),IF(_xlpm.is_coupler, 0, IF(_xlpm.condition1, _xlpm.result_if_condition1, SD!$C$43)))</f>
        <v>5-1</v>
      </c>
      <c r="CC24" s="24">
        <f t="shared" si="11"/>
        <v>5.083333333333333</v>
      </c>
      <c r="CD24">
        <f t="shared" si="12"/>
        <v>5.75</v>
      </c>
      <c r="CE24" t="str" cm="1">
        <f t="array" ref="CE24">IF(BY24="","",_xlfn._xlws.FILTER(SAC,(CName=SD!$C$8)*(EName="Vert Dowels")))</f>
        <v/>
      </c>
      <c r="CF24" t="str" cm="1">
        <f t="array" ref="CF24">IFERROR(IF(BY24="","",IF(K24="Coupler",_xlfn._xlws.FILTER(CCoupler,(CCName=SD!$C$8)*(CBSize=IF(A23=A24,W23&amp;W24,BX24&amp;W24))*(CCMFM="Male")),"")),"N/A")</f>
        <v/>
      </c>
      <c r="CG24" t="str">
        <f t="shared" si="13"/>
        <v/>
      </c>
      <c r="CH24" t="str">
        <f t="shared" si="14"/>
        <v/>
      </c>
      <c r="CI24" t="str">
        <f>_xlfn.LET(_xlpm.u3_value, U25,_xlpm.hyphen_pos,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K25="Coupler",_xlpm.coupler_value, IF(_xlpm.is_coupler, 0, _xlpm.calculated_value),_xlpm.final_value, _xlpm.calculated_value + SD!$E$13 + _xlpm.coupler_value,IF(CG24="", "", _xlpm.final_value))</f>
        <v/>
      </c>
      <c r="CJ24" t="str" cm="1">
        <f t="array" ref="CJ24">IF(CG24="","",_xlfn._xlws.FILTER(SAC,(CName=SD!$C$8)*(EName="Loose Dowels")))</f>
        <v/>
      </c>
      <c r="CK24" t="str" cm="1">
        <f t="array" ref="CK24">IFERROR(IF(CG24="","",IF(K25="Coupler",_xlfn._xlws.FILTER(CCoupler,(CCName=SD!$C$8)*(CBSize=IF(A24=A25,W24&amp;W25,""))*(CCMFM="Male")),"")),"N/A")</f>
        <v/>
      </c>
      <c r="CL24" t="str">
        <f>IFERROR(IF(AM24="Spiral","",IF(A23=A24,"",IF(SD!$C$37=0,"",SD!$C$37))),"")</f>
        <v/>
      </c>
      <c r="CN24">
        <f>IF(AM24="Spiral","",IFERROR(IF(SD!$C$36=0,"",SD!$C$36),""))</f>
        <v>5</v>
      </c>
      <c r="CP24" t="str">
        <f>IFERROR(IF(SD!$C$42=SD!$Q$3,'Take-off'!CA24,""),"")</f>
        <v/>
      </c>
      <c r="CR24">
        <f>IFERROR(IF(SD!$C$22=SD!$U$2,W24,SD!$C$22),"")</f>
        <v>0</v>
      </c>
      <c r="CS24" t="str" cm="1">
        <f t="array" ref="CS24">_xlfn.LET(_xlpm.GR,IF(AND(SD!$C$19=SD!$H$2,Grade!$G$1="Per level"),VLOOKUP(B24,Grade!$E$1:$F$200,2,FALSE),IF(AND(SD!$C$19=SD!$H$2,Grade!$G$1="Per Bar Size"),VLOOKUP(CR24,Grade!$B$1:$C$12,2,0),SD!$C$19)),IF(SD!$C$20=SD!$R$4,IF(A25=A24,"",INDEX(IF(_xlpm.GR=SD!$H$3,A615GR60,IF(_xlpm.GR=SD!$H$4,A615GR75,IF(_xlpm.GR=SD!$H$5,A615GR80,IF(_xlpm.GR=SD!H28,A615GR100,IF(_xlpm.GR=SD!$H$7,A706GR60,IF(_xlpm.GR=SD!$H$8,A706GR80)))))), MATCH(1, (BSize=CR24)*(BCName=SD!$C$8), 0))),""))</f>
        <v/>
      </c>
      <c r="CT24" t="str">
        <f>IF(A25=A24,"",IF(SD!$C$23="Match Vertical Bars ",X24,SD!$C$23))</f>
        <v/>
      </c>
      <c r="CU24" t="str" cm="1">
        <f t="array" ref="CU24">IF(A25=A24,"",IF(SD!$C$20="Top dowels",IF(SD!$E$25="No T-Head",IF(SD!$C$24=SD!$Q$3,VLOOKUP(CR24,S90Range,3,FALSE),LEFT(SD!$C$24,FIND("-",SD!$C$24)-1)+(RIGHT(SD!$C$24,LEN(SD!$C$24)-FIND("-",SD!$C$24))/12)),IF(SD!$E$25="T-Head",_xlfn._xlws.FILTER(THead,(TCName=SD!$C$8)*(TSize=CR24)),IF(SD!$E$25="Level Wise",_xlfn.LET(_xlpm.result,_xlfn.XLOOKUP(B24,TDLevel,TDLevelStatus,"No"),IF(_xlpm.result="Yes",_xlfn._xlws.FILTER(THead,(TCName=SD!$C$8)*(TSize=CR24)),IF(SD!$C$24=SD!$Q$3,VLOOKUP(CR24,S90Range,3,FALSE),LEFT(SD!$C$24,FIND("-",SD!$C$24)-1)+(RIGHT(SD!$C$24,LEN(SD!$C$24)-FIND("-", SD!$C$24))/12)))),IF(SD!$E$25="BarSize Wise",_xlfn.LET(_xlpm.result,_xlfn.XLOOKUP(CR24,TDBarSize,TDBarSizeStatus,"No"),IF(_xlpm.result="Yes",_xlfn._xlws.FILTER(THead,(TCName=SD!$C$8)*(TSize=CR24)),IF(SD!$C$24=SD!$Q$3,VLOOKUP(CR24,S90Range,3,FALSE),LEFT(SD!$C$24,FIND("-",SD!$C$24)-1)+(RIGHT(SD!$C$24,LEN(SD!$C$24)-FIND("-",SD!$C$24))/12)))), "")))),""))</f>
        <v/>
      </c>
      <c r="CV24" t="str">
        <f>_xlfn.LET(_xlpm.GRR,IF(AND(SD!$C$19=SD!$H$2,Grade!$G$1="Per level"),VLOOKUP(B24,Grade!$E$1:$F$200,2,FALSE),IF(AND(SD!$C$19=SD!$H$2,Grade!$G$1="Per Bar Size"),VLOOKUP(CR24,Grade!$B$1:$C$12,2,0),SD!$C$19)),IF(SD!$C$25=SD!$W$2,IF(Data!$J24="",IFERROR(INDEX(IF(SD!$C$11="Create",Lap!$A$3:$BF$14,IF(SD!$C$11="Per Uploaded File",Lap!$A$19:$BF$30,"")),MATCH(CR24,Lap!$A$3:$A$14,0),MATCH(VALUE(D24),Lap!$A$3:$BF$3,0)+IF(IFERROR(FIND("Grade 60",_xlpm.GRR),0)&gt;0,0,IF(IFERROR(FIND("Grade 80",_xlpm.GRR),0),1,IF(IFERROR(FIND("Grade 75",_xlpm.GRR),0),2,"")))),""),Data!J24),SD!$C$43))</f>
        <v>Match Lap</v>
      </c>
      <c r="CW24">
        <f t="shared" si="15"/>
        <v>0</v>
      </c>
      <c r="CX24">
        <f t="shared" si="16"/>
        <v>0</v>
      </c>
      <c r="CY24" t="str">
        <f t="shared" si="17"/>
        <v/>
      </c>
      <c r="DA24" t="str">
        <f t="shared" si="18"/>
        <v/>
      </c>
      <c r="DB24" t="str">
        <f t="shared" si="19"/>
        <v/>
      </c>
      <c r="DC24" s="24" t="str">
        <f t="shared" si="20"/>
        <v/>
      </c>
      <c r="DD24">
        <f t="shared" si="21"/>
        <v>10.583333333333334</v>
      </c>
      <c r="DE24" t="s">
        <v>785</v>
      </c>
      <c r="DF24" t="s">
        <v>67</v>
      </c>
      <c r="DG24" t="str">
        <f>VLOOKUP(W24,'Level Wise PSI'!$F$2:$G$12,2,FALSE)</f>
        <v>Double Lift</v>
      </c>
      <c r="DI24" t="str" cm="1">
        <f t="array" ref="DI24">_xlfn.LET(_xlpm.Coup,IFERROR(IF(BY24="","",IF(K24="Coupler",_xlfn._xlws.FILTER(CCFCoupler,(CCName=SD!$C$8)*(CBSize=IF(A23=A24,W23&amp;W24,BX24&amp;W24))),"")),"N/A"),IF(_xlpm.Coup=0,"",_xlpm.Coup))</f>
        <v/>
      </c>
      <c r="DJ24" t="str" cm="1">
        <f t="array" ref="DJ24">_xlfn.LET(_xlpm.Coup3,IFERROR(IF(CG24="","",IF(K25="Coupler",_xlfn._xlws.FILTER(CCFCoupler,(CCName=SD!$C$8)*(CBSize=IF(A24=A25,W24&amp;W25,""))),"")),"N/A"),IF(_xlpm.Coup3=0,"",_xlpm.Coup3))</f>
        <v/>
      </c>
      <c r="DK24" t="str" cm="1">
        <f t="array" ref="DK24">_xlfn.LET(_xlpm.Coup2,IFERROR(IF(A24&lt;&gt;A25,"",IF(DF24="No Lap","",IF(K25="Coupler",_xlfn._xlws.FILTER(CCFCoupler,(CCName=SD!$C$8)*(CBSize=IF(A23=A24,W24&amp;W25,W24&amp;W24))),""))),"N/A"),IF(_xlpm.Coup2=0,"",_xlpm.Coup2))</f>
        <v/>
      </c>
      <c r="DM24" t="str">
        <f>IF(AM24="Spiral","",IF(SD!$C$31=SD!$Y$3,SD!$E$32*2,""))</f>
        <v/>
      </c>
      <c r="DO24" s="24">
        <f t="shared" si="22"/>
        <v>2.5</v>
      </c>
      <c r="DQ24" t="str">
        <f t="shared" si="23"/>
        <v>Lig</v>
      </c>
      <c r="DR24" t="str">
        <f>IF(AM24="Spiral",((Y24-(SD!$E$12*2))/12),"")</f>
        <v/>
      </c>
      <c r="DS24" t="str">
        <f t="shared" si="24"/>
        <v/>
      </c>
      <c r="DT24" t="str">
        <f t="shared" si="25"/>
        <v/>
      </c>
      <c r="DU24" t="str">
        <f t="shared" si="26"/>
        <v/>
      </c>
    </row>
    <row r="25" spans="1:125" x14ac:dyDescent="0.25">
      <c r="A25">
        <v>26</v>
      </c>
      <c r="B25" t="s">
        <v>676</v>
      </c>
      <c r="C25" s="15">
        <v>2429</v>
      </c>
      <c r="D25" s="15">
        <v>10000</v>
      </c>
      <c r="E25" t="str">
        <f>IF(B25=Level!$A$2,SD!$C$14,SD!$C$13)</f>
        <v>0-8</v>
      </c>
      <c r="F25" s="15" t="s">
        <v>787</v>
      </c>
      <c r="G25" t="s">
        <v>742</v>
      </c>
      <c r="H25" t="str">
        <f>RIGHT(VLOOKUP(B25,Level!A:C,3,FALSE),LEN(VLOOKUP(B25,Level!A:C,3,FALSE))-1)</f>
        <v>10-7</v>
      </c>
      <c r="I25" t="s">
        <v>743</v>
      </c>
      <c r="J25" t="str">
        <f>IF(AND(SD!$C$19=SD!$H$2,Grade!$G$1="Per level"),VLOOKUP(B25,Grade!$E$1:$F$200,2,FALSE),IF(AND(SD!$C$19=SD!$H$2,Grade!$G$1="Per Bar Size"),VLOOKUP(W25,Grade!$B$1:$C$12,2,0),SD!$C$19))</f>
        <v>A615 Grade 60</v>
      </c>
      <c r="K25" t="s">
        <v>67</v>
      </c>
      <c r="L25" t="str">
        <f>IFERROR(IF(A25&lt;&gt;A26,"",IF(DF25="No Lap","",IF(K26="Lap",U25,IF(K26="Coupler",_xlfn._xlws.FILTER(CCoupler,(CCName=SD!$C$8)*(CBSize=IF(A24=A25,W25&amp;W26,W25&amp;W25))*(CCMFM="Male")),"")))),"N/A")</f>
        <v>5-1</v>
      </c>
      <c r="M25" t="str">
        <f t="shared" si="0"/>
        <v/>
      </c>
      <c r="N25" t="s">
        <v>719</v>
      </c>
      <c r="O25" t="s">
        <v>720</v>
      </c>
      <c r="P25" t="s">
        <v>719</v>
      </c>
      <c r="Q25" t="str">
        <f>IF(AND(SD!$C$29=SD!$P$2,Grade!$O$1="Per level"),VLOOKUP(B25,Grade!$M$1:$N$200,2,FALSE),IF(AND(SD!$C$29=SD!$P$2,Grade!$O$1="Per Bar Size"),VLOOKUP(LEFT(N25,FIND("@",N25)-2),Grade!$J$1:$K$12,2,0),SD!$C$29))</f>
        <v>A615 Grade 60</v>
      </c>
      <c r="R25" t="s">
        <v>742</v>
      </c>
      <c r="S25" s="57">
        <v>25</v>
      </c>
      <c r="U25" t="str">
        <f>IF(Data!$J25="",IFERROR(INDEX(IF(SD!$C$11="Create",Lap!$A$3:$BF$14,IF(SD!$C$11="Per Uploaded File",Lap!$A$19:$BF$30,"")),MATCH(W25,Lap!$A$3:$A$14,0),MATCH(VALUE(D25),Lap!$A$3:$BF$3,0)+IF(IFERROR(FIND("Grade 60",J25),0)&gt;0,0,IF(IFERROR(FIND("Grade 80",J25),0),1,IF(IFERROR(FIND("Grade 75",J25),0),2,"")))),""),Data!J25)</f>
        <v>5-1</v>
      </c>
      <c r="W25" t="s">
        <v>176</v>
      </c>
      <c r="X25">
        <v>6</v>
      </c>
      <c r="Y25" t="str">
        <f t="shared" si="1"/>
        <v>30</v>
      </c>
      <c r="Z25">
        <f t="shared" si="2"/>
        <v>0</v>
      </c>
      <c r="AA25" s="24">
        <f t="shared" si="3"/>
        <v>15.666666666666666</v>
      </c>
      <c r="BB25" t="e" cm="1">
        <f t="array" ref="BB25">_xlfn.LET(_xlpm.PartF,(_xlfn.LET(_xlpm.grade, Q25,_xlpm.gradeRange, IF(_xlpm.grade=SD!$H$3, A615GR60, IF(_xlpm.grade=SD!$H$4, A615GR75, IF(_xlpm.grade=SD!$H$5, A615GR80, IF(_xlpm.grade=SD!$H$6, A615GR100, IF(_xlpm.grade=SD!$H$7, A706GR60, IF(_xlpm.grade=SD!$H$8, A706GR80)))))),_xlpm.matchValue, MATCH(1, (SD!$AW:$AW=AS25)*(SD!$AX:$AX=SD!$C$8), 0),INDEX(_xlpm.gradeRange, _xlpm.matchValue))),IF(AM25="Spiral",CONCATENATE("SP",_xlpm.PartF),_xlpm.PartF))</f>
        <v>#N/A</v>
      </c>
      <c r="BC25" cm="1">
        <f t="array" ref="BC25">_xlfn.LET(_xlpm.leftPart, LEFT(O25, FIND("@", O25) - 2),_xlpm.grade,Q25,_xlpm.gradeRange,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5" cm="1">
        <f t="array" ref="BD25">_xlfn.LET(_xlpm.leftPart, LEFT(P25, FIND("@", P25) - 2),_xlpm.grade, Q25,_xlpm.gradeRange,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5">
        <f t="shared" si="4"/>
        <v>2.5</v>
      </c>
      <c r="BF25">
        <f>IF(SD!$C$32=SD!$I$2,BE25,IF(SD!$C$32=SD!$I$3,DO25,IF(SD!$C$32=SD!$I$5,BA25,IF(SD!$C$32=SD!$I$6,(LEFT(SD!$C$35,FIND("-",SD!$C$35)-1)+RIGHT(SD!$C$35,LEN(SD!$C$35)-FIND("-",SD!$C$35))/12),IF(SD!$C$32=SD!$I$4,(AU25-(BG25+BH25)))))))</f>
        <v>0</v>
      </c>
      <c r="BG25">
        <f>IF(SD!$C$33=SD!$I$2,BE25,IF(SD!$C$33=SD!$I$3,DO25,IF(SD!$C$33=SD!$I$5,BA25,IF(SD!$C$33=SD!$I$6,(LEFT(SD!$C$35,FIND("-",SD!$C$35)-1)+RIGHT(SD!$C$35,LEN(SD!$C$35)-FIND("-",SD!$C$35))/12),IF(SD!$C$33=SD!$I$4,(AU25-(BF25+BH25)))))))</f>
        <v>-1</v>
      </c>
      <c r="BH25">
        <f>IF(SD!$C$34=SD!$I$2,BE25,IF(SD!$C$34=SD!$I$3,DO25,IF(SD!$C$34=SD!$I$5,BA25,IF(SD!$C$34=SD!$I$6,(LEFT(SD!$C$35,FIND("-",SD!$C$35)-1)+RIGHT(SD!$C$35,LEN(SD!$C$35)-FIND("-",SD!$C$35))/12),IF(SD!$C$34=SD!$I$4,(AU25-(BF25+BG25)))))))</f>
        <v>1</v>
      </c>
      <c r="BJ25">
        <f>IF(AM25="Spiral","1",MAX(ROUNDUP(IF(SD!$C$32="",AT25,BF25/(LEFT(RIGHT(N25,LEN(N25)-FIND("@",N25)),LEN(RIGHT(N25,LEN(N25)-FIND("@",N25)))-1)/12)+1),0),0))</f>
        <v>1</v>
      </c>
      <c r="BK25">
        <f>MAX(ROUNDUP(IF(SD!$C$33="","",BG25/(LEFT(RIGHT(O25,LEN(O25)-FIND("@",O25)),LEN(RIGHT(O25,LEN(O25)-FIND("@",O25)))-1)/12)+1),0),0)</f>
        <v>0</v>
      </c>
      <c r="BL25">
        <f>MAX(ROUNDUP(IF(SD!$C$34="","",BH25/(LEFT(RIGHT(P25,LEN(P25)-FIND("@",P25)),LEN(RIGHT(P25,LEN(P25)-FIND("@",P25)))-1)/12)+1),0),0)</f>
        <v>3</v>
      </c>
      <c r="BN25" t="e">
        <f t="shared" si="5"/>
        <v>#N/A</v>
      </c>
      <c r="BO25" t="e">
        <f t="shared" si="6"/>
        <v>#N/A</v>
      </c>
      <c r="BP25" t="e">
        <f t="shared" si="7"/>
        <v>#N/A</v>
      </c>
      <c r="BQ25" s="24" t="e">
        <f>IF(AM25=TRUE,(((Y25-(SD!$E$12*2))*3.14159265359)+BN25+BO25+BP25)/12+AL25,SUM(AF25:AG25,BN25,BO25,BP25,AO25,AQ25)/12)</f>
        <v>#N/A</v>
      </c>
      <c r="BR25" t="e">
        <f t="shared" si="8"/>
        <v>#N/A</v>
      </c>
      <c r="BS25" t="e">
        <f t="shared" si="9"/>
        <v>#N/A</v>
      </c>
      <c r="BT25" t="e">
        <f t="shared" si="10"/>
        <v>#N/A</v>
      </c>
      <c r="BU25" s="24" t="e">
        <f>IF(AM25=TRUE,(((Y25-(SD!$E$12*2))*3.14159265359)+BR25+BS25+BT25)/12+AL25,SUM(AF25:AG25,BR25,BS25,BT25,AO25,AQ25)/12)</f>
        <v>#N/A</v>
      </c>
      <c r="BW25" t="str">
        <f>IFERROR(LEFT(Data!L25,FIND(" -",Data!L25)-1),"")</f>
        <v/>
      </c>
      <c r="BX25" t="str">
        <f>IFERROR(IF(SD!$C$40=SD!$U$2,W25,IF(SD!$C$40=SD!$U$3,RIGHT(Data!L25,LEN(Data!L25)-(FIND("-",Data!L25)+1)),SD!$C$40)),"")</f>
        <v>#10</v>
      </c>
      <c r="BY25" t="str" cm="1">
        <f t="array" ref="BY25">IFERROR(_xlfn.LET(_xlpm.GRR,IF(AND(SD!$C$19=SD!$H$2,Grade!$G$1="Per level"),VLOOKUP(B25,Grade!$E$1:$F$200,2,FALSE),IF(AND(SD!$C$19=SD!$H$2,Grade!$G$1="Per Bar Size"),VLOOKUP(BX25,Grade!$B$1:$C$12,2,0),SD!$C$19)),_xlpm.is_equal, A24=A25,_xlpm.grade_range, IF(_xlpm.GRR=SD!$H$3, A615GR60,IF(_xlpm.GRR=SD!$H$4, A615GR75,IF(_xlpm.GRR=SD!$H$5, A615GR80,IF(_xlpm.GRR=SD!H29, A615GR100,IF(_xlpm.GRR=SD!$H$7, A706GR60,IF(_xlpm.GRR=SD!$H$8, A706GR80)))))),_xlpm.match_result, MATCH(1, (BSize=BX25)*(BCName=SD!$C$8), 0),_xlpm.final_result, INDEX(_xlpm.grade_range, _xlpm.match_result),IF(_xlpm.is_equal, "", _xlpm.final_result)),"")</f>
        <v/>
      </c>
      <c r="BZ25" t="str">
        <f>IF(A24=A25,"",IF(SD!$C$41="Match Vertical Bars ",X25,IF(SD!$C$41=SD!$V$3,BW25,SD!$C$41)))</f>
        <v/>
      </c>
      <c r="CA25" t="str" cm="1">
        <f t="array" ref="CA25">IF(A24=A25,"",IF(SD!$C$44="No T-Head",IF(SD!$C$42=SD!$Q$3,VLOOKUP(BX25,S90Range,3,FALSE),LEFT(SD!$C$42,FIND("-",SD!$C$42)-1)+(RIGHT(SD!$C$42,LEN(SD!$C$42)-FIND("-",SD!$C$42))/12)),IF(SD!$C$44="T-Head",_xlfn._xlws.FILTER(THead,(TCName=SD!$C$8)*(TSize=BX25)),IF(SD!$C$44="Level Wise",_xlfn.LET(_xlpm.result,_xlfn.XLOOKUP(B25,VDLevel,VDLevelStatus,"No"),IF(_xlpm.result="Yes",_xlfn._xlws.FILTER(THead,(TCName=SD!$C$8)*(TSize=BX25)),IF(SD!$C$42=SD!$Q$3,VLOOKUP(BX25,S90Range,3,FALSE),LEFT(SD!$C$42,FIND("-",SD!$C$42)-1)+(RIGHT(SD!$C$42,LEN(SD!$C$42)-FIND("-", SD!$C$42))/12)))),IF(SD!$C$44="BarSize Wise",_xlfn.LET(_xlpm.result,_xlfn.XLOOKUP(BX25,VDBarSize,VDBarSizeStatus,"No"),IF(_xlpm.result="Yes",_xlfn._xlws.FILTER(THead,(TCName=SD!$C$8)*(TSize=BX25)),IF(SD!$C$42=SD!$Q$3,VLOOKUP(BX25,S90Range,3,FALSE),LEFT(SD!$C$42,FIND("-",SD!$C$42)-1)+(RIGHT(SD!$C$42,LEN(SD!$C$42)-FIND("-",SD!$C$42))/12)))), "")))))</f>
        <v/>
      </c>
      <c r="CB25" t="str" cm="1">
        <f t="array" ref="CB25">_xlfn.LET(_xlpm.GRR,IF(AND(SD!$C$19=SD!$H$2,Grade!$G$1="Per level"),VLOOKUP(B25,Grade!$E$1:$F$200,2,FALSE),IF(AND(SD!$C$19=SD!$H$2,Grade!$G$1="Per Bar Size"),VLOOKUP(BX25,Grade!$B$1:$C$12,2,0),SD!$C$19)),_xlpm.is_coupler, K25="Coupler",_xlpm.condition1, SD!$C$43=SD!$W$2,_xlpm.data_j2_empty, Data!$J25="",_xlpm.lookup_table, IF(SD!$C$11="Create", Lap!$A$3:$BF$14, IF(SD!$C$11="Per Uploaded File", Lap!$A$19:$BF$30, "")),_xlpm.row_match, MATCH(BX25, Lap!$A$3:$A$14, 0),_xlpm.grade_offset, IF(IFERROR(FIND("Grade 60",_xlpm.GRR), 0) &gt; 0, 0, IF(IFERROR(FIND("Grade 80",_xlpm.GRR), 0), 1, IF(IFERROR(FIND("Grade 75",_xlpm.GRR), 0), 2, ""))),_xlpm.col_match, MATCH(VALUE(D25), Lap!$A$3:$BF$3, 0) + _xlpm.grade_offset,_xlpm.index_result, IFERROR(INDEX(_xlpm.lookup_table, _xlpm.row_match, _xlpm.col_match), Data!$J25),_xlpm.result_if_condition1, IF(_xlpm.data_j2_empty, _xlpm.index_result, Data!$J25),IF(_xlpm.is_coupler, 0, IF(_xlpm.condition1, _xlpm.result_if_condition1, SD!$C$43)))</f>
        <v>5-1</v>
      </c>
      <c r="CC25" s="24">
        <f t="shared" si="11"/>
        <v>5.083333333333333</v>
      </c>
      <c r="CD25">
        <f t="shared" si="12"/>
        <v>5.75</v>
      </c>
      <c r="CE25" t="str" cm="1">
        <f t="array" ref="CE25">IF(BY25="","",_xlfn._xlws.FILTER(SAC,(CName=SD!$C$8)*(EName="Vert Dowels")))</f>
        <v/>
      </c>
      <c r="CF25" t="str" cm="1">
        <f t="array" ref="CF25">IFERROR(IF(BY25="","",IF(K25="Coupler",_xlfn._xlws.FILTER(CCoupler,(CCName=SD!$C$8)*(CBSize=IF(A24=A25,W24&amp;W25,BX25&amp;W25))*(CCMFM="Male")),"")),"N/A")</f>
        <v/>
      </c>
      <c r="CG25" t="str">
        <f t="shared" si="13"/>
        <v/>
      </c>
      <c r="CH25" t="str">
        <f t="shared" si="14"/>
        <v/>
      </c>
      <c r="CI25" t="str">
        <f>_xlfn.LET(_xlpm.u3_value, U26,_xlpm.hyphen_pos,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K26="Coupler",_xlpm.coupler_value, IF(_xlpm.is_coupler, 0, _xlpm.calculated_value),_xlpm.final_value, _xlpm.calculated_value + SD!$E$13 + _xlpm.coupler_value,IF(CG25="", "", _xlpm.final_value))</f>
        <v/>
      </c>
      <c r="CJ25" t="str" cm="1">
        <f t="array" ref="CJ25">IF(CG25="","",_xlfn._xlws.FILTER(SAC,(CName=SD!$C$8)*(EName="Loose Dowels")))</f>
        <v/>
      </c>
      <c r="CK25" t="str" cm="1">
        <f t="array" ref="CK25">IFERROR(IF(CG25="","",IF(K26="Coupler",_xlfn._xlws.FILTER(CCoupler,(CCName=SD!$C$8)*(CBSize=IF(A25=A26,W25&amp;W26,""))*(CCMFM="Male")),"")),"N/A")</f>
        <v/>
      </c>
      <c r="CL25" t="str">
        <f>IFERROR(IF(AM25="Spiral","",IF(A24=A25,"",IF(SD!$C$37=0,"",SD!$C$37))),"")</f>
        <v/>
      </c>
      <c r="CN25">
        <f>IF(AM25="Spiral","",IFERROR(IF(SD!$C$36=0,"",SD!$C$36),""))</f>
        <v>5</v>
      </c>
      <c r="CP25" t="str">
        <f>IFERROR(IF(SD!$C$42=SD!$Q$3,'Take-off'!CA25,""),"")</f>
        <v/>
      </c>
      <c r="CR25">
        <f>IFERROR(IF(SD!$C$22=SD!$U$2,W25,SD!$C$22),"")</f>
        <v>0</v>
      </c>
      <c r="CS25" t="str" cm="1">
        <f t="array" ref="CS25">_xlfn.LET(_xlpm.GR,IF(AND(SD!$C$19=SD!$H$2,Grade!$G$1="Per level"),VLOOKUP(B25,Grade!$E$1:$F$200,2,FALSE),IF(AND(SD!$C$19=SD!$H$2,Grade!$G$1="Per Bar Size"),VLOOKUP(CR25,Grade!$B$1:$C$12,2,0),SD!$C$19)),IF(SD!$C$20=SD!$R$4,IF(A26=A25,"",INDEX(IF(_xlpm.GR=SD!$H$3,A615GR60,IF(_xlpm.GR=SD!$H$4,A615GR75,IF(_xlpm.GR=SD!$H$5,A615GR80,IF(_xlpm.GR=SD!H29,A615GR100,IF(_xlpm.GR=SD!$H$7,A706GR60,IF(_xlpm.GR=SD!$H$8,A706GR80)))))), MATCH(1, (BSize=CR25)*(BCName=SD!$C$8), 0))),""))</f>
        <v/>
      </c>
      <c r="CT25" t="str">
        <f>IF(A26=A25,"",IF(SD!$C$23="Match Vertical Bars ",X25,SD!$C$23))</f>
        <v/>
      </c>
      <c r="CU25" t="str" cm="1">
        <f t="array" ref="CU25">IF(A26=A25,"",IF(SD!$C$20="Top dowels",IF(SD!$E$25="No T-Head",IF(SD!$C$24=SD!$Q$3,VLOOKUP(CR25,S90Range,3,FALSE),LEFT(SD!$C$24,FIND("-",SD!$C$24)-1)+(RIGHT(SD!$C$24,LEN(SD!$C$24)-FIND("-",SD!$C$24))/12)),IF(SD!$E$25="T-Head",_xlfn._xlws.FILTER(THead,(TCName=SD!$C$8)*(TSize=CR25)),IF(SD!$E$25="Level Wise",_xlfn.LET(_xlpm.result,_xlfn.XLOOKUP(B25,TDLevel,TDLevelStatus,"No"),IF(_xlpm.result="Yes",_xlfn._xlws.FILTER(THead,(TCName=SD!$C$8)*(TSize=CR25)),IF(SD!$C$24=SD!$Q$3,VLOOKUP(CR25,S90Range,3,FALSE),LEFT(SD!$C$24,FIND("-",SD!$C$24)-1)+(RIGHT(SD!$C$24,LEN(SD!$C$24)-FIND("-", SD!$C$24))/12)))),IF(SD!$E$25="BarSize Wise",_xlfn.LET(_xlpm.result,_xlfn.XLOOKUP(CR25,TDBarSize,TDBarSizeStatus,"No"),IF(_xlpm.result="Yes",_xlfn._xlws.FILTER(THead,(TCName=SD!$C$8)*(TSize=CR25)),IF(SD!$C$24=SD!$Q$3,VLOOKUP(CR25,S90Range,3,FALSE),LEFT(SD!$C$24,FIND("-",SD!$C$24)-1)+(RIGHT(SD!$C$24,LEN(SD!$C$24)-FIND("-",SD!$C$24))/12)))), "")))),""))</f>
        <v/>
      </c>
      <c r="CV25" t="str">
        <f>_xlfn.LET(_xlpm.GRR,IF(AND(SD!$C$19=SD!$H$2,Grade!$G$1="Per level"),VLOOKUP(B25,Grade!$E$1:$F$200,2,FALSE),IF(AND(SD!$C$19=SD!$H$2,Grade!$G$1="Per Bar Size"),VLOOKUP(CR25,Grade!$B$1:$C$12,2,0),SD!$C$19)),IF(SD!$C$25=SD!$W$2,IF(Data!$J25="",IFERROR(INDEX(IF(SD!$C$11="Create",Lap!$A$3:$BF$14,IF(SD!$C$11="Per Uploaded File",Lap!$A$19:$BF$30,"")),MATCH(CR25,Lap!$A$3:$A$14,0),MATCH(VALUE(D25),Lap!$A$3:$BF$3,0)+IF(IFERROR(FIND("Grade 60",_xlpm.GRR),0)&gt;0,0,IF(IFERROR(FIND("Grade 80",_xlpm.GRR),0),1,IF(IFERROR(FIND("Grade 75",_xlpm.GRR),0),2,"")))),""),Data!J25),SD!$C$43))</f>
        <v>Match Lap</v>
      </c>
      <c r="CW25">
        <f t="shared" si="15"/>
        <v>0</v>
      </c>
      <c r="CX25">
        <f t="shared" si="16"/>
        <v>0</v>
      </c>
      <c r="CY25" t="str">
        <f t="shared" si="17"/>
        <v/>
      </c>
      <c r="DA25" t="str">
        <f t="shared" si="18"/>
        <v/>
      </c>
      <c r="DB25" t="str">
        <f t="shared" si="19"/>
        <v/>
      </c>
      <c r="DC25" s="24" t="str">
        <f t="shared" si="20"/>
        <v/>
      </c>
      <c r="DD25">
        <f t="shared" si="21"/>
        <v>10.583333333333334</v>
      </c>
      <c r="DE25" t="s">
        <v>785</v>
      </c>
      <c r="DF25" t="s">
        <v>67</v>
      </c>
      <c r="DG25" t="str">
        <f>VLOOKUP(W25,'Level Wise PSI'!$F$2:$G$12,2,FALSE)</f>
        <v>Double Lift</v>
      </c>
      <c r="DI25" t="str" cm="1">
        <f t="array" ref="DI25">_xlfn.LET(_xlpm.Coup,IFERROR(IF(BY25="","",IF(K25="Coupler",_xlfn._xlws.FILTER(CCFCoupler,(CCName=SD!$C$8)*(CBSize=IF(A24=A25,W24&amp;W25,BX25&amp;W25))),"")),"N/A"),IF(_xlpm.Coup=0,"",_xlpm.Coup))</f>
        <v/>
      </c>
      <c r="DJ25" t="str" cm="1">
        <f t="array" ref="DJ25">_xlfn.LET(_xlpm.Coup3,IFERROR(IF(CG25="","",IF(K26="Coupler",_xlfn._xlws.FILTER(CCFCoupler,(CCName=SD!$C$8)*(CBSize=IF(A25=A26,W25&amp;W26,""))),"")),"N/A"),IF(_xlpm.Coup3=0,"",_xlpm.Coup3))</f>
        <v/>
      </c>
      <c r="DK25" t="str" cm="1">
        <f t="array" ref="DK25">_xlfn.LET(_xlpm.Coup2,IFERROR(IF(A25&lt;&gt;A26,"",IF(DF25="No Lap","",IF(K26="Coupler",_xlfn._xlws.FILTER(CCFCoupler,(CCName=SD!$C$8)*(CBSize=IF(A24=A25,W25&amp;W26,W25&amp;W25))),""))),"N/A"),IF(_xlpm.Coup2=0,"",_xlpm.Coup2))</f>
        <v/>
      </c>
      <c r="DM25" t="str">
        <f>IF(AM25="Spiral","",IF(SD!$C$31=SD!$Y$3,SD!$E$32*2,""))</f>
        <v/>
      </c>
      <c r="DO25" s="24">
        <f t="shared" si="22"/>
        <v>2.5</v>
      </c>
      <c r="DQ25" t="str">
        <f t="shared" si="23"/>
        <v>Lig</v>
      </c>
      <c r="DR25" t="str">
        <f>IF(AM25="Spiral",((Y25-(SD!$E$12*2))/12),"")</f>
        <v/>
      </c>
      <c r="DS25" t="str">
        <f t="shared" si="24"/>
        <v/>
      </c>
      <c r="DT25" t="str">
        <f t="shared" si="25"/>
        <v/>
      </c>
      <c r="DU25" t="str">
        <f t="shared" si="26"/>
        <v/>
      </c>
    </row>
    <row r="26" spans="1:125" x14ac:dyDescent="0.25">
      <c r="A26">
        <v>26</v>
      </c>
      <c r="B26" t="s">
        <v>678</v>
      </c>
      <c r="C26" s="15">
        <v>2429</v>
      </c>
      <c r="D26" s="15">
        <v>10000</v>
      </c>
      <c r="E26" t="str">
        <f>IF(B26=Level!$A$2,SD!$C$14,SD!$C$13)</f>
        <v>0-8</v>
      </c>
      <c r="F26" s="15" t="s">
        <v>787</v>
      </c>
      <c r="G26" t="s">
        <v>742</v>
      </c>
      <c r="H26" t="str">
        <f>RIGHT(VLOOKUP(B26,Level!A:C,3,FALSE),LEN(VLOOKUP(B26,Level!A:C,3,FALSE))-1)</f>
        <v>10-7</v>
      </c>
      <c r="I26" t="s">
        <v>743</v>
      </c>
      <c r="J26" t="str">
        <f>IF(AND(SD!$C$19=SD!$H$2,Grade!$G$1="Per level"),VLOOKUP(B26,Grade!$E$1:$F$200,2,FALSE),IF(AND(SD!$C$19=SD!$H$2,Grade!$G$1="Per Bar Size"),VLOOKUP(W26,Grade!$B$1:$C$12,2,0),SD!$C$19))</f>
        <v>A615 Grade 60</v>
      </c>
      <c r="K26" t="s">
        <v>67</v>
      </c>
      <c r="L26" t="str">
        <f>IFERROR(IF(A26&lt;&gt;A27,"",IF(DF26="No Lap","",IF(K27="Lap",U26,IF(K27="Coupler",_xlfn._xlws.FILTER(CCoupler,(CCName=SD!$C$8)*(CBSize=IF(A25=A26,W26&amp;W27,W26&amp;W26))*(CCMFM="Male")),"")))),"N/A")</f>
        <v>5-1</v>
      </c>
      <c r="M26" t="str">
        <f t="shared" si="0"/>
        <v/>
      </c>
      <c r="N26" t="s">
        <v>719</v>
      </c>
      <c r="O26" t="s">
        <v>720</v>
      </c>
      <c r="P26" t="s">
        <v>719</v>
      </c>
      <c r="Q26" t="str">
        <f>IF(AND(SD!$C$29=SD!$P$2,Grade!$O$1="Per level"),VLOOKUP(B26,Grade!$M$1:$N$200,2,FALSE),IF(AND(SD!$C$29=SD!$P$2,Grade!$O$1="Per Bar Size"),VLOOKUP(LEFT(N26,FIND("@",N26)-2),Grade!$J$1:$K$12,2,0),SD!$C$29))</f>
        <v>A615 Grade 60</v>
      </c>
      <c r="R26" t="s">
        <v>742</v>
      </c>
      <c r="S26" s="57">
        <v>26</v>
      </c>
      <c r="U26" t="str">
        <f>IF(Data!$J26="",IFERROR(INDEX(IF(SD!$C$11="Create",Lap!$A$3:$BF$14,IF(SD!$C$11="Per Uploaded File",Lap!$A$19:$BF$30,"")),MATCH(W26,Lap!$A$3:$A$14,0),MATCH(VALUE(D26),Lap!$A$3:$BF$3,0)+IF(IFERROR(FIND("Grade 60",J26),0)&gt;0,0,IF(IFERROR(FIND("Grade 80",J26),0),1,IF(IFERROR(FIND("Grade 75",J26),0),2,"")))),""),Data!J26)</f>
        <v>5-1</v>
      </c>
      <c r="W26" t="s">
        <v>176</v>
      </c>
      <c r="X26">
        <v>6</v>
      </c>
      <c r="Y26" t="str">
        <f t="shared" si="1"/>
        <v>30</v>
      </c>
      <c r="Z26">
        <f t="shared" si="2"/>
        <v>0</v>
      </c>
      <c r="AA26" s="24">
        <f t="shared" si="3"/>
        <v>15.666666666666666</v>
      </c>
      <c r="BB26" t="e" cm="1">
        <f t="array" ref="BB26">_xlfn.LET(_xlpm.PartF,(_xlfn.LET(_xlpm.grade, Q26,_xlpm.gradeRange, IF(_xlpm.grade=SD!$H$3, A615GR60, IF(_xlpm.grade=SD!$H$4, A615GR75, IF(_xlpm.grade=SD!$H$5, A615GR80, IF(_xlpm.grade=SD!$H$6, A615GR100, IF(_xlpm.grade=SD!$H$7, A706GR60, IF(_xlpm.grade=SD!$H$8, A706GR80)))))),_xlpm.matchValue, MATCH(1, (SD!$AW:$AW=AS26)*(SD!$AX:$AX=SD!$C$8), 0),INDEX(_xlpm.gradeRange, _xlpm.matchValue))),IF(AM26="Spiral",CONCATENATE("SP",_xlpm.PartF),_xlpm.PartF))</f>
        <v>#N/A</v>
      </c>
      <c r="BC26" cm="1">
        <f t="array" ref="BC26">_xlfn.LET(_xlpm.leftPart, LEFT(O26, FIND("@", O26) - 2),_xlpm.grade,Q26,_xlpm.gradeRange,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6" cm="1">
        <f t="array" ref="BD26">_xlfn.LET(_xlpm.leftPart, LEFT(P26, FIND("@", P26) - 2),_xlpm.grade, Q26,_xlpm.gradeRange,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6">
        <f t="shared" si="4"/>
        <v>2.5</v>
      </c>
      <c r="BF26">
        <f>IF(SD!$C$32=SD!$I$2,BE26,IF(SD!$C$32=SD!$I$3,DO26,IF(SD!$C$32=SD!$I$5,BA26,IF(SD!$C$32=SD!$I$6,(LEFT(SD!$C$35,FIND("-",SD!$C$35)-1)+RIGHT(SD!$C$35,LEN(SD!$C$35)-FIND("-",SD!$C$35))/12),IF(SD!$C$32=SD!$I$4,(AU26-(BG26+BH26)))))))</f>
        <v>0</v>
      </c>
      <c r="BG26">
        <f>IF(SD!$C$33=SD!$I$2,BE26,IF(SD!$C$33=SD!$I$3,DO26,IF(SD!$C$33=SD!$I$5,BA26,IF(SD!$C$33=SD!$I$6,(LEFT(SD!$C$35,FIND("-",SD!$C$35)-1)+RIGHT(SD!$C$35,LEN(SD!$C$35)-FIND("-",SD!$C$35))/12),IF(SD!$C$33=SD!$I$4,(AU26-(BF26+BH26)))))))</f>
        <v>-1</v>
      </c>
      <c r="BH26">
        <f>IF(SD!$C$34=SD!$I$2,BE26,IF(SD!$C$34=SD!$I$3,DO26,IF(SD!$C$34=SD!$I$5,BA26,IF(SD!$C$34=SD!$I$6,(LEFT(SD!$C$35,FIND("-",SD!$C$35)-1)+RIGHT(SD!$C$35,LEN(SD!$C$35)-FIND("-",SD!$C$35))/12),IF(SD!$C$34=SD!$I$4,(AU26-(BF26+BG26)))))))</f>
        <v>1</v>
      </c>
      <c r="BJ26">
        <f>IF(AM26="Spiral","1",MAX(ROUNDUP(IF(SD!$C$32="",AT26,BF26/(LEFT(RIGHT(N26,LEN(N26)-FIND("@",N26)),LEN(RIGHT(N26,LEN(N26)-FIND("@",N26)))-1)/12)+1),0),0))</f>
        <v>1</v>
      </c>
      <c r="BK26">
        <f>MAX(ROUNDUP(IF(SD!$C$33="","",BG26/(LEFT(RIGHT(O26,LEN(O26)-FIND("@",O26)),LEN(RIGHT(O26,LEN(O26)-FIND("@",O26)))-1)/12)+1),0),0)</f>
        <v>0</v>
      </c>
      <c r="BL26">
        <f>MAX(ROUNDUP(IF(SD!$C$34="","",BH26/(LEFT(RIGHT(P26,LEN(P26)-FIND("@",P26)),LEN(RIGHT(P26,LEN(P26)-FIND("@",P26)))-1)/12)+1),0),0)</f>
        <v>3</v>
      </c>
      <c r="BN26" t="e">
        <f t="shared" si="5"/>
        <v>#N/A</v>
      </c>
      <c r="BO26" t="e">
        <f t="shared" si="6"/>
        <v>#N/A</v>
      </c>
      <c r="BP26" t="e">
        <f t="shared" si="7"/>
        <v>#N/A</v>
      </c>
      <c r="BQ26" s="24" t="e">
        <f>IF(AM26=TRUE,(((Y26-(SD!$E$12*2))*3.14159265359)+BN26+BO26+BP26)/12+AL26,SUM(AF26:AG26,BN26,BO26,BP26,AO26,AQ26)/12)</f>
        <v>#N/A</v>
      </c>
      <c r="BR26" t="e">
        <f t="shared" si="8"/>
        <v>#N/A</v>
      </c>
      <c r="BS26" t="e">
        <f t="shared" si="9"/>
        <v>#N/A</v>
      </c>
      <c r="BT26" t="e">
        <f t="shared" si="10"/>
        <v>#N/A</v>
      </c>
      <c r="BU26" s="24" t="e">
        <f>IF(AM26=TRUE,(((Y26-(SD!$E$12*2))*3.14159265359)+BR26+BS26+BT26)/12+AL26,SUM(AF26:AG26,BR26,BS26,BT26,AO26,AQ26)/12)</f>
        <v>#N/A</v>
      </c>
      <c r="BW26" t="str">
        <f>IFERROR(LEFT(Data!L26,FIND(" -",Data!L26)-1),"")</f>
        <v/>
      </c>
      <c r="BX26" t="str">
        <f>IFERROR(IF(SD!$C$40=SD!$U$2,W26,IF(SD!$C$40=SD!$U$3,RIGHT(Data!L26,LEN(Data!L26)-(FIND("-",Data!L26)+1)),SD!$C$40)),"")</f>
        <v>#10</v>
      </c>
      <c r="BY26" t="str" cm="1">
        <f t="array" ref="BY26">IFERROR(_xlfn.LET(_xlpm.GRR,IF(AND(SD!$C$19=SD!$H$2,Grade!$G$1="Per level"),VLOOKUP(B26,Grade!$E$1:$F$200,2,FALSE),IF(AND(SD!$C$19=SD!$H$2,Grade!$G$1="Per Bar Size"),VLOOKUP(BX26,Grade!$B$1:$C$12,2,0),SD!$C$19)),_xlpm.is_equal, A25=A26,_xlpm.grade_range, IF(_xlpm.GRR=SD!$H$3, A615GR60,IF(_xlpm.GRR=SD!$H$4, A615GR75,IF(_xlpm.GRR=SD!$H$5, A615GR80,IF(_xlpm.GRR=SD!H30, A615GR100,IF(_xlpm.GRR=SD!$H$7, A706GR60,IF(_xlpm.GRR=SD!$H$8, A706GR80)))))),_xlpm.match_result, MATCH(1, (BSize=BX26)*(BCName=SD!$C$8), 0),_xlpm.final_result, INDEX(_xlpm.grade_range, _xlpm.match_result),IF(_xlpm.is_equal, "", _xlpm.final_result)),"")</f>
        <v/>
      </c>
      <c r="BZ26" t="str">
        <f>IF(A25=A26,"",IF(SD!$C$41="Match Vertical Bars ",X26,IF(SD!$C$41=SD!$V$3,BW26,SD!$C$41)))</f>
        <v/>
      </c>
      <c r="CA26" t="str" cm="1">
        <f t="array" ref="CA26">IF(A25=A26,"",IF(SD!$C$44="No T-Head",IF(SD!$C$42=SD!$Q$3,VLOOKUP(BX26,S90Range,3,FALSE),LEFT(SD!$C$42,FIND("-",SD!$C$42)-1)+(RIGHT(SD!$C$42,LEN(SD!$C$42)-FIND("-",SD!$C$42))/12)),IF(SD!$C$44="T-Head",_xlfn._xlws.FILTER(THead,(TCName=SD!$C$8)*(TSize=BX26)),IF(SD!$C$44="Level Wise",_xlfn.LET(_xlpm.result,_xlfn.XLOOKUP(B26,VDLevel,VDLevelStatus,"No"),IF(_xlpm.result="Yes",_xlfn._xlws.FILTER(THead,(TCName=SD!$C$8)*(TSize=BX26)),IF(SD!$C$42=SD!$Q$3,VLOOKUP(BX26,S90Range,3,FALSE),LEFT(SD!$C$42,FIND("-",SD!$C$42)-1)+(RIGHT(SD!$C$42,LEN(SD!$C$42)-FIND("-", SD!$C$42))/12)))),IF(SD!$C$44="BarSize Wise",_xlfn.LET(_xlpm.result,_xlfn.XLOOKUP(BX26,VDBarSize,VDBarSizeStatus,"No"),IF(_xlpm.result="Yes",_xlfn._xlws.FILTER(THead,(TCName=SD!$C$8)*(TSize=BX26)),IF(SD!$C$42=SD!$Q$3,VLOOKUP(BX26,S90Range,3,FALSE),LEFT(SD!$C$42,FIND("-",SD!$C$42)-1)+(RIGHT(SD!$C$42,LEN(SD!$C$42)-FIND("-",SD!$C$42))/12)))), "")))))</f>
        <v/>
      </c>
      <c r="CB26" t="str" cm="1">
        <f t="array" ref="CB26">_xlfn.LET(_xlpm.GRR,IF(AND(SD!$C$19=SD!$H$2,Grade!$G$1="Per level"),VLOOKUP(B26,Grade!$E$1:$F$200,2,FALSE),IF(AND(SD!$C$19=SD!$H$2,Grade!$G$1="Per Bar Size"),VLOOKUP(BX26,Grade!$B$1:$C$12,2,0),SD!$C$19)),_xlpm.is_coupler, K26="Coupler",_xlpm.condition1, SD!$C$43=SD!$W$2,_xlpm.data_j2_empty, Data!$J26="",_xlpm.lookup_table, IF(SD!$C$11="Create", Lap!$A$3:$BF$14, IF(SD!$C$11="Per Uploaded File", Lap!$A$19:$BF$30, "")),_xlpm.row_match, MATCH(BX26, Lap!$A$3:$A$14, 0),_xlpm.grade_offset, IF(IFERROR(FIND("Grade 60",_xlpm.GRR), 0) &gt; 0, 0, IF(IFERROR(FIND("Grade 80",_xlpm.GRR), 0), 1, IF(IFERROR(FIND("Grade 75",_xlpm.GRR), 0), 2, ""))),_xlpm.col_match, MATCH(VALUE(D26), Lap!$A$3:$BF$3, 0) + _xlpm.grade_offset,_xlpm.index_result, IFERROR(INDEX(_xlpm.lookup_table, _xlpm.row_match, _xlpm.col_match), Data!$J26),_xlpm.result_if_condition1, IF(_xlpm.data_j2_empty, _xlpm.index_result, Data!$J26),IF(_xlpm.is_coupler, 0, IF(_xlpm.condition1, _xlpm.result_if_condition1, SD!$C$43)))</f>
        <v>5-1</v>
      </c>
      <c r="CC26" s="24">
        <f t="shared" si="11"/>
        <v>5.083333333333333</v>
      </c>
      <c r="CD26">
        <f t="shared" si="12"/>
        <v>5.75</v>
      </c>
      <c r="CE26" t="str" cm="1">
        <f t="array" ref="CE26">IF(BY26="","",_xlfn._xlws.FILTER(SAC,(CName=SD!$C$8)*(EName="Vert Dowels")))</f>
        <v/>
      </c>
      <c r="CF26" t="str" cm="1">
        <f t="array" ref="CF26">IFERROR(IF(BY26="","",IF(K26="Coupler",_xlfn._xlws.FILTER(CCoupler,(CCName=SD!$C$8)*(CBSize=IF(A25=A26,W25&amp;W26,BX26&amp;W26))*(CCMFM="Male")),"")),"N/A")</f>
        <v/>
      </c>
      <c r="CG26" t="str">
        <f t="shared" si="13"/>
        <v/>
      </c>
      <c r="CH26" t="str">
        <f t="shared" si="14"/>
        <v/>
      </c>
      <c r="CI26" t="str">
        <f>_xlfn.LET(_xlpm.u3_value, U27,_xlpm.hyphen_pos,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K27="Coupler",_xlpm.coupler_value, IF(_xlpm.is_coupler, 0, _xlpm.calculated_value),_xlpm.final_value, _xlpm.calculated_value + SD!$E$13 + _xlpm.coupler_value,IF(CG26="", "", _xlpm.final_value))</f>
        <v/>
      </c>
      <c r="CJ26" t="str" cm="1">
        <f t="array" ref="CJ26">IF(CG26="","",_xlfn._xlws.FILTER(SAC,(CName=SD!$C$8)*(EName="Loose Dowels")))</f>
        <v/>
      </c>
      <c r="CK26" t="str" cm="1">
        <f t="array" ref="CK26">IFERROR(IF(CG26="","",IF(K27="Coupler",_xlfn._xlws.FILTER(CCoupler,(CCName=SD!$C$8)*(CBSize=IF(A26=A27,W26&amp;W27,""))*(CCMFM="Male")),"")),"N/A")</f>
        <v/>
      </c>
      <c r="CL26" t="str">
        <f>IFERROR(IF(AM26="Spiral","",IF(A25=A26,"",IF(SD!$C$37=0,"",SD!$C$37))),"")</f>
        <v/>
      </c>
      <c r="CN26">
        <f>IF(AM26="Spiral","",IFERROR(IF(SD!$C$36=0,"",SD!$C$36),""))</f>
        <v>5</v>
      </c>
      <c r="CP26" t="str">
        <f>IFERROR(IF(SD!$C$42=SD!$Q$3,'Take-off'!CA26,""),"")</f>
        <v/>
      </c>
      <c r="CR26">
        <f>IFERROR(IF(SD!$C$22=SD!$U$2,W26,SD!$C$22),"")</f>
        <v>0</v>
      </c>
      <c r="CS26" t="str" cm="1">
        <f t="array" ref="CS26">_xlfn.LET(_xlpm.GR,IF(AND(SD!$C$19=SD!$H$2,Grade!$G$1="Per level"),VLOOKUP(B26,Grade!$E$1:$F$200,2,FALSE),IF(AND(SD!$C$19=SD!$H$2,Grade!$G$1="Per Bar Size"),VLOOKUP(CR26,Grade!$B$1:$C$12,2,0),SD!$C$19)),IF(SD!$C$20=SD!$R$4,IF(A27=A26,"",INDEX(IF(_xlpm.GR=SD!$H$3,A615GR60,IF(_xlpm.GR=SD!$H$4,A615GR75,IF(_xlpm.GR=SD!$H$5,A615GR80,IF(_xlpm.GR=SD!H30,A615GR100,IF(_xlpm.GR=SD!$H$7,A706GR60,IF(_xlpm.GR=SD!$H$8,A706GR80)))))), MATCH(1, (BSize=CR26)*(BCName=SD!$C$8), 0))),""))</f>
        <v/>
      </c>
      <c r="CT26" t="str">
        <f>IF(A27=A26,"",IF(SD!$C$23="Match Vertical Bars ",X26,SD!$C$23))</f>
        <v/>
      </c>
      <c r="CU26" t="str" cm="1">
        <f t="array" ref="CU26">IF(A27=A26,"",IF(SD!$C$20="Top dowels",IF(SD!$E$25="No T-Head",IF(SD!$C$24=SD!$Q$3,VLOOKUP(CR26,S90Range,3,FALSE),LEFT(SD!$C$24,FIND("-",SD!$C$24)-1)+(RIGHT(SD!$C$24,LEN(SD!$C$24)-FIND("-",SD!$C$24))/12)),IF(SD!$E$25="T-Head",_xlfn._xlws.FILTER(THead,(TCName=SD!$C$8)*(TSize=CR26)),IF(SD!$E$25="Level Wise",_xlfn.LET(_xlpm.result,_xlfn.XLOOKUP(B26,TDLevel,TDLevelStatus,"No"),IF(_xlpm.result="Yes",_xlfn._xlws.FILTER(THead,(TCName=SD!$C$8)*(TSize=CR26)),IF(SD!$C$24=SD!$Q$3,VLOOKUP(CR26,S90Range,3,FALSE),LEFT(SD!$C$24,FIND("-",SD!$C$24)-1)+(RIGHT(SD!$C$24,LEN(SD!$C$24)-FIND("-", SD!$C$24))/12)))),IF(SD!$E$25="BarSize Wise",_xlfn.LET(_xlpm.result,_xlfn.XLOOKUP(CR26,TDBarSize,TDBarSizeStatus,"No"),IF(_xlpm.result="Yes",_xlfn._xlws.FILTER(THead,(TCName=SD!$C$8)*(TSize=CR26)),IF(SD!$C$24=SD!$Q$3,VLOOKUP(CR26,S90Range,3,FALSE),LEFT(SD!$C$24,FIND("-",SD!$C$24)-1)+(RIGHT(SD!$C$24,LEN(SD!$C$24)-FIND("-",SD!$C$24))/12)))), "")))),""))</f>
        <v/>
      </c>
      <c r="CV26" t="str">
        <f>_xlfn.LET(_xlpm.GRR,IF(AND(SD!$C$19=SD!$H$2,Grade!$G$1="Per level"),VLOOKUP(B26,Grade!$E$1:$F$200,2,FALSE),IF(AND(SD!$C$19=SD!$H$2,Grade!$G$1="Per Bar Size"),VLOOKUP(CR26,Grade!$B$1:$C$12,2,0),SD!$C$19)),IF(SD!$C$25=SD!$W$2,IF(Data!$J26="",IFERROR(INDEX(IF(SD!$C$11="Create",Lap!$A$3:$BF$14,IF(SD!$C$11="Per Uploaded File",Lap!$A$19:$BF$30,"")),MATCH(CR26,Lap!$A$3:$A$14,0),MATCH(VALUE(D26),Lap!$A$3:$BF$3,0)+IF(IFERROR(FIND("Grade 60",_xlpm.GRR),0)&gt;0,0,IF(IFERROR(FIND("Grade 80",_xlpm.GRR),0),1,IF(IFERROR(FIND("Grade 75",_xlpm.GRR),0),2,"")))),""),Data!J26),SD!$C$43))</f>
        <v>Match Lap</v>
      </c>
      <c r="CW26">
        <f t="shared" si="15"/>
        <v>0</v>
      </c>
      <c r="CX26">
        <f t="shared" si="16"/>
        <v>0</v>
      </c>
      <c r="CY26" t="str">
        <f t="shared" si="17"/>
        <v/>
      </c>
      <c r="DA26" t="str">
        <f t="shared" si="18"/>
        <v/>
      </c>
      <c r="DB26" t="str">
        <f t="shared" si="19"/>
        <v/>
      </c>
      <c r="DC26" s="24" t="str">
        <f t="shared" si="20"/>
        <v/>
      </c>
      <c r="DD26">
        <f t="shared" si="21"/>
        <v>10.583333333333334</v>
      </c>
      <c r="DE26" t="s">
        <v>785</v>
      </c>
      <c r="DF26" t="s">
        <v>67</v>
      </c>
      <c r="DG26" t="str">
        <f>VLOOKUP(W26,'Level Wise PSI'!$F$2:$G$12,2,FALSE)</f>
        <v>Double Lift</v>
      </c>
      <c r="DI26" t="str" cm="1">
        <f t="array" ref="DI26">_xlfn.LET(_xlpm.Coup,IFERROR(IF(BY26="","",IF(K26="Coupler",_xlfn._xlws.FILTER(CCFCoupler,(CCName=SD!$C$8)*(CBSize=IF(A25=A26,W25&amp;W26,BX26&amp;W26))),"")),"N/A"),IF(_xlpm.Coup=0,"",_xlpm.Coup))</f>
        <v/>
      </c>
      <c r="DJ26" t="str" cm="1">
        <f t="array" ref="DJ26">_xlfn.LET(_xlpm.Coup3,IFERROR(IF(CG26="","",IF(K27="Coupler",_xlfn._xlws.FILTER(CCFCoupler,(CCName=SD!$C$8)*(CBSize=IF(A26=A27,W26&amp;W27,""))),"")),"N/A"),IF(_xlpm.Coup3=0,"",_xlpm.Coup3))</f>
        <v/>
      </c>
      <c r="DK26" t="str" cm="1">
        <f t="array" ref="DK26">_xlfn.LET(_xlpm.Coup2,IFERROR(IF(A26&lt;&gt;A27,"",IF(DF26="No Lap","",IF(K27="Coupler",_xlfn._xlws.FILTER(CCFCoupler,(CCName=SD!$C$8)*(CBSize=IF(A25=A26,W26&amp;W27,W26&amp;W26))),""))),"N/A"),IF(_xlpm.Coup2=0,"",_xlpm.Coup2))</f>
        <v/>
      </c>
      <c r="DM26" t="str">
        <f>IF(AM26="Spiral","",IF(SD!$C$31=SD!$Y$3,SD!$E$32*2,""))</f>
        <v/>
      </c>
      <c r="DO26" s="24">
        <f t="shared" si="22"/>
        <v>2.5</v>
      </c>
      <c r="DQ26" t="str">
        <f t="shared" si="23"/>
        <v>Lig</v>
      </c>
      <c r="DR26" t="str">
        <f>IF(AM26="Spiral",((Y26-(SD!$E$12*2))/12),"")</f>
        <v/>
      </c>
      <c r="DS26" t="str">
        <f t="shared" si="24"/>
        <v/>
      </c>
      <c r="DT26" t="str">
        <f t="shared" si="25"/>
        <v/>
      </c>
      <c r="DU26" t="str">
        <f t="shared" si="26"/>
        <v/>
      </c>
    </row>
    <row r="27" spans="1:125" x14ac:dyDescent="0.25">
      <c r="A27">
        <v>26</v>
      </c>
      <c r="B27" t="s">
        <v>680</v>
      </c>
      <c r="C27" s="15">
        <v>2429</v>
      </c>
      <c r="D27" s="15">
        <v>10000</v>
      </c>
      <c r="E27" t="str">
        <f>IF(B27=Level!$A$2,SD!$C$14,SD!$C$13)</f>
        <v>0-8</v>
      </c>
      <c r="F27" s="15" t="s">
        <v>787</v>
      </c>
      <c r="G27" t="s">
        <v>742</v>
      </c>
      <c r="H27" t="str">
        <f>RIGHT(VLOOKUP(B27,Level!A:C,3,FALSE),LEN(VLOOKUP(B27,Level!A:C,3,FALSE))-1)</f>
        <v>10-7</v>
      </c>
      <c r="I27" t="s">
        <v>743</v>
      </c>
      <c r="J27" t="str">
        <f>IF(AND(SD!$C$19=SD!$H$2,Grade!$G$1="Per level"),VLOOKUP(B27,Grade!$E$1:$F$200,2,FALSE),IF(AND(SD!$C$19=SD!$H$2,Grade!$G$1="Per Bar Size"),VLOOKUP(W27,Grade!$B$1:$C$12,2,0),SD!$C$19))</f>
        <v>A615 Grade 60</v>
      </c>
      <c r="K27" t="s">
        <v>67</v>
      </c>
      <c r="L27" t="str">
        <f>IFERROR(IF(A27&lt;&gt;A28,"",IF(DF27="No Lap","",IF(K28="Lap",U27,IF(K28="Coupler",_xlfn._xlws.FILTER(CCoupler,(CCName=SD!$C$8)*(CBSize=IF(A26=A27,W27&amp;W28,W27&amp;W27))*(CCMFM="Male")),"")))),"N/A")</f>
        <v>5-1</v>
      </c>
      <c r="M27" t="str">
        <f t="shared" si="0"/>
        <v/>
      </c>
      <c r="N27" t="s">
        <v>719</v>
      </c>
      <c r="O27" t="s">
        <v>720</v>
      </c>
      <c r="P27" t="s">
        <v>719</v>
      </c>
      <c r="Q27" t="str">
        <f>IF(AND(SD!$C$29=SD!$P$2,Grade!$O$1="Per level"),VLOOKUP(B27,Grade!$M$1:$N$200,2,FALSE),IF(AND(SD!$C$29=SD!$P$2,Grade!$O$1="Per Bar Size"),VLOOKUP(LEFT(N27,FIND("@",N27)-2),Grade!$J$1:$K$12,2,0),SD!$C$29))</f>
        <v>A615 Grade 60</v>
      </c>
      <c r="R27" t="s">
        <v>742</v>
      </c>
      <c r="S27" s="57">
        <v>27</v>
      </c>
      <c r="U27" t="str">
        <f>IF(Data!$J27="",IFERROR(INDEX(IF(SD!$C$11="Create",Lap!$A$3:$BF$14,IF(SD!$C$11="Per Uploaded File",Lap!$A$19:$BF$30,"")),MATCH(W27,Lap!$A$3:$A$14,0),MATCH(VALUE(D27),Lap!$A$3:$BF$3,0)+IF(IFERROR(FIND("Grade 60",J27),0)&gt;0,0,IF(IFERROR(FIND("Grade 80",J27),0),1,IF(IFERROR(FIND("Grade 75",J27),0),2,"")))),""),Data!J27)</f>
        <v>5-1</v>
      </c>
      <c r="W27" t="s">
        <v>176</v>
      </c>
      <c r="X27">
        <v>6</v>
      </c>
      <c r="Y27" t="str">
        <f t="shared" si="1"/>
        <v>30</v>
      </c>
      <c r="Z27">
        <f t="shared" si="2"/>
        <v>0</v>
      </c>
      <c r="AA27" s="24">
        <f t="shared" si="3"/>
        <v>15.666666666666666</v>
      </c>
      <c r="BB27" t="e" cm="1">
        <f t="array" ref="BB27">_xlfn.LET(_xlpm.PartF,(_xlfn.LET(_xlpm.grade, Q27,_xlpm.gradeRange, IF(_xlpm.grade=SD!$H$3, A615GR60, IF(_xlpm.grade=SD!$H$4, A615GR75, IF(_xlpm.grade=SD!$H$5, A615GR80, IF(_xlpm.grade=SD!$H$6, A615GR100, IF(_xlpm.grade=SD!$H$7, A706GR60, IF(_xlpm.grade=SD!$H$8, A706GR80)))))),_xlpm.matchValue, MATCH(1, (SD!$AW:$AW=AS27)*(SD!$AX:$AX=SD!$C$8), 0),INDEX(_xlpm.gradeRange, _xlpm.matchValue))),IF(AM27="Spiral",CONCATENATE("SP",_xlpm.PartF),_xlpm.PartF))</f>
        <v>#N/A</v>
      </c>
      <c r="BC27" cm="1">
        <f t="array" ref="BC27">_xlfn.LET(_xlpm.leftPart, LEFT(O27, FIND("@", O27) - 2),_xlpm.grade,Q27,_xlpm.gradeRange,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7" cm="1">
        <f t="array" ref="BD27">_xlfn.LET(_xlpm.leftPart, LEFT(P27, FIND("@", P27) - 2),_xlpm.grade, Q27,_xlpm.gradeRange,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7">
        <f t="shared" si="4"/>
        <v>2.5</v>
      </c>
      <c r="BF27">
        <f>IF(SD!$C$32=SD!$I$2,BE27,IF(SD!$C$32=SD!$I$3,DO27,IF(SD!$C$32=SD!$I$5,BA27,IF(SD!$C$32=SD!$I$6,(LEFT(SD!$C$35,FIND("-",SD!$C$35)-1)+RIGHT(SD!$C$35,LEN(SD!$C$35)-FIND("-",SD!$C$35))/12),IF(SD!$C$32=SD!$I$4,(AU27-(BG27+BH27)))))))</f>
        <v>0</v>
      </c>
      <c r="BG27">
        <f>IF(SD!$C$33=SD!$I$2,BE27,IF(SD!$C$33=SD!$I$3,DO27,IF(SD!$C$33=SD!$I$5,BA27,IF(SD!$C$33=SD!$I$6,(LEFT(SD!$C$35,FIND("-",SD!$C$35)-1)+RIGHT(SD!$C$35,LEN(SD!$C$35)-FIND("-",SD!$C$35))/12),IF(SD!$C$33=SD!$I$4,(AU27-(BF27+BH27)))))))</f>
        <v>-1</v>
      </c>
      <c r="BH27">
        <f>IF(SD!$C$34=SD!$I$2,BE27,IF(SD!$C$34=SD!$I$3,DO27,IF(SD!$C$34=SD!$I$5,BA27,IF(SD!$C$34=SD!$I$6,(LEFT(SD!$C$35,FIND("-",SD!$C$35)-1)+RIGHT(SD!$C$35,LEN(SD!$C$35)-FIND("-",SD!$C$35))/12),IF(SD!$C$34=SD!$I$4,(AU27-(BF27+BG27)))))))</f>
        <v>1</v>
      </c>
      <c r="BJ27">
        <f>IF(AM27="Spiral","1",MAX(ROUNDUP(IF(SD!$C$32="",AT27,BF27/(LEFT(RIGHT(N27,LEN(N27)-FIND("@",N27)),LEN(RIGHT(N27,LEN(N27)-FIND("@",N27)))-1)/12)+1),0),0))</f>
        <v>1</v>
      </c>
      <c r="BK27">
        <f>MAX(ROUNDUP(IF(SD!$C$33="","",BG27/(LEFT(RIGHT(O27,LEN(O27)-FIND("@",O27)),LEN(RIGHT(O27,LEN(O27)-FIND("@",O27)))-1)/12)+1),0),0)</f>
        <v>0</v>
      </c>
      <c r="BL27">
        <f>MAX(ROUNDUP(IF(SD!$C$34="","",BH27/(LEFT(RIGHT(P27,LEN(P27)-FIND("@",P27)),LEN(RIGHT(P27,LEN(P27)-FIND("@",P27)))-1)/12)+1),0),0)</f>
        <v>3</v>
      </c>
      <c r="BN27" t="e">
        <f t="shared" si="5"/>
        <v>#N/A</v>
      </c>
      <c r="BO27" t="e">
        <f t="shared" si="6"/>
        <v>#N/A</v>
      </c>
      <c r="BP27" t="e">
        <f t="shared" si="7"/>
        <v>#N/A</v>
      </c>
      <c r="BQ27" s="24" t="e">
        <f>IF(AM27=TRUE,(((Y27-(SD!$E$12*2))*3.14159265359)+BN27+BO27+BP27)/12+AL27,SUM(AF27:AG27,BN27,BO27,BP27,AO27,AQ27)/12)</f>
        <v>#N/A</v>
      </c>
      <c r="BR27" t="e">
        <f t="shared" si="8"/>
        <v>#N/A</v>
      </c>
      <c r="BS27" t="e">
        <f t="shared" si="9"/>
        <v>#N/A</v>
      </c>
      <c r="BT27" t="e">
        <f t="shared" si="10"/>
        <v>#N/A</v>
      </c>
      <c r="BU27" s="24" t="e">
        <f>IF(AM27=TRUE,(((Y27-(SD!$E$12*2))*3.14159265359)+BR27+BS27+BT27)/12+AL27,SUM(AF27:AG27,BR27,BS27,BT27,AO27,AQ27)/12)</f>
        <v>#N/A</v>
      </c>
      <c r="BW27" t="str">
        <f>IFERROR(LEFT(Data!L27,FIND(" -",Data!L27)-1),"")</f>
        <v/>
      </c>
      <c r="BX27" t="str">
        <f>IFERROR(IF(SD!$C$40=SD!$U$2,W27,IF(SD!$C$40=SD!$U$3,RIGHT(Data!L27,LEN(Data!L27)-(FIND("-",Data!L27)+1)),SD!$C$40)),"")</f>
        <v>#10</v>
      </c>
      <c r="BY27" t="str" cm="1">
        <f t="array" ref="BY27">IFERROR(_xlfn.LET(_xlpm.GRR,IF(AND(SD!$C$19=SD!$H$2,Grade!$G$1="Per level"),VLOOKUP(B27,Grade!$E$1:$F$200,2,FALSE),IF(AND(SD!$C$19=SD!$H$2,Grade!$G$1="Per Bar Size"),VLOOKUP(BX27,Grade!$B$1:$C$12,2,0),SD!$C$19)),_xlpm.is_equal, A26=A27,_xlpm.grade_range, IF(_xlpm.GRR=SD!$H$3, A615GR60,IF(_xlpm.GRR=SD!$H$4, A615GR75,IF(_xlpm.GRR=SD!$H$5, A615GR80,IF(_xlpm.GRR=SD!H31, A615GR100,IF(_xlpm.GRR=SD!$H$7, A706GR60,IF(_xlpm.GRR=SD!$H$8, A706GR80)))))),_xlpm.match_result, MATCH(1, (BSize=BX27)*(BCName=SD!$C$8), 0),_xlpm.final_result, INDEX(_xlpm.grade_range, _xlpm.match_result),IF(_xlpm.is_equal, "", _xlpm.final_result)),"")</f>
        <v/>
      </c>
      <c r="BZ27" t="str">
        <f>IF(A26=A27,"",IF(SD!$C$41="Match Vertical Bars ",X27,IF(SD!$C$41=SD!$V$3,BW27,SD!$C$41)))</f>
        <v/>
      </c>
      <c r="CA27" t="str" cm="1">
        <f t="array" ref="CA27">IF(A26=A27,"",IF(SD!$C$44="No T-Head",IF(SD!$C$42=SD!$Q$3,VLOOKUP(BX27,S90Range,3,FALSE),LEFT(SD!$C$42,FIND("-",SD!$C$42)-1)+(RIGHT(SD!$C$42,LEN(SD!$C$42)-FIND("-",SD!$C$42))/12)),IF(SD!$C$44="T-Head",_xlfn._xlws.FILTER(THead,(TCName=SD!$C$8)*(TSize=BX27)),IF(SD!$C$44="Level Wise",_xlfn.LET(_xlpm.result,_xlfn.XLOOKUP(B27,VDLevel,VDLevelStatus,"No"),IF(_xlpm.result="Yes",_xlfn._xlws.FILTER(THead,(TCName=SD!$C$8)*(TSize=BX27)),IF(SD!$C$42=SD!$Q$3,VLOOKUP(BX27,S90Range,3,FALSE),LEFT(SD!$C$42,FIND("-",SD!$C$42)-1)+(RIGHT(SD!$C$42,LEN(SD!$C$42)-FIND("-", SD!$C$42))/12)))),IF(SD!$C$44="BarSize Wise",_xlfn.LET(_xlpm.result,_xlfn.XLOOKUP(BX27,VDBarSize,VDBarSizeStatus,"No"),IF(_xlpm.result="Yes",_xlfn._xlws.FILTER(THead,(TCName=SD!$C$8)*(TSize=BX27)),IF(SD!$C$42=SD!$Q$3,VLOOKUP(BX27,S90Range,3,FALSE),LEFT(SD!$C$42,FIND("-",SD!$C$42)-1)+(RIGHT(SD!$C$42,LEN(SD!$C$42)-FIND("-",SD!$C$42))/12)))), "")))))</f>
        <v/>
      </c>
      <c r="CB27" t="str" cm="1">
        <f t="array" ref="CB27">_xlfn.LET(_xlpm.GRR,IF(AND(SD!$C$19=SD!$H$2,Grade!$G$1="Per level"),VLOOKUP(B27,Grade!$E$1:$F$200,2,FALSE),IF(AND(SD!$C$19=SD!$H$2,Grade!$G$1="Per Bar Size"),VLOOKUP(BX27,Grade!$B$1:$C$12,2,0),SD!$C$19)),_xlpm.is_coupler, K27="Coupler",_xlpm.condition1, SD!$C$43=SD!$W$2,_xlpm.data_j2_empty, Data!$J27="",_xlpm.lookup_table, IF(SD!$C$11="Create", Lap!$A$3:$BF$14, IF(SD!$C$11="Per Uploaded File", Lap!$A$19:$BF$30, "")),_xlpm.row_match, MATCH(BX27, Lap!$A$3:$A$14, 0),_xlpm.grade_offset, IF(IFERROR(FIND("Grade 60",_xlpm.GRR), 0) &gt; 0, 0, IF(IFERROR(FIND("Grade 80",_xlpm.GRR), 0), 1, IF(IFERROR(FIND("Grade 75",_xlpm.GRR), 0), 2, ""))),_xlpm.col_match, MATCH(VALUE(D27), Lap!$A$3:$BF$3, 0) + _xlpm.grade_offset,_xlpm.index_result, IFERROR(INDEX(_xlpm.lookup_table, _xlpm.row_match, _xlpm.col_match), Data!$J27),_xlpm.result_if_condition1, IF(_xlpm.data_j2_empty, _xlpm.index_result, Data!$J27),IF(_xlpm.is_coupler, 0, IF(_xlpm.condition1, _xlpm.result_if_condition1, SD!$C$43)))</f>
        <v>5-1</v>
      </c>
      <c r="CC27" s="24">
        <f t="shared" si="11"/>
        <v>5.083333333333333</v>
      </c>
      <c r="CD27">
        <f t="shared" si="12"/>
        <v>5.75</v>
      </c>
      <c r="CE27" t="str" cm="1">
        <f t="array" ref="CE27">IF(BY27="","",_xlfn._xlws.FILTER(SAC,(CName=SD!$C$8)*(EName="Vert Dowels")))</f>
        <v/>
      </c>
      <c r="CF27" t="str" cm="1">
        <f t="array" ref="CF27">IFERROR(IF(BY27="","",IF(K27="Coupler",_xlfn._xlws.FILTER(CCoupler,(CCName=SD!$C$8)*(CBSize=IF(A26=A27,W26&amp;W27,BX27&amp;W27))*(CCMFM="Male")),"")),"N/A")</f>
        <v/>
      </c>
      <c r="CG27" t="str">
        <f t="shared" si="13"/>
        <v/>
      </c>
      <c r="CH27" t="str">
        <f t="shared" si="14"/>
        <v/>
      </c>
      <c r="CI27" t="str">
        <f>_xlfn.LET(_xlpm.u3_value, U28,_xlpm.hyphen_pos,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K28="Coupler",_xlpm.coupler_value, IF(_xlpm.is_coupler, 0, _xlpm.calculated_value),_xlpm.final_value, _xlpm.calculated_value + SD!$E$13 + _xlpm.coupler_value,IF(CG27="", "", _xlpm.final_value))</f>
        <v/>
      </c>
      <c r="CJ27" t="str" cm="1">
        <f t="array" ref="CJ27">IF(CG27="","",_xlfn._xlws.FILTER(SAC,(CName=SD!$C$8)*(EName="Loose Dowels")))</f>
        <v/>
      </c>
      <c r="CK27" t="str" cm="1">
        <f t="array" ref="CK27">IFERROR(IF(CG27="","",IF(K28="Coupler",_xlfn._xlws.FILTER(CCoupler,(CCName=SD!$C$8)*(CBSize=IF(A27=A28,W27&amp;W28,""))*(CCMFM="Male")),"")),"N/A")</f>
        <v/>
      </c>
      <c r="CL27" t="str">
        <f>IFERROR(IF(AM27="Spiral","",IF(A26=A27,"",IF(SD!$C$37=0,"",SD!$C$37))),"")</f>
        <v/>
      </c>
      <c r="CN27">
        <f>IF(AM27="Spiral","",IFERROR(IF(SD!$C$36=0,"",SD!$C$36),""))</f>
        <v>5</v>
      </c>
      <c r="CP27" t="str">
        <f>IFERROR(IF(SD!$C$42=SD!$Q$3,'Take-off'!CA27,""),"")</f>
        <v/>
      </c>
      <c r="CR27">
        <f>IFERROR(IF(SD!$C$22=SD!$U$2,W27,SD!$C$22),"")</f>
        <v>0</v>
      </c>
      <c r="CS27" t="str" cm="1">
        <f t="array" ref="CS27">_xlfn.LET(_xlpm.GR,IF(AND(SD!$C$19=SD!$H$2,Grade!$G$1="Per level"),VLOOKUP(B27,Grade!$E$1:$F$200,2,FALSE),IF(AND(SD!$C$19=SD!$H$2,Grade!$G$1="Per Bar Size"),VLOOKUP(CR27,Grade!$B$1:$C$12,2,0),SD!$C$19)),IF(SD!$C$20=SD!$R$4,IF(A28=A27,"",INDEX(IF(_xlpm.GR=SD!$H$3,A615GR60,IF(_xlpm.GR=SD!$H$4,A615GR75,IF(_xlpm.GR=SD!$H$5,A615GR80,IF(_xlpm.GR=SD!H31,A615GR100,IF(_xlpm.GR=SD!$H$7,A706GR60,IF(_xlpm.GR=SD!$H$8,A706GR80)))))), MATCH(1, (BSize=CR27)*(BCName=SD!$C$8), 0))),""))</f>
        <v/>
      </c>
      <c r="CT27" t="str">
        <f>IF(A28=A27,"",IF(SD!$C$23="Match Vertical Bars ",X27,SD!$C$23))</f>
        <v/>
      </c>
      <c r="CU27" t="str" cm="1">
        <f t="array" ref="CU27">IF(A28=A27,"",IF(SD!$C$20="Top dowels",IF(SD!$E$25="No T-Head",IF(SD!$C$24=SD!$Q$3,VLOOKUP(CR27,S90Range,3,FALSE),LEFT(SD!$C$24,FIND("-",SD!$C$24)-1)+(RIGHT(SD!$C$24,LEN(SD!$C$24)-FIND("-",SD!$C$24))/12)),IF(SD!$E$25="T-Head",_xlfn._xlws.FILTER(THead,(TCName=SD!$C$8)*(TSize=CR27)),IF(SD!$E$25="Level Wise",_xlfn.LET(_xlpm.result,_xlfn.XLOOKUP(B27,TDLevel,TDLevelStatus,"No"),IF(_xlpm.result="Yes",_xlfn._xlws.FILTER(THead,(TCName=SD!$C$8)*(TSize=CR27)),IF(SD!$C$24=SD!$Q$3,VLOOKUP(CR27,S90Range,3,FALSE),LEFT(SD!$C$24,FIND("-",SD!$C$24)-1)+(RIGHT(SD!$C$24,LEN(SD!$C$24)-FIND("-", SD!$C$24))/12)))),IF(SD!$E$25="BarSize Wise",_xlfn.LET(_xlpm.result,_xlfn.XLOOKUP(CR27,TDBarSize,TDBarSizeStatus,"No"),IF(_xlpm.result="Yes",_xlfn._xlws.FILTER(THead,(TCName=SD!$C$8)*(TSize=CR27)),IF(SD!$C$24=SD!$Q$3,VLOOKUP(CR27,S90Range,3,FALSE),LEFT(SD!$C$24,FIND("-",SD!$C$24)-1)+(RIGHT(SD!$C$24,LEN(SD!$C$24)-FIND("-",SD!$C$24))/12)))), "")))),""))</f>
        <v/>
      </c>
      <c r="CV27" t="str">
        <f>_xlfn.LET(_xlpm.GRR,IF(AND(SD!$C$19=SD!$H$2,Grade!$G$1="Per level"),VLOOKUP(B27,Grade!$E$1:$F$200,2,FALSE),IF(AND(SD!$C$19=SD!$H$2,Grade!$G$1="Per Bar Size"),VLOOKUP(CR27,Grade!$B$1:$C$12,2,0),SD!$C$19)),IF(SD!$C$25=SD!$W$2,IF(Data!$J27="",IFERROR(INDEX(IF(SD!$C$11="Create",Lap!$A$3:$BF$14,IF(SD!$C$11="Per Uploaded File",Lap!$A$19:$BF$30,"")),MATCH(CR27,Lap!$A$3:$A$14,0),MATCH(VALUE(D27),Lap!$A$3:$BF$3,0)+IF(IFERROR(FIND("Grade 60",_xlpm.GRR),0)&gt;0,0,IF(IFERROR(FIND("Grade 80",_xlpm.GRR),0),1,IF(IFERROR(FIND("Grade 75",_xlpm.GRR),0),2,"")))),""),Data!J27),SD!$C$43))</f>
        <v>Match Lap</v>
      </c>
      <c r="CW27">
        <f t="shared" si="15"/>
        <v>0</v>
      </c>
      <c r="CX27">
        <f t="shared" si="16"/>
        <v>0</v>
      </c>
      <c r="CY27" t="str">
        <f t="shared" si="17"/>
        <v/>
      </c>
      <c r="DA27" t="str">
        <f t="shared" si="18"/>
        <v/>
      </c>
      <c r="DB27" t="str">
        <f t="shared" si="19"/>
        <v/>
      </c>
      <c r="DC27" s="24" t="str">
        <f t="shared" si="20"/>
        <v/>
      </c>
      <c r="DD27">
        <f t="shared" si="21"/>
        <v>10.583333333333334</v>
      </c>
      <c r="DE27" t="s">
        <v>785</v>
      </c>
      <c r="DF27" t="s">
        <v>67</v>
      </c>
      <c r="DG27" t="str">
        <f>VLOOKUP(W27,'Level Wise PSI'!$F$2:$G$12,2,FALSE)</f>
        <v>Double Lift</v>
      </c>
      <c r="DI27" t="str" cm="1">
        <f t="array" ref="DI27">_xlfn.LET(_xlpm.Coup,IFERROR(IF(BY27="","",IF(K27="Coupler",_xlfn._xlws.FILTER(CCFCoupler,(CCName=SD!$C$8)*(CBSize=IF(A26=A27,W26&amp;W27,BX27&amp;W27))),"")),"N/A"),IF(_xlpm.Coup=0,"",_xlpm.Coup))</f>
        <v/>
      </c>
      <c r="DJ27" t="str" cm="1">
        <f t="array" ref="DJ27">_xlfn.LET(_xlpm.Coup3,IFERROR(IF(CG27="","",IF(K28="Coupler",_xlfn._xlws.FILTER(CCFCoupler,(CCName=SD!$C$8)*(CBSize=IF(A27=A28,W27&amp;W28,""))),"")),"N/A"),IF(_xlpm.Coup3=0,"",_xlpm.Coup3))</f>
        <v/>
      </c>
      <c r="DK27" t="str" cm="1">
        <f t="array" ref="DK27">_xlfn.LET(_xlpm.Coup2,IFERROR(IF(A27&lt;&gt;A28,"",IF(DF27="No Lap","",IF(K28="Coupler",_xlfn._xlws.FILTER(CCFCoupler,(CCName=SD!$C$8)*(CBSize=IF(A26=A27,W27&amp;W28,W27&amp;W27))),""))),"N/A"),IF(_xlpm.Coup2=0,"",_xlpm.Coup2))</f>
        <v/>
      </c>
      <c r="DM27" t="str">
        <f>IF(AM27="Spiral","",IF(SD!$C$31=SD!$Y$3,SD!$E$32*2,""))</f>
        <v/>
      </c>
      <c r="DO27" s="24">
        <f t="shared" si="22"/>
        <v>2.5</v>
      </c>
      <c r="DQ27" t="str">
        <f t="shared" si="23"/>
        <v>Lig</v>
      </c>
      <c r="DR27" t="str">
        <f>IF(AM27="Spiral",((Y27-(SD!$E$12*2))/12),"")</f>
        <v/>
      </c>
      <c r="DS27" t="str">
        <f t="shared" si="24"/>
        <v/>
      </c>
      <c r="DT27" t="str">
        <f t="shared" si="25"/>
        <v/>
      </c>
      <c r="DU27" t="str">
        <f t="shared" si="26"/>
        <v/>
      </c>
    </row>
    <row r="28" spans="1:125" x14ac:dyDescent="0.25">
      <c r="A28">
        <v>26</v>
      </c>
      <c r="B28" t="s">
        <v>682</v>
      </c>
      <c r="C28" s="15">
        <v>2429</v>
      </c>
      <c r="D28" s="15">
        <v>10000</v>
      </c>
      <c r="E28" t="str">
        <f>IF(B28=Level!$A$2,SD!$C$14,SD!$C$13)</f>
        <v>0-8</v>
      </c>
      <c r="F28" s="15" t="s">
        <v>787</v>
      </c>
      <c r="G28" t="s">
        <v>742</v>
      </c>
      <c r="H28" t="str">
        <f>RIGHT(VLOOKUP(B28,Level!A:C,3,FALSE),LEN(VLOOKUP(B28,Level!A:C,3,FALSE))-1)</f>
        <v>10-7</v>
      </c>
      <c r="I28" t="s">
        <v>743</v>
      </c>
      <c r="J28" t="str">
        <f>IF(AND(SD!$C$19=SD!$H$2,Grade!$G$1="Per level"),VLOOKUP(B28,Grade!$E$1:$F$200,2,FALSE),IF(AND(SD!$C$19=SD!$H$2,Grade!$G$1="Per Bar Size"),VLOOKUP(W28,Grade!$B$1:$C$12,2,0),SD!$C$19))</f>
        <v>A615 Grade 60</v>
      </c>
      <c r="K28" t="s">
        <v>67</v>
      </c>
      <c r="L28" t="str">
        <f>IFERROR(IF(A28&lt;&gt;A29,"",IF(DF28="No Lap","",IF(K29="Lap",U28,IF(K29="Coupler",_xlfn._xlws.FILTER(CCoupler,(CCName=SD!$C$8)*(CBSize=IF(A27=A28,W28&amp;W29,W28&amp;W28))*(CCMFM="Male")),"")))),"N/A")</f>
        <v>5-1</v>
      </c>
      <c r="M28" t="str">
        <f t="shared" si="0"/>
        <v/>
      </c>
      <c r="N28" t="s">
        <v>719</v>
      </c>
      <c r="O28" t="s">
        <v>720</v>
      </c>
      <c r="P28" t="s">
        <v>719</v>
      </c>
      <c r="Q28" t="str">
        <f>IF(AND(SD!$C$29=SD!$P$2,Grade!$O$1="Per level"),VLOOKUP(B28,Grade!$M$1:$N$200,2,FALSE),IF(AND(SD!$C$29=SD!$P$2,Grade!$O$1="Per Bar Size"),VLOOKUP(LEFT(N28,FIND("@",N28)-2),Grade!$J$1:$K$12,2,0),SD!$C$29))</f>
        <v>A615 Grade 60</v>
      </c>
      <c r="R28" t="s">
        <v>742</v>
      </c>
      <c r="S28" s="57">
        <v>28</v>
      </c>
      <c r="U28" t="str">
        <f>IF(Data!$J28="",IFERROR(INDEX(IF(SD!$C$11="Create",Lap!$A$3:$BF$14,IF(SD!$C$11="Per Uploaded File",Lap!$A$19:$BF$30,"")),MATCH(W28,Lap!$A$3:$A$14,0),MATCH(VALUE(D28),Lap!$A$3:$BF$3,0)+IF(IFERROR(FIND("Grade 60",J28),0)&gt;0,0,IF(IFERROR(FIND("Grade 80",J28),0),1,IF(IFERROR(FIND("Grade 75",J28),0),2,"")))),""),Data!J28)</f>
        <v>5-1</v>
      </c>
      <c r="W28" t="s">
        <v>176</v>
      </c>
      <c r="X28">
        <v>6</v>
      </c>
      <c r="Y28" t="str">
        <f t="shared" si="1"/>
        <v>30</v>
      </c>
      <c r="Z28">
        <f t="shared" si="2"/>
        <v>0</v>
      </c>
      <c r="AA28" s="24">
        <f t="shared" si="3"/>
        <v>15.666666666666666</v>
      </c>
      <c r="BB28" t="e" cm="1">
        <f t="array" ref="BB28">_xlfn.LET(_xlpm.PartF,(_xlfn.LET(_xlpm.grade, Q28,_xlpm.gradeRange, IF(_xlpm.grade=SD!$H$3, A615GR60, IF(_xlpm.grade=SD!$H$4, A615GR75, IF(_xlpm.grade=SD!$H$5, A615GR80, IF(_xlpm.grade=SD!$H$6, A615GR100, IF(_xlpm.grade=SD!$H$7, A706GR60, IF(_xlpm.grade=SD!$H$8, A706GR80)))))),_xlpm.matchValue, MATCH(1, (SD!$AW:$AW=AS28)*(SD!$AX:$AX=SD!$C$8), 0),INDEX(_xlpm.gradeRange, _xlpm.matchValue))),IF(AM28="Spiral",CONCATENATE("SP",_xlpm.PartF),_xlpm.PartF))</f>
        <v>#N/A</v>
      </c>
      <c r="BC28" cm="1">
        <f t="array" ref="BC28">_xlfn.LET(_xlpm.leftPart, LEFT(O28, FIND("@", O28) - 2),_xlpm.grade,Q28,_xlpm.gradeRange,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8" cm="1">
        <f t="array" ref="BD28">_xlfn.LET(_xlpm.leftPart, LEFT(P28, FIND("@", P28) - 2),_xlpm.grade, Q28,_xlpm.gradeRange,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8">
        <f t="shared" si="4"/>
        <v>2.5</v>
      </c>
      <c r="BF28">
        <f>IF(SD!$C$32=SD!$I$2,BE28,IF(SD!$C$32=SD!$I$3,DO28,IF(SD!$C$32=SD!$I$5,BA28,IF(SD!$C$32=SD!$I$6,(LEFT(SD!$C$35,FIND("-",SD!$C$35)-1)+RIGHT(SD!$C$35,LEN(SD!$C$35)-FIND("-",SD!$C$35))/12),IF(SD!$C$32=SD!$I$4,(AU28-(BG28+BH28)))))))</f>
        <v>0</v>
      </c>
      <c r="BG28">
        <f>IF(SD!$C$33=SD!$I$2,BE28,IF(SD!$C$33=SD!$I$3,DO28,IF(SD!$C$33=SD!$I$5,BA28,IF(SD!$C$33=SD!$I$6,(LEFT(SD!$C$35,FIND("-",SD!$C$35)-1)+RIGHT(SD!$C$35,LEN(SD!$C$35)-FIND("-",SD!$C$35))/12),IF(SD!$C$33=SD!$I$4,(AU28-(BF28+BH28)))))))</f>
        <v>-1</v>
      </c>
      <c r="BH28">
        <f>IF(SD!$C$34=SD!$I$2,BE28,IF(SD!$C$34=SD!$I$3,DO28,IF(SD!$C$34=SD!$I$5,BA28,IF(SD!$C$34=SD!$I$6,(LEFT(SD!$C$35,FIND("-",SD!$C$35)-1)+RIGHT(SD!$C$35,LEN(SD!$C$35)-FIND("-",SD!$C$35))/12),IF(SD!$C$34=SD!$I$4,(AU28-(BF28+BG28)))))))</f>
        <v>1</v>
      </c>
      <c r="BJ28">
        <f>IF(AM28="Spiral","1",MAX(ROUNDUP(IF(SD!$C$32="",AT28,BF28/(LEFT(RIGHT(N28,LEN(N28)-FIND("@",N28)),LEN(RIGHT(N28,LEN(N28)-FIND("@",N28)))-1)/12)+1),0),0))</f>
        <v>1</v>
      </c>
      <c r="BK28">
        <f>MAX(ROUNDUP(IF(SD!$C$33="","",BG28/(LEFT(RIGHT(O28,LEN(O28)-FIND("@",O28)),LEN(RIGHT(O28,LEN(O28)-FIND("@",O28)))-1)/12)+1),0),0)</f>
        <v>0</v>
      </c>
      <c r="BL28">
        <f>MAX(ROUNDUP(IF(SD!$C$34="","",BH28/(LEFT(RIGHT(P28,LEN(P28)-FIND("@",P28)),LEN(RIGHT(P28,LEN(P28)-FIND("@",P28)))-1)/12)+1),0),0)</f>
        <v>3</v>
      </c>
      <c r="BN28" t="e">
        <f t="shared" si="5"/>
        <v>#N/A</v>
      </c>
      <c r="BO28" t="e">
        <f t="shared" si="6"/>
        <v>#N/A</v>
      </c>
      <c r="BP28" t="e">
        <f t="shared" si="7"/>
        <v>#N/A</v>
      </c>
      <c r="BQ28" s="24" t="e">
        <f>IF(AM28=TRUE,(((Y28-(SD!$E$12*2))*3.14159265359)+BN28+BO28+BP28)/12+AL28,SUM(AF28:AG28,BN28,BO28,BP28,AO28,AQ28)/12)</f>
        <v>#N/A</v>
      </c>
      <c r="BR28" t="e">
        <f t="shared" si="8"/>
        <v>#N/A</v>
      </c>
      <c r="BS28" t="e">
        <f t="shared" si="9"/>
        <v>#N/A</v>
      </c>
      <c r="BT28" t="e">
        <f t="shared" si="10"/>
        <v>#N/A</v>
      </c>
      <c r="BU28" s="24" t="e">
        <f>IF(AM28=TRUE,(((Y28-(SD!$E$12*2))*3.14159265359)+BR28+BS28+BT28)/12+AL28,SUM(AF28:AG28,BR28,BS28,BT28,AO28,AQ28)/12)</f>
        <v>#N/A</v>
      </c>
      <c r="BW28" t="str">
        <f>IFERROR(LEFT(Data!L28,FIND(" -",Data!L28)-1),"")</f>
        <v/>
      </c>
      <c r="BX28" t="str">
        <f>IFERROR(IF(SD!$C$40=SD!$U$2,W28,IF(SD!$C$40=SD!$U$3,RIGHT(Data!L28,LEN(Data!L28)-(FIND("-",Data!L28)+1)),SD!$C$40)),"")</f>
        <v>#10</v>
      </c>
      <c r="BY28" t="str" cm="1">
        <f t="array" ref="BY28">IFERROR(_xlfn.LET(_xlpm.GRR,IF(AND(SD!$C$19=SD!$H$2,Grade!$G$1="Per level"),VLOOKUP(B28,Grade!$E$1:$F$200,2,FALSE),IF(AND(SD!$C$19=SD!$H$2,Grade!$G$1="Per Bar Size"),VLOOKUP(BX28,Grade!$B$1:$C$12,2,0),SD!$C$19)),_xlpm.is_equal, A27=A28,_xlpm.grade_range, IF(_xlpm.GRR=SD!$H$3, A615GR60,IF(_xlpm.GRR=SD!$H$4, A615GR75,IF(_xlpm.GRR=SD!$H$5, A615GR80,IF(_xlpm.GRR=SD!H32, A615GR100,IF(_xlpm.GRR=SD!$H$7, A706GR60,IF(_xlpm.GRR=SD!$H$8, A706GR80)))))),_xlpm.match_result, MATCH(1, (BSize=BX28)*(BCName=SD!$C$8), 0),_xlpm.final_result, INDEX(_xlpm.grade_range, _xlpm.match_result),IF(_xlpm.is_equal, "", _xlpm.final_result)),"")</f>
        <v/>
      </c>
      <c r="BZ28" t="str">
        <f>IF(A27=A28,"",IF(SD!$C$41="Match Vertical Bars ",X28,IF(SD!$C$41=SD!$V$3,BW28,SD!$C$41)))</f>
        <v/>
      </c>
      <c r="CA28" t="str" cm="1">
        <f t="array" ref="CA28">IF(A27=A28,"",IF(SD!$C$44="No T-Head",IF(SD!$C$42=SD!$Q$3,VLOOKUP(BX28,S90Range,3,FALSE),LEFT(SD!$C$42,FIND("-",SD!$C$42)-1)+(RIGHT(SD!$C$42,LEN(SD!$C$42)-FIND("-",SD!$C$42))/12)),IF(SD!$C$44="T-Head",_xlfn._xlws.FILTER(THead,(TCName=SD!$C$8)*(TSize=BX28)),IF(SD!$C$44="Level Wise",_xlfn.LET(_xlpm.result,_xlfn.XLOOKUP(B28,VDLevel,VDLevelStatus,"No"),IF(_xlpm.result="Yes",_xlfn._xlws.FILTER(THead,(TCName=SD!$C$8)*(TSize=BX28)),IF(SD!$C$42=SD!$Q$3,VLOOKUP(BX28,S90Range,3,FALSE),LEFT(SD!$C$42,FIND("-",SD!$C$42)-1)+(RIGHT(SD!$C$42,LEN(SD!$C$42)-FIND("-", SD!$C$42))/12)))),IF(SD!$C$44="BarSize Wise",_xlfn.LET(_xlpm.result,_xlfn.XLOOKUP(BX28,VDBarSize,VDBarSizeStatus,"No"),IF(_xlpm.result="Yes",_xlfn._xlws.FILTER(THead,(TCName=SD!$C$8)*(TSize=BX28)),IF(SD!$C$42=SD!$Q$3,VLOOKUP(BX28,S90Range,3,FALSE),LEFT(SD!$C$42,FIND("-",SD!$C$42)-1)+(RIGHT(SD!$C$42,LEN(SD!$C$42)-FIND("-",SD!$C$42))/12)))), "")))))</f>
        <v/>
      </c>
      <c r="CB28" t="str" cm="1">
        <f t="array" ref="CB28">_xlfn.LET(_xlpm.GRR,IF(AND(SD!$C$19=SD!$H$2,Grade!$G$1="Per level"),VLOOKUP(B28,Grade!$E$1:$F$200,2,FALSE),IF(AND(SD!$C$19=SD!$H$2,Grade!$G$1="Per Bar Size"),VLOOKUP(BX28,Grade!$B$1:$C$12,2,0),SD!$C$19)),_xlpm.is_coupler, K28="Coupler",_xlpm.condition1, SD!$C$43=SD!$W$2,_xlpm.data_j2_empty, Data!$J28="",_xlpm.lookup_table, IF(SD!$C$11="Create", Lap!$A$3:$BF$14, IF(SD!$C$11="Per Uploaded File", Lap!$A$19:$BF$30, "")),_xlpm.row_match, MATCH(BX28, Lap!$A$3:$A$14, 0),_xlpm.grade_offset, IF(IFERROR(FIND("Grade 60",_xlpm.GRR), 0) &gt; 0, 0, IF(IFERROR(FIND("Grade 80",_xlpm.GRR), 0), 1, IF(IFERROR(FIND("Grade 75",_xlpm.GRR), 0), 2, ""))),_xlpm.col_match, MATCH(VALUE(D28), Lap!$A$3:$BF$3, 0) + _xlpm.grade_offset,_xlpm.index_result, IFERROR(INDEX(_xlpm.lookup_table, _xlpm.row_match, _xlpm.col_match), Data!$J28),_xlpm.result_if_condition1, IF(_xlpm.data_j2_empty, _xlpm.index_result, Data!$J28),IF(_xlpm.is_coupler, 0, IF(_xlpm.condition1, _xlpm.result_if_condition1, SD!$C$43)))</f>
        <v>5-1</v>
      </c>
      <c r="CC28" s="24">
        <f t="shared" si="11"/>
        <v>5.083333333333333</v>
      </c>
      <c r="CD28">
        <f t="shared" si="12"/>
        <v>5.75</v>
      </c>
      <c r="CE28" t="str" cm="1">
        <f t="array" ref="CE28">IF(BY28="","",_xlfn._xlws.FILTER(SAC,(CName=SD!$C$8)*(EName="Vert Dowels")))</f>
        <v/>
      </c>
      <c r="CF28" t="str" cm="1">
        <f t="array" ref="CF28">IFERROR(IF(BY28="","",IF(K28="Coupler",_xlfn._xlws.FILTER(CCoupler,(CCName=SD!$C$8)*(CBSize=IF(A27=A28,W27&amp;W28,BX28&amp;W28))*(CCMFM="Male")),"")),"N/A")</f>
        <v/>
      </c>
      <c r="CG28" t="str">
        <f t="shared" si="13"/>
        <v/>
      </c>
      <c r="CH28" t="str">
        <f t="shared" si="14"/>
        <v/>
      </c>
      <c r="CI28" t="str">
        <f>_xlfn.LET(_xlpm.u3_value, U29,_xlpm.hyphen_pos,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K29="Coupler",_xlpm.coupler_value, IF(_xlpm.is_coupler, 0, _xlpm.calculated_value),_xlpm.final_value, _xlpm.calculated_value + SD!$E$13 + _xlpm.coupler_value,IF(CG28="", "", _xlpm.final_value))</f>
        <v/>
      </c>
      <c r="CJ28" t="str" cm="1">
        <f t="array" ref="CJ28">IF(CG28="","",_xlfn._xlws.FILTER(SAC,(CName=SD!$C$8)*(EName="Loose Dowels")))</f>
        <v/>
      </c>
      <c r="CK28" t="str" cm="1">
        <f t="array" ref="CK28">IFERROR(IF(CG28="","",IF(K29="Coupler",_xlfn._xlws.FILTER(CCoupler,(CCName=SD!$C$8)*(CBSize=IF(A28=A29,W28&amp;W29,""))*(CCMFM="Male")),"")),"N/A")</f>
        <v/>
      </c>
      <c r="CL28" t="str">
        <f>IFERROR(IF(AM28="Spiral","",IF(A27=A28,"",IF(SD!$C$37=0,"",SD!$C$37))),"")</f>
        <v/>
      </c>
      <c r="CN28">
        <f>IF(AM28="Spiral","",IFERROR(IF(SD!$C$36=0,"",SD!$C$36),""))</f>
        <v>5</v>
      </c>
      <c r="CP28" t="str">
        <f>IFERROR(IF(SD!$C$42=SD!$Q$3,'Take-off'!CA28,""),"")</f>
        <v/>
      </c>
      <c r="CR28">
        <f>IFERROR(IF(SD!$C$22=SD!$U$2,W28,SD!$C$22),"")</f>
        <v>0</v>
      </c>
      <c r="CS28" t="str" cm="1">
        <f t="array" ref="CS28">_xlfn.LET(_xlpm.GR,IF(AND(SD!$C$19=SD!$H$2,Grade!$G$1="Per level"),VLOOKUP(B28,Grade!$E$1:$F$200,2,FALSE),IF(AND(SD!$C$19=SD!$H$2,Grade!$G$1="Per Bar Size"),VLOOKUP(CR28,Grade!$B$1:$C$12,2,0),SD!$C$19)),IF(SD!$C$20=SD!$R$4,IF(A29=A28,"",INDEX(IF(_xlpm.GR=SD!$H$3,A615GR60,IF(_xlpm.GR=SD!$H$4,A615GR75,IF(_xlpm.GR=SD!$H$5,A615GR80,IF(_xlpm.GR=SD!H32,A615GR100,IF(_xlpm.GR=SD!$H$7,A706GR60,IF(_xlpm.GR=SD!$H$8,A706GR80)))))), MATCH(1, (BSize=CR28)*(BCName=SD!$C$8), 0))),""))</f>
        <v/>
      </c>
      <c r="CT28" t="str">
        <f>IF(A29=A28,"",IF(SD!$C$23="Match Vertical Bars ",X28,SD!$C$23))</f>
        <v/>
      </c>
      <c r="CU28" t="str" cm="1">
        <f t="array" ref="CU28">IF(A29=A28,"",IF(SD!$C$20="Top dowels",IF(SD!$E$25="No T-Head",IF(SD!$C$24=SD!$Q$3,VLOOKUP(CR28,S90Range,3,FALSE),LEFT(SD!$C$24,FIND("-",SD!$C$24)-1)+(RIGHT(SD!$C$24,LEN(SD!$C$24)-FIND("-",SD!$C$24))/12)),IF(SD!$E$25="T-Head",_xlfn._xlws.FILTER(THead,(TCName=SD!$C$8)*(TSize=CR28)),IF(SD!$E$25="Level Wise",_xlfn.LET(_xlpm.result,_xlfn.XLOOKUP(B28,TDLevel,TDLevelStatus,"No"),IF(_xlpm.result="Yes",_xlfn._xlws.FILTER(THead,(TCName=SD!$C$8)*(TSize=CR28)),IF(SD!$C$24=SD!$Q$3,VLOOKUP(CR28,S90Range,3,FALSE),LEFT(SD!$C$24,FIND("-",SD!$C$24)-1)+(RIGHT(SD!$C$24,LEN(SD!$C$24)-FIND("-", SD!$C$24))/12)))),IF(SD!$E$25="BarSize Wise",_xlfn.LET(_xlpm.result,_xlfn.XLOOKUP(CR28,TDBarSize,TDBarSizeStatus,"No"),IF(_xlpm.result="Yes",_xlfn._xlws.FILTER(THead,(TCName=SD!$C$8)*(TSize=CR28)),IF(SD!$C$24=SD!$Q$3,VLOOKUP(CR28,S90Range,3,FALSE),LEFT(SD!$C$24,FIND("-",SD!$C$24)-1)+(RIGHT(SD!$C$24,LEN(SD!$C$24)-FIND("-",SD!$C$24))/12)))), "")))),""))</f>
        <v/>
      </c>
      <c r="CV28" t="str">
        <f>_xlfn.LET(_xlpm.GRR,IF(AND(SD!$C$19=SD!$H$2,Grade!$G$1="Per level"),VLOOKUP(B28,Grade!$E$1:$F$200,2,FALSE),IF(AND(SD!$C$19=SD!$H$2,Grade!$G$1="Per Bar Size"),VLOOKUP(CR28,Grade!$B$1:$C$12,2,0),SD!$C$19)),IF(SD!$C$25=SD!$W$2,IF(Data!$J28="",IFERROR(INDEX(IF(SD!$C$11="Create",Lap!$A$3:$BF$14,IF(SD!$C$11="Per Uploaded File",Lap!$A$19:$BF$30,"")),MATCH(CR28,Lap!$A$3:$A$14,0),MATCH(VALUE(D28),Lap!$A$3:$BF$3,0)+IF(IFERROR(FIND("Grade 60",_xlpm.GRR),0)&gt;0,0,IF(IFERROR(FIND("Grade 80",_xlpm.GRR),0),1,IF(IFERROR(FIND("Grade 75",_xlpm.GRR),0),2,"")))),""),Data!J28),SD!$C$43))</f>
        <v>Match Lap</v>
      </c>
      <c r="CW28">
        <f t="shared" si="15"/>
        <v>0</v>
      </c>
      <c r="CX28">
        <f t="shared" si="16"/>
        <v>0</v>
      </c>
      <c r="CY28" t="str">
        <f t="shared" si="17"/>
        <v/>
      </c>
      <c r="DA28" t="str">
        <f t="shared" si="18"/>
        <v/>
      </c>
      <c r="DB28" t="str">
        <f t="shared" si="19"/>
        <v/>
      </c>
      <c r="DC28" s="24" t="str">
        <f t="shared" si="20"/>
        <v/>
      </c>
      <c r="DD28">
        <f t="shared" si="21"/>
        <v>10.583333333333334</v>
      </c>
      <c r="DE28" t="s">
        <v>785</v>
      </c>
      <c r="DF28" t="s">
        <v>67</v>
      </c>
      <c r="DG28" t="str">
        <f>VLOOKUP(W28,'Level Wise PSI'!$F$2:$G$12,2,FALSE)</f>
        <v>Double Lift</v>
      </c>
      <c r="DI28" t="str" cm="1">
        <f t="array" ref="DI28">_xlfn.LET(_xlpm.Coup,IFERROR(IF(BY28="","",IF(K28="Coupler",_xlfn._xlws.FILTER(CCFCoupler,(CCName=SD!$C$8)*(CBSize=IF(A27=A28,W27&amp;W28,BX28&amp;W28))),"")),"N/A"),IF(_xlpm.Coup=0,"",_xlpm.Coup))</f>
        <v/>
      </c>
      <c r="DJ28" t="str" cm="1">
        <f t="array" ref="DJ28">_xlfn.LET(_xlpm.Coup3,IFERROR(IF(CG28="","",IF(K29="Coupler",_xlfn._xlws.FILTER(CCFCoupler,(CCName=SD!$C$8)*(CBSize=IF(A28=A29,W28&amp;W29,""))),"")),"N/A"),IF(_xlpm.Coup3=0,"",_xlpm.Coup3))</f>
        <v/>
      </c>
      <c r="DK28" t="str" cm="1">
        <f t="array" ref="DK28">_xlfn.LET(_xlpm.Coup2,IFERROR(IF(A28&lt;&gt;A29,"",IF(DF28="No Lap","",IF(K29="Coupler",_xlfn._xlws.FILTER(CCFCoupler,(CCName=SD!$C$8)*(CBSize=IF(A27=A28,W28&amp;W29,W28&amp;W28))),""))),"N/A"),IF(_xlpm.Coup2=0,"",_xlpm.Coup2))</f>
        <v/>
      </c>
      <c r="DM28" t="str">
        <f>IF(AM28="Spiral","",IF(SD!$C$31=SD!$Y$3,SD!$E$32*2,""))</f>
        <v/>
      </c>
      <c r="DO28" s="24">
        <f t="shared" si="22"/>
        <v>2.5</v>
      </c>
      <c r="DQ28" t="str">
        <f t="shared" si="23"/>
        <v>Lig</v>
      </c>
      <c r="DR28" t="str">
        <f>IF(AM28="Spiral",((Y28-(SD!$E$12*2))/12),"")</f>
        <v/>
      </c>
      <c r="DS28" t="str">
        <f t="shared" si="24"/>
        <v/>
      </c>
      <c r="DT28" t="str">
        <f t="shared" si="25"/>
        <v/>
      </c>
      <c r="DU28" t="str">
        <f t="shared" si="26"/>
        <v/>
      </c>
    </row>
    <row r="29" spans="1:125" x14ac:dyDescent="0.25">
      <c r="A29">
        <v>26</v>
      </c>
      <c r="B29" t="s">
        <v>684</v>
      </c>
      <c r="C29" s="15">
        <v>2429</v>
      </c>
      <c r="D29" s="15">
        <v>10000</v>
      </c>
      <c r="E29" t="str">
        <f>IF(B29=Level!$A$2,SD!$C$14,SD!$C$13)</f>
        <v>0-8</v>
      </c>
      <c r="F29" s="15" t="s">
        <v>787</v>
      </c>
      <c r="G29" t="s">
        <v>742</v>
      </c>
      <c r="H29" t="str">
        <f>RIGHT(VLOOKUP(B29,Level!A:C,3,FALSE),LEN(VLOOKUP(B29,Level!A:C,3,FALSE))-1)</f>
        <v>10-7</v>
      </c>
      <c r="I29" t="s">
        <v>743</v>
      </c>
      <c r="J29" t="str">
        <f>IF(AND(SD!$C$19=SD!$H$2,Grade!$G$1="Per level"),VLOOKUP(B29,Grade!$E$1:$F$200,2,FALSE),IF(AND(SD!$C$19=SD!$H$2,Grade!$G$1="Per Bar Size"),VLOOKUP(W29,Grade!$B$1:$C$12,2,0),SD!$C$19))</f>
        <v>A615 Grade 60</v>
      </c>
      <c r="K29" t="s">
        <v>67</v>
      </c>
      <c r="L29" t="str">
        <f>IFERROR(IF(A29&lt;&gt;A30,"",IF(DF29="No Lap","",IF(K30="Lap",U29,IF(K30="Coupler",_xlfn._xlws.FILTER(CCoupler,(CCName=SD!$C$8)*(CBSize=IF(A28=A29,W29&amp;W30,W29&amp;W29))*(CCMFM="Male")),"")))),"N/A")</f>
        <v>5-1</v>
      </c>
      <c r="M29" t="str">
        <f t="shared" si="0"/>
        <v/>
      </c>
      <c r="N29" t="s">
        <v>719</v>
      </c>
      <c r="O29" t="s">
        <v>720</v>
      </c>
      <c r="P29" t="s">
        <v>719</v>
      </c>
      <c r="Q29" t="str">
        <f>IF(AND(SD!$C$29=SD!$P$2,Grade!$O$1="Per level"),VLOOKUP(B29,Grade!$M$1:$N$200,2,FALSE),IF(AND(SD!$C$29=SD!$P$2,Grade!$O$1="Per Bar Size"),VLOOKUP(LEFT(N29,FIND("@",N29)-2),Grade!$J$1:$K$12,2,0),SD!$C$29))</f>
        <v>A615 Grade 60</v>
      </c>
      <c r="R29" t="s">
        <v>742</v>
      </c>
      <c r="S29" s="57">
        <v>29</v>
      </c>
      <c r="U29" t="str">
        <f>IF(Data!$J29="",IFERROR(INDEX(IF(SD!$C$11="Create",Lap!$A$3:$BF$14,IF(SD!$C$11="Per Uploaded File",Lap!$A$19:$BF$30,"")),MATCH(W29,Lap!$A$3:$A$14,0),MATCH(VALUE(D29),Lap!$A$3:$BF$3,0)+IF(IFERROR(FIND("Grade 60",J29),0)&gt;0,0,IF(IFERROR(FIND("Grade 80",J29),0),1,IF(IFERROR(FIND("Grade 75",J29),0),2,"")))),""),Data!J29)</f>
        <v>5-1</v>
      </c>
      <c r="W29" t="s">
        <v>176</v>
      </c>
      <c r="X29">
        <v>6</v>
      </c>
      <c r="Y29" t="str">
        <f t="shared" si="1"/>
        <v>30</v>
      </c>
      <c r="Z29">
        <f t="shared" si="2"/>
        <v>0</v>
      </c>
      <c r="AA29" s="24">
        <f t="shared" si="3"/>
        <v>15.666666666666666</v>
      </c>
      <c r="BB29" t="e" cm="1">
        <f t="array" ref="BB29">_xlfn.LET(_xlpm.PartF,(_xlfn.LET(_xlpm.grade, Q29,_xlpm.gradeRange, IF(_xlpm.grade=SD!$H$3, A615GR60, IF(_xlpm.grade=SD!$H$4, A615GR75, IF(_xlpm.grade=SD!$H$5, A615GR80, IF(_xlpm.grade=SD!$H$6, A615GR100, IF(_xlpm.grade=SD!$H$7, A706GR60, IF(_xlpm.grade=SD!$H$8, A706GR80)))))),_xlpm.matchValue, MATCH(1, (SD!$AW:$AW=AS29)*(SD!$AX:$AX=SD!$C$8), 0),INDEX(_xlpm.gradeRange, _xlpm.matchValue))),IF(AM29="Spiral",CONCATENATE("SP",_xlpm.PartF),_xlpm.PartF))</f>
        <v>#N/A</v>
      </c>
      <c r="BC29" cm="1">
        <f t="array" ref="BC29">_xlfn.LET(_xlpm.leftPart, LEFT(O29, FIND("@", O29) - 2),_xlpm.grade,Q29,_xlpm.gradeRange,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9" cm="1">
        <f t="array" ref="BD29">_xlfn.LET(_xlpm.leftPart, LEFT(P29, FIND("@", P29) - 2),_xlpm.grade, Q29,_xlpm.gradeRange,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9">
        <f t="shared" si="4"/>
        <v>2.5</v>
      </c>
      <c r="BF29">
        <f>IF(SD!$C$32=SD!$I$2,BE29,IF(SD!$C$32=SD!$I$3,DO29,IF(SD!$C$32=SD!$I$5,BA29,IF(SD!$C$32=SD!$I$6,(LEFT(SD!$C$35,FIND("-",SD!$C$35)-1)+RIGHT(SD!$C$35,LEN(SD!$C$35)-FIND("-",SD!$C$35))/12),IF(SD!$C$32=SD!$I$4,(AU29-(BG29+BH29)))))))</f>
        <v>0</v>
      </c>
      <c r="BG29">
        <f>IF(SD!$C$33=SD!$I$2,BE29,IF(SD!$C$33=SD!$I$3,DO29,IF(SD!$C$33=SD!$I$5,BA29,IF(SD!$C$33=SD!$I$6,(LEFT(SD!$C$35,FIND("-",SD!$C$35)-1)+RIGHT(SD!$C$35,LEN(SD!$C$35)-FIND("-",SD!$C$35))/12),IF(SD!$C$33=SD!$I$4,(AU29-(BF29+BH29)))))))</f>
        <v>-1</v>
      </c>
      <c r="BH29">
        <f>IF(SD!$C$34=SD!$I$2,BE29,IF(SD!$C$34=SD!$I$3,DO29,IF(SD!$C$34=SD!$I$5,BA29,IF(SD!$C$34=SD!$I$6,(LEFT(SD!$C$35,FIND("-",SD!$C$35)-1)+RIGHT(SD!$C$35,LEN(SD!$C$35)-FIND("-",SD!$C$35))/12),IF(SD!$C$34=SD!$I$4,(AU29-(BF29+BG29)))))))</f>
        <v>1</v>
      </c>
      <c r="BJ29">
        <f>IF(AM29="Spiral","1",MAX(ROUNDUP(IF(SD!$C$32="",AT29,BF29/(LEFT(RIGHT(N29,LEN(N29)-FIND("@",N29)),LEN(RIGHT(N29,LEN(N29)-FIND("@",N29)))-1)/12)+1),0),0))</f>
        <v>1</v>
      </c>
      <c r="BK29">
        <f>MAX(ROUNDUP(IF(SD!$C$33="","",BG29/(LEFT(RIGHT(O29,LEN(O29)-FIND("@",O29)),LEN(RIGHT(O29,LEN(O29)-FIND("@",O29)))-1)/12)+1),0),0)</f>
        <v>0</v>
      </c>
      <c r="BL29">
        <f>MAX(ROUNDUP(IF(SD!$C$34="","",BH29/(LEFT(RIGHT(P29,LEN(P29)-FIND("@",P29)),LEN(RIGHT(P29,LEN(P29)-FIND("@",P29)))-1)/12)+1),0),0)</f>
        <v>3</v>
      </c>
      <c r="BN29" t="e">
        <f t="shared" si="5"/>
        <v>#N/A</v>
      </c>
      <c r="BO29" t="e">
        <f t="shared" si="6"/>
        <v>#N/A</v>
      </c>
      <c r="BP29" t="e">
        <f t="shared" si="7"/>
        <v>#N/A</v>
      </c>
      <c r="BQ29" s="24" t="e">
        <f>IF(AM29=TRUE,(((Y29-(SD!$E$12*2))*3.14159265359)+BN29+BO29+BP29)/12+AL29,SUM(AF29:AG29,BN29,BO29,BP29,AO29,AQ29)/12)</f>
        <v>#N/A</v>
      </c>
      <c r="BR29" t="e">
        <f t="shared" si="8"/>
        <v>#N/A</v>
      </c>
      <c r="BS29" t="e">
        <f t="shared" si="9"/>
        <v>#N/A</v>
      </c>
      <c r="BT29" t="e">
        <f t="shared" si="10"/>
        <v>#N/A</v>
      </c>
      <c r="BU29" s="24" t="e">
        <f>IF(AM29=TRUE,(((Y29-(SD!$E$12*2))*3.14159265359)+BR29+BS29+BT29)/12+AL29,SUM(AF29:AG29,BR29,BS29,BT29,AO29,AQ29)/12)</f>
        <v>#N/A</v>
      </c>
      <c r="BW29" t="str">
        <f>IFERROR(LEFT(Data!L29,FIND(" -",Data!L29)-1),"")</f>
        <v/>
      </c>
      <c r="BX29" t="str">
        <f>IFERROR(IF(SD!$C$40=SD!$U$2,W29,IF(SD!$C$40=SD!$U$3,RIGHT(Data!L29,LEN(Data!L29)-(FIND("-",Data!L29)+1)),SD!$C$40)),"")</f>
        <v>#10</v>
      </c>
      <c r="BY29" t="str" cm="1">
        <f t="array" ref="BY29">IFERROR(_xlfn.LET(_xlpm.GRR,IF(AND(SD!$C$19=SD!$H$2,Grade!$G$1="Per level"),VLOOKUP(B29,Grade!$E$1:$F$200,2,FALSE),IF(AND(SD!$C$19=SD!$H$2,Grade!$G$1="Per Bar Size"),VLOOKUP(BX29,Grade!$B$1:$C$12,2,0),SD!$C$19)),_xlpm.is_equal, A28=A29,_xlpm.grade_range, IF(_xlpm.GRR=SD!$H$3, A615GR60,IF(_xlpm.GRR=SD!$H$4, A615GR75,IF(_xlpm.GRR=SD!$H$5, A615GR80,IF(_xlpm.GRR=SD!H33, A615GR100,IF(_xlpm.GRR=SD!$H$7, A706GR60,IF(_xlpm.GRR=SD!$H$8, A706GR80)))))),_xlpm.match_result, MATCH(1, (BSize=BX29)*(BCName=SD!$C$8), 0),_xlpm.final_result, INDEX(_xlpm.grade_range, _xlpm.match_result),IF(_xlpm.is_equal, "", _xlpm.final_result)),"")</f>
        <v/>
      </c>
      <c r="BZ29" t="str">
        <f>IF(A28=A29,"",IF(SD!$C$41="Match Vertical Bars ",X29,IF(SD!$C$41=SD!$V$3,BW29,SD!$C$41)))</f>
        <v/>
      </c>
      <c r="CA29" t="str" cm="1">
        <f t="array" ref="CA29">IF(A28=A29,"",IF(SD!$C$44="No T-Head",IF(SD!$C$42=SD!$Q$3,VLOOKUP(BX29,S90Range,3,FALSE),LEFT(SD!$C$42,FIND("-",SD!$C$42)-1)+(RIGHT(SD!$C$42,LEN(SD!$C$42)-FIND("-",SD!$C$42))/12)),IF(SD!$C$44="T-Head",_xlfn._xlws.FILTER(THead,(TCName=SD!$C$8)*(TSize=BX29)),IF(SD!$C$44="Level Wise",_xlfn.LET(_xlpm.result,_xlfn.XLOOKUP(B29,VDLevel,VDLevelStatus,"No"),IF(_xlpm.result="Yes",_xlfn._xlws.FILTER(THead,(TCName=SD!$C$8)*(TSize=BX29)),IF(SD!$C$42=SD!$Q$3,VLOOKUP(BX29,S90Range,3,FALSE),LEFT(SD!$C$42,FIND("-",SD!$C$42)-1)+(RIGHT(SD!$C$42,LEN(SD!$C$42)-FIND("-", SD!$C$42))/12)))),IF(SD!$C$44="BarSize Wise",_xlfn.LET(_xlpm.result,_xlfn.XLOOKUP(BX29,VDBarSize,VDBarSizeStatus,"No"),IF(_xlpm.result="Yes",_xlfn._xlws.FILTER(THead,(TCName=SD!$C$8)*(TSize=BX29)),IF(SD!$C$42=SD!$Q$3,VLOOKUP(BX29,S90Range,3,FALSE),LEFT(SD!$C$42,FIND("-",SD!$C$42)-1)+(RIGHT(SD!$C$42,LEN(SD!$C$42)-FIND("-",SD!$C$42))/12)))), "")))))</f>
        <v/>
      </c>
      <c r="CB29" t="str" cm="1">
        <f t="array" ref="CB29">_xlfn.LET(_xlpm.GRR,IF(AND(SD!$C$19=SD!$H$2,Grade!$G$1="Per level"),VLOOKUP(B29,Grade!$E$1:$F$200,2,FALSE),IF(AND(SD!$C$19=SD!$H$2,Grade!$G$1="Per Bar Size"),VLOOKUP(BX29,Grade!$B$1:$C$12,2,0),SD!$C$19)),_xlpm.is_coupler, K29="Coupler",_xlpm.condition1, SD!$C$43=SD!$W$2,_xlpm.data_j2_empty, Data!$J29="",_xlpm.lookup_table, IF(SD!$C$11="Create", Lap!$A$3:$BF$14, IF(SD!$C$11="Per Uploaded File", Lap!$A$19:$BF$30, "")),_xlpm.row_match, MATCH(BX29, Lap!$A$3:$A$14, 0),_xlpm.grade_offset, IF(IFERROR(FIND("Grade 60",_xlpm.GRR), 0) &gt; 0, 0, IF(IFERROR(FIND("Grade 80",_xlpm.GRR), 0), 1, IF(IFERROR(FIND("Grade 75",_xlpm.GRR), 0), 2, ""))),_xlpm.col_match, MATCH(VALUE(D29), Lap!$A$3:$BF$3, 0) + _xlpm.grade_offset,_xlpm.index_result, IFERROR(INDEX(_xlpm.lookup_table, _xlpm.row_match, _xlpm.col_match), Data!$J29),_xlpm.result_if_condition1, IF(_xlpm.data_j2_empty, _xlpm.index_result, Data!$J29),IF(_xlpm.is_coupler, 0, IF(_xlpm.condition1, _xlpm.result_if_condition1, SD!$C$43)))</f>
        <v>5-1</v>
      </c>
      <c r="CC29" s="24">
        <f t="shared" si="11"/>
        <v>5.083333333333333</v>
      </c>
      <c r="CD29">
        <f t="shared" si="12"/>
        <v>5.75</v>
      </c>
      <c r="CE29" t="str" cm="1">
        <f t="array" ref="CE29">IF(BY29="","",_xlfn._xlws.FILTER(SAC,(CName=SD!$C$8)*(EName="Vert Dowels")))</f>
        <v/>
      </c>
      <c r="CF29" t="str" cm="1">
        <f t="array" ref="CF29">IFERROR(IF(BY29="","",IF(K29="Coupler",_xlfn._xlws.FILTER(CCoupler,(CCName=SD!$C$8)*(CBSize=IF(A28=A29,W28&amp;W29,BX29&amp;W29))*(CCMFM="Male")),"")),"N/A")</f>
        <v/>
      </c>
      <c r="CG29" t="str">
        <f t="shared" si="13"/>
        <v/>
      </c>
      <c r="CH29" t="str">
        <f t="shared" si="14"/>
        <v/>
      </c>
      <c r="CI29" t="str">
        <f>_xlfn.LET(_xlpm.u3_value, U30,_xlpm.hyphen_pos,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K30="Coupler",_xlpm.coupler_value, IF(_xlpm.is_coupler, 0, _xlpm.calculated_value),_xlpm.final_value, _xlpm.calculated_value + SD!$E$13 + _xlpm.coupler_value,IF(CG29="", "", _xlpm.final_value))</f>
        <v/>
      </c>
      <c r="CJ29" t="str" cm="1">
        <f t="array" ref="CJ29">IF(CG29="","",_xlfn._xlws.FILTER(SAC,(CName=SD!$C$8)*(EName="Loose Dowels")))</f>
        <v/>
      </c>
      <c r="CK29" t="str" cm="1">
        <f t="array" ref="CK29">IFERROR(IF(CG29="","",IF(K30="Coupler",_xlfn._xlws.FILTER(CCoupler,(CCName=SD!$C$8)*(CBSize=IF(A29=A30,W29&amp;W30,""))*(CCMFM="Male")),"")),"N/A")</f>
        <v/>
      </c>
      <c r="CL29" t="str">
        <f>IFERROR(IF(AM29="Spiral","",IF(A28=A29,"",IF(SD!$C$37=0,"",SD!$C$37))),"")</f>
        <v/>
      </c>
      <c r="CN29">
        <f>IF(AM29="Spiral","",IFERROR(IF(SD!$C$36=0,"",SD!$C$36),""))</f>
        <v>5</v>
      </c>
      <c r="CP29" t="str">
        <f>IFERROR(IF(SD!$C$42=SD!$Q$3,'Take-off'!CA29,""),"")</f>
        <v/>
      </c>
      <c r="CR29">
        <f>IFERROR(IF(SD!$C$22=SD!$U$2,W29,SD!$C$22),"")</f>
        <v>0</v>
      </c>
      <c r="CS29" t="str" cm="1">
        <f t="array" ref="CS29">_xlfn.LET(_xlpm.GR,IF(AND(SD!$C$19=SD!$H$2,Grade!$G$1="Per level"),VLOOKUP(B29,Grade!$E$1:$F$200,2,FALSE),IF(AND(SD!$C$19=SD!$H$2,Grade!$G$1="Per Bar Size"),VLOOKUP(CR29,Grade!$B$1:$C$12,2,0),SD!$C$19)),IF(SD!$C$20=SD!$R$4,IF(A30=A29,"",INDEX(IF(_xlpm.GR=SD!$H$3,A615GR60,IF(_xlpm.GR=SD!$H$4,A615GR75,IF(_xlpm.GR=SD!$H$5,A615GR80,IF(_xlpm.GR=SD!H33,A615GR100,IF(_xlpm.GR=SD!$H$7,A706GR60,IF(_xlpm.GR=SD!$H$8,A706GR80)))))), MATCH(1, (BSize=CR29)*(BCName=SD!$C$8), 0))),""))</f>
        <v/>
      </c>
      <c r="CT29" t="str">
        <f>IF(A30=A29,"",IF(SD!$C$23="Match Vertical Bars ",X29,SD!$C$23))</f>
        <v/>
      </c>
      <c r="CU29" t="str" cm="1">
        <f t="array" ref="CU29">IF(A30=A29,"",IF(SD!$C$20="Top dowels",IF(SD!$E$25="No T-Head",IF(SD!$C$24=SD!$Q$3,VLOOKUP(CR29,S90Range,3,FALSE),LEFT(SD!$C$24,FIND("-",SD!$C$24)-1)+(RIGHT(SD!$C$24,LEN(SD!$C$24)-FIND("-",SD!$C$24))/12)),IF(SD!$E$25="T-Head",_xlfn._xlws.FILTER(THead,(TCName=SD!$C$8)*(TSize=CR29)),IF(SD!$E$25="Level Wise",_xlfn.LET(_xlpm.result,_xlfn.XLOOKUP(B29,TDLevel,TDLevelStatus,"No"),IF(_xlpm.result="Yes",_xlfn._xlws.FILTER(THead,(TCName=SD!$C$8)*(TSize=CR29)),IF(SD!$C$24=SD!$Q$3,VLOOKUP(CR29,S90Range,3,FALSE),LEFT(SD!$C$24,FIND("-",SD!$C$24)-1)+(RIGHT(SD!$C$24,LEN(SD!$C$24)-FIND("-", SD!$C$24))/12)))),IF(SD!$E$25="BarSize Wise",_xlfn.LET(_xlpm.result,_xlfn.XLOOKUP(CR29,TDBarSize,TDBarSizeStatus,"No"),IF(_xlpm.result="Yes",_xlfn._xlws.FILTER(THead,(TCName=SD!$C$8)*(TSize=CR29)),IF(SD!$C$24=SD!$Q$3,VLOOKUP(CR29,S90Range,3,FALSE),LEFT(SD!$C$24,FIND("-",SD!$C$24)-1)+(RIGHT(SD!$C$24,LEN(SD!$C$24)-FIND("-",SD!$C$24))/12)))), "")))),""))</f>
        <v/>
      </c>
      <c r="CV29" t="str">
        <f>_xlfn.LET(_xlpm.GRR,IF(AND(SD!$C$19=SD!$H$2,Grade!$G$1="Per level"),VLOOKUP(B29,Grade!$E$1:$F$200,2,FALSE),IF(AND(SD!$C$19=SD!$H$2,Grade!$G$1="Per Bar Size"),VLOOKUP(CR29,Grade!$B$1:$C$12,2,0),SD!$C$19)),IF(SD!$C$25=SD!$W$2,IF(Data!$J29="",IFERROR(INDEX(IF(SD!$C$11="Create",Lap!$A$3:$BF$14,IF(SD!$C$11="Per Uploaded File",Lap!$A$19:$BF$30,"")),MATCH(CR29,Lap!$A$3:$A$14,0),MATCH(VALUE(D29),Lap!$A$3:$BF$3,0)+IF(IFERROR(FIND("Grade 60",_xlpm.GRR),0)&gt;0,0,IF(IFERROR(FIND("Grade 80",_xlpm.GRR),0),1,IF(IFERROR(FIND("Grade 75",_xlpm.GRR),0),2,"")))),""),Data!J29),SD!$C$43))</f>
        <v>Match Lap</v>
      </c>
      <c r="CW29">
        <f t="shared" si="15"/>
        <v>0</v>
      </c>
      <c r="CX29">
        <f t="shared" si="16"/>
        <v>0</v>
      </c>
      <c r="CY29" t="str">
        <f t="shared" si="17"/>
        <v/>
      </c>
      <c r="DA29" t="str">
        <f t="shared" si="18"/>
        <v/>
      </c>
      <c r="DB29" t="str">
        <f t="shared" si="19"/>
        <v/>
      </c>
      <c r="DC29" s="24" t="str">
        <f t="shared" si="20"/>
        <v/>
      </c>
      <c r="DD29">
        <f t="shared" si="21"/>
        <v>10.583333333333334</v>
      </c>
      <c r="DE29" t="s">
        <v>785</v>
      </c>
      <c r="DF29" t="s">
        <v>67</v>
      </c>
      <c r="DG29" t="str">
        <f>VLOOKUP(W29,'Level Wise PSI'!$F$2:$G$12,2,FALSE)</f>
        <v>Double Lift</v>
      </c>
      <c r="DI29" t="str" cm="1">
        <f t="array" ref="DI29">_xlfn.LET(_xlpm.Coup,IFERROR(IF(BY29="","",IF(K29="Coupler",_xlfn._xlws.FILTER(CCFCoupler,(CCName=SD!$C$8)*(CBSize=IF(A28=A29,W28&amp;W29,BX29&amp;W29))),"")),"N/A"),IF(_xlpm.Coup=0,"",_xlpm.Coup))</f>
        <v/>
      </c>
      <c r="DJ29" t="str" cm="1">
        <f t="array" ref="DJ29">_xlfn.LET(_xlpm.Coup3,IFERROR(IF(CG29="","",IF(K30="Coupler",_xlfn._xlws.FILTER(CCFCoupler,(CCName=SD!$C$8)*(CBSize=IF(A29=A30,W29&amp;W30,""))),"")),"N/A"),IF(_xlpm.Coup3=0,"",_xlpm.Coup3))</f>
        <v/>
      </c>
      <c r="DK29" t="str" cm="1">
        <f t="array" ref="DK29">_xlfn.LET(_xlpm.Coup2,IFERROR(IF(A29&lt;&gt;A30,"",IF(DF29="No Lap","",IF(K30="Coupler",_xlfn._xlws.FILTER(CCFCoupler,(CCName=SD!$C$8)*(CBSize=IF(A28=A29,W29&amp;W30,W29&amp;W29))),""))),"N/A"),IF(_xlpm.Coup2=0,"",_xlpm.Coup2))</f>
        <v/>
      </c>
      <c r="DM29" t="str">
        <f>IF(AM29="Spiral","",IF(SD!$C$31=SD!$Y$3,SD!$E$32*2,""))</f>
        <v/>
      </c>
      <c r="DO29" s="24">
        <f t="shared" si="22"/>
        <v>2.5</v>
      </c>
      <c r="DQ29" t="str">
        <f t="shared" si="23"/>
        <v>Lig</v>
      </c>
      <c r="DR29" t="str">
        <f>IF(AM29="Spiral",((Y29-(SD!$E$12*2))/12),"")</f>
        <v/>
      </c>
      <c r="DS29" t="str">
        <f t="shared" si="24"/>
        <v/>
      </c>
      <c r="DT29" t="str">
        <f t="shared" si="25"/>
        <v/>
      </c>
      <c r="DU29" t="str">
        <f t="shared" si="26"/>
        <v/>
      </c>
    </row>
    <row r="30" spans="1:125" x14ac:dyDescent="0.25">
      <c r="A30">
        <v>26</v>
      </c>
      <c r="B30" t="s">
        <v>686</v>
      </c>
      <c r="C30" s="15">
        <v>2429</v>
      </c>
      <c r="D30" s="15">
        <v>10000</v>
      </c>
      <c r="E30" t="str">
        <f>IF(B30=Level!$A$2,SD!$C$14,SD!$C$13)</f>
        <v>0-8</v>
      </c>
      <c r="F30" s="15" t="s">
        <v>787</v>
      </c>
      <c r="G30" t="s">
        <v>742</v>
      </c>
      <c r="H30" t="str">
        <f>RIGHT(VLOOKUP(B30,Level!A:C,3,FALSE),LEN(VLOOKUP(B30,Level!A:C,3,FALSE))-1)</f>
        <v>10-7</v>
      </c>
      <c r="I30" t="s">
        <v>743</v>
      </c>
      <c r="J30" t="str">
        <f>IF(AND(SD!$C$19=SD!$H$2,Grade!$G$1="Per level"),VLOOKUP(B30,Grade!$E$1:$F$200,2,FALSE),IF(AND(SD!$C$19=SD!$H$2,Grade!$G$1="Per Bar Size"),VLOOKUP(W30,Grade!$B$1:$C$12,2,0),SD!$C$19))</f>
        <v>A615 Grade 60</v>
      </c>
      <c r="K30" t="s">
        <v>67</v>
      </c>
      <c r="L30" t="str">
        <f>IFERROR(IF(A30&lt;&gt;A31,"",IF(DF30="No Lap","",IF(K31="Lap",U30,IF(K31="Coupler",_xlfn._xlws.FILTER(CCoupler,(CCName=SD!$C$8)*(CBSize=IF(A29=A30,W30&amp;W31,W30&amp;W30))*(CCMFM="Male")),"")))),"N/A")</f>
        <v>5-1</v>
      </c>
      <c r="M30" t="str">
        <f t="shared" si="0"/>
        <v/>
      </c>
      <c r="N30" t="s">
        <v>719</v>
      </c>
      <c r="O30" t="s">
        <v>720</v>
      </c>
      <c r="P30" t="s">
        <v>719</v>
      </c>
      <c r="Q30" t="str">
        <f>IF(AND(SD!$C$29=SD!$P$2,Grade!$O$1="Per level"),VLOOKUP(B30,Grade!$M$1:$N$200,2,FALSE),IF(AND(SD!$C$29=SD!$P$2,Grade!$O$1="Per Bar Size"),VLOOKUP(LEFT(N30,FIND("@",N30)-2),Grade!$J$1:$K$12,2,0),SD!$C$29))</f>
        <v>A615 Grade 60</v>
      </c>
      <c r="R30" t="s">
        <v>742</v>
      </c>
      <c r="S30" s="57">
        <v>30</v>
      </c>
      <c r="U30" t="str">
        <f>IF(Data!$J30="",IFERROR(INDEX(IF(SD!$C$11="Create",Lap!$A$3:$BF$14,IF(SD!$C$11="Per Uploaded File",Lap!$A$19:$BF$30,"")),MATCH(W30,Lap!$A$3:$A$14,0),MATCH(VALUE(D30),Lap!$A$3:$BF$3,0)+IF(IFERROR(FIND("Grade 60",J30),0)&gt;0,0,IF(IFERROR(FIND("Grade 80",J30),0),1,IF(IFERROR(FIND("Grade 75",J30),0),2,"")))),""),Data!J30)</f>
        <v>5-1</v>
      </c>
      <c r="W30" t="s">
        <v>176</v>
      </c>
      <c r="X30">
        <v>6</v>
      </c>
      <c r="Y30" t="str">
        <f t="shared" si="1"/>
        <v>30</v>
      </c>
      <c r="Z30">
        <f t="shared" si="2"/>
        <v>0</v>
      </c>
      <c r="AA30" s="24">
        <f t="shared" si="3"/>
        <v>15.666666666666666</v>
      </c>
      <c r="BB30" t="e" cm="1">
        <f t="array" ref="BB30">_xlfn.LET(_xlpm.PartF,(_xlfn.LET(_xlpm.grade, Q30,_xlpm.gradeRange, IF(_xlpm.grade=SD!$H$3, A615GR60, IF(_xlpm.grade=SD!$H$4, A615GR75, IF(_xlpm.grade=SD!$H$5, A615GR80, IF(_xlpm.grade=SD!$H$6, A615GR100, IF(_xlpm.grade=SD!$H$7, A706GR60, IF(_xlpm.grade=SD!$H$8, A706GR80)))))),_xlpm.matchValue, MATCH(1, (SD!$AW:$AW=AS30)*(SD!$AX:$AX=SD!$C$8), 0),INDEX(_xlpm.gradeRange, _xlpm.matchValue))),IF(AM30="Spiral",CONCATENATE("SP",_xlpm.PartF),_xlpm.PartF))</f>
        <v>#N/A</v>
      </c>
      <c r="BC30" cm="1">
        <f t="array" ref="BC30">_xlfn.LET(_xlpm.leftPart, LEFT(O30, FIND("@", O30) - 2),_xlpm.grade,Q30,_xlpm.gradeRange,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0" cm="1">
        <f t="array" ref="BD30">_xlfn.LET(_xlpm.leftPart, LEFT(P30, FIND("@", P30) - 2),_xlpm.grade, Q30,_xlpm.gradeRange,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0">
        <f t="shared" si="4"/>
        <v>2.5</v>
      </c>
      <c r="BF30">
        <f>IF(SD!$C$32=SD!$I$2,BE30,IF(SD!$C$32=SD!$I$3,DO30,IF(SD!$C$32=SD!$I$5,BA30,IF(SD!$C$32=SD!$I$6,(LEFT(SD!$C$35,FIND("-",SD!$C$35)-1)+RIGHT(SD!$C$35,LEN(SD!$C$35)-FIND("-",SD!$C$35))/12),IF(SD!$C$32=SD!$I$4,(AU30-(BG30+BH30)))))))</f>
        <v>0</v>
      </c>
      <c r="BG30">
        <f>IF(SD!$C$33=SD!$I$2,BE30,IF(SD!$C$33=SD!$I$3,DO30,IF(SD!$C$33=SD!$I$5,BA30,IF(SD!$C$33=SD!$I$6,(LEFT(SD!$C$35,FIND("-",SD!$C$35)-1)+RIGHT(SD!$C$35,LEN(SD!$C$35)-FIND("-",SD!$C$35))/12),IF(SD!$C$33=SD!$I$4,(AU30-(BF30+BH30)))))))</f>
        <v>-1</v>
      </c>
      <c r="BH30">
        <f>IF(SD!$C$34=SD!$I$2,BE30,IF(SD!$C$34=SD!$I$3,DO30,IF(SD!$C$34=SD!$I$5,BA30,IF(SD!$C$34=SD!$I$6,(LEFT(SD!$C$35,FIND("-",SD!$C$35)-1)+RIGHT(SD!$C$35,LEN(SD!$C$35)-FIND("-",SD!$C$35))/12),IF(SD!$C$34=SD!$I$4,(AU30-(BF30+BG30)))))))</f>
        <v>1</v>
      </c>
      <c r="BJ30">
        <f>IF(AM30="Spiral","1",MAX(ROUNDUP(IF(SD!$C$32="",AT30,BF30/(LEFT(RIGHT(N30,LEN(N30)-FIND("@",N30)),LEN(RIGHT(N30,LEN(N30)-FIND("@",N30)))-1)/12)+1),0),0))</f>
        <v>1</v>
      </c>
      <c r="BK30">
        <f>MAX(ROUNDUP(IF(SD!$C$33="","",BG30/(LEFT(RIGHT(O30,LEN(O30)-FIND("@",O30)),LEN(RIGHT(O30,LEN(O30)-FIND("@",O30)))-1)/12)+1),0),0)</f>
        <v>0</v>
      </c>
      <c r="BL30">
        <f>MAX(ROUNDUP(IF(SD!$C$34="","",BH30/(LEFT(RIGHT(P30,LEN(P30)-FIND("@",P30)),LEN(RIGHT(P30,LEN(P30)-FIND("@",P30)))-1)/12)+1),0),0)</f>
        <v>3</v>
      </c>
      <c r="BN30" t="e">
        <f t="shared" si="5"/>
        <v>#N/A</v>
      </c>
      <c r="BO30" t="e">
        <f t="shared" si="6"/>
        <v>#N/A</v>
      </c>
      <c r="BP30" t="e">
        <f t="shared" si="7"/>
        <v>#N/A</v>
      </c>
      <c r="BQ30" s="24" t="e">
        <f>IF(AM30=TRUE,(((Y30-(SD!$E$12*2))*3.14159265359)+BN30+BO30+BP30)/12+AL30,SUM(AF30:AG30,BN30,BO30,BP30,AO30,AQ30)/12)</f>
        <v>#N/A</v>
      </c>
      <c r="BR30" t="e">
        <f t="shared" si="8"/>
        <v>#N/A</v>
      </c>
      <c r="BS30" t="e">
        <f t="shared" si="9"/>
        <v>#N/A</v>
      </c>
      <c r="BT30" t="e">
        <f t="shared" si="10"/>
        <v>#N/A</v>
      </c>
      <c r="BU30" s="24" t="e">
        <f>IF(AM30=TRUE,(((Y30-(SD!$E$12*2))*3.14159265359)+BR30+BS30+BT30)/12+AL30,SUM(AF30:AG30,BR30,BS30,BT30,AO30,AQ30)/12)</f>
        <v>#N/A</v>
      </c>
      <c r="BW30" t="str">
        <f>IFERROR(LEFT(Data!L30,FIND(" -",Data!L30)-1),"")</f>
        <v/>
      </c>
      <c r="BX30" t="str">
        <f>IFERROR(IF(SD!$C$40=SD!$U$2,W30,IF(SD!$C$40=SD!$U$3,RIGHT(Data!L30,LEN(Data!L30)-(FIND("-",Data!L30)+1)),SD!$C$40)),"")</f>
        <v>#10</v>
      </c>
      <c r="BY30" t="str" cm="1">
        <f t="array" ref="BY30">IFERROR(_xlfn.LET(_xlpm.GRR,IF(AND(SD!$C$19=SD!$H$2,Grade!$G$1="Per level"),VLOOKUP(B30,Grade!$E$1:$F$200,2,FALSE),IF(AND(SD!$C$19=SD!$H$2,Grade!$G$1="Per Bar Size"),VLOOKUP(BX30,Grade!$B$1:$C$12,2,0),SD!$C$19)),_xlpm.is_equal, A29=A30,_xlpm.grade_range, IF(_xlpm.GRR=SD!$H$3, A615GR60,IF(_xlpm.GRR=SD!$H$4, A615GR75,IF(_xlpm.GRR=SD!$H$5, A615GR80,IF(_xlpm.GRR=SD!H34, A615GR100,IF(_xlpm.GRR=SD!$H$7, A706GR60,IF(_xlpm.GRR=SD!$H$8, A706GR80)))))),_xlpm.match_result, MATCH(1, (BSize=BX30)*(BCName=SD!$C$8), 0),_xlpm.final_result, INDEX(_xlpm.grade_range, _xlpm.match_result),IF(_xlpm.is_equal, "", _xlpm.final_result)),"")</f>
        <v/>
      </c>
      <c r="BZ30" t="str">
        <f>IF(A29=A30,"",IF(SD!$C$41="Match Vertical Bars ",X30,IF(SD!$C$41=SD!$V$3,BW30,SD!$C$41)))</f>
        <v/>
      </c>
      <c r="CA30" t="str" cm="1">
        <f t="array" ref="CA30">IF(A29=A30,"",IF(SD!$C$44="No T-Head",IF(SD!$C$42=SD!$Q$3,VLOOKUP(BX30,S90Range,3,FALSE),LEFT(SD!$C$42,FIND("-",SD!$C$42)-1)+(RIGHT(SD!$C$42,LEN(SD!$C$42)-FIND("-",SD!$C$42))/12)),IF(SD!$C$44="T-Head",_xlfn._xlws.FILTER(THead,(TCName=SD!$C$8)*(TSize=BX30)),IF(SD!$C$44="Level Wise",_xlfn.LET(_xlpm.result,_xlfn.XLOOKUP(B30,VDLevel,VDLevelStatus,"No"),IF(_xlpm.result="Yes",_xlfn._xlws.FILTER(THead,(TCName=SD!$C$8)*(TSize=BX30)),IF(SD!$C$42=SD!$Q$3,VLOOKUP(BX30,S90Range,3,FALSE),LEFT(SD!$C$42,FIND("-",SD!$C$42)-1)+(RIGHT(SD!$C$42,LEN(SD!$C$42)-FIND("-", SD!$C$42))/12)))),IF(SD!$C$44="BarSize Wise",_xlfn.LET(_xlpm.result,_xlfn.XLOOKUP(BX30,VDBarSize,VDBarSizeStatus,"No"),IF(_xlpm.result="Yes",_xlfn._xlws.FILTER(THead,(TCName=SD!$C$8)*(TSize=BX30)),IF(SD!$C$42=SD!$Q$3,VLOOKUP(BX30,S90Range,3,FALSE),LEFT(SD!$C$42,FIND("-",SD!$C$42)-1)+(RIGHT(SD!$C$42,LEN(SD!$C$42)-FIND("-",SD!$C$42))/12)))), "")))))</f>
        <v/>
      </c>
      <c r="CB30" t="str" cm="1">
        <f t="array" ref="CB30">_xlfn.LET(_xlpm.GRR,IF(AND(SD!$C$19=SD!$H$2,Grade!$G$1="Per level"),VLOOKUP(B30,Grade!$E$1:$F$200,2,FALSE),IF(AND(SD!$C$19=SD!$H$2,Grade!$G$1="Per Bar Size"),VLOOKUP(BX30,Grade!$B$1:$C$12,2,0),SD!$C$19)),_xlpm.is_coupler, K30="Coupler",_xlpm.condition1, SD!$C$43=SD!$W$2,_xlpm.data_j2_empty, Data!$J30="",_xlpm.lookup_table, IF(SD!$C$11="Create", Lap!$A$3:$BF$14, IF(SD!$C$11="Per Uploaded File", Lap!$A$19:$BF$30, "")),_xlpm.row_match, MATCH(BX30, Lap!$A$3:$A$14, 0),_xlpm.grade_offset, IF(IFERROR(FIND("Grade 60",_xlpm.GRR), 0) &gt; 0, 0, IF(IFERROR(FIND("Grade 80",_xlpm.GRR), 0), 1, IF(IFERROR(FIND("Grade 75",_xlpm.GRR), 0), 2, ""))),_xlpm.col_match, MATCH(VALUE(D30), Lap!$A$3:$BF$3, 0) + _xlpm.grade_offset,_xlpm.index_result, IFERROR(INDEX(_xlpm.lookup_table, _xlpm.row_match, _xlpm.col_match), Data!$J30),_xlpm.result_if_condition1, IF(_xlpm.data_j2_empty, _xlpm.index_result, Data!$J30),IF(_xlpm.is_coupler, 0, IF(_xlpm.condition1, _xlpm.result_if_condition1, SD!$C$43)))</f>
        <v>5-1</v>
      </c>
      <c r="CC30" s="24">
        <f t="shared" si="11"/>
        <v>5.083333333333333</v>
      </c>
      <c r="CD30">
        <f t="shared" si="12"/>
        <v>5.75</v>
      </c>
      <c r="CE30" t="str" cm="1">
        <f t="array" ref="CE30">IF(BY30="","",_xlfn._xlws.FILTER(SAC,(CName=SD!$C$8)*(EName="Vert Dowels")))</f>
        <v/>
      </c>
      <c r="CF30" t="str" cm="1">
        <f t="array" ref="CF30">IFERROR(IF(BY30="","",IF(K30="Coupler",_xlfn._xlws.FILTER(CCoupler,(CCName=SD!$C$8)*(CBSize=IF(A29=A30,W29&amp;W30,BX30&amp;W30))*(CCMFM="Male")),"")),"N/A")</f>
        <v/>
      </c>
      <c r="CG30" t="str">
        <f t="shared" si="13"/>
        <v/>
      </c>
      <c r="CH30" t="str">
        <f t="shared" si="14"/>
        <v/>
      </c>
      <c r="CI30" t="str">
        <f>_xlfn.LET(_xlpm.u3_value, U31,_xlpm.hyphen_pos,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K31="Coupler",_xlpm.coupler_value, IF(_xlpm.is_coupler, 0, _xlpm.calculated_value),_xlpm.final_value, _xlpm.calculated_value + SD!$E$13 + _xlpm.coupler_value,IF(CG30="", "", _xlpm.final_value))</f>
        <v/>
      </c>
      <c r="CJ30" t="str" cm="1">
        <f t="array" ref="CJ30">IF(CG30="","",_xlfn._xlws.FILTER(SAC,(CName=SD!$C$8)*(EName="Loose Dowels")))</f>
        <v/>
      </c>
      <c r="CK30" t="str" cm="1">
        <f t="array" ref="CK30">IFERROR(IF(CG30="","",IF(K31="Coupler",_xlfn._xlws.FILTER(CCoupler,(CCName=SD!$C$8)*(CBSize=IF(A30=A31,W30&amp;W31,""))*(CCMFM="Male")),"")),"N/A")</f>
        <v/>
      </c>
      <c r="CL30" t="str">
        <f>IFERROR(IF(AM30="Spiral","",IF(A29=A30,"",IF(SD!$C$37=0,"",SD!$C$37))),"")</f>
        <v/>
      </c>
      <c r="CN30">
        <f>IF(AM30="Spiral","",IFERROR(IF(SD!$C$36=0,"",SD!$C$36),""))</f>
        <v>5</v>
      </c>
      <c r="CP30" t="str">
        <f>IFERROR(IF(SD!$C$42=SD!$Q$3,'Take-off'!CA30,""),"")</f>
        <v/>
      </c>
      <c r="CR30">
        <f>IFERROR(IF(SD!$C$22=SD!$U$2,W30,SD!$C$22),"")</f>
        <v>0</v>
      </c>
      <c r="CS30" t="str" cm="1">
        <f t="array" ref="CS30">_xlfn.LET(_xlpm.GR,IF(AND(SD!$C$19=SD!$H$2,Grade!$G$1="Per level"),VLOOKUP(B30,Grade!$E$1:$F$200,2,FALSE),IF(AND(SD!$C$19=SD!$H$2,Grade!$G$1="Per Bar Size"),VLOOKUP(CR30,Grade!$B$1:$C$12,2,0),SD!$C$19)),IF(SD!$C$20=SD!$R$4,IF(A31=A30,"",INDEX(IF(_xlpm.GR=SD!$H$3,A615GR60,IF(_xlpm.GR=SD!$H$4,A615GR75,IF(_xlpm.GR=SD!$H$5,A615GR80,IF(_xlpm.GR=SD!H34,A615GR100,IF(_xlpm.GR=SD!$H$7,A706GR60,IF(_xlpm.GR=SD!$H$8,A706GR80)))))), MATCH(1, (BSize=CR30)*(BCName=SD!$C$8), 0))),""))</f>
        <v/>
      </c>
      <c r="CT30" t="str">
        <f>IF(A31=A30,"",IF(SD!$C$23="Match Vertical Bars ",X30,SD!$C$23))</f>
        <v/>
      </c>
      <c r="CU30" t="str" cm="1">
        <f t="array" ref="CU30">IF(A31=A30,"",IF(SD!$C$20="Top dowels",IF(SD!$E$25="No T-Head",IF(SD!$C$24=SD!$Q$3,VLOOKUP(CR30,S90Range,3,FALSE),LEFT(SD!$C$24,FIND("-",SD!$C$24)-1)+(RIGHT(SD!$C$24,LEN(SD!$C$24)-FIND("-",SD!$C$24))/12)),IF(SD!$E$25="T-Head",_xlfn._xlws.FILTER(THead,(TCName=SD!$C$8)*(TSize=CR30)),IF(SD!$E$25="Level Wise",_xlfn.LET(_xlpm.result,_xlfn.XLOOKUP(B30,TDLevel,TDLevelStatus,"No"),IF(_xlpm.result="Yes",_xlfn._xlws.FILTER(THead,(TCName=SD!$C$8)*(TSize=CR30)),IF(SD!$C$24=SD!$Q$3,VLOOKUP(CR30,S90Range,3,FALSE),LEFT(SD!$C$24,FIND("-",SD!$C$24)-1)+(RIGHT(SD!$C$24,LEN(SD!$C$24)-FIND("-", SD!$C$24))/12)))),IF(SD!$E$25="BarSize Wise",_xlfn.LET(_xlpm.result,_xlfn.XLOOKUP(CR30,TDBarSize,TDBarSizeStatus,"No"),IF(_xlpm.result="Yes",_xlfn._xlws.FILTER(THead,(TCName=SD!$C$8)*(TSize=CR30)),IF(SD!$C$24=SD!$Q$3,VLOOKUP(CR30,S90Range,3,FALSE),LEFT(SD!$C$24,FIND("-",SD!$C$24)-1)+(RIGHT(SD!$C$24,LEN(SD!$C$24)-FIND("-",SD!$C$24))/12)))), "")))),""))</f>
        <v/>
      </c>
      <c r="CV30" t="str">
        <f>_xlfn.LET(_xlpm.GRR,IF(AND(SD!$C$19=SD!$H$2,Grade!$G$1="Per level"),VLOOKUP(B30,Grade!$E$1:$F$200,2,FALSE),IF(AND(SD!$C$19=SD!$H$2,Grade!$G$1="Per Bar Size"),VLOOKUP(CR30,Grade!$B$1:$C$12,2,0),SD!$C$19)),IF(SD!$C$25=SD!$W$2,IF(Data!$J30="",IFERROR(INDEX(IF(SD!$C$11="Create",Lap!$A$3:$BF$14,IF(SD!$C$11="Per Uploaded File",Lap!$A$19:$BF$30,"")),MATCH(CR30,Lap!$A$3:$A$14,0),MATCH(VALUE(D30),Lap!$A$3:$BF$3,0)+IF(IFERROR(FIND("Grade 60",_xlpm.GRR),0)&gt;0,0,IF(IFERROR(FIND("Grade 80",_xlpm.GRR),0),1,IF(IFERROR(FIND("Grade 75",_xlpm.GRR),0),2,"")))),""),Data!J30),SD!$C$43))</f>
        <v>Match Lap</v>
      </c>
      <c r="CW30">
        <f t="shared" si="15"/>
        <v>0</v>
      </c>
      <c r="CX30">
        <f t="shared" si="16"/>
        <v>0</v>
      </c>
      <c r="CY30" t="str">
        <f t="shared" si="17"/>
        <v/>
      </c>
      <c r="DA30" t="str">
        <f t="shared" si="18"/>
        <v/>
      </c>
      <c r="DB30" t="str">
        <f t="shared" si="19"/>
        <v/>
      </c>
      <c r="DC30" s="24" t="str">
        <f t="shared" si="20"/>
        <v/>
      </c>
      <c r="DD30">
        <f t="shared" si="21"/>
        <v>10.583333333333334</v>
      </c>
      <c r="DE30" t="s">
        <v>785</v>
      </c>
      <c r="DF30" t="s">
        <v>67</v>
      </c>
      <c r="DG30" t="str">
        <f>VLOOKUP(W30,'Level Wise PSI'!$F$2:$G$12,2,FALSE)</f>
        <v>Double Lift</v>
      </c>
      <c r="DI30" t="str" cm="1">
        <f t="array" ref="DI30">_xlfn.LET(_xlpm.Coup,IFERROR(IF(BY30="","",IF(K30="Coupler",_xlfn._xlws.FILTER(CCFCoupler,(CCName=SD!$C$8)*(CBSize=IF(A29=A30,W29&amp;W30,BX30&amp;W30))),"")),"N/A"),IF(_xlpm.Coup=0,"",_xlpm.Coup))</f>
        <v/>
      </c>
      <c r="DJ30" t="str" cm="1">
        <f t="array" ref="DJ30">_xlfn.LET(_xlpm.Coup3,IFERROR(IF(CG30="","",IF(K31="Coupler",_xlfn._xlws.FILTER(CCFCoupler,(CCName=SD!$C$8)*(CBSize=IF(A30=A31,W30&amp;W31,""))),"")),"N/A"),IF(_xlpm.Coup3=0,"",_xlpm.Coup3))</f>
        <v/>
      </c>
      <c r="DK30" t="str" cm="1">
        <f t="array" ref="DK30">_xlfn.LET(_xlpm.Coup2,IFERROR(IF(A30&lt;&gt;A31,"",IF(DF30="No Lap","",IF(K31="Coupler",_xlfn._xlws.FILTER(CCFCoupler,(CCName=SD!$C$8)*(CBSize=IF(A29=A30,W30&amp;W31,W30&amp;W30))),""))),"N/A"),IF(_xlpm.Coup2=0,"",_xlpm.Coup2))</f>
        <v/>
      </c>
      <c r="DM30" t="str">
        <f>IF(AM30="Spiral","",IF(SD!$C$31=SD!$Y$3,SD!$E$32*2,""))</f>
        <v/>
      </c>
      <c r="DO30" s="24">
        <f t="shared" si="22"/>
        <v>2.5</v>
      </c>
      <c r="DQ30" t="str">
        <f t="shared" si="23"/>
        <v>Lig</v>
      </c>
      <c r="DR30" t="str">
        <f>IF(AM30="Spiral",((Y30-(SD!$E$12*2))/12),"")</f>
        <v/>
      </c>
      <c r="DS30" t="str">
        <f t="shared" si="24"/>
        <v/>
      </c>
      <c r="DT30" t="str">
        <f t="shared" si="25"/>
        <v/>
      </c>
      <c r="DU30" t="str">
        <f t="shared" si="26"/>
        <v/>
      </c>
    </row>
    <row r="31" spans="1:125" x14ac:dyDescent="0.25">
      <c r="A31">
        <v>26</v>
      </c>
      <c r="B31" t="s">
        <v>688</v>
      </c>
      <c r="C31" s="15">
        <v>2429</v>
      </c>
      <c r="D31" s="15">
        <v>10000</v>
      </c>
      <c r="E31" t="str">
        <f>IF(B31=Level!$A$2,SD!$C$14,SD!$C$13)</f>
        <v>0-8</v>
      </c>
      <c r="F31" s="15" t="s">
        <v>787</v>
      </c>
      <c r="G31" t="s">
        <v>742</v>
      </c>
      <c r="H31" t="str">
        <f>RIGHT(VLOOKUP(B31,Level!A:C,3,FALSE),LEN(VLOOKUP(B31,Level!A:C,3,FALSE))-1)</f>
        <v>10-7</v>
      </c>
      <c r="I31" t="s">
        <v>744</v>
      </c>
      <c r="J31" t="str">
        <f>IF(AND(SD!$C$19=SD!$H$2,Grade!$G$1="Per level"),VLOOKUP(B31,Grade!$E$1:$F$200,2,FALSE),IF(AND(SD!$C$19=SD!$H$2,Grade!$G$1="Per Bar Size"),VLOOKUP(W31,Grade!$B$1:$C$12,2,0),SD!$C$19))</f>
        <v>A615 Grade 60</v>
      </c>
      <c r="K31" t="s">
        <v>67</v>
      </c>
      <c r="L31" t="str">
        <f>IFERROR(IF(A31&lt;&gt;A32,"",IF(DF31="No Lap","",IF(K32="Lap",U31,IF(K32="Coupler",_xlfn._xlws.FILTER(CCoupler,(CCName=SD!$C$8)*(CBSize=IF(A30=A31,W31&amp;W32,W31&amp;W31))*(CCMFM="Male")),"")))),"N/A")</f>
        <v/>
      </c>
      <c r="M31" t="str">
        <f t="shared" si="0"/>
        <v/>
      </c>
      <c r="N31" t="s">
        <v>719</v>
      </c>
      <c r="O31" t="s">
        <v>720</v>
      </c>
      <c r="P31" t="s">
        <v>719</v>
      </c>
      <c r="Q31" t="str">
        <f>IF(AND(SD!$C$29=SD!$P$2,Grade!$O$1="Per level"),VLOOKUP(B31,Grade!$M$1:$N$200,2,FALSE),IF(AND(SD!$C$29=SD!$P$2,Grade!$O$1="Per Bar Size"),VLOOKUP(LEFT(N31,FIND("@",N31)-2),Grade!$J$1:$K$12,2,0),SD!$C$29))</f>
        <v>A615 Grade 60</v>
      </c>
      <c r="R31" t="s">
        <v>742</v>
      </c>
      <c r="S31" s="57">
        <v>31</v>
      </c>
      <c r="U31" t="str">
        <f>IF(Data!$J31="",IFERROR(INDEX(IF(SD!$C$11="Create",Lap!$A$3:$BF$14,IF(SD!$C$11="Per Uploaded File",Lap!$A$19:$BF$30,"")),MATCH(W31,Lap!$A$3:$A$14,0),MATCH(VALUE(D31),Lap!$A$3:$BF$3,0)+IF(IFERROR(FIND("Grade 60",J31),0)&gt;0,0,IF(IFERROR(FIND("Grade 80",J31),0),1,IF(IFERROR(FIND("Grade 75",J31),0),2,"")))),""),Data!J31)</f>
        <v>4-0</v>
      </c>
      <c r="W31" t="s">
        <v>151</v>
      </c>
      <c r="X31">
        <v>10</v>
      </c>
      <c r="Y31" t="str">
        <f t="shared" si="1"/>
        <v>30</v>
      </c>
      <c r="Z31">
        <f t="shared" si="2"/>
        <v>0</v>
      </c>
      <c r="AA31" s="24">
        <f t="shared" si="3"/>
        <v>10.583333333333334</v>
      </c>
      <c r="BB31" t="e" cm="1">
        <f t="array" ref="BB31">_xlfn.LET(_xlpm.PartF,(_xlfn.LET(_xlpm.grade, Q31,_xlpm.gradeRange, IF(_xlpm.grade=SD!$H$3, A615GR60, IF(_xlpm.grade=SD!$H$4, A615GR75, IF(_xlpm.grade=SD!$H$5, A615GR80, IF(_xlpm.grade=SD!$H$6, A615GR100, IF(_xlpm.grade=SD!$H$7, A706GR60, IF(_xlpm.grade=SD!$H$8, A706GR80)))))),_xlpm.matchValue, MATCH(1, (SD!$AW:$AW=AS31)*(SD!$AX:$AX=SD!$C$8), 0),INDEX(_xlpm.gradeRange, _xlpm.matchValue))),IF(AM31="Spiral",CONCATENATE("SP",_xlpm.PartF),_xlpm.PartF))</f>
        <v>#N/A</v>
      </c>
      <c r="BC31" cm="1">
        <f t="array" ref="BC31">_xlfn.LET(_xlpm.leftPart, LEFT(O31, FIND("@", O31) - 2),_xlpm.grade,Q31,_xlpm.gradeRange,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1" cm="1">
        <f t="array" ref="BD31">_xlfn.LET(_xlpm.leftPart, LEFT(P31, FIND("@", P31) - 2),_xlpm.grade, Q31,_xlpm.gradeRange,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1">
        <f t="shared" si="4"/>
        <v>2.5</v>
      </c>
      <c r="BF31">
        <f>IF(SD!$C$32=SD!$I$2,BE31,IF(SD!$C$32=SD!$I$3,DO31,IF(SD!$C$32=SD!$I$5,BA31,IF(SD!$C$32=SD!$I$6,(LEFT(SD!$C$35,FIND("-",SD!$C$35)-1)+RIGHT(SD!$C$35,LEN(SD!$C$35)-FIND("-",SD!$C$35))/12),IF(SD!$C$32=SD!$I$4,(AU31-(BG31+BH31)))))))</f>
        <v>0</v>
      </c>
      <c r="BG31">
        <f>IF(SD!$C$33=SD!$I$2,BE31,IF(SD!$C$33=SD!$I$3,DO31,IF(SD!$C$33=SD!$I$5,BA31,IF(SD!$C$33=SD!$I$6,(LEFT(SD!$C$35,FIND("-",SD!$C$35)-1)+RIGHT(SD!$C$35,LEN(SD!$C$35)-FIND("-",SD!$C$35))/12),IF(SD!$C$33=SD!$I$4,(AU31-(BF31+BH31)))))))</f>
        <v>-1</v>
      </c>
      <c r="BH31">
        <f>IF(SD!$C$34=SD!$I$2,BE31,IF(SD!$C$34=SD!$I$3,DO31,IF(SD!$C$34=SD!$I$5,BA31,IF(SD!$C$34=SD!$I$6,(LEFT(SD!$C$35,FIND("-",SD!$C$35)-1)+RIGHT(SD!$C$35,LEN(SD!$C$35)-FIND("-",SD!$C$35))/12),IF(SD!$C$34=SD!$I$4,(AU31-(BF31+BG31)))))))</f>
        <v>1</v>
      </c>
      <c r="BJ31">
        <f>IF(AM31="Spiral","1",MAX(ROUNDUP(IF(SD!$C$32="",AT31,BF31/(LEFT(RIGHT(N31,LEN(N31)-FIND("@",N31)),LEN(RIGHT(N31,LEN(N31)-FIND("@",N31)))-1)/12)+1),0),0))</f>
        <v>1</v>
      </c>
      <c r="BK31">
        <f>MAX(ROUNDUP(IF(SD!$C$33="","",BG31/(LEFT(RIGHT(O31,LEN(O31)-FIND("@",O31)),LEN(RIGHT(O31,LEN(O31)-FIND("@",O31)))-1)/12)+1),0),0)</f>
        <v>0</v>
      </c>
      <c r="BL31">
        <f>MAX(ROUNDUP(IF(SD!$C$34="","",BH31/(LEFT(RIGHT(P31,LEN(P31)-FIND("@",P31)),LEN(RIGHT(P31,LEN(P31)-FIND("@",P31)))-1)/12)+1),0),0)</f>
        <v>3</v>
      </c>
      <c r="BN31" t="e">
        <f t="shared" si="5"/>
        <v>#N/A</v>
      </c>
      <c r="BO31" t="e">
        <f t="shared" si="6"/>
        <v>#N/A</v>
      </c>
      <c r="BP31" t="e">
        <f t="shared" si="7"/>
        <v>#N/A</v>
      </c>
      <c r="BQ31" s="24" t="e">
        <f>IF(AM31=TRUE,(((Y31-(SD!$E$12*2))*3.14159265359)+BN31+BO31+BP31)/12+AL31,SUM(AF31:AG31,BN31,BO31,BP31,AO31,AQ31)/12)</f>
        <v>#N/A</v>
      </c>
      <c r="BR31" t="e">
        <f t="shared" si="8"/>
        <v>#N/A</v>
      </c>
      <c r="BS31" t="e">
        <f t="shared" si="9"/>
        <v>#N/A</v>
      </c>
      <c r="BT31" t="e">
        <f t="shared" si="10"/>
        <v>#N/A</v>
      </c>
      <c r="BU31" s="24" t="e">
        <f>IF(AM31=TRUE,(((Y31-(SD!$E$12*2))*3.14159265359)+BR31+BS31+BT31)/12+AL31,SUM(AF31:AG31,BR31,BS31,BT31,AO31,AQ31)/12)</f>
        <v>#N/A</v>
      </c>
      <c r="BW31" t="str">
        <f>IFERROR(LEFT(Data!L31,FIND(" -",Data!L31)-1),"")</f>
        <v/>
      </c>
      <c r="BX31" t="str">
        <f>IFERROR(IF(SD!$C$40=SD!$U$2,W31,IF(SD!$C$40=SD!$U$3,RIGHT(Data!L31,LEN(Data!L31)-(FIND("-",Data!L31)+1)),SD!$C$40)),"")</f>
        <v>#8</v>
      </c>
      <c r="BY31" t="str" cm="1">
        <f t="array" ref="BY31">IFERROR(_xlfn.LET(_xlpm.GRR,IF(AND(SD!$C$19=SD!$H$2,Grade!$G$1="Per level"),VLOOKUP(B31,Grade!$E$1:$F$200,2,FALSE),IF(AND(SD!$C$19=SD!$H$2,Grade!$G$1="Per Bar Size"),VLOOKUP(BX31,Grade!$B$1:$C$12,2,0),SD!$C$19)),_xlpm.is_equal, A30=A31,_xlpm.grade_range, IF(_xlpm.GRR=SD!$H$3, A615GR60,IF(_xlpm.GRR=SD!$H$4, A615GR75,IF(_xlpm.GRR=SD!$H$5, A615GR80,IF(_xlpm.GRR=SD!H35, A615GR100,IF(_xlpm.GRR=SD!$H$7, A706GR60,IF(_xlpm.GRR=SD!$H$8, A706GR80)))))),_xlpm.match_result, MATCH(1, (BSize=BX31)*(BCName=SD!$C$8), 0),_xlpm.final_result, INDEX(_xlpm.grade_range, _xlpm.match_result),IF(_xlpm.is_equal, "", _xlpm.final_result)),"")</f>
        <v/>
      </c>
      <c r="BZ31" t="str">
        <f>IF(A30=A31,"",IF(SD!$C$41="Match Vertical Bars ",X31,IF(SD!$C$41=SD!$V$3,BW31,SD!$C$41)))</f>
        <v/>
      </c>
      <c r="CA31" t="str" cm="1">
        <f t="array" ref="CA31">IF(A30=A31,"",IF(SD!$C$44="No T-Head",IF(SD!$C$42=SD!$Q$3,VLOOKUP(BX31,S90Range,3,FALSE),LEFT(SD!$C$42,FIND("-",SD!$C$42)-1)+(RIGHT(SD!$C$42,LEN(SD!$C$42)-FIND("-",SD!$C$42))/12)),IF(SD!$C$44="T-Head",_xlfn._xlws.FILTER(THead,(TCName=SD!$C$8)*(TSize=BX31)),IF(SD!$C$44="Level Wise",_xlfn.LET(_xlpm.result,_xlfn.XLOOKUP(B31,VDLevel,VDLevelStatus,"No"),IF(_xlpm.result="Yes",_xlfn._xlws.FILTER(THead,(TCName=SD!$C$8)*(TSize=BX31)),IF(SD!$C$42=SD!$Q$3,VLOOKUP(BX31,S90Range,3,FALSE),LEFT(SD!$C$42,FIND("-",SD!$C$42)-1)+(RIGHT(SD!$C$42,LEN(SD!$C$42)-FIND("-", SD!$C$42))/12)))),IF(SD!$C$44="BarSize Wise",_xlfn.LET(_xlpm.result,_xlfn.XLOOKUP(BX31,VDBarSize,VDBarSizeStatus,"No"),IF(_xlpm.result="Yes",_xlfn._xlws.FILTER(THead,(TCName=SD!$C$8)*(TSize=BX31)),IF(SD!$C$42=SD!$Q$3,VLOOKUP(BX31,S90Range,3,FALSE),LEFT(SD!$C$42,FIND("-",SD!$C$42)-1)+(RIGHT(SD!$C$42,LEN(SD!$C$42)-FIND("-",SD!$C$42))/12)))), "")))))</f>
        <v/>
      </c>
      <c r="CB31" t="str" cm="1">
        <f t="array" ref="CB31">_xlfn.LET(_xlpm.GRR,IF(AND(SD!$C$19=SD!$H$2,Grade!$G$1="Per level"),VLOOKUP(B31,Grade!$E$1:$F$200,2,FALSE),IF(AND(SD!$C$19=SD!$H$2,Grade!$G$1="Per Bar Size"),VLOOKUP(BX31,Grade!$B$1:$C$12,2,0),SD!$C$19)),_xlpm.is_coupler, K31="Coupler",_xlpm.condition1, SD!$C$43=SD!$W$2,_xlpm.data_j2_empty, Data!$J31="",_xlpm.lookup_table, IF(SD!$C$11="Create", Lap!$A$3:$BF$14, IF(SD!$C$11="Per Uploaded File", Lap!$A$19:$BF$30, "")),_xlpm.row_match, MATCH(BX31, Lap!$A$3:$A$14, 0),_xlpm.grade_offset, IF(IFERROR(FIND("Grade 60",_xlpm.GRR), 0) &gt; 0, 0, IF(IFERROR(FIND("Grade 80",_xlpm.GRR), 0), 1, IF(IFERROR(FIND("Grade 75",_xlpm.GRR), 0), 2, ""))),_xlpm.col_match, MATCH(VALUE(D31), Lap!$A$3:$BF$3, 0) + _xlpm.grade_offset,_xlpm.index_result, IFERROR(INDEX(_xlpm.lookup_table, _xlpm.row_match, _xlpm.col_match), Data!$J31),_xlpm.result_if_condition1, IF(_xlpm.data_j2_empty, _xlpm.index_result, Data!$J31),IF(_xlpm.is_coupler, 0, IF(_xlpm.condition1, _xlpm.result_if_condition1, SD!$C$43)))</f>
        <v>4-0</v>
      </c>
      <c r="CC31" s="24">
        <f t="shared" si="11"/>
        <v>4</v>
      </c>
      <c r="CD31">
        <f t="shared" si="12"/>
        <v>4.666666666666667</v>
      </c>
      <c r="CE31" t="str" cm="1">
        <f t="array" ref="CE31">IF(BY31="","",_xlfn._xlws.FILTER(SAC,(CName=SD!$C$8)*(EName="Vert Dowels")))</f>
        <v/>
      </c>
      <c r="CF31" t="str" cm="1">
        <f t="array" ref="CF31">IFERROR(IF(BY31="","",IF(K31="Coupler",_xlfn._xlws.FILTER(CCoupler,(CCName=SD!$C$8)*(CBSize=IF(A30=A31,W30&amp;W31,BX31&amp;W31))*(CCMFM="Male")),"")),"N/A")</f>
        <v/>
      </c>
      <c r="CG31" t="str">
        <f t="shared" si="13"/>
        <v/>
      </c>
      <c r="CH31" t="str">
        <f t="shared" si="14"/>
        <v/>
      </c>
      <c r="CI31" t="str">
        <f>_xlfn.LET(_xlpm.u3_value, U32,_xlpm.hyphen_pos,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K32="Coupler",_xlpm.coupler_value, IF(_xlpm.is_coupler, 0, _xlpm.calculated_value),_xlpm.final_value, _xlpm.calculated_value + SD!$E$13 + _xlpm.coupler_value,IF(CG31="", "", _xlpm.final_value))</f>
        <v/>
      </c>
      <c r="CJ31" t="str" cm="1">
        <f t="array" ref="CJ31">IF(CG31="","",_xlfn._xlws.FILTER(SAC,(CName=SD!$C$8)*(EName="Loose Dowels")))</f>
        <v/>
      </c>
      <c r="CK31" t="str" cm="1">
        <f t="array" ref="CK31">IFERROR(IF(CG31="","",IF(K32="Coupler",_xlfn._xlws.FILTER(CCoupler,(CCName=SD!$C$8)*(CBSize=IF(A31=A32,W31&amp;W32,""))*(CCMFM="Male")),"")),"N/A")</f>
        <v/>
      </c>
      <c r="CL31" t="str">
        <f>IFERROR(IF(AM31="Spiral","",IF(A30=A31,"",IF(SD!$C$37=0,"",SD!$C$37))),"")</f>
        <v/>
      </c>
      <c r="CN31">
        <f>IF(AM31="Spiral","",IFERROR(IF(SD!$C$36=0,"",SD!$C$36),""))</f>
        <v>5</v>
      </c>
      <c r="CP31" t="str">
        <f>IFERROR(IF(SD!$C$42=SD!$Q$3,'Take-off'!CA31,""),"")</f>
        <v/>
      </c>
      <c r="CR31">
        <f>IFERROR(IF(SD!$C$22=SD!$U$2,W31,SD!$C$22),"")</f>
        <v>0</v>
      </c>
      <c r="CS31" t="str" cm="1">
        <f t="array" ref="CS31">_xlfn.LET(_xlpm.GR,IF(AND(SD!$C$19=SD!$H$2,Grade!$G$1="Per level"),VLOOKUP(B31,Grade!$E$1:$F$200,2,FALSE),IF(AND(SD!$C$19=SD!$H$2,Grade!$G$1="Per Bar Size"),VLOOKUP(CR31,Grade!$B$1:$C$12,2,0),SD!$C$19)),IF(SD!$C$20=SD!$R$4,IF(A32=A31,"",INDEX(IF(_xlpm.GR=SD!$H$3,A615GR60,IF(_xlpm.GR=SD!$H$4,A615GR75,IF(_xlpm.GR=SD!$H$5,A615GR80,IF(_xlpm.GR=SD!H35,A615GR100,IF(_xlpm.GR=SD!$H$7,A706GR60,IF(_xlpm.GR=SD!$H$8,A706GR80)))))), MATCH(1, (BSize=CR31)*(BCName=SD!$C$8), 0))),""))</f>
        <v/>
      </c>
      <c r="CT31">
        <f>IF(A32=A31,"",IF(SD!$C$23="Match Vertical Bars ",X31,SD!$C$23))</f>
        <v>0</v>
      </c>
      <c r="CU31" t="str" cm="1">
        <f t="array" ref="CU31">IF(A32=A31,"",IF(SD!$C$20="Top dowels",IF(SD!$E$25="No T-Head",IF(SD!$C$24=SD!$Q$3,VLOOKUP(CR31,S90Range,3,FALSE),LEFT(SD!$C$24,FIND("-",SD!$C$24)-1)+(RIGHT(SD!$C$24,LEN(SD!$C$24)-FIND("-",SD!$C$24))/12)),IF(SD!$E$25="T-Head",_xlfn._xlws.FILTER(THead,(TCName=SD!$C$8)*(TSize=CR31)),IF(SD!$E$25="Level Wise",_xlfn.LET(_xlpm.result,_xlfn.XLOOKUP(B31,TDLevel,TDLevelStatus,"No"),IF(_xlpm.result="Yes",_xlfn._xlws.FILTER(THead,(TCName=SD!$C$8)*(TSize=CR31)),IF(SD!$C$24=SD!$Q$3,VLOOKUP(CR31,S90Range,3,FALSE),LEFT(SD!$C$24,FIND("-",SD!$C$24)-1)+(RIGHT(SD!$C$24,LEN(SD!$C$24)-FIND("-", SD!$C$24))/12)))),IF(SD!$E$25="BarSize Wise",_xlfn.LET(_xlpm.result,_xlfn.XLOOKUP(CR31,TDBarSize,TDBarSizeStatus,"No"),IF(_xlpm.result="Yes",_xlfn._xlws.FILTER(THead,(TCName=SD!$C$8)*(TSize=CR31)),IF(SD!$C$24=SD!$Q$3,VLOOKUP(CR31,S90Range,3,FALSE),LEFT(SD!$C$24,FIND("-",SD!$C$24)-1)+(RIGHT(SD!$C$24,LEN(SD!$C$24)-FIND("-",SD!$C$24))/12)))), "")))),""))</f>
        <v/>
      </c>
      <c r="CV31" t="str">
        <f>_xlfn.LET(_xlpm.GRR,IF(AND(SD!$C$19=SD!$H$2,Grade!$G$1="Per level"),VLOOKUP(B31,Grade!$E$1:$F$200,2,FALSE),IF(AND(SD!$C$19=SD!$H$2,Grade!$G$1="Per Bar Size"),VLOOKUP(CR31,Grade!$B$1:$C$12,2,0),SD!$C$19)),IF(SD!$C$25=SD!$W$2,IF(Data!$J31="",IFERROR(INDEX(IF(SD!$C$11="Create",Lap!$A$3:$BF$14,IF(SD!$C$11="Per Uploaded File",Lap!$A$19:$BF$30,"")),MATCH(CR31,Lap!$A$3:$A$14,0),MATCH(VALUE(D31),Lap!$A$3:$BF$3,0)+IF(IFERROR(FIND("Grade 60",_xlpm.GRR),0)&gt;0,0,IF(IFERROR(FIND("Grade 80",_xlpm.GRR),0),1,IF(IFERROR(FIND("Grade 75",_xlpm.GRR),0),2,"")))),""),Data!J31),SD!$C$43))</f>
        <v>Match Lap</v>
      </c>
      <c r="CW31">
        <f t="shared" si="15"/>
        <v>0</v>
      </c>
      <c r="CX31">
        <f t="shared" si="16"/>
        <v>0</v>
      </c>
      <c r="CY31" t="str">
        <f t="shared" si="17"/>
        <v/>
      </c>
      <c r="DA31" t="str">
        <f t="shared" si="18"/>
        <v/>
      </c>
      <c r="DB31" t="str">
        <f t="shared" si="19"/>
        <v/>
      </c>
      <c r="DC31" s="24" t="str">
        <f t="shared" si="20"/>
        <v/>
      </c>
      <c r="DD31">
        <f t="shared" si="21"/>
        <v>10.583333333333334</v>
      </c>
      <c r="DE31" t="s">
        <v>785</v>
      </c>
      <c r="DF31" t="s">
        <v>67</v>
      </c>
      <c r="DG31" t="str">
        <f>VLOOKUP(W31,'Level Wise PSI'!$F$2:$G$12,2,FALSE)</f>
        <v>Double Lift</v>
      </c>
      <c r="DI31" t="str" cm="1">
        <f t="array" ref="DI31">_xlfn.LET(_xlpm.Coup,IFERROR(IF(BY31="","",IF(K31="Coupler",_xlfn._xlws.FILTER(CCFCoupler,(CCName=SD!$C$8)*(CBSize=IF(A30=A31,W30&amp;W31,BX31&amp;W31))),"")),"N/A"),IF(_xlpm.Coup=0,"",_xlpm.Coup))</f>
        <v/>
      </c>
      <c r="DJ31" t="str" cm="1">
        <f t="array" ref="DJ31">_xlfn.LET(_xlpm.Coup3,IFERROR(IF(CG31="","",IF(K32="Coupler",_xlfn._xlws.FILTER(CCFCoupler,(CCName=SD!$C$8)*(CBSize=IF(A31=A32,W31&amp;W32,""))),"")),"N/A"),IF(_xlpm.Coup3=0,"",_xlpm.Coup3))</f>
        <v/>
      </c>
      <c r="DK31" t="str" cm="1">
        <f t="array" ref="DK31">_xlfn.LET(_xlpm.Coup2,IFERROR(IF(A31&lt;&gt;A32,"",IF(DF31="No Lap","",IF(K32="Coupler",_xlfn._xlws.FILTER(CCFCoupler,(CCName=SD!$C$8)*(CBSize=IF(A30=A31,W31&amp;W32,W31&amp;W31))),""))),"N/A"),IF(_xlpm.Coup2=0,"",_xlpm.Coup2))</f>
        <v/>
      </c>
      <c r="DM31" t="str">
        <f>IF(AM31="Spiral","",IF(SD!$C$31=SD!$Y$3,SD!$E$32*2,""))</f>
        <v/>
      </c>
      <c r="DO31" s="24">
        <f t="shared" si="22"/>
        <v>2.5</v>
      </c>
      <c r="DQ31" t="str">
        <f t="shared" si="23"/>
        <v>Lig</v>
      </c>
      <c r="DR31" t="str">
        <f>IF(AM31="Spiral",((Y31-(SD!$E$12*2))/12),"")</f>
        <v/>
      </c>
      <c r="DS31" t="str">
        <f t="shared" si="24"/>
        <v/>
      </c>
      <c r="DT31" t="str">
        <f t="shared" si="25"/>
        <v/>
      </c>
      <c r="DU31" t="str">
        <f t="shared" si="26"/>
        <v/>
      </c>
    </row>
    <row r="32" spans="1:125" x14ac:dyDescent="0.25">
      <c r="A32">
        <v>27</v>
      </c>
      <c r="B32" t="s">
        <v>664</v>
      </c>
      <c r="C32" s="15">
        <v>2429</v>
      </c>
      <c r="D32" s="15">
        <v>10000</v>
      </c>
      <c r="E32" s="15" t="s">
        <v>791</v>
      </c>
      <c r="F32" s="15" t="s">
        <v>787</v>
      </c>
      <c r="G32" t="s">
        <v>726</v>
      </c>
      <c r="H32" s="15" t="s">
        <v>789</v>
      </c>
      <c r="I32" t="s">
        <v>739</v>
      </c>
      <c r="J32" t="str">
        <f>IF(AND(SD!$C$19=SD!$H$2,Grade!$G$1="Per level"),VLOOKUP(B32,Grade!$E$1:$F$200,2,FALSE),IF(AND(SD!$C$19=SD!$H$2,Grade!$G$1="Per Bar Size"),VLOOKUP(W32,Grade!$B$1:$C$12,2,0),SD!$C$19))</f>
        <v>A615 Grade 60</v>
      </c>
      <c r="K32" t="s">
        <v>67</v>
      </c>
      <c r="L32" t="str">
        <f>IFERROR(IF(A32&lt;&gt;A33,"",IF(DF32="No Lap","",IF(K33="Lap",U32,IF(K33="Coupler",_xlfn._xlws.FILTER(CCoupler,(CCName=SD!$C$8)*(CBSize=IF(A31=A32,W32&amp;W33,W32&amp;W32))*(CCMFM="Male")),"")))),"N/A")</f>
        <v>5-1</v>
      </c>
      <c r="M32" t="str">
        <f t="shared" si="0"/>
        <v/>
      </c>
      <c r="N32" t="s">
        <v>719</v>
      </c>
      <c r="O32" t="s">
        <v>720</v>
      </c>
      <c r="P32" t="s">
        <v>719</v>
      </c>
      <c r="Q32" t="str">
        <f>IF(AND(SD!$C$29=SD!$P$2,Grade!$O$1="Per level"),VLOOKUP(B32,Grade!$M$1:$N$200,2,FALSE),IF(AND(SD!$C$29=SD!$P$2,Grade!$O$1="Per Bar Size"),VLOOKUP(LEFT(N32,FIND("@",N32)-2),Grade!$J$1:$K$12,2,0),SD!$C$29))</f>
        <v>A615 Grade 60</v>
      </c>
      <c r="R32" t="s">
        <v>736</v>
      </c>
      <c r="S32" s="57">
        <v>32</v>
      </c>
      <c r="U32" t="str">
        <f>IF(Data!$J32="",IFERROR(INDEX(IF(SD!$C$11="Create",Lap!$A$3:$BF$14,IF(SD!$C$11="Per Uploaded File",Lap!$A$19:$BF$30,"")),MATCH(W32,Lap!$A$3:$A$14,0),MATCH(VALUE(D32),Lap!$A$3:$BF$3,0)+IF(IFERROR(FIND("Grade 60",J32),0)&gt;0,0,IF(IFERROR(FIND("Grade 80",J32),0),1,IF(IFERROR(FIND("Grade 75",J32),0),2,"")))),""),Data!J32)</f>
        <v>5-1</v>
      </c>
      <c r="W32" t="s">
        <v>176</v>
      </c>
      <c r="X32">
        <v>8</v>
      </c>
      <c r="Y32" t="str">
        <f t="shared" si="1"/>
        <v xml:space="preserve">24 </v>
      </c>
      <c r="Z32" t="str">
        <f t="shared" si="2"/>
        <v xml:space="preserve"> 36</v>
      </c>
      <c r="AA32" s="24">
        <f t="shared" si="3"/>
        <v>26.666666666666668</v>
      </c>
      <c r="BB32" t="e" cm="1">
        <f t="array" ref="BB32">_xlfn.LET(_xlpm.PartF,(_xlfn.LET(_xlpm.grade, Q32,_xlpm.gradeRange, IF(_xlpm.grade=SD!$H$3, A615GR60, IF(_xlpm.grade=SD!$H$4, A615GR75, IF(_xlpm.grade=SD!$H$5, A615GR80, IF(_xlpm.grade=SD!$H$6, A615GR100, IF(_xlpm.grade=SD!$H$7, A706GR60, IF(_xlpm.grade=SD!$H$8, A706GR80)))))),_xlpm.matchValue, MATCH(1, (SD!$AW:$AW=AS32)*(SD!$AX:$AX=SD!$C$8), 0),INDEX(_xlpm.gradeRange, _xlpm.matchValue))),IF(AM32="Spiral",CONCATENATE("SP",_xlpm.PartF),_xlpm.PartF))</f>
        <v>#N/A</v>
      </c>
      <c r="BC32" cm="1">
        <f t="array" ref="BC32">_xlfn.LET(_xlpm.leftPart, LEFT(O32, FIND("@", O32) - 2),_xlpm.grade,Q32,_xlpm.gradeRange,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2" cm="1">
        <f t="array" ref="BD32">_xlfn.LET(_xlpm.leftPart, LEFT(P32, FIND("@", P32) - 2),_xlpm.grade, Q32,_xlpm.gradeRange,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2">
        <f t="shared" si="4"/>
        <v>3</v>
      </c>
      <c r="BF32">
        <f>IF(SD!$C$32=SD!$I$2,BE32,IF(SD!$C$32=SD!$I$3,DO32,IF(SD!$C$32=SD!$I$5,BA32,IF(SD!$C$32=SD!$I$6,(LEFT(SD!$C$35,FIND("-",SD!$C$35)-1)+RIGHT(SD!$C$35,LEN(SD!$C$35)-FIND("-",SD!$C$35))/12),IF(SD!$C$32=SD!$I$4,(AU32-(BG32+BH32)))))))</f>
        <v>0</v>
      </c>
      <c r="BG32">
        <f>IF(SD!$C$33=SD!$I$2,BE32,IF(SD!$C$33=SD!$I$3,DO32,IF(SD!$C$33=SD!$I$5,BA32,IF(SD!$C$33=SD!$I$6,(LEFT(SD!$C$35,FIND("-",SD!$C$35)-1)+RIGHT(SD!$C$35,LEN(SD!$C$35)-FIND("-",SD!$C$35))/12),IF(SD!$C$33=SD!$I$4,(AU32-(BF32+BH32)))))))</f>
        <v>-1</v>
      </c>
      <c r="BH32">
        <f>IF(SD!$C$34=SD!$I$2,BE32,IF(SD!$C$34=SD!$I$3,DO32,IF(SD!$C$34=SD!$I$5,BA32,IF(SD!$C$34=SD!$I$6,(LEFT(SD!$C$35,FIND("-",SD!$C$35)-1)+RIGHT(SD!$C$35,LEN(SD!$C$35)-FIND("-",SD!$C$35))/12),IF(SD!$C$34=SD!$I$4,(AU32-(BF32+BG32)))))))</f>
        <v>1</v>
      </c>
      <c r="BJ32">
        <f>IF(AM32="Spiral","1",MAX(ROUNDUP(IF(SD!$C$32="",AT32,BF32/(LEFT(RIGHT(N32,LEN(N32)-FIND("@",N32)),LEN(RIGHT(N32,LEN(N32)-FIND("@",N32)))-1)/12)+1),0),0))</f>
        <v>1</v>
      </c>
      <c r="BK32">
        <f>MAX(ROUNDUP(IF(SD!$C$33="","",BG32/(LEFT(RIGHT(O32,LEN(O32)-FIND("@",O32)),LEN(RIGHT(O32,LEN(O32)-FIND("@",O32)))-1)/12)+1),0),0)</f>
        <v>0</v>
      </c>
      <c r="BL32">
        <f>MAX(ROUNDUP(IF(SD!$C$34="","",BH32/(LEFT(RIGHT(P32,LEN(P32)-FIND("@",P32)),LEN(RIGHT(P32,LEN(P32)-FIND("@",P32)))-1)/12)+1),0),0)</f>
        <v>3</v>
      </c>
      <c r="BN32" t="e">
        <f t="shared" si="5"/>
        <v>#N/A</v>
      </c>
      <c r="BO32" t="e">
        <f t="shared" si="6"/>
        <v>#N/A</v>
      </c>
      <c r="BP32" t="e">
        <f t="shared" si="7"/>
        <v>#N/A</v>
      </c>
      <c r="BQ32" s="24" t="e">
        <f>IF(AM32=TRUE,(((Y32-(SD!$E$12*2))*3.14159265359)+BN32+BO32+BP32)/12+AL32,SUM(AF32:AG32,BN32,BO32,BP32,AO32,AQ32)/12)</f>
        <v>#N/A</v>
      </c>
      <c r="BR32" t="e">
        <f t="shared" si="8"/>
        <v>#N/A</v>
      </c>
      <c r="BS32" t="e">
        <f t="shared" si="9"/>
        <v>#N/A</v>
      </c>
      <c r="BT32" t="e">
        <f t="shared" si="10"/>
        <v>#N/A</v>
      </c>
      <c r="BU32" s="24" t="e">
        <f>IF(AM32=TRUE,(((Y32-(SD!$E$12*2))*3.14159265359)+BR32+BS32+BT32)/12+AL32,SUM(AF32:AG32,BR32,BS32,BT32,AO32,AQ32)/12)</f>
        <v>#N/A</v>
      </c>
      <c r="BW32" t="str">
        <f>IFERROR(LEFT(Data!L32,FIND(" -",Data!L32)-1),"")</f>
        <v/>
      </c>
      <c r="BX32" t="str">
        <f>IFERROR(IF(SD!$C$40=SD!$U$2,W32,IF(SD!$C$40=SD!$U$3,RIGHT(Data!L32,LEN(Data!L32)-(FIND("-",Data!L32)+1)),SD!$C$40)),"")</f>
        <v>#10</v>
      </c>
      <c r="BY32" cm="1">
        <f t="array" ref="BY32">IFERROR(_xlfn.LET(_xlpm.GRR,IF(AND(SD!$C$19=SD!$H$2,Grade!$G$1="Per level"),VLOOKUP(B32,Grade!$E$1:$F$200,2,FALSE),IF(AND(SD!$C$19=SD!$H$2,Grade!$G$1="Per Bar Size"),VLOOKUP(BX32,Grade!$B$1:$C$12,2,0),SD!$C$19)),_xlpm.is_equal, A31=A32,_xlpm.grade_range, IF(_xlpm.GRR=SD!$H$3, A615GR60,IF(_xlpm.GRR=SD!$H$4, A615GR75,IF(_xlpm.GRR=SD!$H$5, A615GR80,IF(_xlpm.GRR=SD!H36, A615GR100,IF(_xlpm.GRR=SD!$H$7, A706GR60,IF(_xlpm.GRR=SD!$H$8, A706GR80)))))),_xlpm.match_result, MATCH(1, (BSize=BX32)*(BCName=SD!$C$8), 0),_xlpm.final_result, INDEX(_xlpm.grade_range, _xlpm.match_result),IF(_xlpm.is_equal, "", _xlpm.final_result)),"")</f>
        <v>10</v>
      </c>
      <c r="BZ32">
        <f>IF(A31=A32,"",IF(SD!$C$41="Match Vertical Bars ",X32,IF(SD!$C$41=SD!$V$3,BW32,SD!$C$41)))</f>
        <v>8</v>
      </c>
      <c r="CA32" cm="1">
        <f t="array" ref="CA32">IF(A31=A32,"",IF(SD!$C$44="No T-Head",IF(SD!$C$42=SD!$Q$3,VLOOKUP(BX32,S90Range,3,FALSE),LEFT(SD!$C$42,FIND("-",SD!$C$42)-1)+(RIGHT(SD!$C$42,LEN(SD!$C$42)-FIND("-",SD!$C$42))/12)),IF(SD!$C$44="T-Head",_xlfn._xlws.FILTER(THead,(TCName=SD!$C$8)*(TSize=BX32)),IF(SD!$C$44="Level Wise",_xlfn.LET(_xlpm.result,_xlfn.XLOOKUP(B32,VDLevel,VDLevelStatus,"No"),IF(_xlpm.result="Yes",_xlfn._xlws.FILTER(THead,(TCName=SD!$C$8)*(TSize=BX32)),IF(SD!$C$42=SD!$Q$3,VLOOKUP(BX32,S90Range,3,FALSE),LEFT(SD!$C$42,FIND("-",SD!$C$42)-1)+(RIGHT(SD!$C$42,LEN(SD!$C$42)-FIND("-", SD!$C$42))/12)))),IF(SD!$C$44="BarSize Wise",_xlfn.LET(_xlpm.result,_xlfn.XLOOKUP(BX32,VDBarSize,VDBarSizeStatus,"No"),IF(_xlpm.result="Yes",_xlfn._xlws.FILTER(THead,(TCName=SD!$C$8)*(TSize=BX32)),IF(SD!$C$42=SD!$Q$3,VLOOKUP(BX32,S90Range,3,FALSE),LEFT(SD!$C$42,FIND("-",SD!$C$42)-1)+(RIGHT(SD!$C$42,LEN(SD!$C$42)-FIND("-",SD!$C$42))/12)))), "")))))</f>
        <v>1.8333333333333335</v>
      </c>
      <c r="CB32" t="str" cm="1">
        <f t="array" ref="CB32">_xlfn.LET(_xlpm.GRR,IF(AND(SD!$C$19=SD!$H$2,Grade!$G$1="Per level"),VLOOKUP(B32,Grade!$E$1:$F$200,2,FALSE),IF(AND(SD!$C$19=SD!$H$2,Grade!$G$1="Per Bar Size"),VLOOKUP(BX32,Grade!$B$1:$C$12,2,0),SD!$C$19)),_xlpm.is_coupler, K32="Coupler",_xlpm.condition1, SD!$C$43=SD!$W$2,_xlpm.data_j2_empty, Data!$J32="",_xlpm.lookup_table, IF(SD!$C$11="Create", Lap!$A$3:$BF$14, IF(SD!$C$11="Per Uploaded File", Lap!$A$19:$BF$30, "")),_xlpm.row_match, MATCH(BX32, Lap!$A$3:$A$14, 0),_xlpm.grade_offset, IF(IFERROR(FIND("Grade 60",_xlpm.GRR), 0) &gt; 0, 0, IF(IFERROR(FIND("Grade 80",_xlpm.GRR), 0), 1, IF(IFERROR(FIND("Grade 75",_xlpm.GRR), 0), 2, ""))),_xlpm.col_match, MATCH(VALUE(D32), Lap!$A$3:$BF$3, 0) + _xlpm.grade_offset,_xlpm.index_result, IFERROR(INDEX(_xlpm.lookup_table, _xlpm.row_match, _xlpm.col_match), Data!$J32),_xlpm.result_if_condition1, IF(_xlpm.data_j2_empty, _xlpm.index_result, Data!$J32),IF(_xlpm.is_coupler, 0, IF(_xlpm.condition1, _xlpm.result_if_condition1, SD!$C$43)))</f>
        <v>5-1</v>
      </c>
      <c r="CC32" s="24">
        <f t="shared" si="11"/>
        <v>5.083333333333333</v>
      </c>
      <c r="CD32">
        <f t="shared" si="12"/>
        <v>12.75</v>
      </c>
      <c r="CE32" t="str" cm="1">
        <f t="array" ref="CE32">IF(BY32="","",_xlfn._xlws.FILTER(SAC,(CName=SD!$C$8)*(EName="Vert Dowels")))</f>
        <v>2200 CD</v>
      </c>
      <c r="CF32" t="str" cm="1">
        <f t="array" ref="CF32">IFERROR(IF(BY32="","",IF(K32="Coupler",_xlfn._xlws.FILTER(CCoupler,(CCName=SD!$C$8)*(CBSize=IF(A31=A32,W31&amp;W32,BX32&amp;W32))*(CCMFM="Male")),"")),"N/A")</f>
        <v/>
      </c>
      <c r="CG32" t="str">
        <f t="shared" si="13"/>
        <v/>
      </c>
      <c r="CH32" t="str">
        <f t="shared" si="14"/>
        <v/>
      </c>
      <c r="CI32" t="str">
        <f>_xlfn.LET(_xlpm.u3_value, U33,_xlpm.hyphen_pos,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K33="Coupler",_xlpm.coupler_value, IF(_xlpm.is_coupler, 0, _xlpm.calculated_value),_xlpm.final_value, _xlpm.calculated_value + SD!$E$13 + _xlpm.coupler_value,IF(CG32="", "", _xlpm.final_value))</f>
        <v/>
      </c>
      <c r="CJ32" t="str" cm="1">
        <f t="array" ref="CJ32">IF(CG32="","",_xlfn._xlws.FILTER(SAC,(CName=SD!$C$8)*(EName="Loose Dowels")))</f>
        <v/>
      </c>
      <c r="CK32" t="str" cm="1">
        <f t="array" ref="CK32">IFERROR(IF(CG32="","",IF(K33="Coupler",_xlfn._xlws.FILTER(CCoupler,(CCName=SD!$C$8)*(CBSize=IF(A32=A33,W32&amp;W33,""))*(CCMFM="Male")),"")),"N/A")</f>
        <v/>
      </c>
      <c r="CL32">
        <f>IFERROR(IF(AM32="Spiral","",IF(A31=A32,"",IF(SD!$C$37=0,"",SD!$C$37))),"")</f>
        <v>3</v>
      </c>
      <c r="CN32">
        <f>IF(AM32="Spiral","",IFERROR(IF(SD!$C$36=0,"",SD!$C$36),""))</f>
        <v>5</v>
      </c>
      <c r="CP32">
        <f>IFERROR(IF(SD!$C$42=SD!$Q$3,'Take-off'!CA32,""),"")</f>
        <v>1.8333333333333335</v>
      </c>
      <c r="CR32">
        <f>IFERROR(IF(SD!$C$22=SD!$U$2,W32,SD!$C$22),"")</f>
        <v>0</v>
      </c>
      <c r="CS32" t="str" cm="1">
        <f t="array" ref="CS32">_xlfn.LET(_xlpm.GR,IF(AND(SD!$C$19=SD!$H$2,Grade!$G$1="Per level"),VLOOKUP(B32,Grade!$E$1:$F$200,2,FALSE),IF(AND(SD!$C$19=SD!$H$2,Grade!$G$1="Per Bar Size"),VLOOKUP(CR32,Grade!$B$1:$C$12,2,0),SD!$C$19)),IF(SD!$C$20=SD!$R$4,IF(A33=A32,"",INDEX(IF(_xlpm.GR=SD!$H$3,A615GR60,IF(_xlpm.GR=SD!$H$4,A615GR75,IF(_xlpm.GR=SD!$H$5,A615GR80,IF(_xlpm.GR=SD!H36,A615GR100,IF(_xlpm.GR=SD!$H$7,A706GR60,IF(_xlpm.GR=SD!$H$8,A706GR80)))))), MATCH(1, (BSize=CR32)*(BCName=SD!$C$8), 0))),""))</f>
        <v/>
      </c>
      <c r="CT32" t="str">
        <f>IF(A33=A32,"",IF(SD!$C$23="Match Vertical Bars ",X32,SD!$C$23))</f>
        <v/>
      </c>
      <c r="CU32" t="str" cm="1">
        <f t="array" ref="CU32">IF(A33=A32,"",IF(SD!$C$20="Top dowels",IF(SD!$E$25="No T-Head",IF(SD!$C$24=SD!$Q$3,VLOOKUP(CR32,S90Range,3,FALSE),LEFT(SD!$C$24,FIND("-",SD!$C$24)-1)+(RIGHT(SD!$C$24,LEN(SD!$C$24)-FIND("-",SD!$C$24))/12)),IF(SD!$E$25="T-Head",_xlfn._xlws.FILTER(THead,(TCName=SD!$C$8)*(TSize=CR32)),IF(SD!$E$25="Level Wise",_xlfn.LET(_xlpm.result,_xlfn.XLOOKUP(B32,TDLevel,TDLevelStatus,"No"),IF(_xlpm.result="Yes",_xlfn._xlws.FILTER(THead,(TCName=SD!$C$8)*(TSize=CR32)),IF(SD!$C$24=SD!$Q$3,VLOOKUP(CR32,S90Range,3,FALSE),LEFT(SD!$C$24,FIND("-",SD!$C$24)-1)+(RIGHT(SD!$C$24,LEN(SD!$C$24)-FIND("-", SD!$C$24))/12)))),IF(SD!$E$25="BarSize Wise",_xlfn.LET(_xlpm.result,_xlfn.XLOOKUP(CR32,TDBarSize,TDBarSizeStatus,"No"),IF(_xlpm.result="Yes",_xlfn._xlws.FILTER(THead,(TCName=SD!$C$8)*(TSize=CR32)),IF(SD!$C$24=SD!$Q$3,VLOOKUP(CR32,S90Range,3,FALSE),LEFT(SD!$C$24,FIND("-",SD!$C$24)-1)+(RIGHT(SD!$C$24,LEN(SD!$C$24)-FIND("-",SD!$C$24))/12)))), "")))),""))</f>
        <v/>
      </c>
      <c r="CV32" t="str">
        <f>_xlfn.LET(_xlpm.GRR,IF(AND(SD!$C$19=SD!$H$2,Grade!$G$1="Per level"),VLOOKUP(B32,Grade!$E$1:$F$200,2,FALSE),IF(AND(SD!$C$19=SD!$H$2,Grade!$G$1="Per Bar Size"),VLOOKUP(CR32,Grade!$B$1:$C$12,2,0),SD!$C$19)),IF(SD!$C$25=SD!$W$2,IF(Data!$J32="",IFERROR(INDEX(IF(SD!$C$11="Create",Lap!$A$3:$BF$14,IF(SD!$C$11="Per Uploaded File",Lap!$A$19:$BF$30,"")),MATCH(CR32,Lap!$A$3:$A$14,0),MATCH(VALUE(D32),Lap!$A$3:$BF$3,0)+IF(IFERROR(FIND("Grade 60",_xlpm.GRR),0)&gt;0,0,IF(IFERROR(FIND("Grade 80",_xlpm.GRR),0),1,IF(IFERROR(FIND("Grade 75",_xlpm.GRR),0),2,"")))),""),Data!J32),SD!$C$43))</f>
        <v>Match Lap</v>
      </c>
      <c r="CW32">
        <f t="shared" si="15"/>
        <v>0</v>
      </c>
      <c r="CX32">
        <f t="shared" si="16"/>
        <v>0</v>
      </c>
      <c r="CY32" t="str">
        <f t="shared" si="17"/>
        <v/>
      </c>
      <c r="DA32">
        <f t="shared" si="18"/>
        <v>27</v>
      </c>
      <c r="DB32" t="str">
        <f t="shared" si="19"/>
        <v>138-0</v>
      </c>
      <c r="DC32" s="24">
        <f t="shared" si="20"/>
        <v>137.99999999999997</v>
      </c>
      <c r="DD32">
        <f t="shared" si="21"/>
        <v>21.583333333333332</v>
      </c>
      <c r="DE32" t="s">
        <v>785</v>
      </c>
      <c r="DF32" t="s">
        <v>67</v>
      </c>
      <c r="DG32" t="str">
        <f>VLOOKUP(W32,'Level Wise PSI'!$F$2:$G$12,2,FALSE)</f>
        <v>Double Lift</v>
      </c>
      <c r="DI32" t="str" cm="1">
        <f t="array" ref="DI32">_xlfn.LET(_xlpm.Coup,IFERROR(IF(BY32="","",IF(K32="Coupler",_xlfn._xlws.FILTER(CCFCoupler,(CCName=SD!$C$8)*(CBSize=IF(A31=A32,W31&amp;W32,BX32&amp;W32))),"")),"N/A"),IF(_xlpm.Coup=0,"",_xlpm.Coup))</f>
        <v/>
      </c>
      <c r="DJ32" t="str" cm="1">
        <f t="array" ref="DJ32">_xlfn.LET(_xlpm.Coup3,IFERROR(IF(CG32="","",IF(K33="Coupler",_xlfn._xlws.FILTER(CCFCoupler,(CCName=SD!$C$8)*(CBSize=IF(A32=A33,W32&amp;W33,""))),"")),"N/A"),IF(_xlpm.Coup3=0,"",_xlpm.Coup3))</f>
        <v/>
      </c>
      <c r="DK32" t="str" cm="1">
        <f t="array" ref="DK32">_xlfn.LET(_xlpm.Coup2,IFERROR(IF(A32&lt;&gt;A33,"",IF(DF32="No Lap","",IF(K33="Coupler",_xlfn._xlws.FILTER(CCFCoupler,(CCName=SD!$C$8)*(CBSize=IF(A31=A32,W32&amp;W33,W32&amp;W32))),""))),"N/A"),IF(_xlpm.Coup2=0,"",_xlpm.Coup2))</f>
        <v/>
      </c>
      <c r="DM32" t="str">
        <f>IF(AM32="Spiral","",IF(SD!$C$31=SD!$Y$3,SD!$E$32*2,""))</f>
        <v/>
      </c>
      <c r="DO32" s="24">
        <f t="shared" si="22"/>
        <v>3</v>
      </c>
      <c r="DQ32" t="str">
        <f t="shared" si="23"/>
        <v>Lig</v>
      </c>
      <c r="DR32" t="str">
        <f>IF(AM32="Spiral",((Y32-(SD!$E$12*2))/12),"")</f>
        <v/>
      </c>
      <c r="DS32" t="str">
        <f t="shared" si="24"/>
        <v/>
      </c>
      <c r="DT32" t="str">
        <f t="shared" si="25"/>
        <v/>
      </c>
      <c r="DU32" t="str">
        <f t="shared" si="26"/>
        <v/>
      </c>
    </row>
    <row r="33" spans="1:125" x14ac:dyDescent="0.25">
      <c r="A33">
        <v>27</v>
      </c>
      <c r="B33" t="s">
        <v>667</v>
      </c>
      <c r="C33" s="15">
        <v>2429</v>
      </c>
      <c r="D33" s="15">
        <v>10000</v>
      </c>
      <c r="E33" t="str">
        <f>IF(B33=Level!$A$2,SD!$C$14,SD!$C$13)</f>
        <v>0-8</v>
      </c>
      <c r="F33" s="15" t="s">
        <v>787</v>
      </c>
      <c r="G33" t="s">
        <v>745</v>
      </c>
      <c r="H33" t="str">
        <f>RIGHT(VLOOKUP(B33,Level!A:C,3,FALSE),LEN(VLOOKUP(B33,Level!A:C,3,FALSE))-1)</f>
        <v>10-7</v>
      </c>
      <c r="I33" t="s">
        <v>746</v>
      </c>
      <c r="J33" t="str">
        <f>IF(AND(SD!$C$19=SD!$H$2,Grade!$G$1="Per level"),VLOOKUP(B33,Grade!$E$1:$F$200,2,FALSE),IF(AND(SD!$C$19=SD!$H$2,Grade!$G$1="Per Bar Size"),VLOOKUP(W33,Grade!$B$1:$C$12,2,0),SD!$C$19))</f>
        <v>A615 Grade 60</v>
      </c>
      <c r="K33" t="s">
        <v>67</v>
      </c>
      <c r="L33" t="str">
        <f>IFERROR(IF(A33&lt;&gt;A34,"",IF(DF33="No Lap","",IF(K34="Lap",U33,IF(K34="Coupler",_xlfn._xlws.FILTER(CCoupler,(CCName=SD!$C$8)*(CBSize=IF(A32=A33,W33&amp;W34,W33&amp;W33))*(CCMFM="Male")),"")))),"N/A")</f>
        <v>3-6</v>
      </c>
      <c r="M33" t="str">
        <f t="shared" si="0"/>
        <v/>
      </c>
      <c r="N33" t="s">
        <v>719</v>
      </c>
      <c r="O33" t="s">
        <v>720</v>
      </c>
      <c r="P33" t="s">
        <v>719</v>
      </c>
      <c r="Q33" t="str">
        <f>IF(AND(SD!$C$29=SD!$P$2,Grade!$O$1="Per level"),VLOOKUP(B33,Grade!$M$1:$N$200,2,FALSE),IF(AND(SD!$C$29=SD!$P$2,Grade!$O$1="Per Bar Size"),VLOOKUP(LEFT(N33,FIND("@",N33)-2),Grade!$J$1:$K$12,2,0),SD!$C$29))</f>
        <v>A615 Grade 60</v>
      </c>
      <c r="R33" t="s">
        <v>747</v>
      </c>
      <c r="S33" s="57">
        <v>33</v>
      </c>
      <c r="U33" t="str">
        <f>IF(Data!$J33="",IFERROR(INDEX(IF(SD!$C$11="Create",Lap!$A$3:$BF$14,IF(SD!$C$11="Per Uploaded File",Lap!$A$19:$BF$30,"")),MATCH(W33,Lap!$A$3:$A$14,0),MATCH(VALUE(D33),Lap!$A$3:$BF$3,0)+IF(IFERROR(FIND("Grade 60",J33),0)&gt;0,0,IF(IFERROR(FIND("Grade 80",J33),0),1,IF(IFERROR(FIND("Grade 75",J33),0),2,"")))),""),Data!J33)</f>
        <v>3-6</v>
      </c>
      <c r="W33" t="s">
        <v>139</v>
      </c>
      <c r="X33">
        <v>10</v>
      </c>
      <c r="Y33" t="str">
        <f t="shared" si="1"/>
        <v xml:space="preserve">18 </v>
      </c>
      <c r="Z33" t="str">
        <f t="shared" si="2"/>
        <v xml:space="preserve"> 30</v>
      </c>
      <c r="AA33" s="24">
        <f t="shared" si="3"/>
        <v>14.083333333333334</v>
      </c>
      <c r="BB33" t="e" cm="1">
        <f t="array" ref="BB33">_xlfn.LET(_xlpm.PartF,(_xlfn.LET(_xlpm.grade, Q33,_xlpm.gradeRange, IF(_xlpm.grade=SD!$H$3, A615GR60, IF(_xlpm.grade=SD!$H$4, A615GR75, IF(_xlpm.grade=SD!$H$5, A615GR80, IF(_xlpm.grade=SD!$H$6, A615GR100, IF(_xlpm.grade=SD!$H$7, A706GR60, IF(_xlpm.grade=SD!$H$8, A706GR80)))))),_xlpm.matchValue, MATCH(1, (SD!$AW:$AW=AS33)*(SD!$AX:$AX=SD!$C$8), 0),INDEX(_xlpm.gradeRange, _xlpm.matchValue))),IF(AM33="Spiral",CONCATENATE("SP",_xlpm.PartF),_xlpm.PartF))</f>
        <v>#N/A</v>
      </c>
      <c r="BC33" cm="1">
        <f t="array" ref="BC33">_xlfn.LET(_xlpm.leftPart, LEFT(O33, FIND("@", O33) - 2),_xlpm.grade,Q33,_xlpm.gradeRange,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3" cm="1">
        <f t="array" ref="BD33">_xlfn.LET(_xlpm.leftPart, LEFT(P33, FIND("@", P33) - 2),_xlpm.grade, Q33,_xlpm.gradeRange,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3">
        <f t="shared" si="4"/>
        <v>2.5</v>
      </c>
      <c r="BF33">
        <f>IF(SD!$C$32=SD!$I$2,BE33,IF(SD!$C$32=SD!$I$3,DO33,IF(SD!$C$32=SD!$I$5,BA33,IF(SD!$C$32=SD!$I$6,(LEFT(SD!$C$35,FIND("-",SD!$C$35)-1)+RIGHT(SD!$C$35,LEN(SD!$C$35)-FIND("-",SD!$C$35))/12),IF(SD!$C$32=SD!$I$4,(AU33-(BG33+BH33)))))))</f>
        <v>0</v>
      </c>
      <c r="BG33">
        <f>IF(SD!$C$33=SD!$I$2,BE33,IF(SD!$C$33=SD!$I$3,DO33,IF(SD!$C$33=SD!$I$5,BA33,IF(SD!$C$33=SD!$I$6,(LEFT(SD!$C$35,FIND("-",SD!$C$35)-1)+RIGHT(SD!$C$35,LEN(SD!$C$35)-FIND("-",SD!$C$35))/12),IF(SD!$C$33=SD!$I$4,(AU33-(BF33+BH33)))))))</f>
        <v>-1</v>
      </c>
      <c r="BH33">
        <f>IF(SD!$C$34=SD!$I$2,BE33,IF(SD!$C$34=SD!$I$3,DO33,IF(SD!$C$34=SD!$I$5,BA33,IF(SD!$C$34=SD!$I$6,(LEFT(SD!$C$35,FIND("-",SD!$C$35)-1)+RIGHT(SD!$C$35,LEN(SD!$C$35)-FIND("-",SD!$C$35))/12),IF(SD!$C$34=SD!$I$4,(AU33-(BF33+BG33)))))))</f>
        <v>1</v>
      </c>
      <c r="BJ33">
        <f>IF(AM33="Spiral","1",MAX(ROUNDUP(IF(SD!$C$32="",AT33,BF33/(LEFT(RIGHT(N33,LEN(N33)-FIND("@",N33)),LEN(RIGHT(N33,LEN(N33)-FIND("@",N33)))-1)/12)+1),0),0))</f>
        <v>1</v>
      </c>
      <c r="BK33">
        <f>MAX(ROUNDUP(IF(SD!$C$33="","",BG33/(LEFT(RIGHT(O33,LEN(O33)-FIND("@",O33)),LEN(RIGHT(O33,LEN(O33)-FIND("@",O33)))-1)/12)+1),0),0)</f>
        <v>0</v>
      </c>
      <c r="BL33">
        <f>MAX(ROUNDUP(IF(SD!$C$34="","",BH33/(LEFT(RIGHT(P33,LEN(P33)-FIND("@",P33)),LEN(RIGHT(P33,LEN(P33)-FIND("@",P33)))-1)/12)+1),0),0)</f>
        <v>3</v>
      </c>
      <c r="BN33" t="e">
        <f t="shared" si="5"/>
        <v>#N/A</v>
      </c>
      <c r="BO33" t="e">
        <f t="shared" si="6"/>
        <v>#N/A</v>
      </c>
      <c r="BP33" t="e">
        <f t="shared" si="7"/>
        <v>#N/A</v>
      </c>
      <c r="BQ33" s="24" t="e">
        <f>IF(AM33=TRUE,(((Y33-(SD!$E$12*2))*3.14159265359)+BN33+BO33+BP33)/12+AL33,SUM(AF33:AG33,BN33,BO33,BP33,AO33,AQ33)/12)</f>
        <v>#N/A</v>
      </c>
      <c r="BR33" t="e">
        <f t="shared" si="8"/>
        <v>#N/A</v>
      </c>
      <c r="BS33" t="e">
        <f t="shared" si="9"/>
        <v>#N/A</v>
      </c>
      <c r="BT33" t="e">
        <f t="shared" si="10"/>
        <v>#N/A</v>
      </c>
      <c r="BU33" s="24" t="e">
        <f>IF(AM33=TRUE,(((Y33-(SD!$E$12*2))*3.14159265359)+BR33+BS33+BT33)/12+AL33,SUM(AF33:AG33,BR33,BS33,BT33,AO33,AQ33)/12)</f>
        <v>#N/A</v>
      </c>
      <c r="BW33" t="str">
        <f>IFERROR(LEFT(Data!L33,FIND(" -",Data!L33)-1),"")</f>
        <v/>
      </c>
      <c r="BX33" t="str">
        <f>IFERROR(IF(SD!$C$40=SD!$U$2,W33,IF(SD!$C$40=SD!$U$3,RIGHT(Data!L33,LEN(Data!L33)-(FIND("-",Data!L33)+1)),SD!$C$40)),"")</f>
        <v>#7</v>
      </c>
      <c r="BY33" t="str" cm="1">
        <f t="array" ref="BY33">IFERROR(_xlfn.LET(_xlpm.GRR,IF(AND(SD!$C$19=SD!$H$2,Grade!$G$1="Per level"),VLOOKUP(B33,Grade!$E$1:$F$200,2,FALSE),IF(AND(SD!$C$19=SD!$H$2,Grade!$G$1="Per Bar Size"),VLOOKUP(BX33,Grade!$B$1:$C$12,2,0),SD!$C$19)),_xlpm.is_equal, A32=A33,_xlpm.grade_range, IF(_xlpm.GRR=SD!$H$3, A615GR60,IF(_xlpm.GRR=SD!$H$4, A615GR75,IF(_xlpm.GRR=SD!$H$5, A615GR80,IF(_xlpm.GRR=SD!H37, A615GR100,IF(_xlpm.GRR=SD!$H$7, A706GR60,IF(_xlpm.GRR=SD!$H$8, A706GR80)))))),_xlpm.match_result, MATCH(1, (BSize=BX33)*(BCName=SD!$C$8), 0),_xlpm.final_result, INDEX(_xlpm.grade_range, _xlpm.match_result),IF(_xlpm.is_equal, "", _xlpm.final_result)),"")</f>
        <v/>
      </c>
      <c r="BZ33" t="str">
        <f>IF(A32=A33,"",IF(SD!$C$41="Match Vertical Bars ",X33,IF(SD!$C$41=SD!$V$3,BW33,SD!$C$41)))</f>
        <v/>
      </c>
      <c r="CA33" t="str" cm="1">
        <f t="array" ref="CA33">IF(A32=A33,"",IF(SD!$C$44="No T-Head",IF(SD!$C$42=SD!$Q$3,VLOOKUP(BX33,S90Range,3,FALSE),LEFT(SD!$C$42,FIND("-",SD!$C$42)-1)+(RIGHT(SD!$C$42,LEN(SD!$C$42)-FIND("-",SD!$C$42))/12)),IF(SD!$C$44="T-Head",_xlfn._xlws.FILTER(THead,(TCName=SD!$C$8)*(TSize=BX33)),IF(SD!$C$44="Level Wise",_xlfn.LET(_xlpm.result,_xlfn.XLOOKUP(B33,VDLevel,VDLevelStatus,"No"),IF(_xlpm.result="Yes",_xlfn._xlws.FILTER(THead,(TCName=SD!$C$8)*(TSize=BX33)),IF(SD!$C$42=SD!$Q$3,VLOOKUP(BX33,S90Range,3,FALSE),LEFT(SD!$C$42,FIND("-",SD!$C$42)-1)+(RIGHT(SD!$C$42,LEN(SD!$C$42)-FIND("-", SD!$C$42))/12)))),IF(SD!$C$44="BarSize Wise",_xlfn.LET(_xlpm.result,_xlfn.XLOOKUP(BX33,VDBarSize,VDBarSizeStatus,"No"),IF(_xlpm.result="Yes",_xlfn._xlws.FILTER(THead,(TCName=SD!$C$8)*(TSize=BX33)),IF(SD!$C$42=SD!$Q$3,VLOOKUP(BX33,S90Range,3,FALSE),LEFT(SD!$C$42,FIND("-",SD!$C$42)-1)+(RIGHT(SD!$C$42,LEN(SD!$C$42)-FIND("-",SD!$C$42))/12)))), "")))))</f>
        <v/>
      </c>
      <c r="CB33" t="str" cm="1">
        <f t="array" ref="CB33">_xlfn.LET(_xlpm.GRR,IF(AND(SD!$C$19=SD!$H$2,Grade!$G$1="Per level"),VLOOKUP(B33,Grade!$E$1:$F$200,2,FALSE),IF(AND(SD!$C$19=SD!$H$2,Grade!$G$1="Per Bar Size"),VLOOKUP(BX33,Grade!$B$1:$C$12,2,0),SD!$C$19)),_xlpm.is_coupler, K33="Coupler",_xlpm.condition1, SD!$C$43=SD!$W$2,_xlpm.data_j2_empty, Data!$J33="",_xlpm.lookup_table, IF(SD!$C$11="Create", Lap!$A$3:$BF$14, IF(SD!$C$11="Per Uploaded File", Lap!$A$19:$BF$30, "")),_xlpm.row_match, MATCH(BX33, Lap!$A$3:$A$14, 0),_xlpm.grade_offset, IF(IFERROR(FIND("Grade 60",_xlpm.GRR), 0) &gt; 0, 0, IF(IFERROR(FIND("Grade 80",_xlpm.GRR), 0), 1, IF(IFERROR(FIND("Grade 75",_xlpm.GRR), 0), 2, ""))),_xlpm.col_match, MATCH(VALUE(D33), Lap!$A$3:$BF$3, 0) + _xlpm.grade_offset,_xlpm.index_result, IFERROR(INDEX(_xlpm.lookup_table, _xlpm.row_match, _xlpm.col_match), Data!$J33),_xlpm.result_if_condition1, IF(_xlpm.data_j2_empty, _xlpm.index_result, Data!$J33),IF(_xlpm.is_coupler, 0, IF(_xlpm.condition1, _xlpm.result_if_condition1, SD!$C$43)))</f>
        <v>3-6</v>
      </c>
      <c r="CC33" s="24">
        <f t="shared" si="11"/>
        <v>3.5</v>
      </c>
      <c r="CD33">
        <f t="shared" si="12"/>
        <v>4.166666666666667</v>
      </c>
      <c r="CE33" t="str" cm="1">
        <f t="array" ref="CE33">IF(BY33="","",_xlfn._xlws.FILTER(SAC,(CName=SD!$C$8)*(EName="Vert Dowels")))</f>
        <v/>
      </c>
      <c r="CF33" t="str" cm="1">
        <f t="array" ref="CF33">IFERROR(IF(BY33="","",IF(K33="Coupler",_xlfn._xlws.FILTER(CCoupler,(CCName=SD!$C$8)*(CBSize=IF(A32=A33,W32&amp;W33,BX33&amp;W33))*(CCMFM="Male")),"")),"N/A")</f>
        <v/>
      </c>
      <c r="CG33" t="str">
        <f t="shared" si="13"/>
        <v/>
      </c>
      <c r="CH33" t="str">
        <f t="shared" si="14"/>
        <v/>
      </c>
      <c r="CI33" t="str">
        <f>_xlfn.LET(_xlpm.u3_value, U34,_xlpm.hyphen_pos,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K34="Coupler",_xlpm.coupler_value, IF(_xlpm.is_coupler, 0, _xlpm.calculated_value),_xlpm.final_value, _xlpm.calculated_value + SD!$E$13 + _xlpm.coupler_value,IF(CG33="", "", _xlpm.final_value))</f>
        <v/>
      </c>
      <c r="CJ33" t="str" cm="1">
        <f t="array" ref="CJ33">IF(CG33="","",_xlfn._xlws.FILTER(SAC,(CName=SD!$C$8)*(EName="Loose Dowels")))</f>
        <v/>
      </c>
      <c r="CK33" t="str" cm="1">
        <f t="array" ref="CK33">IFERROR(IF(CG33="","",IF(K34="Coupler",_xlfn._xlws.FILTER(CCoupler,(CCName=SD!$C$8)*(CBSize=IF(A33=A34,W33&amp;W34,""))*(CCMFM="Male")),"")),"N/A")</f>
        <v/>
      </c>
      <c r="CL33" t="str">
        <f>IFERROR(IF(AM33="Spiral","",IF(A32=A33,"",IF(SD!$C$37=0,"",SD!$C$37))),"")</f>
        <v/>
      </c>
      <c r="CN33">
        <f>IF(AM33="Spiral","",IFERROR(IF(SD!$C$36=0,"",SD!$C$36),""))</f>
        <v>5</v>
      </c>
      <c r="CP33" t="str">
        <f>IFERROR(IF(SD!$C$42=SD!$Q$3,'Take-off'!CA33,""),"")</f>
        <v/>
      </c>
      <c r="CR33">
        <f>IFERROR(IF(SD!$C$22=SD!$U$2,W33,SD!$C$22),"")</f>
        <v>0</v>
      </c>
      <c r="CS33" t="str" cm="1">
        <f t="array" ref="CS33">_xlfn.LET(_xlpm.GR,IF(AND(SD!$C$19=SD!$H$2,Grade!$G$1="Per level"),VLOOKUP(B33,Grade!$E$1:$F$200,2,FALSE),IF(AND(SD!$C$19=SD!$H$2,Grade!$G$1="Per Bar Size"),VLOOKUP(CR33,Grade!$B$1:$C$12,2,0),SD!$C$19)),IF(SD!$C$20=SD!$R$4,IF(A34=A33,"",INDEX(IF(_xlpm.GR=SD!$H$3,A615GR60,IF(_xlpm.GR=SD!$H$4,A615GR75,IF(_xlpm.GR=SD!$H$5,A615GR80,IF(_xlpm.GR=SD!H37,A615GR100,IF(_xlpm.GR=SD!$H$7,A706GR60,IF(_xlpm.GR=SD!$H$8,A706GR80)))))), MATCH(1, (BSize=CR33)*(BCName=SD!$C$8), 0))),""))</f>
        <v/>
      </c>
      <c r="CT33" t="str">
        <f>IF(A34=A33,"",IF(SD!$C$23="Match Vertical Bars ",X33,SD!$C$23))</f>
        <v/>
      </c>
      <c r="CU33" t="str" cm="1">
        <f t="array" ref="CU33">IF(A34=A33,"",IF(SD!$C$20="Top dowels",IF(SD!$E$25="No T-Head",IF(SD!$C$24=SD!$Q$3,VLOOKUP(CR33,S90Range,3,FALSE),LEFT(SD!$C$24,FIND("-",SD!$C$24)-1)+(RIGHT(SD!$C$24,LEN(SD!$C$24)-FIND("-",SD!$C$24))/12)),IF(SD!$E$25="T-Head",_xlfn._xlws.FILTER(THead,(TCName=SD!$C$8)*(TSize=CR33)),IF(SD!$E$25="Level Wise",_xlfn.LET(_xlpm.result,_xlfn.XLOOKUP(B33,TDLevel,TDLevelStatus,"No"),IF(_xlpm.result="Yes",_xlfn._xlws.FILTER(THead,(TCName=SD!$C$8)*(TSize=CR33)),IF(SD!$C$24=SD!$Q$3,VLOOKUP(CR33,S90Range,3,FALSE),LEFT(SD!$C$24,FIND("-",SD!$C$24)-1)+(RIGHT(SD!$C$24,LEN(SD!$C$24)-FIND("-", SD!$C$24))/12)))),IF(SD!$E$25="BarSize Wise",_xlfn.LET(_xlpm.result,_xlfn.XLOOKUP(CR33,TDBarSize,TDBarSizeStatus,"No"),IF(_xlpm.result="Yes",_xlfn._xlws.FILTER(THead,(TCName=SD!$C$8)*(TSize=CR33)),IF(SD!$C$24=SD!$Q$3,VLOOKUP(CR33,S90Range,3,FALSE),LEFT(SD!$C$24,FIND("-",SD!$C$24)-1)+(RIGHT(SD!$C$24,LEN(SD!$C$24)-FIND("-",SD!$C$24))/12)))), "")))),""))</f>
        <v/>
      </c>
      <c r="CV33" t="str">
        <f>_xlfn.LET(_xlpm.GRR,IF(AND(SD!$C$19=SD!$H$2,Grade!$G$1="Per level"),VLOOKUP(B33,Grade!$E$1:$F$200,2,FALSE),IF(AND(SD!$C$19=SD!$H$2,Grade!$G$1="Per Bar Size"),VLOOKUP(CR33,Grade!$B$1:$C$12,2,0),SD!$C$19)),IF(SD!$C$25=SD!$W$2,IF(Data!$J33="",IFERROR(INDEX(IF(SD!$C$11="Create",Lap!$A$3:$BF$14,IF(SD!$C$11="Per Uploaded File",Lap!$A$19:$BF$30,"")),MATCH(CR33,Lap!$A$3:$A$14,0),MATCH(VALUE(D33),Lap!$A$3:$BF$3,0)+IF(IFERROR(FIND("Grade 60",_xlpm.GRR),0)&gt;0,0,IF(IFERROR(FIND("Grade 80",_xlpm.GRR),0),1,IF(IFERROR(FIND("Grade 75",_xlpm.GRR),0),2,"")))),""),Data!J33),SD!$C$43))</f>
        <v>Match Lap</v>
      </c>
      <c r="CW33">
        <f t="shared" si="15"/>
        <v>0</v>
      </c>
      <c r="CX33">
        <f t="shared" si="16"/>
        <v>0</v>
      </c>
      <c r="CY33" t="str">
        <f t="shared" si="17"/>
        <v/>
      </c>
      <c r="DA33" t="str">
        <f t="shared" si="18"/>
        <v/>
      </c>
      <c r="DB33" t="str">
        <f t="shared" si="19"/>
        <v/>
      </c>
      <c r="DC33" s="24" t="str">
        <f t="shared" si="20"/>
        <v/>
      </c>
      <c r="DD33">
        <f t="shared" si="21"/>
        <v>10.583333333333334</v>
      </c>
      <c r="DE33" t="s">
        <v>785</v>
      </c>
      <c r="DF33" t="s">
        <v>67</v>
      </c>
      <c r="DG33" t="str">
        <f>VLOOKUP(W33,'Level Wise PSI'!$F$2:$G$12,2,FALSE)</f>
        <v>Double Lift</v>
      </c>
      <c r="DI33" t="str" cm="1">
        <f t="array" ref="DI33">_xlfn.LET(_xlpm.Coup,IFERROR(IF(BY33="","",IF(K33="Coupler",_xlfn._xlws.FILTER(CCFCoupler,(CCName=SD!$C$8)*(CBSize=IF(A32=A33,W32&amp;W33,BX33&amp;W33))),"")),"N/A"),IF(_xlpm.Coup=0,"",_xlpm.Coup))</f>
        <v/>
      </c>
      <c r="DJ33" t="str" cm="1">
        <f t="array" ref="DJ33">_xlfn.LET(_xlpm.Coup3,IFERROR(IF(CG33="","",IF(K34="Coupler",_xlfn._xlws.FILTER(CCFCoupler,(CCName=SD!$C$8)*(CBSize=IF(A33=A34,W33&amp;W34,""))),"")),"N/A"),IF(_xlpm.Coup3=0,"",_xlpm.Coup3))</f>
        <v/>
      </c>
      <c r="DK33" t="str" cm="1">
        <f t="array" ref="DK33">_xlfn.LET(_xlpm.Coup2,IFERROR(IF(A33&lt;&gt;A34,"",IF(DF33="No Lap","",IF(K34="Coupler",_xlfn._xlws.FILTER(CCFCoupler,(CCName=SD!$C$8)*(CBSize=IF(A32=A33,W33&amp;W34,W33&amp;W33))),""))),"N/A"),IF(_xlpm.Coup2=0,"",_xlpm.Coup2))</f>
        <v/>
      </c>
      <c r="DM33" t="str">
        <f>IF(AM33="Spiral","",IF(SD!$C$31=SD!$Y$3,SD!$E$32*2,""))</f>
        <v/>
      </c>
      <c r="DO33" s="24">
        <f t="shared" si="22"/>
        <v>2.5</v>
      </c>
      <c r="DQ33" t="str">
        <f t="shared" si="23"/>
        <v>Lig</v>
      </c>
      <c r="DR33" t="str">
        <f>IF(AM33="Spiral",((Y33-(SD!$E$12*2))/12),"")</f>
        <v/>
      </c>
      <c r="DS33" t="str">
        <f t="shared" si="24"/>
        <v/>
      </c>
      <c r="DT33" t="str">
        <f t="shared" si="25"/>
        <v/>
      </c>
      <c r="DU33" t="str">
        <f t="shared" si="26"/>
        <v/>
      </c>
    </row>
    <row r="34" spans="1:125" x14ac:dyDescent="0.25">
      <c r="A34">
        <v>27</v>
      </c>
      <c r="B34" t="s">
        <v>670</v>
      </c>
      <c r="C34" s="15">
        <v>2429</v>
      </c>
      <c r="D34" s="15">
        <v>10000</v>
      </c>
      <c r="E34" t="str">
        <f>IF(B34=Level!$A$2,SD!$C$14,SD!$C$13)</f>
        <v>0-8</v>
      </c>
      <c r="F34" s="15" t="s">
        <v>787</v>
      </c>
      <c r="G34" t="s">
        <v>745</v>
      </c>
      <c r="H34" t="str">
        <f>RIGHT(VLOOKUP(B34,Level!A:C,3,FALSE),LEN(VLOOKUP(B34,Level!A:C,3,FALSE))-1)</f>
        <v>10-7</v>
      </c>
      <c r="I34" t="s">
        <v>746</v>
      </c>
      <c r="J34" t="str">
        <f>IF(AND(SD!$C$19=SD!$H$2,Grade!$G$1="Per level"),VLOOKUP(B34,Grade!$E$1:$F$200,2,FALSE),IF(AND(SD!$C$19=SD!$H$2,Grade!$G$1="Per Bar Size"),VLOOKUP(W34,Grade!$B$1:$C$12,2,0),SD!$C$19))</f>
        <v>A615 Grade 60</v>
      </c>
      <c r="K34" t="s">
        <v>67</v>
      </c>
      <c r="L34" t="str">
        <f>IFERROR(IF(A34&lt;&gt;A35,"",IF(DF34="No Lap","",IF(K35="Lap",U34,IF(K35="Coupler",_xlfn._xlws.FILTER(CCoupler,(CCName=SD!$C$8)*(CBSize=IF(A33=A34,W34&amp;W35,W34&amp;W34))*(CCMFM="Male")),"")))),"N/A")</f>
        <v>3-6</v>
      </c>
      <c r="M34" t="str">
        <f t="shared" si="0"/>
        <v/>
      </c>
      <c r="N34" t="s">
        <v>719</v>
      </c>
      <c r="O34" t="s">
        <v>720</v>
      </c>
      <c r="P34" t="s">
        <v>719</v>
      </c>
      <c r="Q34" t="str">
        <f>IF(AND(SD!$C$29=SD!$P$2,Grade!$O$1="Per level"),VLOOKUP(B34,Grade!$M$1:$N$200,2,FALSE),IF(AND(SD!$C$29=SD!$P$2,Grade!$O$1="Per Bar Size"),VLOOKUP(LEFT(N34,FIND("@",N34)-2),Grade!$J$1:$K$12,2,0),SD!$C$29))</f>
        <v>A615 Grade 60</v>
      </c>
      <c r="R34" t="s">
        <v>747</v>
      </c>
      <c r="S34" s="57">
        <v>34</v>
      </c>
      <c r="U34" t="str">
        <f>IF(Data!$J34="",IFERROR(INDEX(IF(SD!$C$11="Create",Lap!$A$3:$BF$14,IF(SD!$C$11="Per Uploaded File",Lap!$A$19:$BF$30,"")),MATCH(W34,Lap!$A$3:$A$14,0),MATCH(VALUE(D34),Lap!$A$3:$BF$3,0)+IF(IFERROR(FIND("Grade 60",J34),0)&gt;0,0,IF(IFERROR(FIND("Grade 80",J34),0),1,IF(IFERROR(FIND("Grade 75",J34),0),2,"")))),""),Data!J34)</f>
        <v>3-6</v>
      </c>
      <c r="W34" t="s">
        <v>139</v>
      </c>
      <c r="X34">
        <v>10</v>
      </c>
      <c r="Y34" t="str">
        <f t="shared" si="1"/>
        <v xml:space="preserve">18 </v>
      </c>
      <c r="Z34" t="str">
        <f t="shared" si="2"/>
        <v xml:space="preserve"> 30</v>
      </c>
      <c r="AA34" s="24">
        <f t="shared" si="3"/>
        <v>14.083333333333334</v>
      </c>
      <c r="BB34" t="e" cm="1">
        <f t="array" ref="BB34">_xlfn.LET(_xlpm.PartF,(_xlfn.LET(_xlpm.grade, Q34,_xlpm.gradeRange, IF(_xlpm.grade=SD!$H$3, A615GR60, IF(_xlpm.grade=SD!$H$4, A615GR75, IF(_xlpm.grade=SD!$H$5, A615GR80, IF(_xlpm.grade=SD!$H$6, A615GR100, IF(_xlpm.grade=SD!$H$7, A706GR60, IF(_xlpm.grade=SD!$H$8, A706GR80)))))),_xlpm.matchValue, MATCH(1, (SD!$AW:$AW=AS34)*(SD!$AX:$AX=SD!$C$8), 0),INDEX(_xlpm.gradeRange, _xlpm.matchValue))),IF(AM34="Spiral",CONCATENATE("SP",_xlpm.PartF),_xlpm.PartF))</f>
        <v>#N/A</v>
      </c>
      <c r="BC34" cm="1">
        <f t="array" ref="BC34">_xlfn.LET(_xlpm.leftPart, LEFT(O34, FIND("@", O34) - 2),_xlpm.grade,Q34,_xlpm.gradeRange,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4" cm="1">
        <f t="array" ref="BD34">_xlfn.LET(_xlpm.leftPart, LEFT(P34, FIND("@", P34) - 2),_xlpm.grade, Q34,_xlpm.gradeRange,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4">
        <f t="shared" si="4"/>
        <v>2.5</v>
      </c>
      <c r="BF34">
        <f>IF(SD!$C$32=SD!$I$2,BE34,IF(SD!$C$32=SD!$I$3,DO34,IF(SD!$C$32=SD!$I$5,BA34,IF(SD!$C$32=SD!$I$6,(LEFT(SD!$C$35,FIND("-",SD!$C$35)-1)+RIGHT(SD!$C$35,LEN(SD!$C$35)-FIND("-",SD!$C$35))/12),IF(SD!$C$32=SD!$I$4,(AU34-(BG34+BH34)))))))</f>
        <v>0</v>
      </c>
      <c r="BG34">
        <f>IF(SD!$C$33=SD!$I$2,BE34,IF(SD!$C$33=SD!$I$3,DO34,IF(SD!$C$33=SD!$I$5,BA34,IF(SD!$C$33=SD!$I$6,(LEFT(SD!$C$35,FIND("-",SD!$C$35)-1)+RIGHT(SD!$C$35,LEN(SD!$C$35)-FIND("-",SD!$C$35))/12),IF(SD!$C$33=SD!$I$4,(AU34-(BF34+BH34)))))))</f>
        <v>-1</v>
      </c>
      <c r="BH34">
        <f>IF(SD!$C$34=SD!$I$2,BE34,IF(SD!$C$34=SD!$I$3,DO34,IF(SD!$C$34=SD!$I$5,BA34,IF(SD!$C$34=SD!$I$6,(LEFT(SD!$C$35,FIND("-",SD!$C$35)-1)+RIGHT(SD!$C$35,LEN(SD!$C$35)-FIND("-",SD!$C$35))/12),IF(SD!$C$34=SD!$I$4,(AU34-(BF34+BG34)))))))</f>
        <v>1</v>
      </c>
      <c r="BJ34">
        <f>IF(AM34="Spiral","1",MAX(ROUNDUP(IF(SD!$C$32="",AT34,BF34/(LEFT(RIGHT(N34,LEN(N34)-FIND("@",N34)),LEN(RIGHT(N34,LEN(N34)-FIND("@",N34)))-1)/12)+1),0),0))</f>
        <v>1</v>
      </c>
      <c r="BK34">
        <f>MAX(ROUNDUP(IF(SD!$C$33="","",BG34/(LEFT(RIGHT(O34,LEN(O34)-FIND("@",O34)),LEN(RIGHT(O34,LEN(O34)-FIND("@",O34)))-1)/12)+1),0),0)</f>
        <v>0</v>
      </c>
      <c r="BL34">
        <f>MAX(ROUNDUP(IF(SD!$C$34="","",BH34/(LEFT(RIGHT(P34,LEN(P34)-FIND("@",P34)),LEN(RIGHT(P34,LEN(P34)-FIND("@",P34)))-1)/12)+1),0),0)</f>
        <v>3</v>
      </c>
      <c r="BN34" t="e">
        <f t="shared" si="5"/>
        <v>#N/A</v>
      </c>
      <c r="BO34" t="e">
        <f t="shared" si="6"/>
        <v>#N/A</v>
      </c>
      <c r="BP34" t="e">
        <f t="shared" si="7"/>
        <v>#N/A</v>
      </c>
      <c r="BQ34" s="24" t="e">
        <f>IF(AM34=TRUE,(((Y34-(SD!$E$12*2))*3.14159265359)+BN34+BO34+BP34)/12+AL34,SUM(AF34:AG34,BN34,BO34,BP34,AO34,AQ34)/12)</f>
        <v>#N/A</v>
      </c>
      <c r="BR34" t="e">
        <f t="shared" si="8"/>
        <v>#N/A</v>
      </c>
      <c r="BS34" t="e">
        <f t="shared" si="9"/>
        <v>#N/A</v>
      </c>
      <c r="BT34" t="e">
        <f t="shared" si="10"/>
        <v>#N/A</v>
      </c>
      <c r="BU34" s="24" t="e">
        <f>IF(AM34=TRUE,(((Y34-(SD!$E$12*2))*3.14159265359)+BR34+BS34+BT34)/12+AL34,SUM(AF34:AG34,BR34,BS34,BT34,AO34,AQ34)/12)</f>
        <v>#N/A</v>
      </c>
      <c r="BW34" t="str">
        <f>IFERROR(LEFT(Data!L34,FIND(" -",Data!L34)-1),"")</f>
        <v/>
      </c>
      <c r="BX34" t="str">
        <f>IFERROR(IF(SD!$C$40=SD!$U$2,W34,IF(SD!$C$40=SD!$U$3,RIGHT(Data!L34,LEN(Data!L34)-(FIND("-",Data!L34)+1)),SD!$C$40)),"")</f>
        <v>#7</v>
      </c>
      <c r="BY34" t="str" cm="1">
        <f t="array" ref="BY34">IFERROR(_xlfn.LET(_xlpm.GRR,IF(AND(SD!$C$19=SD!$H$2,Grade!$G$1="Per level"),VLOOKUP(B34,Grade!$E$1:$F$200,2,FALSE),IF(AND(SD!$C$19=SD!$H$2,Grade!$G$1="Per Bar Size"),VLOOKUP(BX34,Grade!$B$1:$C$12,2,0),SD!$C$19)),_xlpm.is_equal, A33=A34,_xlpm.grade_range, IF(_xlpm.GRR=SD!$H$3, A615GR60,IF(_xlpm.GRR=SD!$H$4, A615GR75,IF(_xlpm.GRR=SD!$H$5, A615GR80,IF(_xlpm.GRR=SD!H38, A615GR100,IF(_xlpm.GRR=SD!$H$7, A706GR60,IF(_xlpm.GRR=SD!$H$8, A706GR80)))))),_xlpm.match_result, MATCH(1, (BSize=BX34)*(BCName=SD!$C$8), 0),_xlpm.final_result, INDEX(_xlpm.grade_range, _xlpm.match_result),IF(_xlpm.is_equal, "", _xlpm.final_result)),"")</f>
        <v/>
      </c>
      <c r="BZ34" t="str">
        <f>IF(A33=A34,"",IF(SD!$C$41="Match Vertical Bars ",X34,IF(SD!$C$41=SD!$V$3,BW34,SD!$C$41)))</f>
        <v/>
      </c>
      <c r="CA34" t="str" cm="1">
        <f t="array" ref="CA34">IF(A33=A34,"",IF(SD!$C$44="No T-Head",IF(SD!$C$42=SD!$Q$3,VLOOKUP(BX34,S90Range,3,FALSE),LEFT(SD!$C$42,FIND("-",SD!$C$42)-1)+(RIGHT(SD!$C$42,LEN(SD!$C$42)-FIND("-",SD!$C$42))/12)),IF(SD!$C$44="T-Head",_xlfn._xlws.FILTER(THead,(TCName=SD!$C$8)*(TSize=BX34)),IF(SD!$C$44="Level Wise",_xlfn.LET(_xlpm.result,_xlfn.XLOOKUP(B34,VDLevel,VDLevelStatus,"No"),IF(_xlpm.result="Yes",_xlfn._xlws.FILTER(THead,(TCName=SD!$C$8)*(TSize=BX34)),IF(SD!$C$42=SD!$Q$3,VLOOKUP(BX34,S90Range,3,FALSE),LEFT(SD!$C$42,FIND("-",SD!$C$42)-1)+(RIGHT(SD!$C$42,LEN(SD!$C$42)-FIND("-", SD!$C$42))/12)))),IF(SD!$C$44="BarSize Wise",_xlfn.LET(_xlpm.result,_xlfn.XLOOKUP(BX34,VDBarSize,VDBarSizeStatus,"No"),IF(_xlpm.result="Yes",_xlfn._xlws.FILTER(THead,(TCName=SD!$C$8)*(TSize=BX34)),IF(SD!$C$42=SD!$Q$3,VLOOKUP(BX34,S90Range,3,FALSE),LEFT(SD!$C$42,FIND("-",SD!$C$42)-1)+(RIGHT(SD!$C$42,LEN(SD!$C$42)-FIND("-",SD!$C$42))/12)))), "")))))</f>
        <v/>
      </c>
      <c r="CB34" t="str" cm="1">
        <f t="array" ref="CB34">_xlfn.LET(_xlpm.GRR,IF(AND(SD!$C$19=SD!$H$2,Grade!$G$1="Per level"),VLOOKUP(B34,Grade!$E$1:$F$200,2,FALSE),IF(AND(SD!$C$19=SD!$H$2,Grade!$G$1="Per Bar Size"),VLOOKUP(BX34,Grade!$B$1:$C$12,2,0),SD!$C$19)),_xlpm.is_coupler, K34="Coupler",_xlpm.condition1, SD!$C$43=SD!$W$2,_xlpm.data_j2_empty, Data!$J34="",_xlpm.lookup_table, IF(SD!$C$11="Create", Lap!$A$3:$BF$14, IF(SD!$C$11="Per Uploaded File", Lap!$A$19:$BF$30, "")),_xlpm.row_match, MATCH(BX34, Lap!$A$3:$A$14, 0),_xlpm.grade_offset, IF(IFERROR(FIND("Grade 60",_xlpm.GRR), 0) &gt; 0, 0, IF(IFERROR(FIND("Grade 80",_xlpm.GRR), 0), 1, IF(IFERROR(FIND("Grade 75",_xlpm.GRR), 0), 2, ""))),_xlpm.col_match, MATCH(VALUE(D34), Lap!$A$3:$BF$3, 0) + _xlpm.grade_offset,_xlpm.index_result, IFERROR(INDEX(_xlpm.lookup_table, _xlpm.row_match, _xlpm.col_match), Data!$J34),_xlpm.result_if_condition1, IF(_xlpm.data_j2_empty, _xlpm.index_result, Data!$J34),IF(_xlpm.is_coupler, 0, IF(_xlpm.condition1, _xlpm.result_if_condition1, SD!$C$43)))</f>
        <v>3-6</v>
      </c>
      <c r="CC34" s="24">
        <f t="shared" si="11"/>
        <v>3.5</v>
      </c>
      <c r="CD34">
        <f t="shared" si="12"/>
        <v>4.166666666666667</v>
      </c>
      <c r="CE34" t="str" cm="1">
        <f t="array" ref="CE34">IF(BY34="","",_xlfn._xlws.FILTER(SAC,(CName=SD!$C$8)*(EName="Vert Dowels")))</f>
        <v/>
      </c>
      <c r="CF34" t="str" cm="1">
        <f t="array" ref="CF34">IFERROR(IF(BY34="","",IF(K34="Coupler",_xlfn._xlws.FILTER(CCoupler,(CCName=SD!$C$8)*(CBSize=IF(A33=A34,W33&amp;W34,BX34&amp;W34))*(CCMFM="Male")),"")),"N/A")</f>
        <v/>
      </c>
      <c r="CG34" t="str">
        <f t="shared" si="13"/>
        <v/>
      </c>
      <c r="CH34" t="str">
        <f t="shared" si="14"/>
        <v/>
      </c>
      <c r="CI34" t="str">
        <f>_xlfn.LET(_xlpm.u3_value, U35,_xlpm.hyphen_pos,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K35="Coupler",_xlpm.coupler_value, IF(_xlpm.is_coupler, 0, _xlpm.calculated_value),_xlpm.final_value, _xlpm.calculated_value + SD!$E$13 + _xlpm.coupler_value,IF(CG34="", "", _xlpm.final_value))</f>
        <v/>
      </c>
      <c r="CJ34" t="str" cm="1">
        <f t="array" ref="CJ34">IF(CG34="","",_xlfn._xlws.FILTER(SAC,(CName=SD!$C$8)*(EName="Loose Dowels")))</f>
        <v/>
      </c>
      <c r="CK34" t="str" cm="1">
        <f t="array" ref="CK34">IFERROR(IF(CG34="","",IF(K35="Coupler",_xlfn._xlws.FILTER(CCoupler,(CCName=SD!$C$8)*(CBSize=IF(A34=A35,W34&amp;W35,""))*(CCMFM="Male")),"")),"N/A")</f>
        <v/>
      </c>
      <c r="CL34" t="str">
        <f>IFERROR(IF(AM34="Spiral","",IF(A33=A34,"",IF(SD!$C$37=0,"",SD!$C$37))),"")</f>
        <v/>
      </c>
      <c r="CN34">
        <f>IF(AM34="Spiral","",IFERROR(IF(SD!$C$36=0,"",SD!$C$36),""))</f>
        <v>5</v>
      </c>
      <c r="CP34" t="str">
        <f>IFERROR(IF(SD!$C$42=SD!$Q$3,'Take-off'!CA34,""),"")</f>
        <v/>
      </c>
      <c r="CR34">
        <f>IFERROR(IF(SD!$C$22=SD!$U$2,W34,SD!$C$22),"")</f>
        <v>0</v>
      </c>
      <c r="CS34" t="str" cm="1">
        <f t="array" ref="CS34">_xlfn.LET(_xlpm.GR,IF(AND(SD!$C$19=SD!$H$2,Grade!$G$1="Per level"),VLOOKUP(B34,Grade!$E$1:$F$200,2,FALSE),IF(AND(SD!$C$19=SD!$H$2,Grade!$G$1="Per Bar Size"),VLOOKUP(CR34,Grade!$B$1:$C$12,2,0),SD!$C$19)),IF(SD!$C$20=SD!$R$4,IF(A35=A34,"",INDEX(IF(_xlpm.GR=SD!$H$3,A615GR60,IF(_xlpm.GR=SD!$H$4,A615GR75,IF(_xlpm.GR=SD!$H$5,A615GR80,IF(_xlpm.GR=SD!H38,A615GR100,IF(_xlpm.GR=SD!$H$7,A706GR60,IF(_xlpm.GR=SD!$H$8,A706GR80)))))), MATCH(1, (BSize=CR34)*(BCName=SD!$C$8), 0))),""))</f>
        <v/>
      </c>
      <c r="CT34" t="str">
        <f>IF(A35=A34,"",IF(SD!$C$23="Match Vertical Bars ",X34,SD!$C$23))</f>
        <v/>
      </c>
      <c r="CU34" t="str" cm="1">
        <f t="array" ref="CU34">IF(A35=A34,"",IF(SD!$C$20="Top dowels",IF(SD!$E$25="No T-Head",IF(SD!$C$24=SD!$Q$3,VLOOKUP(CR34,S90Range,3,FALSE),LEFT(SD!$C$24,FIND("-",SD!$C$24)-1)+(RIGHT(SD!$C$24,LEN(SD!$C$24)-FIND("-",SD!$C$24))/12)),IF(SD!$E$25="T-Head",_xlfn._xlws.FILTER(THead,(TCName=SD!$C$8)*(TSize=CR34)),IF(SD!$E$25="Level Wise",_xlfn.LET(_xlpm.result,_xlfn.XLOOKUP(B34,TDLevel,TDLevelStatus,"No"),IF(_xlpm.result="Yes",_xlfn._xlws.FILTER(THead,(TCName=SD!$C$8)*(TSize=CR34)),IF(SD!$C$24=SD!$Q$3,VLOOKUP(CR34,S90Range,3,FALSE),LEFT(SD!$C$24,FIND("-",SD!$C$24)-1)+(RIGHT(SD!$C$24,LEN(SD!$C$24)-FIND("-", SD!$C$24))/12)))),IF(SD!$E$25="BarSize Wise",_xlfn.LET(_xlpm.result,_xlfn.XLOOKUP(CR34,TDBarSize,TDBarSizeStatus,"No"),IF(_xlpm.result="Yes",_xlfn._xlws.FILTER(THead,(TCName=SD!$C$8)*(TSize=CR34)),IF(SD!$C$24=SD!$Q$3,VLOOKUP(CR34,S90Range,3,FALSE),LEFT(SD!$C$24,FIND("-",SD!$C$24)-1)+(RIGHT(SD!$C$24,LEN(SD!$C$24)-FIND("-",SD!$C$24))/12)))), "")))),""))</f>
        <v/>
      </c>
      <c r="CV34" t="str">
        <f>_xlfn.LET(_xlpm.GRR,IF(AND(SD!$C$19=SD!$H$2,Grade!$G$1="Per level"),VLOOKUP(B34,Grade!$E$1:$F$200,2,FALSE),IF(AND(SD!$C$19=SD!$H$2,Grade!$G$1="Per Bar Size"),VLOOKUP(CR34,Grade!$B$1:$C$12,2,0),SD!$C$19)),IF(SD!$C$25=SD!$W$2,IF(Data!$J34="",IFERROR(INDEX(IF(SD!$C$11="Create",Lap!$A$3:$BF$14,IF(SD!$C$11="Per Uploaded File",Lap!$A$19:$BF$30,"")),MATCH(CR34,Lap!$A$3:$A$14,0),MATCH(VALUE(D34),Lap!$A$3:$BF$3,0)+IF(IFERROR(FIND("Grade 60",_xlpm.GRR),0)&gt;0,0,IF(IFERROR(FIND("Grade 80",_xlpm.GRR),0),1,IF(IFERROR(FIND("Grade 75",_xlpm.GRR),0),2,"")))),""),Data!J34),SD!$C$43))</f>
        <v>Match Lap</v>
      </c>
      <c r="CW34">
        <f t="shared" si="15"/>
        <v>0</v>
      </c>
      <c r="CX34">
        <f t="shared" si="16"/>
        <v>0</v>
      </c>
      <c r="CY34" t="str">
        <f t="shared" si="17"/>
        <v/>
      </c>
      <c r="DA34" t="str">
        <f t="shared" si="18"/>
        <v/>
      </c>
      <c r="DB34" t="str">
        <f t="shared" si="19"/>
        <v/>
      </c>
      <c r="DC34" s="24" t="str">
        <f t="shared" si="20"/>
        <v/>
      </c>
      <c r="DD34">
        <f t="shared" si="21"/>
        <v>10.583333333333334</v>
      </c>
      <c r="DE34" t="s">
        <v>785</v>
      </c>
      <c r="DF34" t="s">
        <v>67</v>
      </c>
      <c r="DG34" t="str">
        <f>VLOOKUP(W34,'Level Wise PSI'!$F$2:$G$12,2,FALSE)</f>
        <v>Double Lift</v>
      </c>
      <c r="DI34" t="str" cm="1">
        <f t="array" ref="DI34">_xlfn.LET(_xlpm.Coup,IFERROR(IF(BY34="","",IF(K34="Coupler",_xlfn._xlws.FILTER(CCFCoupler,(CCName=SD!$C$8)*(CBSize=IF(A33=A34,W33&amp;W34,BX34&amp;W34))),"")),"N/A"),IF(_xlpm.Coup=0,"",_xlpm.Coup))</f>
        <v/>
      </c>
      <c r="DJ34" t="str" cm="1">
        <f t="array" ref="DJ34">_xlfn.LET(_xlpm.Coup3,IFERROR(IF(CG34="","",IF(K35="Coupler",_xlfn._xlws.FILTER(CCFCoupler,(CCName=SD!$C$8)*(CBSize=IF(A34=A35,W34&amp;W35,""))),"")),"N/A"),IF(_xlpm.Coup3=0,"",_xlpm.Coup3))</f>
        <v/>
      </c>
      <c r="DK34" t="str" cm="1">
        <f t="array" ref="DK34">_xlfn.LET(_xlpm.Coup2,IFERROR(IF(A34&lt;&gt;A35,"",IF(DF34="No Lap","",IF(K35="Coupler",_xlfn._xlws.FILTER(CCFCoupler,(CCName=SD!$C$8)*(CBSize=IF(A33=A34,W34&amp;W35,W34&amp;W34))),""))),"N/A"),IF(_xlpm.Coup2=0,"",_xlpm.Coup2))</f>
        <v/>
      </c>
      <c r="DM34" t="str">
        <f>IF(AM34="Spiral","",IF(SD!$C$31=SD!$Y$3,SD!$E$32*2,""))</f>
        <v/>
      </c>
      <c r="DO34" s="24">
        <f t="shared" si="22"/>
        <v>2.5</v>
      </c>
      <c r="DQ34" t="str">
        <f t="shared" si="23"/>
        <v>Lig</v>
      </c>
      <c r="DR34" t="str">
        <f>IF(AM34="Spiral",((Y34-(SD!$E$12*2))/12),"")</f>
        <v/>
      </c>
      <c r="DS34" t="str">
        <f t="shared" si="24"/>
        <v/>
      </c>
      <c r="DT34" t="str">
        <f t="shared" si="25"/>
        <v/>
      </c>
      <c r="DU34" t="str">
        <f t="shared" si="26"/>
        <v/>
      </c>
    </row>
    <row r="35" spans="1:125" x14ac:dyDescent="0.25">
      <c r="A35">
        <v>27</v>
      </c>
      <c r="B35" t="s">
        <v>672</v>
      </c>
      <c r="C35" s="15">
        <v>2429</v>
      </c>
      <c r="D35" s="15">
        <v>10000</v>
      </c>
      <c r="E35" t="str">
        <f>IF(B35=Level!$A$2,SD!$C$14,SD!$C$13)</f>
        <v>0-8</v>
      </c>
      <c r="F35" s="15" t="s">
        <v>787</v>
      </c>
      <c r="G35" t="s">
        <v>745</v>
      </c>
      <c r="H35" t="str">
        <f>RIGHT(VLOOKUP(B35,Level!A:C,3,FALSE),LEN(VLOOKUP(B35,Level!A:C,3,FALSE))-1)</f>
        <v>10-7</v>
      </c>
      <c r="I35" t="s">
        <v>746</v>
      </c>
      <c r="J35" t="str">
        <f>IF(AND(SD!$C$19=SD!$H$2,Grade!$G$1="Per level"),VLOOKUP(B35,Grade!$E$1:$F$200,2,FALSE),IF(AND(SD!$C$19=SD!$H$2,Grade!$G$1="Per Bar Size"),VLOOKUP(W35,Grade!$B$1:$C$12,2,0),SD!$C$19))</f>
        <v>A615 Grade 60</v>
      </c>
      <c r="K35" t="s">
        <v>67</v>
      </c>
      <c r="L35" t="str">
        <f>IFERROR(IF(A35&lt;&gt;A36,"",IF(DF35="No Lap","",IF(K36="Lap",U35,IF(K36="Coupler",_xlfn._xlws.FILTER(CCoupler,(CCName=SD!$C$8)*(CBSize=IF(A34=A35,W35&amp;W36,W35&amp;W35))*(CCMFM="Male")),"")))),"N/A")</f>
        <v>3-6</v>
      </c>
      <c r="M35" t="str">
        <f t="shared" si="0"/>
        <v/>
      </c>
      <c r="N35" t="s">
        <v>719</v>
      </c>
      <c r="O35" t="s">
        <v>720</v>
      </c>
      <c r="P35" t="s">
        <v>719</v>
      </c>
      <c r="Q35" t="str">
        <f>IF(AND(SD!$C$29=SD!$P$2,Grade!$O$1="Per level"),VLOOKUP(B35,Grade!$M$1:$N$200,2,FALSE),IF(AND(SD!$C$29=SD!$P$2,Grade!$O$1="Per Bar Size"),VLOOKUP(LEFT(N35,FIND("@",N35)-2),Grade!$J$1:$K$12,2,0),SD!$C$29))</f>
        <v>A615 Grade 60</v>
      </c>
      <c r="R35" t="s">
        <v>747</v>
      </c>
      <c r="S35" s="57">
        <v>35</v>
      </c>
      <c r="U35" t="str">
        <f>IF(Data!$J35="",IFERROR(INDEX(IF(SD!$C$11="Create",Lap!$A$3:$BF$14,IF(SD!$C$11="Per Uploaded File",Lap!$A$19:$BF$30,"")),MATCH(W35,Lap!$A$3:$A$14,0),MATCH(VALUE(D35),Lap!$A$3:$BF$3,0)+IF(IFERROR(FIND("Grade 60",J35),0)&gt;0,0,IF(IFERROR(FIND("Grade 80",J35),0),1,IF(IFERROR(FIND("Grade 75",J35),0),2,"")))),""),Data!J35)</f>
        <v>3-6</v>
      </c>
      <c r="W35" t="s">
        <v>139</v>
      </c>
      <c r="X35">
        <v>10</v>
      </c>
      <c r="Y35" t="str">
        <f t="shared" si="1"/>
        <v xml:space="preserve">18 </v>
      </c>
      <c r="Z35" t="str">
        <f t="shared" si="2"/>
        <v xml:space="preserve"> 30</v>
      </c>
      <c r="AA35" s="24">
        <f t="shared" si="3"/>
        <v>14.083333333333334</v>
      </c>
      <c r="BB35" t="e" cm="1">
        <f t="array" ref="BB35">_xlfn.LET(_xlpm.PartF,(_xlfn.LET(_xlpm.grade, Q35,_xlpm.gradeRange, IF(_xlpm.grade=SD!$H$3, A615GR60, IF(_xlpm.grade=SD!$H$4, A615GR75, IF(_xlpm.grade=SD!$H$5, A615GR80, IF(_xlpm.grade=SD!$H$6, A615GR100, IF(_xlpm.grade=SD!$H$7, A706GR60, IF(_xlpm.grade=SD!$H$8, A706GR80)))))),_xlpm.matchValue, MATCH(1, (SD!$AW:$AW=AS35)*(SD!$AX:$AX=SD!$C$8), 0),INDEX(_xlpm.gradeRange, _xlpm.matchValue))),IF(AM35="Spiral",CONCATENATE("SP",_xlpm.PartF),_xlpm.PartF))</f>
        <v>#N/A</v>
      </c>
      <c r="BC35" cm="1">
        <f t="array" ref="BC35">_xlfn.LET(_xlpm.leftPart, LEFT(O35, FIND("@", O35) - 2),_xlpm.grade,Q35,_xlpm.gradeRange,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5" cm="1">
        <f t="array" ref="BD35">_xlfn.LET(_xlpm.leftPart, LEFT(P35, FIND("@", P35) - 2),_xlpm.grade, Q35,_xlpm.gradeRange,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5">
        <f t="shared" si="4"/>
        <v>2.5</v>
      </c>
      <c r="BF35">
        <f>IF(SD!$C$32=SD!$I$2,BE35,IF(SD!$C$32=SD!$I$3,DO35,IF(SD!$C$32=SD!$I$5,BA35,IF(SD!$C$32=SD!$I$6,(LEFT(SD!$C$35,FIND("-",SD!$C$35)-1)+RIGHT(SD!$C$35,LEN(SD!$C$35)-FIND("-",SD!$C$35))/12),IF(SD!$C$32=SD!$I$4,(AU35-(BG35+BH35)))))))</f>
        <v>0</v>
      </c>
      <c r="BG35">
        <f>IF(SD!$C$33=SD!$I$2,BE35,IF(SD!$C$33=SD!$I$3,DO35,IF(SD!$C$33=SD!$I$5,BA35,IF(SD!$C$33=SD!$I$6,(LEFT(SD!$C$35,FIND("-",SD!$C$35)-1)+RIGHT(SD!$C$35,LEN(SD!$C$35)-FIND("-",SD!$C$35))/12),IF(SD!$C$33=SD!$I$4,(AU35-(BF35+BH35)))))))</f>
        <v>-1</v>
      </c>
      <c r="BH35">
        <f>IF(SD!$C$34=SD!$I$2,BE35,IF(SD!$C$34=SD!$I$3,DO35,IF(SD!$C$34=SD!$I$5,BA35,IF(SD!$C$34=SD!$I$6,(LEFT(SD!$C$35,FIND("-",SD!$C$35)-1)+RIGHT(SD!$C$35,LEN(SD!$C$35)-FIND("-",SD!$C$35))/12),IF(SD!$C$34=SD!$I$4,(AU35-(BF35+BG35)))))))</f>
        <v>1</v>
      </c>
      <c r="BJ35">
        <f>IF(AM35="Spiral","1",MAX(ROUNDUP(IF(SD!$C$32="",AT35,BF35/(LEFT(RIGHT(N35,LEN(N35)-FIND("@",N35)),LEN(RIGHT(N35,LEN(N35)-FIND("@",N35)))-1)/12)+1),0),0))</f>
        <v>1</v>
      </c>
      <c r="BK35">
        <f>MAX(ROUNDUP(IF(SD!$C$33="","",BG35/(LEFT(RIGHT(O35,LEN(O35)-FIND("@",O35)),LEN(RIGHT(O35,LEN(O35)-FIND("@",O35)))-1)/12)+1),0),0)</f>
        <v>0</v>
      </c>
      <c r="BL35">
        <f>MAX(ROUNDUP(IF(SD!$C$34="","",BH35/(LEFT(RIGHT(P35,LEN(P35)-FIND("@",P35)),LEN(RIGHT(P35,LEN(P35)-FIND("@",P35)))-1)/12)+1),0),0)</f>
        <v>3</v>
      </c>
      <c r="BN35" t="e">
        <f t="shared" si="5"/>
        <v>#N/A</v>
      </c>
      <c r="BO35" t="e">
        <f t="shared" si="6"/>
        <v>#N/A</v>
      </c>
      <c r="BP35" t="e">
        <f t="shared" si="7"/>
        <v>#N/A</v>
      </c>
      <c r="BQ35" s="24" t="e">
        <f>IF(AM35=TRUE,(((Y35-(SD!$E$12*2))*3.14159265359)+BN35+BO35+BP35)/12+AL35,SUM(AF35:AG35,BN35,BO35,BP35,AO35,AQ35)/12)</f>
        <v>#N/A</v>
      </c>
      <c r="BR35" t="e">
        <f t="shared" si="8"/>
        <v>#N/A</v>
      </c>
      <c r="BS35" t="e">
        <f t="shared" si="9"/>
        <v>#N/A</v>
      </c>
      <c r="BT35" t="e">
        <f t="shared" si="10"/>
        <v>#N/A</v>
      </c>
      <c r="BU35" s="24" t="e">
        <f>IF(AM35=TRUE,(((Y35-(SD!$E$12*2))*3.14159265359)+BR35+BS35+BT35)/12+AL35,SUM(AF35:AG35,BR35,BS35,BT35,AO35,AQ35)/12)</f>
        <v>#N/A</v>
      </c>
      <c r="BW35" t="str">
        <f>IFERROR(LEFT(Data!L35,FIND(" -",Data!L35)-1),"")</f>
        <v/>
      </c>
      <c r="BX35" t="str">
        <f>IFERROR(IF(SD!$C$40=SD!$U$2,W35,IF(SD!$C$40=SD!$U$3,RIGHT(Data!L35,LEN(Data!L35)-(FIND("-",Data!L35)+1)),SD!$C$40)),"")</f>
        <v>#7</v>
      </c>
      <c r="BY35" t="str" cm="1">
        <f t="array" ref="BY35">IFERROR(_xlfn.LET(_xlpm.GRR,IF(AND(SD!$C$19=SD!$H$2,Grade!$G$1="Per level"),VLOOKUP(B35,Grade!$E$1:$F$200,2,FALSE),IF(AND(SD!$C$19=SD!$H$2,Grade!$G$1="Per Bar Size"),VLOOKUP(BX35,Grade!$B$1:$C$12,2,0),SD!$C$19)),_xlpm.is_equal, A34=A35,_xlpm.grade_range, IF(_xlpm.GRR=SD!$H$3, A615GR60,IF(_xlpm.GRR=SD!$H$4, A615GR75,IF(_xlpm.GRR=SD!$H$5, A615GR80,IF(_xlpm.GRR=SD!H39, A615GR100,IF(_xlpm.GRR=SD!$H$7, A706GR60,IF(_xlpm.GRR=SD!$H$8, A706GR80)))))),_xlpm.match_result, MATCH(1, (BSize=BX35)*(BCName=SD!$C$8), 0),_xlpm.final_result, INDEX(_xlpm.grade_range, _xlpm.match_result),IF(_xlpm.is_equal, "", _xlpm.final_result)),"")</f>
        <v/>
      </c>
      <c r="BZ35" t="str">
        <f>IF(A34=A35,"",IF(SD!$C$41="Match Vertical Bars ",X35,IF(SD!$C$41=SD!$V$3,BW35,SD!$C$41)))</f>
        <v/>
      </c>
      <c r="CA35" t="str" cm="1">
        <f t="array" ref="CA35">IF(A34=A35,"",IF(SD!$C$44="No T-Head",IF(SD!$C$42=SD!$Q$3,VLOOKUP(BX35,S90Range,3,FALSE),LEFT(SD!$C$42,FIND("-",SD!$C$42)-1)+(RIGHT(SD!$C$42,LEN(SD!$C$42)-FIND("-",SD!$C$42))/12)),IF(SD!$C$44="T-Head",_xlfn._xlws.FILTER(THead,(TCName=SD!$C$8)*(TSize=BX35)),IF(SD!$C$44="Level Wise",_xlfn.LET(_xlpm.result,_xlfn.XLOOKUP(B35,VDLevel,VDLevelStatus,"No"),IF(_xlpm.result="Yes",_xlfn._xlws.FILTER(THead,(TCName=SD!$C$8)*(TSize=BX35)),IF(SD!$C$42=SD!$Q$3,VLOOKUP(BX35,S90Range,3,FALSE),LEFT(SD!$C$42,FIND("-",SD!$C$42)-1)+(RIGHT(SD!$C$42,LEN(SD!$C$42)-FIND("-", SD!$C$42))/12)))),IF(SD!$C$44="BarSize Wise",_xlfn.LET(_xlpm.result,_xlfn.XLOOKUP(BX35,VDBarSize,VDBarSizeStatus,"No"),IF(_xlpm.result="Yes",_xlfn._xlws.FILTER(THead,(TCName=SD!$C$8)*(TSize=BX35)),IF(SD!$C$42=SD!$Q$3,VLOOKUP(BX35,S90Range,3,FALSE),LEFT(SD!$C$42,FIND("-",SD!$C$42)-1)+(RIGHT(SD!$C$42,LEN(SD!$C$42)-FIND("-",SD!$C$42))/12)))), "")))))</f>
        <v/>
      </c>
      <c r="CB35" t="str" cm="1">
        <f t="array" ref="CB35">_xlfn.LET(_xlpm.GRR,IF(AND(SD!$C$19=SD!$H$2,Grade!$G$1="Per level"),VLOOKUP(B35,Grade!$E$1:$F$200,2,FALSE),IF(AND(SD!$C$19=SD!$H$2,Grade!$G$1="Per Bar Size"),VLOOKUP(BX35,Grade!$B$1:$C$12,2,0),SD!$C$19)),_xlpm.is_coupler, K35="Coupler",_xlpm.condition1, SD!$C$43=SD!$W$2,_xlpm.data_j2_empty, Data!$J35="",_xlpm.lookup_table, IF(SD!$C$11="Create", Lap!$A$3:$BF$14, IF(SD!$C$11="Per Uploaded File", Lap!$A$19:$BF$30, "")),_xlpm.row_match, MATCH(BX35, Lap!$A$3:$A$14, 0),_xlpm.grade_offset, IF(IFERROR(FIND("Grade 60",_xlpm.GRR), 0) &gt; 0, 0, IF(IFERROR(FIND("Grade 80",_xlpm.GRR), 0), 1, IF(IFERROR(FIND("Grade 75",_xlpm.GRR), 0), 2, ""))),_xlpm.col_match, MATCH(VALUE(D35), Lap!$A$3:$BF$3, 0) + _xlpm.grade_offset,_xlpm.index_result, IFERROR(INDEX(_xlpm.lookup_table, _xlpm.row_match, _xlpm.col_match), Data!$J35),_xlpm.result_if_condition1, IF(_xlpm.data_j2_empty, _xlpm.index_result, Data!$J35),IF(_xlpm.is_coupler, 0, IF(_xlpm.condition1, _xlpm.result_if_condition1, SD!$C$43)))</f>
        <v>3-6</v>
      </c>
      <c r="CC35" s="24">
        <f t="shared" si="11"/>
        <v>3.5</v>
      </c>
      <c r="CD35">
        <f t="shared" si="12"/>
        <v>4.166666666666667</v>
      </c>
      <c r="CE35" t="str" cm="1">
        <f t="array" ref="CE35">IF(BY35="","",_xlfn._xlws.FILTER(SAC,(CName=SD!$C$8)*(EName="Vert Dowels")))</f>
        <v/>
      </c>
      <c r="CF35" t="str" cm="1">
        <f t="array" ref="CF35">IFERROR(IF(BY35="","",IF(K35="Coupler",_xlfn._xlws.FILTER(CCoupler,(CCName=SD!$C$8)*(CBSize=IF(A34=A35,W34&amp;W35,BX35&amp;W35))*(CCMFM="Male")),"")),"N/A")</f>
        <v/>
      </c>
      <c r="CG35" t="str">
        <f t="shared" si="13"/>
        <v/>
      </c>
      <c r="CH35" t="str">
        <f t="shared" si="14"/>
        <v/>
      </c>
      <c r="CI35" t="str">
        <f>_xlfn.LET(_xlpm.u3_value, U36,_xlpm.hyphen_pos,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K36="Coupler",_xlpm.coupler_value, IF(_xlpm.is_coupler, 0, _xlpm.calculated_value),_xlpm.final_value, _xlpm.calculated_value + SD!$E$13 + _xlpm.coupler_value,IF(CG35="", "", _xlpm.final_value))</f>
        <v/>
      </c>
      <c r="CJ35" t="str" cm="1">
        <f t="array" ref="CJ35">IF(CG35="","",_xlfn._xlws.FILTER(SAC,(CName=SD!$C$8)*(EName="Loose Dowels")))</f>
        <v/>
      </c>
      <c r="CK35" t="str" cm="1">
        <f t="array" ref="CK35">IFERROR(IF(CG35="","",IF(K36="Coupler",_xlfn._xlws.FILTER(CCoupler,(CCName=SD!$C$8)*(CBSize=IF(A35=A36,W35&amp;W36,""))*(CCMFM="Male")),"")),"N/A")</f>
        <v/>
      </c>
      <c r="CL35" t="str">
        <f>IFERROR(IF(AM35="Spiral","",IF(A34=A35,"",IF(SD!$C$37=0,"",SD!$C$37))),"")</f>
        <v/>
      </c>
      <c r="CN35">
        <f>IF(AM35="Spiral","",IFERROR(IF(SD!$C$36=0,"",SD!$C$36),""))</f>
        <v>5</v>
      </c>
      <c r="CP35" t="str">
        <f>IFERROR(IF(SD!$C$42=SD!$Q$3,'Take-off'!CA35,""),"")</f>
        <v/>
      </c>
      <c r="CR35">
        <f>IFERROR(IF(SD!$C$22=SD!$U$2,W35,SD!$C$22),"")</f>
        <v>0</v>
      </c>
      <c r="CS35" t="str" cm="1">
        <f t="array" ref="CS35">_xlfn.LET(_xlpm.GR,IF(AND(SD!$C$19=SD!$H$2,Grade!$G$1="Per level"),VLOOKUP(B35,Grade!$E$1:$F$200,2,FALSE),IF(AND(SD!$C$19=SD!$H$2,Grade!$G$1="Per Bar Size"),VLOOKUP(CR35,Grade!$B$1:$C$12,2,0),SD!$C$19)),IF(SD!$C$20=SD!$R$4,IF(A36=A35,"",INDEX(IF(_xlpm.GR=SD!$H$3,A615GR60,IF(_xlpm.GR=SD!$H$4,A615GR75,IF(_xlpm.GR=SD!$H$5,A615GR80,IF(_xlpm.GR=SD!H39,A615GR100,IF(_xlpm.GR=SD!$H$7,A706GR60,IF(_xlpm.GR=SD!$H$8,A706GR80)))))), MATCH(1, (BSize=CR35)*(BCName=SD!$C$8), 0))),""))</f>
        <v/>
      </c>
      <c r="CT35" t="str">
        <f>IF(A36=A35,"",IF(SD!$C$23="Match Vertical Bars ",X35,SD!$C$23))</f>
        <v/>
      </c>
      <c r="CU35" t="str" cm="1">
        <f t="array" ref="CU35">IF(A36=A35,"",IF(SD!$C$20="Top dowels",IF(SD!$E$25="No T-Head",IF(SD!$C$24=SD!$Q$3,VLOOKUP(CR35,S90Range,3,FALSE),LEFT(SD!$C$24,FIND("-",SD!$C$24)-1)+(RIGHT(SD!$C$24,LEN(SD!$C$24)-FIND("-",SD!$C$24))/12)),IF(SD!$E$25="T-Head",_xlfn._xlws.FILTER(THead,(TCName=SD!$C$8)*(TSize=CR35)),IF(SD!$E$25="Level Wise",_xlfn.LET(_xlpm.result,_xlfn.XLOOKUP(B35,TDLevel,TDLevelStatus,"No"),IF(_xlpm.result="Yes",_xlfn._xlws.FILTER(THead,(TCName=SD!$C$8)*(TSize=CR35)),IF(SD!$C$24=SD!$Q$3,VLOOKUP(CR35,S90Range,3,FALSE),LEFT(SD!$C$24,FIND("-",SD!$C$24)-1)+(RIGHT(SD!$C$24,LEN(SD!$C$24)-FIND("-", SD!$C$24))/12)))),IF(SD!$E$25="BarSize Wise",_xlfn.LET(_xlpm.result,_xlfn.XLOOKUP(CR35,TDBarSize,TDBarSizeStatus,"No"),IF(_xlpm.result="Yes",_xlfn._xlws.FILTER(THead,(TCName=SD!$C$8)*(TSize=CR35)),IF(SD!$C$24=SD!$Q$3,VLOOKUP(CR35,S90Range,3,FALSE),LEFT(SD!$C$24,FIND("-",SD!$C$24)-1)+(RIGHT(SD!$C$24,LEN(SD!$C$24)-FIND("-",SD!$C$24))/12)))), "")))),""))</f>
        <v/>
      </c>
      <c r="CV35" t="str">
        <f>_xlfn.LET(_xlpm.GRR,IF(AND(SD!$C$19=SD!$H$2,Grade!$G$1="Per level"),VLOOKUP(B35,Grade!$E$1:$F$200,2,FALSE),IF(AND(SD!$C$19=SD!$H$2,Grade!$G$1="Per Bar Size"),VLOOKUP(CR35,Grade!$B$1:$C$12,2,0),SD!$C$19)),IF(SD!$C$25=SD!$W$2,IF(Data!$J35="",IFERROR(INDEX(IF(SD!$C$11="Create",Lap!$A$3:$BF$14,IF(SD!$C$11="Per Uploaded File",Lap!$A$19:$BF$30,"")),MATCH(CR35,Lap!$A$3:$A$14,0),MATCH(VALUE(D35),Lap!$A$3:$BF$3,0)+IF(IFERROR(FIND("Grade 60",_xlpm.GRR),0)&gt;0,0,IF(IFERROR(FIND("Grade 80",_xlpm.GRR),0),1,IF(IFERROR(FIND("Grade 75",_xlpm.GRR),0),2,"")))),""),Data!J35),SD!$C$43))</f>
        <v>Match Lap</v>
      </c>
      <c r="CW35">
        <f t="shared" si="15"/>
        <v>0</v>
      </c>
      <c r="CX35">
        <f t="shared" si="16"/>
        <v>0</v>
      </c>
      <c r="CY35" t="str">
        <f t="shared" si="17"/>
        <v/>
      </c>
      <c r="DA35" t="str">
        <f t="shared" si="18"/>
        <v/>
      </c>
      <c r="DB35" t="str">
        <f t="shared" si="19"/>
        <v/>
      </c>
      <c r="DC35" s="24" t="str">
        <f t="shared" si="20"/>
        <v/>
      </c>
      <c r="DD35">
        <f t="shared" si="21"/>
        <v>10.583333333333334</v>
      </c>
      <c r="DE35" t="s">
        <v>785</v>
      </c>
      <c r="DF35" t="s">
        <v>67</v>
      </c>
      <c r="DG35" t="str">
        <f>VLOOKUP(W35,'Level Wise PSI'!$F$2:$G$12,2,FALSE)</f>
        <v>Double Lift</v>
      </c>
      <c r="DI35" t="str" cm="1">
        <f t="array" ref="DI35">_xlfn.LET(_xlpm.Coup,IFERROR(IF(BY35="","",IF(K35="Coupler",_xlfn._xlws.FILTER(CCFCoupler,(CCName=SD!$C$8)*(CBSize=IF(A34=A35,W34&amp;W35,BX35&amp;W35))),"")),"N/A"),IF(_xlpm.Coup=0,"",_xlpm.Coup))</f>
        <v/>
      </c>
      <c r="DJ35" t="str" cm="1">
        <f t="array" ref="DJ35">_xlfn.LET(_xlpm.Coup3,IFERROR(IF(CG35="","",IF(K36="Coupler",_xlfn._xlws.FILTER(CCFCoupler,(CCName=SD!$C$8)*(CBSize=IF(A35=A36,W35&amp;W36,""))),"")),"N/A"),IF(_xlpm.Coup3=0,"",_xlpm.Coup3))</f>
        <v/>
      </c>
      <c r="DK35" t="str" cm="1">
        <f t="array" ref="DK35">_xlfn.LET(_xlpm.Coup2,IFERROR(IF(A35&lt;&gt;A36,"",IF(DF35="No Lap","",IF(K36="Coupler",_xlfn._xlws.FILTER(CCFCoupler,(CCName=SD!$C$8)*(CBSize=IF(A34=A35,W35&amp;W36,W35&amp;W35))),""))),"N/A"),IF(_xlpm.Coup2=0,"",_xlpm.Coup2))</f>
        <v/>
      </c>
      <c r="DM35" t="str">
        <f>IF(AM35="Spiral","",IF(SD!$C$31=SD!$Y$3,SD!$E$32*2,""))</f>
        <v/>
      </c>
      <c r="DO35" s="24">
        <f t="shared" si="22"/>
        <v>2.5</v>
      </c>
      <c r="DQ35" t="str">
        <f t="shared" si="23"/>
        <v>Lig</v>
      </c>
      <c r="DR35" t="str">
        <f>IF(AM35="Spiral",((Y35-(SD!$E$12*2))/12),"")</f>
        <v/>
      </c>
      <c r="DS35" t="str">
        <f t="shared" si="24"/>
        <v/>
      </c>
      <c r="DT35" t="str">
        <f t="shared" si="25"/>
        <v/>
      </c>
      <c r="DU35" t="str">
        <f t="shared" si="26"/>
        <v/>
      </c>
    </row>
    <row r="36" spans="1:125" x14ac:dyDescent="0.25">
      <c r="A36">
        <v>27</v>
      </c>
      <c r="B36" t="s">
        <v>674</v>
      </c>
      <c r="C36" s="15">
        <v>2429</v>
      </c>
      <c r="D36" s="15">
        <v>10000</v>
      </c>
      <c r="E36" t="str">
        <f>IF(B36=Level!$A$2,SD!$C$14,SD!$C$13)</f>
        <v>0-8</v>
      </c>
      <c r="F36" s="15" t="s">
        <v>787</v>
      </c>
      <c r="G36" t="s">
        <v>745</v>
      </c>
      <c r="H36" t="str">
        <f>RIGHT(VLOOKUP(B36,Level!A:C,3,FALSE),LEN(VLOOKUP(B36,Level!A:C,3,FALSE))-1)</f>
        <v>10-7</v>
      </c>
      <c r="I36" t="s">
        <v>746</v>
      </c>
      <c r="J36" t="str">
        <f>IF(AND(SD!$C$19=SD!$H$2,Grade!$G$1="Per level"),VLOOKUP(B36,Grade!$E$1:$F$200,2,FALSE),IF(AND(SD!$C$19=SD!$H$2,Grade!$G$1="Per Bar Size"),VLOOKUP(W36,Grade!$B$1:$C$12,2,0),SD!$C$19))</f>
        <v>A615 Grade 60</v>
      </c>
      <c r="K36" t="s">
        <v>67</v>
      </c>
      <c r="L36" t="str">
        <f>IFERROR(IF(A36&lt;&gt;A37,"",IF(DF36="No Lap","",IF(K37="Lap",U36,IF(K37="Coupler",_xlfn._xlws.FILTER(CCoupler,(CCName=SD!$C$8)*(CBSize=IF(A35=A36,W36&amp;W37,W36&amp;W36))*(CCMFM="Male")),"")))),"N/A")</f>
        <v>3-6</v>
      </c>
      <c r="M36" t="str">
        <f t="shared" si="0"/>
        <v/>
      </c>
      <c r="N36" t="s">
        <v>719</v>
      </c>
      <c r="O36" t="s">
        <v>720</v>
      </c>
      <c r="P36" t="s">
        <v>719</v>
      </c>
      <c r="Q36" t="str">
        <f>IF(AND(SD!$C$29=SD!$P$2,Grade!$O$1="Per level"),VLOOKUP(B36,Grade!$M$1:$N$200,2,FALSE),IF(AND(SD!$C$29=SD!$P$2,Grade!$O$1="Per Bar Size"),VLOOKUP(LEFT(N36,FIND("@",N36)-2),Grade!$J$1:$K$12,2,0),SD!$C$29))</f>
        <v>A615 Grade 60</v>
      </c>
      <c r="R36" t="s">
        <v>747</v>
      </c>
      <c r="S36" s="57">
        <v>36</v>
      </c>
      <c r="U36" t="str">
        <f>IF(Data!$J36="",IFERROR(INDEX(IF(SD!$C$11="Create",Lap!$A$3:$BF$14,IF(SD!$C$11="Per Uploaded File",Lap!$A$19:$BF$30,"")),MATCH(W36,Lap!$A$3:$A$14,0),MATCH(VALUE(D36),Lap!$A$3:$BF$3,0)+IF(IFERROR(FIND("Grade 60",J36),0)&gt;0,0,IF(IFERROR(FIND("Grade 80",J36),0),1,IF(IFERROR(FIND("Grade 75",J36),0),2,"")))),""),Data!J36)</f>
        <v>3-6</v>
      </c>
      <c r="W36" t="s">
        <v>139</v>
      </c>
      <c r="X36">
        <v>10</v>
      </c>
      <c r="Y36" t="str">
        <f t="shared" si="1"/>
        <v xml:space="preserve">18 </v>
      </c>
      <c r="Z36" t="str">
        <f t="shared" si="2"/>
        <v xml:space="preserve"> 30</v>
      </c>
      <c r="AA36" s="24">
        <f t="shared" si="3"/>
        <v>14.083333333333334</v>
      </c>
      <c r="BB36" t="e" cm="1">
        <f t="array" ref="BB36">_xlfn.LET(_xlpm.PartF,(_xlfn.LET(_xlpm.grade, Q36,_xlpm.gradeRange, IF(_xlpm.grade=SD!$H$3, A615GR60, IF(_xlpm.grade=SD!$H$4, A615GR75, IF(_xlpm.grade=SD!$H$5, A615GR80, IF(_xlpm.grade=SD!$H$6, A615GR100, IF(_xlpm.grade=SD!$H$7, A706GR60, IF(_xlpm.grade=SD!$H$8, A706GR80)))))),_xlpm.matchValue, MATCH(1, (SD!$AW:$AW=AS36)*(SD!$AX:$AX=SD!$C$8), 0),INDEX(_xlpm.gradeRange, _xlpm.matchValue))),IF(AM36="Spiral",CONCATENATE("SP",_xlpm.PartF),_xlpm.PartF))</f>
        <v>#N/A</v>
      </c>
      <c r="BC36" cm="1">
        <f t="array" ref="BC36">_xlfn.LET(_xlpm.leftPart, LEFT(O36, FIND("@", O36) - 2),_xlpm.grade,Q36,_xlpm.gradeRange,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6" cm="1">
        <f t="array" ref="BD36">_xlfn.LET(_xlpm.leftPart, LEFT(P36, FIND("@", P36) - 2),_xlpm.grade, Q36,_xlpm.gradeRange,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6">
        <f t="shared" si="4"/>
        <v>2.5</v>
      </c>
      <c r="BF36">
        <f>IF(SD!$C$32=SD!$I$2,BE36,IF(SD!$C$32=SD!$I$3,DO36,IF(SD!$C$32=SD!$I$5,BA36,IF(SD!$C$32=SD!$I$6,(LEFT(SD!$C$35,FIND("-",SD!$C$35)-1)+RIGHT(SD!$C$35,LEN(SD!$C$35)-FIND("-",SD!$C$35))/12),IF(SD!$C$32=SD!$I$4,(AU36-(BG36+BH36)))))))</f>
        <v>0</v>
      </c>
      <c r="BG36">
        <f>IF(SD!$C$33=SD!$I$2,BE36,IF(SD!$C$33=SD!$I$3,DO36,IF(SD!$C$33=SD!$I$5,BA36,IF(SD!$C$33=SD!$I$6,(LEFT(SD!$C$35,FIND("-",SD!$C$35)-1)+RIGHT(SD!$C$35,LEN(SD!$C$35)-FIND("-",SD!$C$35))/12),IF(SD!$C$33=SD!$I$4,(AU36-(BF36+BH36)))))))</f>
        <v>-1</v>
      </c>
      <c r="BH36">
        <f>IF(SD!$C$34=SD!$I$2,BE36,IF(SD!$C$34=SD!$I$3,DO36,IF(SD!$C$34=SD!$I$5,BA36,IF(SD!$C$34=SD!$I$6,(LEFT(SD!$C$35,FIND("-",SD!$C$35)-1)+RIGHT(SD!$C$35,LEN(SD!$C$35)-FIND("-",SD!$C$35))/12),IF(SD!$C$34=SD!$I$4,(AU36-(BF36+BG36)))))))</f>
        <v>1</v>
      </c>
      <c r="BJ36">
        <f>IF(AM36="Spiral","1",MAX(ROUNDUP(IF(SD!$C$32="",AT36,BF36/(LEFT(RIGHT(N36,LEN(N36)-FIND("@",N36)),LEN(RIGHT(N36,LEN(N36)-FIND("@",N36)))-1)/12)+1),0),0))</f>
        <v>1</v>
      </c>
      <c r="BK36">
        <f>MAX(ROUNDUP(IF(SD!$C$33="","",BG36/(LEFT(RIGHT(O36,LEN(O36)-FIND("@",O36)),LEN(RIGHT(O36,LEN(O36)-FIND("@",O36)))-1)/12)+1),0),0)</f>
        <v>0</v>
      </c>
      <c r="BL36">
        <f>MAX(ROUNDUP(IF(SD!$C$34="","",BH36/(LEFT(RIGHT(P36,LEN(P36)-FIND("@",P36)),LEN(RIGHT(P36,LEN(P36)-FIND("@",P36)))-1)/12)+1),0),0)</f>
        <v>3</v>
      </c>
      <c r="BN36" t="e">
        <f t="shared" si="5"/>
        <v>#N/A</v>
      </c>
      <c r="BO36" t="e">
        <f t="shared" si="6"/>
        <v>#N/A</v>
      </c>
      <c r="BP36" t="e">
        <f t="shared" si="7"/>
        <v>#N/A</v>
      </c>
      <c r="BQ36" s="24" t="e">
        <f>IF(AM36=TRUE,(((Y36-(SD!$E$12*2))*3.14159265359)+BN36+BO36+BP36)/12+AL36,SUM(AF36:AG36,BN36,BO36,BP36,AO36,AQ36)/12)</f>
        <v>#N/A</v>
      </c>
      <c r="BR36" t="e">
        <f t="shared" si="8"/>
        <v>#N/A</v>
      </c>
      <c r="BS36" t="e">
        <f t="shared" si="9"/>
        <v>#N/A</v>
      </c>
      <c r="BT36" t="e">
        <f t="shared" si="10"/>
        <v>#N/A</v>
      </c>
      <c r="BU36" s="24" t="e">
        <f>IF(AM36=TRUE,(((Y36-(SD!$E$12*2))*3.14159265359)+BR36+BS36+BT36)/12+AL36,SUM(AF36:AG36,BR36,BS36,BT36,AO36,AQ36)/12)</f>
        <v>#N/A</v>
      </c>
      <c r="BW36" t="str">
        <f>IFERROR(LEFT(Data!L36,FIND(" -",Data!L36)-1),"")</f>
        <v/>
      </c>
      <c r="BX36" t="str">
        <f>IFERROR(IF(SD!$C$40=SD!$U$2,W36,IF(SD!$C$40=SD!$U$3,RIGHT(Data!L36,LEN(Data!L36)-(FIND("-",Data!L36)+1)),SD!$C$40)),"")</f>
        <v>#7</v>
      </c>
      <c r="BY36" t="str" cm="1">
        <f t="array" ref="BY36">IFERROR(_xlfn.LET(_xlpm.GRR,IF(AND(SD!$C$19=SD!$H$2,Grade!$G$1="Per level"),VLOOKUP(B36,Grade!$E$1:$F$200,2,FALSE),IF(AND(SD!$C$19=SD!$H$2,Grade!$G$1="Per Bar Size"),VLOOKUP(BX36,Grade!$B$1:$C$12,2,0),SD!$C$19)),_xlpm.is_equal, A35=A36,_xlpm.grade_range, IF(_xlpm.GRR=SD!$H$3, A615GR60,IF(_xlpm.GRR=SD!$H$4, A615GR75,IF(_xlpm.GRR=SD!$H$5, A615GR80,IF(_xlpm.GRR=SD!H40, A615GR100,IF(_xlpm.GRR=SD!$H$7, A706GR60,IF(_xlpm.GRR=SD!$H$8, A706GR80)))))),_xlpm.match_result, MATCH(1, (BSize=BX36)*(BCName=SD!$C$8), 0),_xlpm.final_result, INDEX(_xlpm.grade_range, _xlpm.match_result),IF(_xlpm.is_equal, "", _xlpm.final_result)),"")</f>
        <v/>
      </c>
      <c r="BZ36" t="str">
        <f>IF(A35=A36,"",IF(SD!$C$41="Match Vertical Bars ",X36,IF(SD!$C$41=SD!$V$3,BW36,SD!$C$41)))</f>
        <v/>
      </c>
      <c r="CA36" t="str" cm="1">
        <f t="array" ref="CA36">IF(A35=A36,"",IF(SD!$C$44="No T-Head",IF(SD!$C$42=SD!$Q$3,VLOOKUP(BX36,S90Range,3,FALSE),LEFT(SD!$C$42,FIND("-",SD!$C$42)-1)+(RIGHT(SD!$C$42,LEN(SD!$C$42)-FIND("-",SD!$C$42))/12)),IF(SD!$C$44="T-Head",_xlfn._xlws.FILTER(THead,(TCName=SD!$C$8)*(TSize=BX36)),IF(SD!$C$44="Level Wise",_xlfn.LET(_xlpm.result,_xlfn.XLOOKUP(B36,VDLevel,VDLevelStatus,"No"),IF(_xlpm.result="Yes",_xlfn._xlws.FILTER(THead,(TCName=SD!$C$8)*(TSize=BX36)),IF(SD!$C$42=SD!$Q$3,VLOOKUP(BX36,S90Range,3,FALSE),LEFT(SD!$C$42,FIND("-",SD!$C$42)-1)+(RIGHT(SD!$C$42,LEN(SD!$C$42)-FIND("-", SD!$C$42))/12)))),IF(SD!$C$44="BarSize Wise",_xlfn.LET(_xlpm.result,_xlfn.XLOOKUP(BX36,VDBarSize,VDBarSizeStatus,"No"),IF(_xlpm.result="Yes",_xlfn._xlws.FILTER(THead,(TCName=SD!$C$8)*(TSize=BX36)),IF(SD!$C$42=SD!$Q$3,VLOOKUP(BX36,S90Range,3,FALSE),LEFT(SD!$C$42,FIND("-",SD!$C$42)-1)+(RIGHT(SD!$C$42,LEN(SD!$C$42)-FIND("-",SD!$C$42))/12)))), "")))))</f>
        <v/>
      </c>
      <c r="CB36" t="str" cm="1">
        <f t="array" ref="CB36">_xlfn.LET(_xlpm.GRR,IF(AND(SD!$C$19=SD!$H$2,Grade!$G$1="Per level"),VLOOKUP(B36,Grade!$E$1:$F$200,2,FALSE),IF(AND(SD!$C$19=SD!$H$2,Grade!$G$1="Per Bar Size"),VLOOKUP(BX36,Grade!$B$1:$C$12,2,0),SD!$C$19)),_xlpm.is_coupler, K36="Coupler",_xlpm.condition1, SD!$C$43=SD!$W$2,_xlpm.data_j2_empty, Data!$J36="",_xlpm.lookup_table, IF(SD!$C$11="Create", Lap!$A$3:$BF$14, IF(SD!$C$11="Per Uploaded File", Lap!$A$19:$BF$30, "")),_xlpm.row_match, MATCH(BX36, Lap!$A$3:$A$14, 0),_xlpm.grade_offset, IF(IFERROR(FIND("Grade 60",_xlpm.GRR), 0) &gt; 0, 0, IF(IFERROR(FIND("Grade 80",_xlpm.GRR), 0), 1, IF(IFERROR(FIND("Grade 75",_xlpm.GRR), 0), 2, ""))),_xlpm.col_match, MATCH(VALUE(D36), Lap!$A$3:$BF$3, 0) + _xlpm.grade_offset,_xlpm.index_result, IFERROR(INDEX(_xlpm.lookup_table, _xlpm.row_match, _xlpm.col_match), Data!$J36),_xlpm.result_if_condition1, IF(_xlpm.data_j2_empty, _xlpm.index_result, Data!$J36),IF(_xlpm.is_coupler, 0, IF(_xlpm.condition1, _xlpm.result_if_condition1, SD!$C$43)))</f>
        <v>3-6</v>
      </c>
      <c r="CC36" s="24">
        <f t="shared" si="11"/>
        <v>3.5</v>
      </c>
      <c r="CD36">
        <f t="shared" si="12"/>
        <v>4.166666666666667</v>
      </c>
      <c r="CE36" t="str" cm="1">
        <f t="array" ref="CE36">IF(BY36="","",_xlfn._xlws.FILTER(SAC,(CName=SD!$C$8)*(EName="Vert Dowels")))</f>
        <v/>
      </c>
      <c r="CF36" t="str" cm="1">
        <f t="array" ref="CF36">IFERROR(IF(BY36="","",IF(K36="Coupler",_xlfn._xlws.FILTER(CCoupler,(CCName=SD!$C$8)*(CBSize=IF(A35=A36,W35&amp;W36,BX36&amp;W36))*(CCMFM="Male")),"")),"N/A")</f>
        <v/>
      </c>
      <c r="CG36" t="str">
        <f t="shared" si="13"/>
        <v/>
      </c>
      <c r="CH36" t="str">
        <f t="shared" si="14"/>
        <v/>
      </c>
      <c r="CI36" t="str">
        <f>_xlfn.LET(_xlpm.u3_value, U37,_xlpm.hyphen_pos,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K37="Coupler",_xlpm.coupler_value, IF(_xlpm.is_coupler, 0, _xlpm.calculated_value),_xlpm.final_value, _xlpm.calculated_value + SD!$E$13 + _xlpm.coupler_value,IF(CG36="", "", _xlpm.final_value))</f>
        <v/>
      </c>
      <c r="CJ36" t="str" cm="1">
        <f t="array" ref="CJ36">IF(CG36="","",_xlfn._xlws.FILTER(SAC,(CName=SD!$C$8)*(EName="Loose Dowels")))</f>
        <v/>
      </c>
      <c r="CK36" t="str" cm="1">
        <f t="array" ref="CK36">IFERROR(IF(CG36="","",IF(K37="Coupler",_xlfn._xlws.FILTER(CCoupler,(CCName=SD!$C$8)*(CBSize=IF(A36=A37,W36&amp;W37,""))*(CCMFM="Male")),"")),"N/A")</f>
        <v/>
      </c>
      <c r="CL36" t="str">
        <f>IFERROR(IF(AM36="Spiral","",IF(A35=A36,"",IF(SD!$C$37=0,"",SD!$C$37))),"")</f>
        <v/>
      </c>
      <c r="CN36">
        <f>IF(AM36="Spiral","",IFERROR(IF(SD!$C$36=0,"",SD!$C$36),""))</f>
        <v>5</v>
      </c>
      <c r="CP36" t="str">
        <f>IFERROR(IF(SD!$C$42=SD!$Q$3,'Take-off'!CA36,""),"")</f>
        <v/>
      </c>
      <c r="CR36">
        <f>IFERROR(IF(SD!$C$22=SD!$U$2,W36,SD!$C$22),"")</f>
        <v>0</v>
      </c>
      <c r="CS36" t="str" cm="1">
        <f t="array" ref="CS36">_xlfn.LET(_xlpm.GR,IF(AND(SD!$C$19=SD!$H$2,Grade!$G$1="Per level"),VLOOKUP(B36,Grade!$E$1:$F$200,2,FALSE),IF(AND(SD!$C$19=SD!$H$2,Grade!$G$1="Per Bar Size"),VLOOKUP(CR36,Grade!$B$1:$C$12,2,0),SD!$C$19)),IF(SD!$C$20=SD!$R$4,IF(A37=A36,"",INDEX(IF(_xlpm.GR=SD!$H$3,A615GR60,IF(_xlpm.GR=SD!$H$4,A615GR75,IF(_xlpm.GR=SD!$H$5,A615GR80,IF(_xlpm.GR=SD!H40,A615GR100,IF(_xlpm.GR=SD!$H$7,A706GR60,IF(_xlpm.GR=SD!$H$8,A706GR80)))))), MATCH(1, (BSize=CR36)*(BCName=SD!$C$8), 0))),""))</f>
        <v/>
      </c>
      <c r="CT36" t="str">
        <f>IF(A37=A36,"",IF(SD!$C$23="Match Vertical Bars ",X36,SD!$C$23))</f>
        <v/>
      </c>
      <c r="CU36" t="str" cm="1">
        <f t="array" ref="CU36">IF(A37=A36,"",IF(SD!$C$20="Top dowels",IF(SD!$E$25="No T-Head",IF(SD!$C$24=SD!$Q$3,VLOOKUP(CR36,S90Range,3,FALSE),LEFT(SD!$C$24,FIND("-",SD!$C$24)-1)+(RIGHT(SD!$C$24,LEN(SD!$C$24)-FIND("-",SD!$C$24))/12)),IF(SD!$E$25="T-Head",_xlfn._xlws.FILTER(THead,(TCName=SD!$C$8)*(TSize=CR36)),IF(SD!$E$25="Level Wise",_xlfn.LET(_xlpm.result,_xlfn.XLOOKUP(B36,TDLevel,TDLevelStatus,"No"),IF(_xlpm.result="Yes",_xlfn._xlws.FILTER(THead,(TCName=SD!$C$8)*(TSize=CR36)),IF(SD!$C$24=SD!$Q$3,VLOOKUP(CR36,S90Range,3,FALSE),LEFT(SD!$C$24,FIND("-",SD!$C$24)-1)+(RIGHT(SD!$C$24,LEN(SD!$C$24)-FIND("-", SD!$C$24))/12)))),IF(SD!$E$25="BarSize Wise",_xlfn.LET(_xlpm.result,_xlfn.XLOOKUP(CR36,TDBarSize,TDBarSizeStatus,"No"),IF(_xlpm.result="Yes",_xlfn._xlws.FILTER(THead,(TCName=SD!$C$8)*(TSize=CR36)),IF(SD!$C$24=SD!$Q$3,VLOOKUP(CR36,S90Range,3,FALSE),LEFT(SD!$C$24,FIND("-",SD!$C$24)-1)+(RIGHT(SD!$C$24,LEN(SD!$C$24)-FIND("-",SD!$C$24))/12)))), "")))),""))</f>
        <v/>
      </c>
      <c r="CV36" t="str">
        <f>_xlfn.LET(_xlpm.GRR,IF(AND(SD!$C$19=SD!$H$2,Grade!$G$1="Per level"),VLOOKUP(B36,Grade!$E$1:$F$200,2,FALSE),IF(AND(SD!$C$19=SD!$H$2,Grade!$G$1="Per Bar Size"),VLOOKUP(CR36,Grade!$B$1:$C$12,2,0),SD!$C$19)),IF(SD!$C$25=SD!$W$2,IF(Data!$J36="",IFERROR(INDEX(IF(SD!$C$11="Create",Lap!$A$3:$BF$14,IF(SD!$C$11="Per Uploaded File",Lap!$A$19:$BF$30,"")),MATCH(CR36,Lap!$A$3:$A$14,0),MATCH(VALUE(D36),Lap!$A$3:$BF$3,0)+IF(IFERROR(FIND("Grade 60",_xlpm.GRR),0)&gt;0,0,IF(IFERROR(FIND("Grade 80",_xlpm.GRR),0),1,IF(IFERROR(FIND("Grade 75",_xlpm.GRR),0),2,"")))),""),Data!J36),SD!$C$43))</f>
        <v>Match Lap</v>
      </c>
      <c r="CW36">
        <f t="shared" si="15"/>
        <v>0</v>
      </c>
      <c r="CX36">
        <f t="shared" si="16"/>
        <v>0</v>
      </c>
      <c r="CY36" t="str">
        <f t="shared" si="17"/>
        <v/>
      </c>
      <c r="DA36" t="str">
        <f t="shared" si="18"/>
        <v/>
      </c>
      <c r="DB36" t="str">
        <f t="shared" si="19"/>
        <v/>
      </c>
      <c r="DC36" s="24" t="str">
        <f t="shared" si="20"/>
        <v/>
      </c>
      <c r="DD36">
        <f t="shared" si="21"/>
        <v>10.583333333333334</v>
      </c>
      <c r="DE36" t="s">
        <v>785</v>
      </c>
      <c r="DF36" t="s">
        <v>67</v>
      </c>
      <c r="DG36" t="str">
        <f>VLOOKUP(W36,'Level Wise PSI'!$F$2:$G$12,2,FALSE)</f>
        <v>Double Lift</v>
      </c>
      <c r="DI36" t="str" cm="1">
        <f t="array" ref="DI36">_xlfn.LET(_xlpm.Coup,IFERROR(IF(BY36="","",IF(K36="Coupler",_xlfn._xlws.FILTER(CCFCoupler,(CCName=SD!$C$8)*(CBSize=IF(A35=A36,W35&amp;W36,BX36&amp;W36))),"")),"N/A"),IF(_xlpm.Coup=0,"",_xlpm.Coup))</f>
        <v/>
      </c>
      <c r="DJ36" t="str" cm="1">
        <f t="array" ref="DJ36">_xlfn.LET(_xlpm.Coup3,IFERROR(IF(CG36="","",IF(K37="Coupler",_xlfn._xlws.FILTER(CCFCoupler,(CCName=SD!$C$8)*(CBSize=IF(A36=A37,W36&amp;W37,""))),"")),"N/A"),IF(_xlpm.Coup3=0,"",_xlpm.Coup3))</f>
        <v/>
      </c>
      <c r="DK36" t="str" cm="1">
        <f t="array" ref="DK36">_xlfn.LET(_xlpm.Coup2,IFERROR(IF(A36&lt;&gt;A37,"",IF(DF36="No Lap","",IF(K37="Coupler",_xlfn._xlws.FILTER(CCFCoupler,(CCName=SD!$C$8)*(CBSize=IF(A35=A36,W36&amp;W37,W36&amp;W36))),""))),"N/A"),IF(_xlpm.Coup2=0,"",_xlpm.Coup2))</f>
        <v/>
      </c>
      <c r="DM36" t="str">
        <f>IF(AM36="Spiral","",IF(SD!$C$31=SD!$Y$3,SD!$E$32*2,""))</f>
        <v/>
      </c>
      <c r="DO36" s="24">
        <f t="shared" si="22"/>
        <v>2.5</v>
      </c>
      <c r="DQ36" t="str">
        <f t="shared" si="23"/>
        <v>Lig</v>
      </c>
      <c r="DR36" t="str">
        <f>IF(AM36="Spiral",((Y36-(SD!$E$12*2))/12),"")</f>
        <v/>
      </c>
      <c r="DS36" t="str">
        <f t="shared" si="24"/>
        <v/>
      </c>
      <c r="DT36" t="str">
        <f t="shared" si="25"/>
        <v/>
      </c>
      <c r="DU36" t="str">
        <f t="shared" si="26"/>
        <v/>
      </c>
    </row>
    <row r="37" spans="1:125" x14ac:dyDescent="0.25">
      <c r="A37">
        <v>27</v>
      </c>
      <c r="B37" t="s">
        <v>676</v>
      </c>
      <c r="C37" s="15">
        <v>2429</v>
      </c>
      <c r="D37" s="15">
        <v>10000</v>
      </c>
      <c r="E37" t="str">
        <f>IF(B37=Level!$A$2,SD!$C$14,SD!$C$13)</f>
        <v>0-8</v>
      </c>
      <c r="F37" s="15" t="s">
        <v>787</v>
      </c>
      <c r="G37" t="s">
        <v>745</v>
      </c>
      <c r="H37" t="str">
        <f>RIGHT(VLOOKUP(B37,Level!A:C,3,FALSE),LEN(VLOOKUP(B37,Level!A:C,3,FALSE))-1)</f>
        <v>10-7</v>
      </c>
      <c r="I37" t="s">
        <v>746</v>
      </c>
      <c r="J37" t="str">
        <f>IF(AND(SD!$C$19=SD!$H$2,Grade!$G$1="Per level"),VLOOKUP(B37,Grade!$E$1:$F$200,2,FALSE),IF(AND(SD!$C$19=SD!$H$2,Grade!$G$1="Per Bar Size"),VLOOKUP(W37,Grade!$B$1:$C$12,2,0),SD!$C$19))</f>
        <v>A615 Grade 60</v>
      </c>
      <c r="K37" t="s">
        <v>67</v>
      </c>
      <c r="L37" t="str">
        <f>IFERROR(IF(A37&lt;&gt;A38,"",IF(DF37="No Lap","",IF(K38="Lap",U37,IF(K38="Coupler",_xlfn._xlws.FILTER(CCoupler,(CCName=SD!$C$8)*(CBSize=IF(A36=A37,W37&amp;W38,W37&amp;W37))*(CCMFM="Male")),"")))),"N/A")</f>
        <v>3-6</v>
      </c>
      <c r="M37" t="str">
        <f t="shared" si="0"/>
        <v/>
      </c>
      <c r="N37" t="s">
        <v>719</v>
      </c>
      <c r="O37" t="s">
        <v>720</v>
      </c>
      <c r="P37" t="s">
        <v>719</v>
      </c>
      <c r="Q37" t="str">
        <f>IF(AND(SD!$C$29=SD!$P$2,Grade!$O$1="Per level"),VLOOKUP(B37,Grade!$M$1:$N$200,2,FALSE),IF(AND(SD!$C$29=SD!$P$2,Grade!$O$1="Per Bar Size"),VLOOKUP(LEFT(N37,FIND("@",N37)-2),Grade!$J$1:$K$12,2,0),SD!$C$29))</f>
        <v>A615 Grade 60</v>
      </c>
      <c r="R37" t="s">
        <v>747</v>
      </c>
      <c r="S37" s="57">
        <v>37</v>
      </c>
      <c r="U37" t="str">
        <f>IF(Data!$J37="",IFERROR(INDEX(IF(SD!$C$11="Create",Lap!$A$3:$BF$14,IF(SD!$C$11="Per Uploaded File",Lap!$A$19:$BF$30,"")),MATCH(W37,Lap!$A$3:$A$14,0),MATCH(VALUE(D37),Lap!$A$3:$BF$3,0)+IF(IFERROR(FIND("Grade 60",J37),0)&gt;0,0,IF(IFERROR(FIND("Grade 80",J37),0),1,IF(IFERROR(FIND("Grade 75",J37),0),2,"")))),""),Data!J37)</f>
        <v>3-6</v>
      </c>
      <c r="W37" t="s">
        <v>139</v>
      </c>
      <c r="X37">
        <v>10</v>
      </c>
      <c r="Y37" t="str">
        <f t="shared" si="1"/>
        <v xml:space="preserve">18 </v>
      </c>
      <c r="Z37" t="str">
        <f t="shared" si="2"/>
        <v xml:space="preserve"> 30</v>
      </c>
      <c r="AA37" s="24">
        <f t="shared" si="3"/>
        <v>14.083333333333334</v>
      </c>
      <c r="BB37" t="e" cm="1">
        <f t="array" ref="BB37">_xlfn.LET(_xlpm.PartF,(_xlfn.LET(_xlpm.grade, Q37,_xlpm.gradeRange, IF(_xlpm.grade=SD!$H$3, A615GR60, IF(_xlpm.grade=SD!$H$4, A615GR75, IF(_xlpm.grade=SD!$H$5, A615GR80, IF(_xlpm.grade=SD!$H$6, A615GR100, IF(_xlpm.grade=SD!$H$7, A706GR60, IF(_xlpm.grade=SD!$H$8, A706GR80)))))),_xlpm.matchValue, MATCH(1, (SD!$AW:$AW=AS37)*(SD!$AX:$AX=SD!$C$8), 0),INDEX(_xlpm.gradeRange, _xlpm.matchValue))),IF(AM37="Spiral",CONCATENATE("SP",_xlpm.PartF),_xlpm.PartF))</f>
        <v>#N/A</v>
      </c>
      <c r="BC37" cm="1">
        <f t="array" ref="BC37">_xlfn.LET(_xlpm.leftPart, LEFT(O37, FIND("@", O37) - 2),_xlpm.grade,Q37,_xlpm.gradeRange,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7" cm="1">
        <f t="array" ref="BD37">_xlfn.LET(_xlpm.leftPart, LEFT(P37, FIND("@", P37) - 2),_xlpm.grade, Q37,_xlpm.gradeRange,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7">
        <f t="shared" si="4"/>
        <v>2.5</v>
      </c>
      <c r="BF37">
        <f>IF(SD!$C$32=SD!$I$2,BE37,IF(SD!$C$32=SD!$I$3,DO37,IF(SD!$C$32=SD!$I$5,BA37,IF(SD!$C$32=SD!$I$6,(LEFT(SD!$C$35,FIND("-",SD!$C$35)-1)+RIGHT(SD!$C$35,LEN(SD!$C$35)-FIND("-",SD!$C$35))/12),IF(SD!$C$32=SD!$I$4,(AU37-(BG37+BH37)))))))</f>
        <v>0</v>
      </c>
      <c r="BG37">
        <f>IF(SD!$C$33=SD!$I$2,BE37,IF(SD!$C$33=SD!$I$3,DO37,IF(SD!$C$33=SD!$I$5,BA37,IF(SD!$C$33=SD!$I$6,(LEFT(SD!$C$35,FIND("-",SD!$C$35)-1)+RIGHT(SD!$C$35,LEN(SD!$C$35)-FIND("-",SD!$C$35))/12),IF(SD!$C$33=SD!$I$4,(AU37-(BF37+BH37)))))))</f>
        <v>-1</v>
      </c>
      <c r="BH37">
        <f>IF(SD!$C$34=SD!$I$2,BE37,IF(SD!$C$34=SD!$I$3,DO37,IF(SD!$C$34=SD!$I$5,BA37,IF(SD!$C$34=SD!$I$6,(LEFT(SD!$C$35,FIND("-",SD!$C$35)-1)+RIGHT(SD!$C$35,LEN(SD!$C$35)-FIND("-",SD!$C$35))/12),IF(SD!$C$34=SD!$I$4,(AU37-(BF37+BG37)))))))</f>
        <v>1</v>
      </c>
      <c r="BJ37">
        <f>IF(AM37="Spiral","1",MAX(ROUNDUP(IF(SD!$C$32="",AT37,BF37/(LEFT(RIGHT(N37,LEN(N37)-FIND("@",N37)),LEN(RIGHT(N37,LEN(N37)-FIND("@",N37)))-1)/12)+1),0),0))</f>
        <v>1</v>
      </c>
      <c r="BK37">
        <f>MAX(ROUNDUP(IF(SD!$C$33="","",BG37/(LEFT(RIGHT(O37,LEN(O37)-FIND("@",O37)),LEN(RIGHT(O37,LEN(O37)-FIND("@",O37)))-1)/12)+1),0),0)</f>
        <v>0</v>
      </c>
      <c r="BL37">
        <f>MAX(ROUNDUP(IF(SD!$C$34="","",BH37/(LEFT(RIGHT(P37,LEN(P37)-FIND("@",P37)),LEN(RIGHT(P37,LEN(P37)-FIND("@",P37)))-1)/12)+1),0),0)</f>
        <v>3</v>
      </c>
      <c r="BN37" t="e">
        <f t="shared" si="5"/>
        <v>#N/A</v>
      </c>
      <c r="BO37" t="e">
        <f t="shared" si="6"/>
        <v>#N/A</v>
      </c>
      <c r="BP37" t="e">
        <f t="shared" si="7"/>
        <v>#N/A</v>
      </c>
      <c r="BQ37" s="24" t="e">
        <f>IF(AM37=TRUE,(((Y37-(SD!$E$12*2))*3.14159265359)+BN37+BO37+BP37)/12+AL37,SUM(AF37:AG37,BN37,BO37,BP37,AO37,AQ37)/12)</f>
        <v>#N/A</v>
      </c>
      <c r="BR37" t="e">
        <f t="shared" si="8"/>
        <v>#N/A</v>
      </c>
      <c r="BS37" t="e">
        <f t="shared" si="9"/>
        <v>#N/A</v>
      </c>
      <c r="BT37" t="e">
        <f t="shared" si="10"/>
        <v>#N/A</v>
      </c>
      <c r="BU37" s="24" t="e">
        <f>IF(AM37=TRUE,(((Y37-(SD!$E$12*2))*3.14159265359)+BR37+BS37+BT37)/12+AL37,SUM(AF37:AG37,BR37,BS37,BT37,AO37,AQ37)/12)</f>
        <v>#N/A</v>
      </c>
      <c r="BW37" t="str">
        <f>IFERROR(LEFT(Data!L37,FIND(" -",Data!L37)-1),"")</f>
        <v/>
      </c>
      <c r="BX37" t="str">
        <f>IFERROR(IF(SD!$C$40=SD!$U$2,W37,IF(SD!$C$40=SD!$U$3,RIGHT(Data!L37,LEN(Data!L37)-(FIND("-",Data!L37)+1)),SD!$C$40)),"")</f>
        <v>#7</v>
      </c>
      <c r="BY37" t="str" cm="1">
        <f t="array" ref="BY37">IFERROR(_xlfn.LET(_xlpm.GRR,IF(AND(SD!$C$19=SD!$H$2,Grade!$G$1="Per level"),VLOOKUP(B37,Grade!$E$1:$F$200,2,FALSE),IF(AND(SD!$C$19=SD!$H$2,Grade!$G$1="Per Bar Size"),VLOOKUP(BX37,Grade!$B$1:$C$12,2,0),SD!$C$19)),_xlpm.is_equal, A36=A37,_xlpm.grade_range, IF(_xlpm.GRR=SD!$H$3, A615GR60,IF(_xlpm.GRR=SD!$H$4, A615GR75,IF(_xlpm.GRR=SD!$H$5, A615GR80,IF(_xlpm.GRR=SD!H41, A615GR100,IF(_xlpm.GRR=SD!$H$7, A706GR60,IF(_xlpm.GRR=SD!$H$8, A706GR80)))))),_xlpm.match_result, MATCH(1, (BSize=BX37)*(BCName=SD!$C$8), 0),_xlpm.final_result, INDEX(_xlpm.grade_range, _xlpm.match_result),IF(_xlpm.is_equal, "", _xlpm.final_result)),"")</f>
        <v/>
      </c>
      <c r="BZ37" t="str">
        <f>IF(A36=A37,"",IF(SD!$C$41="Match Vertical Bars ",X37,IF(SD!$C$41=SD!$V$3,BW37,SD!$C$41)))</f>
        <v/>
      </c>
      <c r="CA37" t="str" cm="1">
        <f t="array" ref="CA37">IF(A36=A37,"",IF(SD!$C$44="No T-Head",IF(SD!$C$42=SD!$Q$3,VLOOKUP(BX37,S90Range,3,FALSE),LEFT(SD!$C$42,FIND("-",SD!$C$42)-1)+(RIGHT(SD!$C$42,LEN(SD!$C$42)-FIND("-",SD!$C$42))/12)),IF(SD!$C$44="T-Head",_xlfn._xlws.FILTER(THead,(TCName=SD!$C$8)*(TSize=BX37)),IF(SD!$C$44="Level Wise",_xlfn.LET(_xlpm.result,_xlfn.XLOOKUP(B37,VDLevel,VDLevelStatus,"No"),IF(_xlpm.result="Yes",_xlfn._xlws.FILTER(THead,(TCName=SD!$C$8)*(TSize=BX37)),IF(SD!$C$42=SD!$Q$3,VLOOKUP(BX37,S90Range,3,FALSE),LEFT(SD!$C$42,FIND("-",SD!$C$42)-1)+(RIGHT(SD!$C$42,LEN(SD!$C$42)-FIND("-", SD!$C$42))/12)))),IF(SD!$C$44="BarSize Wise",_xlfn.LET(_xlpm.result,_xlfn.XLOOKUP(BX37,VDBarSize,VDBarSizeStatus,"No"),IF(_xlpm.result="Yes",_xlfn._xlws.FILTER(THead,(TCName=SD!$C$8)*(TSize=BX37)),IF(SD!$C$42=SD!$Q$3,VLOOKUP(BX37,S90Range,3,FALSE),LEFT(SD!$C$42,FIND("-",SD!$C$42)-1)+(RIGHT(SD!$C$42,LEN(SD!$C$42)-FIND("-",SD!$C$42))/12)))), "")))))</f>
        <v/>
      </c>
      <c r="CB37" t="str" cm="1">
        <f t="array" ref="CB37">_xlfn.LET(_xlpm.GRR,IF(AND(SD!$C$19=SD!$H$2,Grade!$G$1="Per level"),VLOOKUP(B37,Grade!$E$1:$F$200,2,FALSE),IF(AND(SD!$C$19=SD!$H$2,Grade!$G$1="Per Bar Size"),VLOOKUP(BX37,Grade!$B$1:$C$12,2,0),SD!$C$19)),_xlpm.is_coupler, K37="Coupler",_xlpm.condition1, SD!$C$43=SD!$W$2,_xlpm.data_j2_empty, Data!$J37="",_xlpm.lookup_table, IF(SD!$C$11="Create", Lap!$A$3:$BF$14, IF(SD!$C$11="Per Uploaded File", Lap!$A$19:$BF$30, "")),_xlpm.row_match, MATCH(BX37, Lap!$A$3:$A$14, 0),_xlpm.grade_offset, IF(IFERROR(FIND("Grade 60",_xlpm.GRR), 0) &gt; 0, 0, IF(IFERROR(FIND("Grade 80",_xlpm.GRR), 0), 1, IF(IFERROR(FIND("Grade 75",_xlpm.GRR), 0), 2, ""))),_xlpm.col_match, MATCH(VALUE(D37), Lap!$A$3:$BF$3, 0) + _xlpm.grade_offset,_xlpm.index_result, IFERROR(INDEX(_xlpm.lookup_table, _xlpm.row_match, _xlpm.col_match), Data!$J37),_xlpm.result_if_condition1, IF(_xlpm.data_j2_empty, _xlpm.index_result, Data!$J37),IF(_xlpm.is_coupler, 0, IF(_xlpm.condition1, _xlpm.result_if_condition1, SD!$C$43)))</f>
        <v>3-6</v>
      </c>
      <c r="CC37" s="24">
        <f t="shared" si="11"/>
        <v>3.5</v>
      </c>
      <c r="CD37">
        <f t="shared" si="12"/>
        <v>4.166666666666667</v>
      </c>
      <c r="CE37" t="str" cm="1">
        <f t="array" ref="CE37">IF(BY37="","",_xlfn._xlws.FILTER(SAC,(CName=SD!$C$8)*(EName="Vert Dowels")))</f>
        <v/>
      </c>
      <c r="CF37" t="str" cm="1">
        <f t="array" ref="CF37">IFERROR(IF(BY37="","",IF(K37="Coupler",_xlfn._xlws.FILTER(CCoupler,(CCName=SD!$C$8)*(CBSize=IF(A36=A37,W36&amp;W37,BX37&amp;W37))*(CCMFM="Male")),"")),"N/A")</f>
        <v/>
      </c>
      <c r="CG37" t="str">
        <f t="shared" si="13"/>
        <v/>
      </c>
      <c r="CH37" t="str">
        <f t="shared" si="14"/>
        <v/>
      </c>
      <c r="CI37" t="str">
        <f>_xlfn.LET(_xlpm.u3_value, U38,_xlpm.hyphen_pos,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K38="Coupler",_xlpm.coupler_value, IF(_xlpm.is_coupler, 0, _xlpm.calculated_value),_xlpm.final_value, _xlpm.calculated_value + SD!$E$13 + _xlpm.coupler_value,IF(CG37="", "", _xlpm.final_value))</f>
        <v/>
      </c>
      <c r="CJ37" t="str" cm="1">
        <f t="array" ref="CJ37">IF(CG37="","",_xlfn._xlws.FILTER(SAC,(CName=SD!$C$8)*(EName="Loose Dowels")))</f>
        <v/>
      </c>
      <c r="CK37" t="str" cm="1">
        <f t="array" ref="CK37">IFERROR(IF(CG37="","",IF(K38="Coupler",_xlfn._xlws.FILTER(CCoupler,(CCName=SD!$C$8)*(CBSize=IF(A37=A38,W37&amp;W38,""))*(CCMFM="Male")),"")),"N/A")</f>
        <v/>
      </c>
      <c r="CL37" t="str">
        <f>IFERROR(IF(AM37="Spiral","",IF(A36=A37,"",IF(SD!$C$37=0,"",SD!$C$37))),"")</f>
        <v/>
      </c>
      <c r="CN37">
        <f>IF(AM37="Spiral","",IFERROR(IF(SD!$C$36=0,"",SD!$C$36),""))</f>
        <v>5</v>
      </c>
      <c r="CP37" t="str">
        <f>IFERROR(IF(SD!$C$42=SD!$Q$3,'Take-off'!CA37,""),"")</f>
        <v/>
      </c>
      <c r="CR37">
        <f>IFERROR(IF(SD!$C$22=SD!$U$2,W37,SD!$C$22),"")</f>
        <v>0</v>
      </c>
      <c r="CS37" t="str" cm="1">
        <f t="array" ref="CS37">_xlfn.LET(_xlpm.GR,IF(AND(SD!$C$19=SD!$H$2,Grade!$G$1="Per level"),VLOOKUP(B37,Grade!$E$1:$F$200,2,FALSE),IF(AND(SD!$C$19=SD!$H$2,Grade!$G$1="Per Bar Size"),VLOOKUP(CR37,Grade!$B$1:$C$12,2,0),SD!$C$19)),IF(SD!$C$20=SD!$R$4,IF(A38=A37,"",INDEX(IF(_xlpm.GR=SD!$H$3,A615GR60,IF(_xlpm.GR=SD!$H$4,A615GR75,IF(_xlpm.GR=SD!$H$5,A615GR80,IF(_xlpm.GR=SD!H41,A615GR100,IF(_xlpm.GR=SD!$H$7,A706GR60,IF(_xlpm.GR=SD!$H$8,A706GR80)))))), MATCH(1, (BSize=CR37)*(BCName=SD!$C$8), 0))),""))</f>
        <v/>
      </c>
      <c r="CT37" t="str">
        <f>IF(A38=A37,"",IF(SD!$C$23="Match Vertical Bars ",X37,SD!$C$23))</f>
        <v/>
      </c>
      <c r="CU37" t="str" cm="1">
        <f t="array" ref="CU37">IF(A38=A37,"",IF(SD!$C$20="Top dowels",IF(SD!$E$25="No T-Head",IF(SD!$C$24=SD!$Q$3,VLOOKUP(CR37,S90Range,3,FALSE),LEFT(SD!$C$24,FIND("-",SD!$C$24)-1)+(RIGHT(SD!$C$24,LEN(SD!$C$24)-FIND("-",SD!$C$24))/12)),IF(SD!$E$25="T-Head",_xlfn._xlws.FILTER(THead,(TCName=SD!$C$8)*(TSize=CR37)),IF(SD!$E$25="Level Wise",_xlfn.LET(_xlpm.result,_xlfn.XLOOKUP(B37,TDLevel,TDLevelStatus,"No"),IF(_xlpm.result="Yes",_xlfn._xlws.FILTER(THead,(TCName=SD!$C$8)*(TSize=CR37)),IF(SD!$C$24=SD!$Q$3,VLOOKUP(CR37,S90Range,3,FALSE),LEFT(SD!$C$24,FIND("-",SD!$C$24)-1)+(RIGHT(SD!$C$24,LEN(SD!$C$24)-FIND("-", SD!$C$24))/12)))),IF(SD!$E$25="BarSize Wise",_xlfn.LET(_xlpm.result,_xlfn.XLOOKUP(CR37,TDBarSize,TDBarSizeStatus,"No"),IF(_xlpm.result="Yes",_xlfn._xlws.FILTER(THead,(TCName=SD!$C$8)*(TSize=CR37)),IF(SD!$C$24=SD!$Q$3,VLOOKUP(CR37,S90Range,3,FALSE),LEFT(SD!$C$24,FIND("-",SD!$C$24)-1)+(RIGHT(SD!$C$24,LEN(SD!$C$24)-FIND("-",SD!$C$24))/12)))), "")))),""))</f>
        <v/>
      </c>
      <c r="CV37" t="str">
        <f>_xlfn.LET(_xlpm.GRR,IF(AND(SD!$C$19=SD!$H$2,Grade!$G$1="Per level"),VLOOKUP(B37,Grade!$E$1:$F$200,2,FALSE),IF(AND(SD!$C$19=SD!$H$2,Grade!$G$1="Per Bar Size"),VLOOKUP(CR37,Grade!$B$1:$C$12,2,0),SD!$C$19)),IF(SD!$C$25=SD!$W$2,IF(Data!$J37="",IFERROR(INDEX(IF(SD!$C$11="Create",Lap!$A$3:$BF$14,IF(SD!$C$11="Per Uploaded File",Lap!$A$19:$BF$30,"")),MATCH(CR37,Lap!$A$3:$A$14,0),MATCH(VALUE(D37),Lap!$A$3:$BF$3,0)+IF(IFERROR(FIND("Grade 60",_xlpm.GRR),0)&gt;0,0,IF(IFERROR(FIND("Grade 80",_xlpm.GRR),0),1,IF(IFERROR(FIND("Grade 75",_xlpm.GRR),0),2,"")))),""),Data!J37),SD!$C$43))</f>
        <v>Match Lap</v>
      </c>
      <c r="CW37">
        <f t="shared" si="15"/>
        <v>0</v>
      </c>
      <c r="CX37">
        <f t="shared" si="16"/>
        <v>0</v>
      </c>
      <c r="CY37" t="str">
        <f t="shared" si="17"/>
        <v/>
      </c>
      <c r="DA37" t="str">
        <f t="shared" si="18"/>
        <v/>
      </c>
      <c r="DB37" t="str">
        <f t="shared" si="19"/>
        <v/>
      </c>
      <c r="DC37" s="24" t="str">
        <f t="shared" si="20"/>
        <v/>
      </c>
      <c r="DD37">
        <f t="shared" si="21"/>
        <v>10.583333333333334</v>
      </c>
      <c r="DE37" t="s">
        <v>785</v>
      </c>
      <c r="DF37" t="s">
        <v>67</v>
      </c>
      <c r="DG37" t="str">
        <f>VLOOKUP(W37,'Level Wise PSI'!$F$2:$G$12,2,FALSE)</f>
        <v>Double Lift</v>
      </c>
      <c r="DI37" t="str" cm="1">
        <f t="array" ref="DI37">_xlfn.LET(_xlpm.Coup,IFERROR(IF(BY37="","",IF(K37="Coupler",_xlfn._xlws.FILTER(CCFCoupler,(CCName=SD!$C$8)*(CBSize=IF(A36=A37,W36&amp;W37,BX37&amp;W37))),"")),"N/A"),IF(_xlpm.Coup=0,"",_xlpm.Coup))</f>
        <v/>
      </c>
      <c r="DJ37" t="str" cm="1">
        <f t="array" ref="DJ37">_xlfn.LET(_xlpm.Coup3,IFERROR(IF(CG37="","",IF(K38="Coupler",_xlfn._xlws.FILTER(CCFCoupler,(CCName=SD!$C$8)*(CBSize=IF(A37=A38,W37&amp;W38,""))),"")),"N/A"),IF(_xlpm.Coup3=0,"",_xlpm.Coup3))</f>
        <v/>
      </c>
      <c r="DK37" t="str" cm="1">
        <f t="array" ref="DK37">_xlfn.LET(_xlpm.Coup2,IFERROR(IF(A37&lt;&gt;A38,"",IF(DF37="No Lap","",IF(K38="Coupler",_xlfn._xlws.FILTER(CCFCoupler,(CCName=SD!$C$8)*(CBSize=IF(A36=A37,W37&amp;W38,W37&amp;W37))),""))),"N/A"),IF(_xlpm.Coup2=0,"",_xlpm.Coup2))</f>
        <v/>
      </c>
      <c r="DM37" t="str">
        <f>IF(AM37="Spiral","",IF(SD!$C$31=SD!$Y$3,SD!$E$32*2,""))</f>
        <v/>
      </c>
      <c r="DO37" s="24">
        <f t="shared" si="22"/>
        <v>2.5</v>
      </c>
      <c r="DQ37" t="str">
        <f t="shared" si="23"/>
        <v>Lig</v>
      </c>
      <c r="DR37" t="str">
        <f>IF(AM37="Spiral",((Y37-(SD!$E$12*2))/12),"")</f>
        <v/>
      </c>
      <c r="DS37" t="str">
        <f t="shared" si="24"/>
        <v/>
      </c>
      <c r="DT37" t="str">
        <f t="shared" si="25"/>
        <v/>
      </c>
      <c r="DU37" t="str">
        <f t="shared" si="26"/>
        <v/>
      </c>
    </row>
    <row r="38" spans="1:125" x14ac:dyDescent="0.25">
      <c r="A38">
        <v>27</v>
      </c>
      <c r="B38" t="s">
        <v>678</v>
      </c>
      <c r="C38" s="15">
        <v>2429</v>
      </c>
      <c r="D38" s="15">
        <v>10000</v>
      </c>
      <c r="E38" t="str">
        <f>IF(B38=Level!$A$2,SD!$C$14,SD!$C$13)</f>
        <v>0-8</v>
      </c>
      <c r="F38" s="15" t="s">
        <v>787</v>
      </c>
      <c r="G38" t="s">
        <v>745</v>
      </c>
      <c r="H38" t="str">
        <f>RIGHT(VLOOKUP(B38,Level!A:C,3,FALSE),LEN(VLOOKUP(B38,Level!A:C,3,FALSE))-1)</f>
        <v>10-7</v>
      </c>
      <c r="I38" t="s">
        <v>746</v>
      </c>
      <c r="J38" t="str">
        <f>IF(AND(SD!$C$19=SD!$H$2,Grade!$G$1="Per level"),VLOOKUP(B38,Grade!$E$1:$F$200,2,FALSE),IF(AND(SD!$C$19=SD!$H$2,Grade!$G$1="Per Bar Size"),VLOOKUP(W38,Grade!$B$1:$C$12,2,0),SD!$C$19))</f>
        <v>A615 Grade 60</v>
      </c>
      <c r="K38" t="s">
        <v>67</v>
      </c>
      <c r="L38" t="str">
        <f>IFERROR(IF(A38&lt;&gt;A39,"",IF(DF38="No Lap","",IF(K39="Lap",U38,IF(K39="Coupler",_xlfn._xlws.FILTER(CCoupler,(CCName=SD!$C$8)*(CBSize=IF(A37=A38,W38&amp;W39,W38&amp;W38))*(CCMFM="Male")),"")))),"N/A")</f>
        <v>3-6</v>
      </c>
      <c r="M38" t="str">
        <f t="shared" si="0"/>
        <v/>
      </c>
      <c r="N38" t="s">
        <v>719</v>
      </c>
      <c r="O38" t="s">
        <v>720</v>
      </c>
      <c r="P38" t="s">
        <v>719</v>
      </c>
      <c r="Q38" t="str">
        <f>IF(AND(SD!$C$29=SD!$P$2,Grade!$O$1="Per level"),VLOOKUP(B38,Grade!$M$1:$N$200,2,FALSE),IF(AND(SD!$C$29=SD!$P$2,Grade!$O$1="Per Bar Size"),VLOOKUP(LEFT(N38,FIND("@",N38)-2),Grade!$J$1:$K$12,2,0),SD!$C$29))</f>
        <v>A615 Grade 60</v>
      </c>
      <c r="R38" t="s">
        <v>747</v>
      </c>
      <c r="S38" s="57">
        <v>38</v>
      </c>
      <c r="U38" t="str">
        <f>IF(Data!$J38="",IFERROR(INDEX(IF(SD!$C$11="Create",Lap!$A$3:$BF$14,IF(SD!$C$11="Per Uploaded File",Lap!$A$19:$BF$30,"")),MATCH(W38,Lap!$A$3:$A$14,0),MATCH(VALUE(D38),Lap!$A$3:$BF$3,0)+IF(IFERROR(FIND("Grade 60",J38),0)&gt;0,0,IF(IFERROR(FIND("Grade 80",J38),0),1,IF(IFERROR(FIND("Grade 75",J38),0),2,"")))),""),Data!J38)</f>
        <v>3-6</v>
      </c>
      <c r="W38" t="s">
        <v>139</v>
      </c>
      <c r="X38">
        <v>10</v>
      </c>
      <c r="Y38" t="str">
        <f t="shared" si="1"/>
        <v xml:space="preserve">18 </v>
      </c>
      <c r="Z38" t="str">
        <f t="shared" si="2"/>
        <v xml:space="preserve"> 30</v>
      </c>
      <c r="AA38" s="24">
        <f t="shared" si="3"/>
        <v>14.083333333333334</v>
      </c>
      <c r="BB38" t="e" cm="1">
        <f t="array" ref="BB38">_xlfn.LET(_xlpm.PartF,(_xlfn.LET(_xlpm.grade, Q38,_xlpm.gradeRange, IF(_xlpm.grade=SD!$H$3, A615GR60, IF(_xlpm.grade=SD!$H$4, A615GR75, IF(_xlpm.grade=SD!$H$5, A615GR80, IF(_xlpm.grade=SD!$H$6, A615GR100, IF(_xlpm.grade=SD!$H$7, A706GR60, IF(_xlpm.grade=SD!$H$8, A706GR80)))))),_xlpm.matchValue, MATCH(1, (SD!$AW:$AW=AS38)*(SD!$AX:$AX=SD!$C$8), 0),INDEX(_xlpm.gradeRange, _xlpm.matchValue))),IF(AM38="Spiral",CONCATENATE("SP",_xlpm.PartF),_xlpm.PartF))</f>
        <v>#N/A</v>
      </c>
      <c r="BC38" cm="1">
        <f t="array" ref="BC38">_xlfn.LET(_xlpm.leftPart, LEFT(O38, FIND("@", O38) - 2),_xlpm.grade,Q38,_xlpm.gradeRange,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8" cm="1">
        <f t="array" ref="BD38">_xlfn.LET(_xlpm.leftPart, LEFT(P38, FIND("@", P38) - 2),_xlpm.grade, Q38,_xlpm.gradeRange,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8">
        <f t="shared" si="4"/>
        <v>2.5</v>
      </c>
      <c r="BF38">
        <f>IF(SD!$C$32=SD!$I$2,BE38,IF(SD!$C$32=SD!$I$3,DO38,IF(SD!$C$32=SD!$I$5,BA38,IF(SD!$C$32=SD!$I$6,(LEFT(SD!$C$35,FIND("-",SD!$C$35)-1)+RIGHT(SD!$C$35,LEN(SD!$C$35)-FIND("-",SD!$C$35))/12),IF(SD!$C$32=SD!$I$4,(AU38-(BG38+BH38)))))))</f>
        <v>0</v>
      </c>
      <c r="BG38">
        <f>IF(SD!$C$33=SD!$I$2,BE38,IF(SD!$C$33=SD!$I$3,DO38,IF(SD!$C$33=SD!$I$5,BA38,IF(SD!$C$33=SD!$I$6,(LEFT(SD!$C$35,FIND("-",SD!$C$35)-1)+RIGHT(SD!$C$35,LEN(SD!$C$35)-FIND("-",SD!$C$35))/12),IF(SD!$C$33=SD!$I$4,(AU38-(BF38+BH38)))))))</f>
        <v>-1</v>
      </c>
      <c r="BH38">
        <f>IF(SD!$C$34=SD!$I$2,BE38,IF(SD!$C$34=SD!$I$3,DO38,IF(SD!$C$34=SD!$I$5,BA38,IF(SD!$C$34=SD!$I$6,(LEFT(SD!$C$35,FIND("-",SD!$C$35)-1)+RIGHT(SD!$C$35,LEN(SD!$C$35)-FIND("-",SD!$C$35))/12),IF(SD!$C$34=SD!$I$4,(AU38-(BF38+BG38)))))))</f>
        <v>1</v>
      </c>
      <c r="BJ38">
        <f>IF(AM38="Spiral","1",MAX(ROUNDUP(IF(SD!$C$32="",AT38,BF38/(LEFT(RIGHT(N38,LEN(N38)-FIND("@",N38)),LEN(RIGHT(N38,LEN(N38)-FIND("@",N38)))-1)/12)+1),0),0))</f>
        <v>1</v>
      </c>
      <c r="BK38">
        <f>MAX(ROUNDUP(IF(SD!$C$33="","",BG38/(LEFT(RIGHT(O38,LEN(O38)-FIND("@",O38)),LEN(RIGHT(O38,LEN(O38)-FIND("@",O38)))-1)/12)+1),0),0)</f>
        <v>0</v>
      </c>
      <c r="BL38">
        <f>MAX(ROUNDUP(IF(SD!$C$34="","",BH38/(LEFT(RIGHT(P38,LEN(P38)-FIND("@",P38)),LEN(RIGHT(P38,LEN(P38)-FIND("@",P38)))-1)/12)+1),0),0)</f>
        <v>3</v>
      </c>
      <c r="BN38" t="e">
        <f t="shared" si="5"/>
        <v>#N/A</v>
      </c>
      <c r="BO38" t="e">
        <f t="shared" si="6"/>
        <v>#N/A</v>
      </c>
      <c r="BP38" t="e">
        <f t="shared" si="7"/>
        <v>#N/A</v>
      </c>
      <c r="BQ38" s="24" t="e">
        <f>IF(AM38=TRUE,(((Y38-(SD!$E$12*2))*3.14159265359)+BN38+BO38+BP38)/12+AL38,SUM(AF38:AG38,BN38,BO38,BP38,AO38,AQ38)/12)</f>
        <v>#N/A</v>
      </c>
      <c r="BR38" t="e">
        <f t="shared" si="8"/>
        <v>#N/A</v>
      </c>
      <c r="BS38" t="e">
        <f t="shared" si="9"/>
        <v>#N/A</v>
      </c>
      <c r="BT38" t="e">
        <f t="shared" si="10"/>
        <v>#N/A</v>
      </c>
      <c r="BU38" s="24" t="e">
        <f>IF(AM38=TRUE,(((Y38-(SD!$E$12*2))*3.14159265359)+BR38+BS38+BT38)/12+AL38,SUM(AF38:AG38,BR38,BS38,BT38,AO38,AQ38)/12)</f>
        <v>#N/A</v>
      </c>
      <c r="BW38" t="str">
        <f>IFERROR(LEFT(Data!L38,FIND(" -",Data!L38)-1),"")</f>
        <v/>
      </c>
      <c r="BX38" t="str">
        <f>IFERROR(IF(SD!$C$40=SD!$U$2,W38,IF(SD!$C$40=SD!$U$3,RIGHT(Data!L38,LEN(Data!L38)-(FIND("-",Data!L38)+1)),SD!$C$40)),"")</f>
        <v>#7</v>
      </c>
      <c r="BY38" t="str" cm="1">
        <f t="array" ref="BY38">IFERROR(_xlfn.LET(_xlpm.GRR,IF(AND(SD!$C$19=SD!$H$2,Grade!$G$1="Per level"),VLOOKUP(B38,Grade!$E$1:$F$200,2,FALSE),IF(AND(SD!$C$19=SD!$H$2,Grade!$G$1="Per Bar Size"),VLOOKUP(BX38,Grade!$B$1:$C$12,2,0),SD!$C$19)),_xlpm.is_equal, A37=A38,_xlpm.grade_range, IF(_xlpm.GRR=SD!$H$3, A615GR60,IF(_xlpm.GRR=SD!$H$4, A615GR75,IF(_xlpm.GRR=SD!$H$5, A615GR80,IF(_xlpm.GRR=SD!H42, A615GR100,IF(_xlpm.GRR=SD!$H$7, A706GR60,IF(_xlpm.GRR=SD!$H$8, A706GR80)))))),_xlpm.match_result, MATCH(1, (BSize=BX38)*(BCName=SD!$C$8), 0),_xlpm.final_result, INDEX(_xlpm.grade_range, _xlpm.match_result),IF(_xlpm.is_equal, "", _xlpm.final_result)),"")</f>
        <v/>
      </c>
      <c r="BZ38" t="str">
        <f>IF(A37=A38,"",IF(SD!$C$41="Match Vertical Bars ",X38,IF(SD!$C$41=SD!$V$3,BW38,SD!$C$41)))</f>
        <v/>
      </c>
      <c r="CA38" t="str" cm="1">
        <f t="array" ref="CA38">IF(A37=A38,"",IF(SD!$C$44="No T-Head",IF(SD!$C$42=SD!$Q$3,VLOOKUP(BX38,S90Range,3,FALSE),LEFT(SD!$C$42,FIND("-",SD!$C$42)-1)+(RIGHT(SD!$C$42,LEN(SD!$C$42)-FIND("-",SD!$C$42))/12)),IF(SD!$C$44="T-Head",_xlfn._xlws.FILTER(THead,(TCName=SD!$C$8)*(TSize=BX38)),IF(SD!$C$44="Level Wise",_xlfn.LET(_xlpm.result,_xlfn.XLOOKUP(B38,VDLevel,VDLevelStatus,"No"),IF(_xlpm.result="Yes",_xlfn._xlws.FILTER(THead,(TCName=SD!$C$8)*(TSize=BX38)),IF(SD!$C$42=SD!$Q$3,VLOOKUP(BX38,S90Range,3,FALSE),LEFT(SD!$C$42,FIND("-",SD!$C$42)-1)+(RIGHT(SD!$C$42,LEN(SD!$C$42)-FIND("-", SD!$C$42))/12)))),IF(SD!$C$44="BarSize Wise",_xlfn.LET(_xlpm.result,_xlfn.XLOOKUP(BX38,VDBarSize,VDBarSizeStatus,"No"),IF(_xlpm.result="Yes",_xlfn._xlws.FILTER(THead,(TCName=SD!$C$8)*(TSize=BX38)),IF(SD!$C$42=SD!$Q$3,VLOOKUP(BX38,S90Range,3,FALSE),LEFT(SD!$C$42,FIND("-",SD!$C$42)-1)+(RIGHT(SD!$C$42,LEN(SD!$C$42)-FIND("-",SD!$C$42))/12)))), "")))))</f>
        <v/>
      </c>
      <c r="CB38" t="str" cm="1">
        <f t="array" ref="CB38">_xlfn.LET(_xlpm.GRR,IF(AND(SD!$C$19=SD!$H$2,Grade!$G$1="Per level"),VLOOKUP(B38,Grade!$E$1:$F$200,2,FALSE),IF(AND(SD!$C$19=SD!$H$2,Grade!$G$1="Per Bar Size"),VLOOKUP(BX38,Grade!$B$1:$C$12,2,0),SD!$C$19)),_xlpm.is_coupler, K38="Coupler",_xlpm.condition1, SD!$C$43=SD!$W$2,_xlpm.data_j2_empty, Data!$J38="",_xlpm.lookup_table, IF(SD!$C$11="Create", Lap!$A$3:$BF$14, IF(SD!$C$11="Per Uploaded File", Lap!$A$19:$BF$30, "")),_xlpm.row_match, MATCH(BX38, Lap!$A$3:$A$14, 0),_xlpm.grade_offset, IF(IFERROR(FIND("Grade 60",_xlpm.GRR), 0) &gt; 0, 0, IF(IFERROR(FIND("Grade 80",_xlpm.GRR), 0), 1, IF(IFERROR(FIND("Grade 75",_xlpm.GRR), 0), 2, ""))),_xlpm.col_match, MATCH(VALUE(D38), Lap!$A$3:$BF$3, 0) + _xlpm.grade_offset,_xlpm.index_result, IFERROR(INDEX(_xlpm.lookup_table, _xlpm.row_match, _xlpm.col_match), Data!$J38),_xlpm.result_if_condition1, IF(_xlpm.data_j2_empty, _xlpm.index_result, Data!$J38),IF(_xlpm.is_coupler, 0, IF(_xlpm.condition1, _xlpm.result_if_condition1, SD!$C$43)))</f>
        <v>3-6</v>
      </c>
      <c r="CC38" s="24">
        <f t="shared" si="11"/>
        <v>3.5</v>
      </c>
      <c r="CD38">
        <f t="shared" si="12"/>
        <v>4.166666666666667</v>
      </c>
      <c r="CE38" t="str" cm="1">
        <f t="array" ref="CE38">IF(BY38="","",_xlfn._xlws.FILTER(SAC,(CName=SD!$C$8)*(EName="Vert Dowels")))</f>
        <v/>
      </c>
      <c r="CF38" t="str" cm="1">
        <f t="array" ref="CF38">IFERROR(IF(BY38="","",IF(K38="Coupler",_xlfn._xlws.FILTER(CCoupler,(CCName=SD!$C$8)*(CBSize=IF(A37=A38,W37&amp;W38,BX38&amp;W38))*(CCMFM="Male")),"")),"N/A")</f>
        <v/>
      </c>
      <c r="CG38" t="str">
        <f t="shared" si="13"/>
        <v/>
      </c>
      <c r="CH38" t="str">
        <f t="shared" si="14"/>
        <v/>
      </c>
      <c r="CI38" t="str">
        <f>_xlfn.LET(_xlpm.u3_value, U39,_xlpm.hyphen_pos,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K39="Coupler",_xlpm.coupler_value, IF(_xlpm.is_coupler, 0, _xlpm.calculated_value),_xlpm.final_value, _xlpm.calculated_value + SD!$E$13 + _xlpm.coupler_value,IF(CG38="", "", _xlpm.final_value))</f>
        <v/>
      </c>
      <c r="CJ38" t="str" cm="1">
        <f t="array" ref="CJ38">IF(CG38="","",_xlfn._xlws.FILTER(SAC,(CName=SD!$C$8)*(EName="Loose Dowels")))</f>
        <v/>
      </c>
      <c r="CK38" t="str" cm="1">
        <f t="array" ref="CK38">IFERROR(IF(CG38="","",IF(K39="Coupler",_xlfn._xlws.FILTER(CCoupler,(CCName=SD!$C$8)*(CBSize=IF(A38=A39,W38&amp;W39,""))*(CCMFM="Male")),"")),"N/A")</f>
        <v/>
      </c>
      <c r="CL38" t="str">
        <f>IFERROR(IF(AM38="Spiral","",IF(A37=A38,"",IF(SD!$C$37=0,"",SD!$C$37))),"")</f>
        <v/>
      </c>
      <c r="CN38">
        <f>IF(AM38="Spiral","",IFERROR(IF(SD!$C$36=0,"",SD!$C$36),""))</f>
        <v>5</v>
      </c>
      <c r="CP38" t="str">
        <f>IFERROR(IF(SD!$C$42=SD!$Q$3,'Take-off'!CA38,""),"")</f>
        <v/>
      </c>
      <c r="CR38">
        <f>IFERROR(IF(SD!$C$22=SD!$U$2,W38,SD!$C$22),"")</f>
        <v>0</v>
      </c>
      <c r="CS38" t="str" cm="1">
        <f t="array" ref="CS38">_xlfn.LET(_xlpm.GR,IF(AND(SD!$C$19=SD!$H$2,Grade!$G$1="Per level"),VLOOKUP(B38,Grade!$E$1:$F$200,2,FALSE),IF(AND(SD!$C$19=SD!$H$2,Grade!$G$1="Per Bar Size"),VLOOKUP(CR38,Grade!$B$1:$C$12,2,0),SD!$C$19)),IF(SD!$C$20=SD!$R$4,IF(A39=A38,"",INDEX(IF(_xlpm.GR=SD!$H$3,A615GR60,IF(_xlpm.GR=SD!$H$4,A615GR75,IF(_xlpm.GR=SD!$H$5,A615GR80,IF(_xlpm.GR=SD!H42,A615GR100,IF(_xlpm.GR=SD!$H$7,A706GR60,IF(_xlpm.GR=SD!$H$8,A706GR80)))))), MATCH(1, (BSize=CR38)*(BCName=SD!$C$8), 0))),""))</f>
        <v/>
      </c>
      <c r="CT38" t="str">
        <f>IF(A39=A38,"",IF(SD!$C$23="Match Vertical Bars ",X38,SD!$C$23))</f>
        <v/>
      </c>
      <c r="CU38" t="str" cm="1">
        <f t="array" ref="CU38">IF(A39=A38,"",IF(SD!$C$20="Top dowels",IF(SD!$E$25="No T-Head",IF(SD!$C$24=SD!$Q$3,VLOOKUP(CR38,S90Range,3,FALSE),LEFT(SD!$C$24,FIND("-",SD!$C$24)-1)+(RIGHT(SD!$C$24,LEN(SD!$C$24)-FIND("-",SD!$C$24))/12)),IF(SD!$E$25="T-Head",_xlfn._xlws.FILTER(THead,(TCName=SD!$C$8)*(TSize=CR38)),IF(SD!$E$25="Level Wise",_xlfn.LET(_xlpm.result,_xlfn.XLOOKUP(B38,TDLevel,TDLevelStatus,"No"),IF(_xlpm.result="Yes",_xlfn._xlws.FILTER(THead,(TCName=SD!$C$8)*(TSize=CR38)),IF(SD!$C$24=SD!$Q$3,VLOOKUP(CR38,S90Range,3,FALSE),LEFT(SD!$C$24,FIND("-",SD!$C$24)-1)+(RIGHT(SD!$C$24,LEN(SD!$C$24)-FIND("-", SD!$C$24))/12)))),IF(SD!$E$25="BarSize Wise",_xlfn.LET(_xlpm.result,_xlfn.XLOOKUP(CR38,TDBarSize,TDBarSizeStatus,"No"),IF(_xlpm.result="Yes",_xlfn._xlws.FILTER(THead,(TCName=SD!$C$8)*(TSize=CR38)),IF(SD!$C$24=SD!$Q$3,VLOOKUP(CR38,S90Range,3,FALSE),LEFT(SD!$C$24,FIND("-",SD!$C$24)-1)+(RIGHT(SD!$C$24,LEN(SD!$C$24)-FIND("-",SD!$C$24))/12)))), "")))),""))</f>
        <v/>
      </c>
      <c r="CV38" t="str">
        <f>_xlfn.LET(_xlpm.GRR,IF(AND(SD!$C$19=SD!$H$2,Grade!$G$1="Per level"),VLOOKUP(B38,Grade!$E$1:$F$200,2,FALSE),IF(AND(SD!$C$19=SD!$H$2,Grade!$G$1="Per Bar Size"),VLOOKUP(CR38,Grade!$B$1:$C$12,2,0),SD!$C$19)),IF(SD!$C$25=SD!$W$2,IF(Data!$J38="",IFERROR(INDEX(IF(SD!$C$11="Create",Lap!$A$3:$BF$14,IF(SD!$C$11="Per Uploaded File",Lap!$A$19:$BF$30,"")),MATCH(CR38,Lap!$A$3:$A$14,0),MATCH(VALUE(D38),Lap!$A$3:$BF$3,0)+IF(IFERROR(FIND("Grade 60",_xlpm.GRR),0)&gt;0,0,IF(IFERROR(FIND("Grade 80",_xlpm.GRR),0),1,IF(IFERROR(FIND("Grade 75",_xlpm.GRR),0),2,"")))),""),Data!J38),SD!$C$43))</f>
        <v>Match Lap</v>
      </c>
      <c r="CW38">
        <f t="shared" si="15"/>
        <v>0</v>
      </c>
      <c r="CX38">
        <f t="shared" si="16"/>
        <v>0</v>
      </c>
      <c r="CY38" t="str">
        <f t="shared" si="17"/>
        <v/>
      </c>
      <c r="DA38" t="str">
        <f t="shared" si="18"/>
        <v/>
      </c>
      <c r="DB38" t="str">
        <f t="shared" si="19"/>
        <v/>
      </c>
      <c r="DC38" s="24" t="str">
        <f t="shared" si="20"/>
        <v/>
      </c>
      <c r="DD38">
        <f t="shared" si="21"/>
        <v>10.583333333333334</v>
      </c>
      <c r="DE38" t="s">
        <v>785</v>
      </c>
      <c r="DF38" t="s">
        <v>67</v>
      </c>
      <c r="DG38" t="str">
        <f>VLOOKUP(W38,'Level Wise PSI'!$F$2:$G$12,2,FALSE)</f>
        <v>Double Lift</v>
      </c>
      <c r="DI38" t="str" cm="1">
        <f t="array" ref="DI38">_xlfn.LET(_xlpm.Coup,IFERROR(IF(BY38="","",IF(K38="Coupler",_xlfn._xlws.FILTER(CCFCoupler,(CCName=SD!$C$8)*(CBSize=IF(A37=A38,W37&amp;W38,BX38&amp;W38))),"")),"N/A"),IF(_xlpm.Coup=0,"",_xlpm.Coup))</f>
        <v/>
      </c>
      <c r="DJ38" t="str" cm="1">
        <f t="array" ref="DJ38">_xlfn.LET(_xlpm.Coup3,IFERROR(IF(CG38="","",IF(K39="Coupler",_xlfn._xlws.FILTER(CCFCoupler,(CCName=SD!$C$8)*(CBSize=IF(A38=A39,W38&amp;W39,""))),"")),"N/A"),IF(_xlpm.Coup3=0,"",_xlpm.Coup3))</f>
        <v/>
      </c>
      <c r="DK38" t="str" cm="1">
        <f t="array" ref="DK38">_xlfn.LET(_xlpm.Coup2,IFERROR(IF(A38&lt;&gt;A39,"",IF(DF38="No Lap","",IF(K39="Coupler",_xlfn._xlws.FILTER(CCFCoupler,(CCName=SD!$C$8)*(CBSize=IF(A37=A38,W38&amp;W39,W38&amp;W38))),""))),"N/A"),IF(_xlpm.Coup2=0,"",_xlpm.Coup2))</f>
        <v/>
      </c>
      <c r="DM38" t="str">
        <f>IF(AM38="Spiral","",IF(SD!$C$31=SD!$Y$3,SD!$E$32*2,""))</f>
        <v/>
      </c>
      <c r="DO38" s="24">
        <f t="shared" si="22"/>
        <v>2.5</v>
      </c>
      <c r="DQ38" t="str">
        <f t="shared" si="23"/>
        <v>Lig</v>
      </c>
      <c r="DR38" t="str">
        <f>IF(AM38="Spiral",((Y38-(SD!$E$12*2))/12),"")</f>
        <v/>
      </c>
      <c r="DS38" t="str">
        <f t="shared" si="24"/>
        <v/>
      </c>
      <c r="DT38" t="str">
        <f t="shared" si="25"/>
        <v/>
      </c>
      <c r="DU38" t="str">
        <f t="shared" si="26"/>
        <v/>
      </c>
    </row>
    <row r="39" spans="1:125" x14ac:dyDescent="0.25">
      <c r="A39">
        <v>27</v>
      </c>
      <c r="B39" t="s">
        <v>680</v>
      </c>
      <c r="C39" s="15">
        <v>2429</v>
      </c>
      <c r="D39" s="15">
        <v>10000</v>
      </c>
      <c r="E39" t="str">
        <f>IF(B39=Level!$A$2,SD!$C$14,SD!$C$13)</f>
        <v>0-8</v>
      </c>
      <c r="F39" s="15" t="s">
        <v>787</v>
      </c>
      <c r="G39" t="s">
        <v>745</v>
      </c>
      <c r="H39" t="str">
        <f>RIGHT(VLOOKUP(B39,Level!A:C,3,FALSE),LEN(VLOOKUP(B39,Level!A:C,3,FALSE))-1)</f>
        <v>10-7</v>
      </c>
      <c r="I39" t="s">
        <v>746</v>
      </c>
      <c r="J39" t="str">
        <f>IF(AND(SD!$C$19=SD!$H$2,Grade!$G$1="Per level"),VLOOKUP(B39,Grade!$E$1:$F$200,2,FALSE),IF(AND(SD!$C$19=SD!$H$2,Grade!$G$1="Per Bar Size"),VLOOKUP(W39,Grade!$B$1:$C$12,2,0),SD!$C$19))</f>
        <v>A615 Grade 60</v>
      </c>
      <c r="K39" t="s">
        <v>67</v>
      </c>
      <c r="L39" t="str">
        <f>IFERROR(IF(A39&lt;&gt;A40,"",IF(DF39="No Lap","",IF(K40="Lap",U39,IF(K40="Coupler",_xlfn._xlws.FILTER(CCoupler,(CCName=SD!$C$8)*(CBSize=IF(A38=A39,W39&amp;W40,W39&amp;W39))*(CCMFM="Male")),"")))),"N/A")</f>
        <v>3-6</v>
      </c>
      <c r="M39" t="str">
        <f t="shared" si="0"/>
        <v/>
      </c>
      <c r="N39" t="s">
        <v>719</v>
      </c>
      <c r="O39" t="s">
        <v>720</v>
      </c>
      <c r="P39" t="s">
        <v>719</v>
      </c>
      <c r="Q39" t="str">
        <f>IF(AND(SD!$C$29=SD!$P$2,Grade!$O$1="Per level"),VLOOKUP(B39,Grade!$M$1:$N$200,2,FALSE),IF(AND(SD!$C$29=SD!$P$2,Grade!$O$1="Per Bar Size"),VLOOKUP(LEFT(N39,FIND("@",N39)-2),Grade!$J$1:$K$12,2,0),SD!$C$29))</f>
        <v>A615 Grade 60</v>
      </c>
      <c r="R39" t="s">
        <v>747</v>
      </c>
      <c r="S39" s="57">
        <v>39</v>
      </c>
      <c r="U39" t="str">
        <f>IF(Data!$J39="",IFERROR(INDEX(IF(SD!$C$11="Create",Lap!$A$3:$BF$14,IF(SD!$C$11="Per Uploaded File",Lap!$A$19:$BF$30,"")),MATCH(W39,Lap!$A$3:$A$14,0),MATCH(VALUE(D39),Lap!$A$3:$BF$3,0)+IF(IFERROR(FIND("Grade 60",J39),0)&gt;0,0,IF(IFERROR(FIND("Grade 80",J39),0),1,IF(IFERROR(FIND("Grade 75",J39),0),2,"")))),""),Data!J39)</f>
        <v>3-6</v>
      </c>
      <c r="W39" t="s">
        <v>139</v>
      </c>
      <c r="X39">
        <v>10</v>
      </c>
      <c r="Y39" t="str">
        <f t="shared" si="1"/>
        <v xml:space="preserve">18 </v>
      </c>
      <c r="Z39" t="str">
        <f t="shared" si="2"/>
        <v xml:space="preserve"> 30</v>
      </c>
      <c r="AA39" s="24">
        <f t="shared" si="3"/>
        <v>14.083333333333334</v>
      </c>
      <c r="BB39" t="e" cm="1">
        <f t="array" ref="BB39">_xlfn.LET(_xlpm.PartF,(_xlfn.LET(_xlpm.grade, Q39,_xlpm.gradeRange, IF(_xlpm.grade=SD!$H$3, A615GR60, IF(_xlpm.grade=SD!$H$4, A615GR75, IF(_xlpm.grade=SD!$H$5, A615GR80, IF(_xlpm.grade=SD!$H$6, A615GR100, IF(_xlpm.grade=SD!$H$7, A706GR60, IF(_xlpm.grade=SD!$H$8, A706GR80)))))),_xlpm.matchValue, MATCH(1, (SD!$AW:$AW=AS39)*(SD!$AX:$AX=SD!$C$8), 0),INDEX(_xlpm.gradeRange, _xlpm.matchValue))),IF(AM39="Spiral",CONCATENATE("SP",_xlpm.PartF),_xlpm.PartF))</f>
        <v>#N/A</v>
      </c>
      <c r="BC39" cm="1">
        <f t="array" ref="BC39">_xlfn.LET(_xlpm.leftPart, LEFT(O39, FIND("@", O39) - 2),_xlpm.grade,Q39,_xlpm.gradeRange,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39" cm="1">
        <f t="array" ref="BD39">_xlfn.LET(_xlpm.leftPart, LEFT(P39, FIND("@", P39) - 2),_xlpm.grade, Q39,_xlpm.gradeRange,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39">
        <f t="shared" si="4"/>
        <v>2.5</v>
      </c>
      <c r="BF39">
        <f>IF(SD!$C$32=SD!$I$2,BE39,IF(SD!$C$32=SD!$I$3,DO39,IF(SD!$C$32=SD!$I$5,BA39,IF(SD!$C$32=SD!$I$6,(LEFT(SD!$C$35,FIND("-",SD!$C$35)-1)+RIGHT(SD!$C$35,LEN(SD!$C$35)-FIND("-",SD!$C$35))/12),IF(SD!$C$32=SD!$I$4,(AU39-(BG39+BH39)))))))</f>
        <v>0</v>
      </c>
      <c r="BG39">
        <f>IF(SD!$C$33=SD!$I$2,BE39,IF(SD!$C$33=SD!$I$3,DO39,IF(SD!$C$33=SD!$I$5,BA39,IF(SD!$C$33=SD!$I$6,(LEFT(SD!$C$35,FIND("-",SD!$C$35)-1)+RIGHT(SD!$C$35,LEN(SD!$C$35)-FIND("-",SD!$C$35))/12),IF(SD!$C$33=SD!$I$4,(AU39-(BF39+BH39)))))))</f>
        <v>-1</v>
      </c>
      <c r="BH39">
        <f>IF(SD!$C$34=SD!$I$2,BE39,IF(SD!$C$34=SD!$I$3,DO39,IF(SD!$C$34=SD!$I$5,BA39,IF(SD!$C$34=SD!$I$6,(LEFT(SD!$C$35,FIND("-",SD!$C$35)-1)+RIGHT(SD!$C$35,LEN(SD!$C$35)-FIND("-",SD!$C$35))/12),IF(SD!$C$34=SD!$I$4,(AU39-(BF39+BG39)))))))</f>
        <v>1</v>
      </c>
      <c r="BJ39">
        <f>IF(AM39="Spiral","1",MAX(ROUNDUP(IF(SD!$C$32="",AT39,BF39/(LEFT(RIGHT(N39,LEN(N39)-FIND("@",N39)),LEN(RIGHT(N39,LEN(N39)-FIND("@",N39)))-1)/12)+1),0),0))</f>
        <v>1</v>
      </c>
      <c r="BK39">
        <f>MAX(ROUNDUP(IF(SD!$C$33="","",BG39/(LEFT(RIGHT(O39,LEN(O39)-FIND("@",O39)),LEN(RIGHT(O39,LEN(O39)-FIND("@",O39)))-1)/12)+1),0),0)</f>
        <v>0</v>
      </c>
      <c r="BL39">
        <f>MAX(ROUNDUP(IF(SD!$C$34="","",BH39/(LEFT(RIGHT(P39,LEN(P39)-FIND("@",P39)),LEN(RIGHT(P39,LEN(P39)-FIND("@",P39)))-1)/12)+1),0),0)</f>
        <v>3</v>
      </c>
      <c r="BN39" t="e">
        <f t="shared" si="5"/>
        <v>#N/A</v>
      </c>
      <c r="BO39" t="e">
        <f t="shared" si="6"/>
        <v>#N/A</v>
      </c>
      <c r="BP39" t="e">
        <f t="shared" si="7"/>
        <v>#N/A</v>
      </c>
      <c r="BQ39" s="24" t="e">
        <f>IF(AM39=TRUE,(((Y39-(SD!$E$12*2))*3.14159265359)+BN39+BO39+BP39)/12+AL39,SUM(AF39:AG39,BN39,BO39,BP39,AO39,AQ39)/12)</f>
        <v>#N/A</v>
      </c>
      <c r="BR39" t="e">
        <f t="shared" si="8"/>
        <v>#N/A</v>
      </c>
      <c r="BS39" t="e">
        <f t="shared" si="9"/>
        <v>#N/A</v>
      </c>
      <c r="BT39" t="e">
        <f t="shared" si="10"/>
        <v>#N/A</v>
      </c>
      <c r="BU39" s="24" t="e">
        <f>IF(AM39=TRUE,(((Y39-(SD!$E$12*2))*3.14159265359)+BR39+BS39+BT39)/12+AL39,SUM(AF39:AG39,BR39,BS39,BT39,AO39,AQ39)/12)</f>
        <v>#N/A</v>
      </c>
      <c r="BW39" t="str">
        <f>IFERROR(LEFT(Data!L39,FIND(" -",Data!L39)-1),"")</f>
        <v/>
      </c>
      <c r="BX39" t="str">
        <f>IFERROR(IF(SD!$C$40=SD!$U$2,W39,IF(SD!$C$40=SD!$U$3,RIGHT(Data!L39,LEN(Data!L39)-(FIND("-",Data!L39)+1)),SD!$C$40)),"")</f>
        <v>#7</v>
      </c>
      <c r="BY39" t="str" cm="1">
        <f t="array" ref="BY39">IFERROR(_xlfn.LET(_xlpm.GRR,IF(AND(SD!$C$19=SD!$H$2,Grade!$G$1="Per level"),VLOOKUP(B39,Grade!$E$1:$F$200,2,FALSE),IF(AND(SD!$C$19=SD!$H$2,Grade!$G$1="Per Bar Size"),VLOOKUP(BX39,Grade!$B$1:$C$12,2,0),SD!$C$19)),_xlpm.is_equal, A38=A39,_xlpm.grade_range, IF(_xlpm.GRR=SD!$H$3, A615GR60,IF(_xlpm.GRR=SD!$H$4, A615GR75,IF(_xlpm.GRR=SD!$H$5, A615GR80,IF(_xlpm.GRR=SD!H43, A615GR100,IF(_xlpm.GRR=SD!$H$7, A706GR60,IF(_xlpm.GRR=SD!$H$8, A706GR80)))))),_xlpm.match_result, MATCH(1, (BSize=BX39)*(BCName=SD!$C$8), 0),_xlpm.final_result, INDEX(_xlpm.grade_range, _xlpm.match_result),IF(_xlpm.is_equal, "", _xlpm.final_result)),"")</f>
        <v/>
      </c>
      <c r="BZ39" t="str">
        <f>IF(A38=A39,"",IF(SD!$C$41="Match Vertical Bars ",X39,IF(SD!$C$41=SD!$V$3,BW39,SD!$C$41)))</f>
        <v/>
      </c>
      <c r="CA39" t="str" cm="1">
        <f t="array" ref="CA39">IF(A38=A39,"",IF(SD!$C$44="No T-Head",IF(SD!$C$42=SD!$Q$3,VLOOKUP(BX39,S90Range,3,FALSE),LEFT(SD!$C$42,FIND("-",SD!$C$42)-1)+(RIGHT(SD!$C$42,LEN(SD!$C$42)-FIND("-",SD!$C$42))/12)),IF(SD!$C$44="T-Head",_xlfn._xlws.FILTER(THead,(TCName=SD!$C$8)*(TSize=BX39)),IF(SD!$C$44="Level Wise",_xlfn.LET(_xlpm.result,_xlfn.XLOOKUP(B39,VDLevel,VDLevelStatus,"No"),IF(_xlpm.result="Yes",_xlfn._xlws.FILTER(THead,(TCName=SD!$C$8)*(TSize=BX39)),IF(SD!$C$42=SD!$Q$3,VLOOKUP(BX39,S90Range,3,FALSE),LEFT(SD!$C$42,FIND("-",SD!$C$42)-1)+(RIGHT(SD!$C$42,LEN(SD!$C$42)-FIND("-", SD!$C$42))/12)))),IF(SD!$C$44="BarSize Wise",_xlfn.LET(_xlpm.result,_xlfn.XLOOKUP(BX39,VDBarSize,VDBarSizeStatus,"No"),IF(_xlpm.result="Yes",_xlfn._xlws.FILTER(THead,(TCName=SD!$C$8)*(TSize=BX39)),IF(SD!$C$42=SD!$Q$3,VLOOKUP(BX39,S90Range,3,FALSE),LEFT(SD!$C$42,FIND("-",SD!$C$42)-1)+(RIGHT(SD!$C$42,LEN(SD!$C$42)-FIND("-",SD!$C$42))/12)))), "")))))</f>
        <v/>
      </c>
      <c r="CB39" t="str" cm="1">
        <f t="array" ref="CB39">_xlfn.LET(_xlpm.GRR,IF(AND(SD!$C$19=SD!$H$2,Grade!$G$1="Per level"),VLOOKUP(B39,Grade!$E$1:$F$200,2,FALSE),IF(AND(SD!$C$19=SD!$H$2,Grade!$G$1="Per Bar Size"),VLOOKUP(BX39,Grade!$B$1:$C$12,2,0),SD!$C$19)),_xlpm.is_coupler, K39="Coupler",_xlpm.condition1, SD!$C$43=SD!$W$2,_xlpm.data_j2_empty, Data!$J39="",_xlpm.lookup_table, IF(SD!$C$11="Create", Lap!$A$3:$BF$14, IF(SD!$C$11="Per Uploaded File", Lap!$A$19:$BF$30, "")),_xlpm.row_match, MATCH(BX39, Lap!$A$3:$A$14, 0),_xlpm.grade_offset, IF(IFERROR(FIND("Grade 60",_xlpm.GRR), 0) &gt; 0, 0, IF(IFERROR(FIND("Grade 80",_xlpm.GRR), 0), 1, IF(IFERROR(FIND("Grade 75",_xlpm.GRR), 0), 2, ""))),_xlpm.col_match, MATCH(VALUE(D39), Lap!$A$3:$BF$3, 0) + _xlpm.grade_offset,_xlpm.index_result, IFERROR(INDEX(_xlpm.lookup_table, _xlpm.row_match, _xlpm.col_match), Data!$J39),_xlpm.result_if_condition1, IF(_xlpm.data_j2_empty, _xlpm.index_result, Data!$J39),IF(_xlpm.is_coupler, 0, IF(_xlpm.condition1, _xlpm.result_if_condition1, SD!$C$43)))</f>
        <v>3-6</v>
      </c>
      <c r="CC39" s="24">
        <f t="shared" si="11"/>
        <v>3.5</v>
      </c>
      <c r="CD39">
        <f t="shared" si="12"/>
        <v>4.166666666666667</v>
      </c>
      <c r="CE39" t="str" cm="1">
        <f t="array" ref="CE39">IF(BY39="","",_xlfn._xlws.FILTER(SAC,(CName=SD!$C$8)*(EName="Vert Dowels")))</f>
        <v/>
      </c>
      <c r="CF39" t="str" cm="1">
        <f t="array" ref="CF39">IFERROR(IF(BY39="","",IF(K39="Coupler",_xlfn._xlws.FILTER(CCoupler,(CCName=SD!$C$8)*(CBSize=IF(A38=A39,W38&amp;W39,BX39&amp;W39))*(CCMFM="Male")),"")),"N/A")</f>
        <v/>
      </c>
      <c r="CG39" t="str">
        <f t="shared" si="13"/>
        <v/>
      </c>
      <c r="CH39" t="str">
        <f t="shared" si="14"/>
        <v/>
      </c>
      <c r="CI39" t="str">
        <f>_xlfn.LET(_xlpm.u3_value, U40,_xlpm.hyphen_pos,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K40="Coupler",_xlpm.coupler_value, IF(_xlpm.is_coupler, 0, _xlpm.calculated_value),_xlpm.final_value, _xlpm.calculated_value + SD!$E$13 + _xlpm.coupler_value,IF(CG39="", "", _xlpm.final_value))</f>
        <v/>
      </c>
      <c r="CJ39" t="str" cm="1">
        <f t="array" ref="CJ39">IF(CG39="","",_xlfn._xlws.FILTER(SAC,(CName=SD!$C$8)*(EName="Loose Dowels")))</f>
        <v/>
      </c>
      <c r="CK39" t="str" cm="1">
        <f t="array" ref="CK39">IFERROR(IF(CG39="","",IF(K40="Coupler",_xlfn._xlws.FILTER(CCoupler,(CCName=SD!$C$8)*(CBSize=IF(A39=A40,W39&amp;W40,""))*(CCMFM="Male")),"")),"N/A")</f>
        <v/>
      </c>
      <c r="CL39" t="str">
        <f>IFERROR(IF(AM39="Spiral","",IF(A38=A39,"",IF(SD!$C$37=0,"",SD!$C$37))),"")</f>
        <v/>
      </c>
      <c r="CN39">
        <f>IF(AM39="Spiral","",IFERROR(IF(SD!$C$36=0,"",SD!$C$36),""))</f>
        <v>5</v>
      </c>
      <c r="CP39" t="str">
        <f>IFERROR(IF(SD!$C$42=SD!$Q$3,'Take-off'!CA39,""),"")</f>
        <v/>
      </c>
      <c r="CR39">
        <f>IFERROR(IF(SD!$C$22=SD!$U$2,W39,SD!$C$22),"")</f>
        <v>0</v>
      </c>
      <c r="CS39" t="str" cm="1">
        <f t="array" ref="CS39">_xlfn.LET(_xlpm.GR,IF(AND(SD!$C$19=SD!$H$2,Grade!$G$1="Per level"),VLOOKUP(B39,Grade!$E$1:$F$200,2,FALSE),IF(AND(SD!$C$19=SD!$H$2,Grade!$G$1="Per Bar Size"),VLOOKUP(CR39,Grade!$B$1:$C$12,2,0),SD!$C$19)),IF(SD!$C$20=SD!$R$4,IF(A40=A39,"",INDEX(IF(_xlpm.GR=SD!$H$3,A615GR60,IF(_xlpm.GR=SD!$H$4,A615GR75,IF(_xlpm.GR=SD!$H$5,A615GR80,IF(_xlpm.GR=SD!H43,A615GR100,IF(_xlpm.GR=SD!$H$7,A706GR60,IF(_xlpm.GR=SD!$H$8,A706GR80)))))), MATCH(1, (BSize=CR39)*(BCName=SD!$C$8), 0))),""))</f>
        <v/>
      </c>
      <c r="CT39" t="str">
        <f>IF(A40=A39,"",IF(SD!$C$23="Match Vertical Bars ",X39,SD!$C$23))</f>
        <v/>
      </c>
      <c r="CU39" t="str" cm="1">
        <f t="array" ref="CU39">IF(A40=A39,"",IF(SD!$C$20="Top dowels",IF(SD!$E$25="No T-Head",IF(SD!$C$24=SD!$Q$3,VLOOKUP(CR39,S90Range,3,FALSE),LEFT(SD!$C$24,FIND("-",SD!$C$24)-1)+(RIGHT(SD!$C$24,LEN(SD!$C$24)-FIND("-",SD!$C$24))/12)),IF(SD!$E$25="T-Head",_xlfn._xlws.FILTER(THead,(TCName=SD!$C$8)*(TSize=CR39)),IF(SD!$E$25="Level Wise",_xlfn.LET(_xlpm.result,_xlfn.XLOOKUP(B39,TDLevel,TDLevelStatus,"No"),IF(_xlpm.result="Yes",_xlfn._xlws.FILTER(THead,(TCName=SD!$C$8)*(TSize=CR39)),IF(SD!$C$24=SD!$Q$3,VLOOKUP(CR39,S90Range,3,FALSE),LEFT(SD!$C$24,FIND("-",SD!$C$24)-1)+(RIGHT(SD!$C$24,LEN(SD!$C$24)-FIND("-", SD!$C$24))/12)))),IF(SD!$E$25="BarSize Wise",_xlfn.LET(_xlpm.result,_xlfn.XLOOKUP(CR39,TDBarSize,TDBarSizeStatus,"No"),IF(_xlpm.result="Yes",_xlfn._xlws.FILTER(THead,(TCName=SD!$C$8)*(TSize=CR39)),IF(SD!$C$24=SD!$Q$3,VLOOKUP(CR39,S90Range,3,FALSE),LEFT(SD!$C$24,FIND("-",SD!$C$24)-1)+(RIGHT(SD!$C$24,LEN(SD!$C$24)-FIND("-",SD!$C$24))/12)))), "")))),""))</f>
        <v/>
      </c>
      <c r="CV39" t="str">
        <f>_xlfn.LET(_xlpm.GRR,IF(AND(SD!$C$19=SD!$H$2,Grade!$G$1="Per level"),VLOOKUP(B39,Grade!$E$1:$F$200,2,FALSE),IF(AND(SD!$C$19=SD!$H$2,Grade!$G$1="Per Bar Size"),VLOOKUP(CR39,Grade!$B$1:$C$12,2,0),SD!$C$19)),IF(SD!$C$25=SD!$W$2,IF(Data!$J39="",IFERROR(INDEX(IF(SD!$C$11="Create",Lap!$A$3:$BF$14,IF(SD!$C$11="Per Uploaded File",Lap!$A$19:$BF$30,"")),MATCH(CR39,Lap!$A$3:$A$14,0),MATCH(VALUE(D39),Lap!$A$3:$BF$3,0)+IF(IFERROR(FIND("Grade 60",_xlpm.GRR),0)&gt;0,0,IF(IFERROR(FIND("Grade 80",_xlpm.GRR),0),1,IF(IFERROR(FIND("Grade 75",_xlpm.GRR),0),2,"")))),""),Data!J39),SD!$C$43))</f>
        <v>Match Lap</v>
      </c>
      <c r="CW39">
        <f t="shared" si="15"/>
        <v>0</v>
      </c>
      <c r="CX39">
        <f t="shared" si="16"/>
        <v>0</v>
      </c>
      <c r="CY39" t="str">
        <f t="shared" si="17"/>
        <v/>
      </c>
      <c r="DA39" t="str">
        <f t="shared" si="18"/>
        <v/>
      </c>
      <c r="DB39" t="str">
        <f t="shared" si="19"/>
        <v/>
      </c>
      <c r="DC39" s="24" t="str">
        <f t="shared" si="20"/>
        <v/>
      </c>
      <c r="DD39">
        <f t="shared" si="21"/>
        <v>10.583333333333334</v>
      </c>
      <c r="DE39" t="s">
        <v>785</v>
      </c>
      <c r="DF39" t="s">
        <v>67</v>
      </c>
      <c r="DG39" t="str">
        <f>VLOOKUP(W39,'Level Wise PSI'!$F$2:$G$12,2,FALSE)</f>
        <v>Double Lift</v>
      </c>
      <c r="DI39" t="str" cm="1">
        <f t="array" ref="DI39">_xlfn.LET(_xlpm.Coup,IFERROR(IF(BY39="","",IF(K39="Coupler",_xlfn._xlws.FILTER(CCFCoupler,(CCName=SD!$C$8)*(CBSize=IF(A38=A39,W38&amp;W39,BX39&amp;W39))),"")),"N/A"),IF(_xlpm.Coup=0,"",_xlpm.Coup))</f>
        <v/>
      </c>
      <c r="DJ39" t="str" cm="1">
        <f t="array" ref="DJ39">_xlfn.LET(_xlpm.Coup3,IFERROR(IF(CG39="","",IF(K40="Coupler",_xlfn._xlws.FILTER(CCFCoupler,(CCName=SD!$C$8)*(CBSize=IF(A39=A40,W39&amp;W40,""))),"")),"N/A"),IF(_xlpm.Coup3=0,"",_xlpm.Coup3))</f>
        <v/>
      </c>
      <c r="DK39" t="str" cm="1">
        <f t="array" ref="DK39">_xlfn.LET(_xlpm.Coup2,IFERROR(IF(A39&lt;&gt;A40,"",IF(DF39="No Lap","",IF(K40="Coupler",_xlfn._xlws.FILTER(CCFCoupler,(CCName=SD!$C$8)*(CBSize=IF(A38=A39,W39&amp;W40,W39&amp;W39))),""))),"N/A"),IF(_xlpm.Coup2=0,"",_xlpm.Coup2))</f>
        <v/>
      </c>
      <c r="DM39" t="str">
        <f>IF(AM39="Spiral","",IF(SD!$C$31=SD!$Y$3,SD!$E$32*2,""))</f>
        <v/>
      </c>
      <c r="DO39" s="24">
        <f t="shared" si="22"/>
        <v>2.5</v>
      </c>
      <c r="DQ39" t="str">
        <f t="shared" si="23"/>
        <v>Lig</v>
      </c>
      <c r="DR39" t="str">
        <f>IF(AM39="Spiral",((Y39-(SD!$E$12*2))/12),"")</f>
        <v/>
      </c>
      <c r="DS39" t="str">
        <f t="shared" si="24"/>
        <v/>
      </c>
      <c r="DT39" t="str">
        <f t="shared" si="25"/>
        <v/>
      </c>
      <c r="DU39" t="str">
        <f t="shared" si="26"/>
        <v/>
      </c>
    </row>
    <row r="40" spans="1:125" x14ac:dyDescent="0.25">
      <c r="A40">
        <v>27</v>
      </c>
      <c r="B40" t="s">
        <v>682</v>
      </c>
      <c r="C40" s="15">
        <v>2429</v>
      </c>
      <c r="D40" s="15">
        <v>10000</v>
      </c>
      <c r="E40" t="str">
        <f>IF(B40=Level!$A$2,SD!$C$14,SD!$C$13)</f>
        <v>0-8</v>
      </c>
      <c r="F40" s="15" t="s">
        <v>787</v>
      </c>
      <c r="G40" t="s">
        <v>745</v>
      </c>
      <c r="H40" t="str">
        <f>RIGHT(VLOOKUP(B40,Level!A:C,3,FALSE),LEN(VLOOKUP(B40,Level!A:C,3,FALSE))-1)</f>
        <v>10-7</v>
      </c>
      <c r="I40" t="s">
        <v>746</v>
      </c>
      <c r="J40" t="str">
        <f>IF(AND(SD!$C$19=SD!$H$2,Grade!$G$1="Per level"),VLOOKUP(B40,Grade!$E$1:$F$200,2,FALSE),IF(AND(SD!$C$19=SD!$H$2,Grade!$G$1="Per Bar Size"),VLOOKUP(W40,Grade!$B$1:$C$12,2,0),SD!$C$19))</f>
        <v>A615 Grade 60</v>
      </c>
      <c r="K40" t="s">
        <v>67</v>
      </c>
      <c r="L40" t="str">
        <f>IFERROR(IF(A40&lt;&gt;A41,"",IF(DF40="No Lap","",IF(K41="Lap",U40,IF(K41="Coupler",_xlfn._xlws.FILTER(CCoupler,(CCName=SD!$C$8)*(CBSize=IF(A39=A40,W40&amp;W41,W40&amp;W40))*(CCMFM="Male")),"")))),"N/A")</f>
        <v>3-6</v>
      </c>
      <c r="M40" t="str">
        <f t="shared" si="0"/>
        <v/>
      </c>
      <c r="N40" t="s">
        <v>719</v>
      </c>
      <c r="O40" t="s">
        <v>720</v>
      </c>
      <c r="P40" t="s">
        <v>719</v>
      </c>
      <c r="Q40" t="str">
        <f>IF(AND(SD!$C$29=SD!$P$2,Grade!$O$1="Per level"),VLOOKUP(B40,Grade!$M$1:$N$200,2,FALSE),IF(AND(SD!$C$29=SD!$P$2,Grade!$O$1="Per Bar Size"),VLOOKUP(LEFT(N40,FIND("@",N40)-2),Grade!$J$1:$K$12,2,0),SD!$C$29))</f>
        <v>A615 Grade 60</v>
      </c>
      <c r="R40" t="s">
        <v>747</v>
      </c>
      <c r="S40" s="57">
        <v>40</v>
      </c>
      <c r="U40" t="str">
        <f>IF(Data!$J40="",IFERROR(INDEX(IF(SD!$C$11="Create",Lap!$A$3:$BF$14,IF(SD!$C$11="Per Uploaded File",Lap!$A$19:$BF$30,"")),MATCH(W40,Lap!$A$3:$A$14,0),MATCH(VALUE(D40),Lap!$A$3:$BF$3,0)+IF(IFERROR(FIND("Grade 60",J40),0)&gt;0,0,IF(IFERROR(FIND("Grade 80",J40),0),1,IF(IFERROR(FIND("Grade 75",J40),0),2,"")))),""),Data!J40)</f>
        <v>3-6</v>
      </c>
      <c r="W40" t="s">
        <v>139</v>
      </c>
      <c r="X40">
        <v>10</v>
      </c>
      <c r="Y40" t="str">
        <f t="shared" si="1"/>
        <v xml:space="preserve">18 </v>
      </c>
      <c r="Z40" t="str">
        <f t="shared" si="2"/>
        <v xml:space="preserve"> 30</v>
      </c>
      <c r="AA40" s="24">
        <f t="shared" si="3"/>
        <v>14.083333333333334</v>
      </c>
      <c r="BB40" t="e" cm="1">
        <f t="array" ref="BB40">_xlfn.LET(_xlpm.PartF,(_xlfn.LET(_xlpm.grade, Q40,_xlpm.gradeRange, IF(_xlpm.grade=SD!$H$3, A615GR60, IF(_xlpm.grade=SD!$H$4, A615GR75, IF(_xlpm.grade=SD!$H$5, A615GR80, IF(_xlpm.grade=SD!$H$6, A615GR100, IF(_xlpm.grade=SD!$H$7, A706GR60, IF(_xlpm.grade=SD!$H$8, A706GR80)))))),_xlpm.matchValue, MATCH(1, (SD!$AW:$AW=AS40)*(SD!$AX:$AX=SD!$C$8), 0),INDEX(_xlpm.gradeRange, _xlpm.matchValue))),IF(AM40="Spiral",CONCATENATE("SP",_xlpm.PartF),_xlpm.PartF))</f>
        <v>#N/A</v>
      </c>
      <c r="BC40" cm="1">
        <f t="array" ref="BC40">_xlfn.LET(_xlpm.leftPart, LEFT(O40, FIND("@", O40) - 2),_xlpm.grade,Q40,_xlpm.gradeRange,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0" cm="1">
        <f t="array" ref="BD40">_xlfn.LET(_xlpm.leftPart, LEFT(P40, FIND("@", P40) - 2),_xlpm.grade, Q40,_xlpm.gradeRange,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0">
        <f t="shared" si="4"/>
        <v>2.5</v>
      </c>
      <c r="BF40">
        <f>IF(SD!$C$32=SD!$I$2,BE40,IF(SD!$C$32=SD!$I$3,DO40,IF(SD!$C$32=SD!$I$5,BA40,IF(SD!$C$32=SD!$I$6,(LEFT(SD!$C$35,FIND("-",SD!$C$35)-1)+RIGHT(SD!$C$35,LEN(SD!$C$35)-FIND("-",SD!$C$35))/12),IF(SD!$C$32=SD!$I$4,(AU40-(BG40+BH40)))))))</f>
        <v>0</v>
      </c>
      <c r="BG40">
        <f>IF(SD!$C$33=SD!$I$2,BE40,IF(SD!$C$33=SD!$I$3,DO40,IF(SD!$C$33=SD!$I$5,BA40,IF(SD!$C$33=SD!$I$6,(LEFT(SD!$C$35,FIND("-",SD!$C$35)-1)+RIGHT(SD!$C$35,LEN(SD!$C$35)-FIND("-",SD!$C$35))/12),IF(SD!$C$33=SD!$I$4,(AU40-(BF40+BH40)))))))</f>
        <v>-1</v>
      </c>
      <c r="BH40">
        <f>IF(SD!$C$34=SD!$I$2,BE40,IF(SD!$C$34=SD!$I$3,DO40,IF(SD!$C$34=SD!$I$5,BA40,IF(SD!$C$34=SD!$I$6,(LEFT(SD!$C$35,FIND("-",SD!$C$35)-1)+RIGHT(SD!$C$35,LEN(SD!$C$35)-FIND("-",SD!$C$35))/12),IF(SD!$C$34=SD!$I$4,(AU40-(BF40+BG40)))))))</f>
        <v>1</v>
      </c>
      <c r="BJ40">
        <f>IF(AM40="Spiral","1",MAX(ROUNDUP(IF(SD!$C$32="",AT40,BF40/(LEFT(RIGHT(N40,LEN(N40)-FIND("@",N40)),LEN(RIGHT(N40,LEN(N40)-FIND("@",N40)))-1)/12)+1),0),0))</f>
        <v>1</v>
      </c>
      <c r="BK40">
        <f>MAX(ROUNDUP(IF(SD!$C$33="","",BG40/(LEFT(RIGHT(O40,LEN(O40)-FIND("@",O40)),LEN(RIGHT(O40,LEN(O40)-FIND("@",O40)))-1)/12)+1),0),0)</f>
        <v>0</v>
      </c>
      <c r="BL40">
        <f>MAX(ROUNDUP(IF(SD!$C$34="","",BH40/(LEFT(RIGHT(P40,LEN(P40)-FIND("@",P40)),LEN(RIGHT(P40,LEN(P40)-FIND("@",P40)))-1)/12)+1),0),0)</f>
        <v>3</v>
      </c>
      <c r="BN40" t="e">
        <f t="shared" si="5"/>
        <v>#N/A</v>
      </c>
      <c r="BO40" t="e">
        <f t="shared" si="6"/>
        <v>#N/A</v>
      </c>
      <c r="BP40" t="e">
        <f t="shared" si="7"/>
        <v>#N/A</v>
      </c>
      <c r="BQ40" s="24" t="e">
        <f>IF(AM40=TRUE,(((Y40-(SD!$E$12*2))*3.14159265359)+BN40+BO40+BP40)/12+AL40,SUM(AF40:AG40,BN40,BO40,BP40,AO40,AQ40)/12)</f>
        <v>#N/A</v>
      </c>
      <c r="BR40" t="e">
        <f t="shared" si="8"/>
        <v>#N/A</v>
      </c>
      <c r="BS40" t="e">
        <f t="shared" si="9"/>
        <v>#N/A</v>
      </c>
      <c r="BT40" t="e">
        <f t="shared" si="10"/>
        <v>#N/A</v>
      </c>
      <c r="BU40" s="24" t="e">
        <f>IF(AM40=TRUE,(((Y40-(SD!$E$12*2))*3.14159265359)+BR40+BS40+BT40)/12+AL40,SUM(AF40:AG40,BR40,BS40,BT40,AO40,AQ40)/12)</f>
        <v>#N/A</v>
      </c>
      <c r="BW40" t="str">
        <f>IFERROR(LEFT(Data!L40,FIND(" -",Data!L40)-1),"")</f>
        <v/>
      </c>
      <c r="BX40" t="str">
        <f>IFERROR(IF(SD!$C$40=SD!$U$2,W40,IF(SD!$C$40=SD!$U$3,RIGHT(Data!L40,LEN(Data!L40)-(FIND("-",Data!L40)+1)),SD!$C$40)),"")</f>
        <v>#7</v>
      </c>
      <c r="BY40" t="str" cm="1">
        <f t="array" ref="BY40">IFERROR(_xlfn.LET(_xlpm.GRR,IF(AND(SD!$C$19=SD!$H$2,Grade!$G$1="Per level"),VLOOKUP(B40,Grade!$E$1:$F$200,2,FALSE),IF(AND(SD!$C$19=SD!$H$2,Grade!$G$1="Per Bar Size"),VLOOKUP(BX40,Grade!$B$1:$C$12,2,0),SD!$C$19)),_xlpm.is_equal, A39=A40,_xlpm.grade_range, IF(_xlpm.GRR=SD!$H$3, A615GR60,IF(_xlpm.GRR=SD!$H$4, A615GR75,IF(_xlpm.GRR=SD!$H$5, A615GR80,IF(_xlpm.GRR=SD!H44, A615GR100,IF(_xlpm.GRR=SD!$H$7, A706GR60,IF(_xlpm.GRR=SD!$H$8, A706GR80)))))),_xlpm.match_result, MATCH(1, (BSize=BX40)*(BCName=SD!$C$8), 0),_xlpm.final_result, INDEX(_xlpm.grade_range, _xlpm.match_result),IF(_xlpm.is_equal, "", _xlpm.final_result)),"")</f>
        <v/>
      </c>
      <c r="BZ40" t="str">
        <f>IF(A39=A40,"",IF(SD!$C$41="Match Vertical Bars ",X40,IF(SD!$C$41=SD!$V$3,BW40,SD!$C$41)))</f>
        <v/>
      </c>
      <c r="CA40" t="str" cm="1">
        <f t="array" ref="CA40">IF(A39=A40,"",IF(SD!$C$44="No T-Head",IF(SD!$C$42=SD!$Q$3,VLOOKUP(BX40,S90Range,3,FALSE),LEFT(SD!$C$42,FIND("-",SD!$C$42)-1)+(RIGHT(SD!$C$42,LEN(SD!$C$42)-FIND("-",SD!$C$42))/12)),IF(SD!$C$44="T-Head",_xlfn._xlws.FILTER(THead,(TCName=SD!$C$8)*(TSize=BX40)),IF(SD!$C$44="Level Wise",_xlfn.LET(_xlpm.result,_xlfn.XLOOKUP(B40,VDLevel,VDLevelStatus,"No"),IF(_xlpm.result="Yes",_xlfn._xlws.FILTER(THead,(TCName=SD!$C$8)*(TSize=BX40)),IF(SD!$C$42=SD!$Q$3,VLOOKUP(BX40,S90Range,3,FALSE),LEFT(SD!$C$42,FIND("-",SD!$C$42)-1)+(RIGHT(SD!$C$42,LEN(SD!$C$42)-FIND("-", SD!$C$42))/12)))),IF(SD!$C$44="BarSize Wise",_xlfn.LET(_xlpm.result,_xlfn.XLOOKUP(BX40,VDBarSize,VDBarSizeStatus,"No"),IF(_xlpm.result="Yes",_xlfn._xlws.FILTER(THead,(TCName=SD!$C$8)*(TSize=BX40)),IF(SD!$C$42=SD!$Q$3,VLOOKUP(BX40,S90Range,3,FALSE),LEFT(SD!$C$42,FIND("-",SD!$C$42)-1)+(RIGHT(SD!$C$42,LEN(SD!$C$42)-FIND("-",SD!$C$42))/12)))), "")))))</f>
        <v/>
      </c>
      <c r="CB40" t="str" cm="1">
        <f t="array" ref="CB40">_xlfn.LET(_xlpm.GRR,IF(AND(SD!$C$19=SD!$H$2,Grade!$G$1="Per level"),VLOOKUP(B40,Grade!$E$1:$F$200,2,FALSE),IF(AND(SD!$C$19=SD!$H$2,Grade!$G$1="Per Bar Size"),VLOOKUP(BX40,Grade!$B$1:$C$12,2,0),SD!$C$19)),_xlpm.is_coupler, K40="Coupler",_xlpm.condition1, SD!$C$43=SD!$W$2,_xlpm.data_j2_empty, Data!$J40="",_xlpm.lookup_table, IF(SD!$C$11="Create", Lap!$A$3:$BF$14, IF(SD!$C$11="Per Uploaded File", Lap!$A$19:$BF$30, "")),_xlpm.row_match, MATCH(BX40, Lap!$A$3:$A$14, 0),_xlpm.grade_offset, IF(IFERROR(FIND("Grade 60",_xlpm.GRR), 0) &gt; 0, 0, IF(IFERROR(FIND("Grade 80",_xlpm.GRR), 0), 1, IF(IFERROR(FIND("Grade 75",_xlpm.GRR), 0), 2, ""))),_xlpm.col_match, MATCH(VALUE(D40), Lap!$A$3:$BF$3, 0) + _xlpm.grade_offset,_xlpm.index_result, IFERROR(INDEX(_xlpm.lookup_table, _xlpm.row_match, _xlpm.col_match), Data!$J40),_xlpm.result_if_condition1, IF(_xlpm.data_j2_empty, _xlpm.index_result, Data!$J40),IF(_xlpm.is_coupler, 0, IF(_xlpm.condition1, _xlpm.result_if_condition1, SD!$C$43)))</f>
        <v>3-6</v>
      </c>
      <c r="CC40" s="24">
        <f t="shared" si="11"/>
        <v>3.5</v>
      </c>
      <c r="CD40">
        <f t="shared" si="12"/>
        <v>4.166666666666667</v>
      </c>
      <c r="CE40" t="str" cm="1">
        <f t="array" ref="CE40">IF(BY40="","",_xlfn._xlws.FILTER(SAC,(CName=SD!$C$8)*(EName="Vert Dowels")))</f>
        <v/>
      </c>
      <c r="CF40" t="str" cm="1">
        <f t="array" ref="CF40">IFERROR(IF(BY40="","",IF(K40="Coupler",_xlfn._xlws.FILTER(CCoupler,(CCName=SD!$C$8)*(CBSize=IF(A39=A40,W39&amp;W40,BX40&amp;W40))*(CCMFM="Male")),"")),"N/A")</f>
        <v/>
      </c>
      <c r="CG40" t="str">
        <f t="shared" si="13"/>
        <v/>
      </c>
      <c r="CH40" t="str">
        <f t="shared" si="14"/>
        <v/>
      </c>
      <c r="CI40" t="str">
        <f>_xlfn.LET(_xlpm.u3_value, U41,_xlpm.hyphen_pos,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K41="Coupler",_xlpm.coupler_value, IF(_xlpm.is_coupler, 0, _xlpm.calculated_value),_xlpm.final_value, _xlpm.calculated_value + SD!$E$13 + _xlpm.coupler_value,IF(CG40="", "", _xlpm.final_value))</f>
        <v/>
      </c>
      <c r="CJ40" t="str" cm="1">
        <f t="array" ref="CJ40">IF(CG40="","",_xlfn._xlws.FILTER(SAC,(CName=SD!$C$8)*(EName="Loose Dowels")))</f>
        <v/>
      </c>
      <c r="CK40" t="str" cm="1">
        <f t="array" ref="CK40">IFERROR(IF(CG40="","",IF(K41="Coupler",_xlfn._xlws.FILTER(CCoupler,(CCName=SD!$C$8)*(CBSize=IF(A40=A41,W40&amp;W41,""))*(CCMFM="Male")),"")),"N/A")</f>
        <v/>
      </c>
      <c r="CL40" t="str">
        <f>IFERROR(IF(AM40="Spiral","",IF(A39=A40,"",IF(SD!$C$37=0,"",SD!$C$37))),"")</f>
        <v/>
      </c>
      <c r="CN40">
        <f>IF(AM40="Spiral","",IFERROR(IF(SD!$C$36=0,"",SD!$C$36),""))</f>
        <v>5</v>
      </c>
      <c r="CP40" t="str">
        <f>IFERROR(IF(SD!$C$42=SD!$Q$3,'Take-off'!CA40,""),"")</f>
        <v/>
      </c>
      <c r="CR40">
        <f>IFERROR(IF(SD!$C$22=SD!$U$2,W40,SD!$C$22),"")</f>
        <v>0</v>
      </c>
      <c r="CS40" t="str" cm="1">
        <f t="array" ref="CS40">_xlfn.LET(_xlpm.GR,IF(AND(SD!$C$19=SD!$H$2,Grade!$G$1="Per level"),VLOOKUP(B40,Grade!$E$1:$F$200,2,FALSE),IF(AND(SD!$C$19=SD!$H$2,Grade!$G$1="Per Bar Size"),VLOOKUP(CR40,Grade!$B$1:$C$12,2,0),SD!$C$19)),IF(SD!$C$20=SD!$R$4,IF(A41=A40,"",INDEX(IF(_xlpm.GR=SD!$H$3,A615GR60,IF(_xlpm.GR=SD!$H$4,A615GR75,IF(_xlpm.GR=SD!$H$5,A615GR80,IF(_xlpm.GR=SD!H44,A615GR100,IF(_xlpm.GR=SD!$H$7,A706GR60,IF(_xlpm.GR=SD!$H$8,A706GR80)))))), MATCH(1, (BSize=CR40)*(BCName=SD!$C$8), 0))),""))</f>
        <v/>
      </c>
      <c r="CT40" t="str">
        <f>IF(A41=A40,"",IF(SD!$C$23="Match Vertical Bars ",X40,SD!$C$23))</f>
        <v/>
      </c>
      <c r="CU40" t="str" cm="1">
        <f t="array" ref="CU40">IF(A41=A40,"",IF(SD!$C$20="Top dowels",IF(SD!$E$25="No T-Head",IF(SD!$C$24=SD!$Q$3,VLOOKUP(CR40,S90Range,3,FALSE),LEFT(SD!$C$24,FIND("-",SD!$C$24)-1)+(RIGHT(SD!$C$24,LEN(SD!$C$24)-FIND("-",SD!$C$24))/12)),IF(SD!$E$25="T-Head",_xlfn._xlws.FILTER(THead,(TCName=SD!$C$8)*(TSize=CR40)),IF(SD!$E$25="Level Wise",_xlfn.LET(_xlpm.result,_xlfn.XLOOKUP(B40,TDLevel,TDLevelStatus,"No"),IF(_xlpm.result="Yes",_xlfn._xlws.FILTER(THead,(TCName=SD!$C$8)*(TSize=CR40)),IF(SD!$C$24=SD!$Q$3,VLOOKUP(CR40,S90Range,3,FALSE),LEFT(SD!$C$24,FIND("-",SD!$C$24)-1)+(RIGHT(SD!$C$24,LEN(SD!$C$24)-FIND("-", SD!$C$24))/12)))),IF(SD!$E$25="BarSize Wise",_xlfn.LET(_xlpm.result,_xlfn.XLOOKUP(CR40,TDBarSize,TDBarSizeStatus,"No"),IF(_xlpm.result="Yes",_xlfn._xlws.FILTER(THead,(TCName=SD!$C$8)*(TSize=CR40)),IF(SD!$C$24=SD!$Q$3,VLOOKUP(CR40,S90Range,3,FALSE),LEFT(SD!$C$24,FIND("-",SD!$C$24)-1)+(RIGHT(SD!$C$24,LEN(SD!$C$24)-FIND("-",SD!$C$24))/12)))), "")))),""))</f>
        <v/>
      </c>
      <c r="CV40" t="str">
        <f>_xlfn.LET(_xlpm.GRR,IF(AND(SD!$C$19=SD!$H$2,Grade!$G$1="Per level"),VLOOKUP(B40,Grade!$E$1:$F$200,2,FALSE),IF(AND(SD!$C$19=SD!$H$2,Grade!$G$1="Per Bar Size"),VLOOKUP(CR40,Grade!$B$1:$C$12,2,0),SD!$C$19)),IF(SD!$C$25=SD!$W$2,IF(Data!$J40="",IFERROR(INDEX(IF(SD!$C$11="Create",Lap!$A$3:$BF$14,IF(SD!$C$11="Per Uploaded File",Lap!$A$19:$BF$30,"")),MATCH(CR40,Lap!$A$3:$A$14,0),MATCH(VALUE(D40),Lap!$A$3:$BF$3,0)+IF(IFERROR(FIND("Grade 60",_xlpm.GRR),0)&gt;0,0,IF(IFERROR(FIND("Grade 80",_xlpm.GRR),0),1,IF(IFERROR(FIND("Grade 75",_xlpm.GRR),0),2,"")))),""),Data!J40),SD!$C$43))</f>
        <v>Match Lap</v>
      </c>
      <c r="CW40">
        <f t="shared" si="15"/>
        <v>0</v>
      </c>
      <c r="CX40">
        <f t="shared" si="16"/>
        <v>0</v>
      </c>
      <c r="CY40" t="str">
        <f t="shared" si="17"/>
        <v/>
      </c>
      <c r="DA40" t="str">
        <f t="shared" si="18"/>
        <v/>
      </c>
      <c r="DB40" t="str">
        <f t="shared" si="19"/>
        <v/>
      </c>
      <c r="DC40" s="24" t="str">
        <f t="shared" si="20"/>
        <v/>
      </c>
      <c r="DD40">
        <f t="shared" si="21"/>
        <v>10.583333333333334</v>
      </c>
      <c r="DE40" t="s">
        <v>785</v>
      </c>
      <c r="DF40" t="s">
        <v>67</v>
      </c>
      <c r="DG40" t="str">
        <f>VLOOKUP(W40,'Level Wise PSI'!$F$2:$G$12,2,FALSE)</f>
        <v>Double Lift</v>
      </c>
      <c r="DI40" t="str" cm="1">
        <f t="array" ref="DI40">_xlfn.LET(_xlpm.Coup,IFERROR(IF(BY40="","",IF(K40="Coupler",_xlfn._xlws.FILTER(CCFCoupler,(CCName=SD!$C$8)*(CBSize=IF(A39=A40,W39&amp;W40,BX40&amp;W40))),"")),"N/A"),IF(_xlpm.Coup=0,"",_xlpm.Coup))</f>
        <v/>
      </c>
      <c r="DJ40" t="str" cm="1">
        <f t="array" ref="DJ40">_xlfn.LET(_xlpm.Coup3,IFERROR(IF(CG40="","",IF(K41="Coupler",_xlfn._xlws.FILTER(CCFCoupler,(CCName=SD!$C$8)*(CBSize=IF(A40=A41,W40&amp;W41,""))),"")),"N/A"),IF(_xlpm.Coup3=0,"",_xlpm.Coup3))</f>
        <v/>
      </c>
      <c r="DK40" t="str" cm="1">
        <f t="array" ref="DK40">_xlfn.LET(_xlpm.Coup2,IFERROR(IF(A40&lt;&gt;A41,"",IF(DF40="No Lap","",IF(K41="Coupler",_xlfn._xlws.FILTER(CCFCoupler,(CCName=SD!$C$8)*(CBSize=IF(A39=A40,W40&amp;W41,W40&amp;W40))),""))),"N/A"),IF(_xlpm.Coup2=0,"",_xlpm.Coup2))</f>
        <v/>
      </c>
      <c r="DM40" t="str">
        <f>IF(AM40="Spiral","",IF(SD!$C$31=SD!$Y$3,SD!$E$32*2,""))</f>
        <v/>
      </c>
      <c r="DO40" s="24">
        <f t="shared" si="22"/>
        <v>2.5</v>
      </c>
      <c r="DQ40" t="str">
        <f t="shared" si="23"/>
        <v>Lig</v>
      </c>
      <c r="DR40" t="str">
        <f>IF(AM40="Spiral",((Y40-(SD!$E$12*2))/12),"")</f>
        <v/>
      </c>
      <c r="DS40" t="str">
        <f t="shared" si="24"/>
        <v/>
      </c>
      <c r="DT40" t="str">
        <f t="shared" si="25"/>
        <v/>
      </c>
      <c r="DU40" t="str">
        <f t="shared" si="26"/>
        <v/>
      </c>
    </row>
    <row r="41" spans="1:125" x14ac:dyDescent="0.25">
      <c r="A41">
        <v>27</v>
      </c>
      <c r="B41" t="s">
        <v>684</v>
      </c>
      <c r="C41" s="15">
        <v>2429</v>
      </c>
      <c r="D41" s="15">
        <v>10000</v>
      </c>
      <c r="E41" t="str">
        <f>IF(B41=Level!$A$2,SD!$C$14,SD!$C$13)</f>
        <v>0-8</v>
      </c>
      <c r="F41" s="15" t="s">
        <v>787</v>
      </c>
      <c r="G41" t="s">
        <v>745</v>
      </c>
      <c r="H41" t="str">
        <f>RIGHT(VLOOKUP(B41,Level!A:C,3,FALSE),LEN(VLOOKUP(B41,Level!A:C,3,FALSE))-1)</f>
        <v>10-7</v>
      </c>
      <c r="I41" t="s">
        <v>746</v>
      </c>
      <c r="J41" t="str">
        <f>IF(AND(SD!$C$19=SD!$H$2,Grade!$G$1="Per level"),VLOOKUP(B41,Grade!$E$1:$F$200,2,FALSE),IF(AND(SD!$C$19=SD!$H$2,Grade!$G$1="Per Bar Size"),VLOOKUP(W41,Grade!$B$1:$C$12,2,0),SD!$C$19))</f>
        <v>A615 Grade 60</v>
      </c>
      <c r="K41" t="s">
        <v>67</v>
      </c>
      <c r="L41" t="str">
        <f>IFERROR(IF(A41&lt;&gt;A42,"",IF(DF41="No Lap","",IF(K42="Lap",U41,IF(K42="Coupler",_xlfn._xlws.FILTER(CCoupler,(CCName=SD!$C$8)*(CBSize=IF(A40=A41,W41&amp;W42,W41&amp;W41))*(CCMFM="Male")),"")))),"N/A")</f>
        <v>3-6</v>
      </c>
      <c r="M41" t="str">
        <f t="shared" si="0"/>
        <v/>
      </c>
      <c r="N41" t="s">
        <v>719</v>
      </c>
      <c r="O41" t="s">
        <v>720</v>
      </c>
      <c r="P41" t="s">
        <v>719</v>
      </c>
      <c r="Q41" t="str">
        <f>IF(AND(SD!$C$29=SD!$P$2,Grade!$O$1="Per level"),VLOOKUP(B41,Grade!$M$1:$N$200,2,FALSE),IF(AND(SD!$C$29=SD!$P$2,Grade!$O$1="Per Bar Size"),VLOOKUP(LEFT(N41,FIND("@",N41)-2),Grade!$J$1:$K$12,2,0),SD!$C$29))</f>
        <v>A615 Grade 60</v>
      </c>
      <c r="R41" t="s">
        <v>747</v>
      </c>
      <c r="S41" s="57">
        <v>41</v>
      </c>
      <c r="U41" t="str">
        <f>IF(Data!$J41="",IFERROR(INDEX(IF(SD!$C$11="Create",Lap!$A$3:$BF$14,IF(SD!$C$11="Per Uploaded File",Lap!$A$19:$BF$30,"")),MATCH(W41,Lap!$A$3:$A$14,0),MATCH(VALUE(D41),Lap!$A$3:$BF$3,0)+IF(IFERROR(FIND("Grade 60",J41),0)&gt;0,0,IF(IFERROR(FIND("Grade 80",J41),0),1,IF(IFERROR(FIND("Grade 75",J41),0),2,"")))),""),Data!J41)</f>
        <v>3-6</v>
      </c>
      <c r="W41" t="s">
        <v>139</v>
      </c>
      <c r="X41">
        <v>10</v>
      </c>
      <c r="Y41" t="str">
        <f t="shared" si="1"/>
        <v xml:space="preserve">18 </v>
      </c>
      <c r="Z41" t="str">
        <f t="shared" si="2"/>
        <v xml:space="preserve"> 30</v>
      </c>
      <c r="AA41" s="24">
        <f t="shared" si="3"/>
        <v>14.083333333333334</v>
      </c>
      <c r="BB41" t="e" cm="1">
        <f t="array" ref="BB41">_xlfn.LET(_xlpm.PartF,(_xlfn.LET(_xlpm.grade, Q41,_xlpm.gradeRange, IF(_xlpm.grade=SD!$H$3, A615GR60, IF(_xlpm.grade=SD!$H$4, A615GR75, IF(_xlpm.grade=SD!$H$5, A615GR80, IF(_xlpm.grade=SD!$H$6, A615GR100, IF(_xlpm.grade=SD!$H$7, A706GR60, IF(_xlpm.grade=SD!$H$8, A706GR80)))))),_xlpm.matchValue, MATCH(1, (SD!$AW:$AW=AS41)*(SD!$AX:$AX=SD!$C$8), 0),INDEX(_xlpm.gradeRange, _xlpm.matchValue))),IF(AM41="Spiral",CONCATENATE("SP",_xlpm.PartF),_xlpm.PartF))</f>
        <v>#N/A</v>
      </c>
      <c r="BC41" cm="1">
        <f t="array" ref="BC41">_xlfn.LET(_xlpm.leftPart, LEFT(O41, FIND("@", O41) - 2),_xlpm.grade,Q41,_xlpm.gradeRange,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1" cm="1">
        <f t="array" ref="BD41">_xlfn.LET(_xlpm.leftPart, LEFT(P41, FIND("@", P41) - 2),_xlpm.grade, Q41,_xlpm.gradeRange,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1">
        <f t="shared" si="4"/>
        <v>2.5</v>
      </c>
      <c r="BF41">
        <f>IF(SD!$C$32=SD!$I$2,BE41,IF(SD!$C$32=SD!$I$3,DO41,IF(SD!$C$32=SD!$I$5,BA41,IF(SD!$C$32=SD!$I$6,(LEFT(SD!$C$35,FIND("-",SD!$C$35)-1)+RIGHT(SD!$C$35,LEN(SD!$C$35)-FIND("-",SD!$C$35))/12),IF(SD!$C$32=SD!$I$4,(AU41-(BG41+BH41)))))))</f>
        <v>0</v>
      </c>
      <c r="BG41">
        <f>IF(SD!$C$33=SD!$I$2,BE41,IF(SD!$C$33=SD!$I$3,DO41,IF(SD!$C$33=SD!$I$5,BA41,IF(SD!$C$33=SD!$I$6,(LEFT(SD!$C$35,FIND("-",SD!$C$35)-1)+RIGHT(SD!$C$35,LEN(SD!$C$35)-FIND("-",SD!$C$35))/12),IF(SD!$C$33=SD!$I$4,(AU41-(BF41+BH41)))))))</f>
        <v>-1</v>
      </c>
      <c r="BH41">
        <f>IF(SD!$C$34=SD!$I$2,BE41,IF(SD!$C$34=SD!$I$3,DO41,IF(SD!$C$34=SD!$I$5,BA41,IF(SD!$C$34=SD!$I$6,(LEFT(SD!$C$35,FIND("-",SD!$C$35)-1)+RIGHT(SD!$C$35,LEN(SD!$C$35)-FIND("-",SD!$C$35))/12),IF(SD!$C$34=SD!$I$4,(AU41-(BF41+BG41)))))))</f>
        <v>1</v>
      </c>
      <c r="BJ41">
        <f>IF(AM41="Spiral","1",MAX(ROUNDUP(IF(SD!$C$32="",AT41,BF41/(LEFT(RIGHT(N41,LEN(N41)-FIND("@",N41)),LEN(RIGHT(N41,LEN(N41)-FIND("@",N41)))-1)/12)+1),0),0))</f>
        <v>1</v>
      </c>
      <c r="BK41">
        <f>MAX(ROUNDUP(IF(SD!$C$33="","",BG41/(LEFT(RIGHT(O41,LEN(O41)-FIND("@",O41)),LEN(RIGHT(O41,LEN(O41)-FIND("@",O41)))-1)/12)+1),0),0)</f>
        <v>0</v>
      </c>
      <c r="BL41">
        <f>MAX(ROUNDUP(IF(SD!$C$34="","",BH41/(LEFT(RIGHT(P41,LEN(P41)-FIND("@",P41)),LEN(RIGHT(P41,LEN(P41)-FIND("@",P41)))-1)/12)+1),0),0)</f>
        <v>3</v>
      </c>
      <c r="BN41" t="e">
        <f t="shared" si="5"/>
        <v>#N/A</v>
      </c>
      <c r="BO41" t="e">
        <f t="shared" si="6"/>
        <v>#N/A</v>
      </c>
      <c r="BP41" t="e">
        <f t="shared" si="7"/>
        <v>#N/A</v>
      </c>
      <c r="BQ41" s="24" t="e">
        <f>IF(AM41=TRUE,(((Y41-(SD!$E$12*2))*3.14159265359)+BN41+BO41+BP41)/12+AL41,SUM(AF41:AG41,BN41,BO41,BP41,AO41,AQ41)/12)</f>
        <v>#N/A</v>
      </c>
      <c r="BR41" t="e">
        <f t="shared" si="8"/>
        <v>#N/A</v>
      </c>
      <c r="BS41" t="e">
        <f t="shared" si="9"/>
        <v>#N/A</v>
      </c>
      <c r="BT41" t="e">
        <f t="shared" si="10"/>
        <v>#N/A</v>
      </c>
      <c r="BU41" s="24" t="e">
        <f>IF(AM41=TRUE,(((Y41-(SD!$E$12*2))*3.14159265359)+BR41+BS41+BT41)/12+AL41,SUM(AF41:AG41,BR41,BS41,BT41,AO41,AQ41)/12)</f>
        <v>#N/A</v>
      </c>
      <c r="BW41" t="str">
        <f>IFERROR(LEFT(Data!L41,FIND(" -",Data!L41)-1),"")</f>
        <v/>
      </c>
      <c r="BX41" t="str">
        <f>IFERROR(IF(SD!$C$40=SD!$U$2,W41,IF(SD!$C$40=SD!$U$3,RIGHT(Data!L41,LEN(Data!L41)-(FIND("-",Data!L41)+1)),SD!$C$40)),"")</f>
        <v>#7</v>
      </c>
      <c r="BY41" t="str" cm="1">
        <f t="array" ref="BY41">IFERROR(_xlfn.LET(_xlpm.GRR,IF(AND(SD!$C$19=SD!$H$2,Grade!$G$1="Per level"),VLOOKUP(B41,Grade!$E$1:$F$200,2,FALSE),IF(AND(SD!$C$19=SD!$H$2,Grade!$G$1="Per Bar Size"),VLOOKUP(BX41,Grade!$B$1:$C$12,2,0),SD!$C$19)),_xlpm.is_equal, A40=A41,_xlpm.grade_range, IF(_xlpm.GRR=SD!$H$3, A615GR60,IF(_xlpm.GRR=SD!$H$4, A615GR75,IF(_xlpm.GRR=SD!$H$5, A615GR80,IF(_xlpm.GRR=SD!H45, A615GR100,IF(_xlpm.GRR=SD!$H$7, A706GR60,IF(_xlpm.GRR=SD!$H$8, A706GR80)))))),_xlpm.match_result, MATCH(1, (BSize=BX41)*(BCName=SD!$C$8), 0),_xlpm.final_result, INDEX(_xlpm.grade_range, _xlpm.match_result),IF(_xlpm.is_equal, "", _xlpm.final_result)),"")</f>
        <v/>
      </c>
      <c r="BZ41" t="str">
        <f>IF(A40=A41,"",IF(SD!$C$41="Match Vertical Bars ",X41,IF(SD!$C$41=SD!$V$3,BW41,SD!$C$41)))</f>
        <v/>
      </c>
      <c r="CA41" t="str" cm="1">
        <f t="array" ref="CA41">IF(A40=A41,"",IF(SD!$C$44="No T-Head",IF(SD!$C$42=SD!$Q$3,VLOOKUP(BX41,S90Range,3,FALSE),LEFT(SD!$C$42,FIND("-",SD!$C$42)-1)+(RIGHT(SD!$C$42,LEN(SD!$C$42)-FIND("-",SD!$C$42))/12)),IF(SD!$C$44="T-Head",_xlfn._xlws.FILTER(THead,(TCName=SD!$C$8)*(TSize=BX41)),IF(SD!$C$44="Level Wise",_xlfn.LET(_xlpm.result,_xlfn.XLOOKUP(B41,VDLevel,VDLevelStatus,"No"),IF(_xlpm.result="Yes",_xlfn._xlws.FILTER(THead,(TCName=SD!$C$8)*(TSize=BX41)),IF(SD!$C$42=SD!$Q$3,VLOOKUP(BX41,S90Range,3,FALSE),LEFT(SD!$C$42,FIND("-",SD!$C$42)-1)+(RIGHT(SD!$C$42,LEN(SD!$C$42)-FIND("-", SD!$C$42))/12)))),IF(SD!$C$44="BarSize Wise",_xlfn.LET(_xlpm.result,_xlfn.XLOOKUP(BX41,VDBarSize,VDBarSizeStatus,"No"),IF(_xlpm.result="Yes",_xlfn._xlws.FILTER(THead,(TCName=SD!$C$8)*(TSize=BX41)),IF(SD!$C$42=SD!$Q$3,VLOOKUP(BX41,S90Range,3,FALSE),LEFT(SD!$C$42,FIND("-",SD!$C$42)-1)+(RIGHT(SD!$C$42,LEN(SD!$C$42)-FIND("-",SD!$C$42))/12)))), "")))))</f>
        <v/>
      </c>
      <c r="CB41" t="str" cm="1">
        <f t="array" ref="CB41">_xlfn.LET(_xlpm.GRR,IF(AND(SD!$C$19=SD!$H$2,Grade!$G$1="Per level"),VLOOKUP(B41,Grade!$E$1:$F$200,2,FALSE),IF(AND(SD!$C$19=SD!$H$2,Grade!$G$1="Per Bar Size"),VLOOKUP(BX41,Grade!$B$1:$C$12,2,0),SD!$C$19)),_xlpm.is_coupler, K41="Coupler",_xlpm.condition1, SD!$C$43=SD!$W$2,_xlpm.data_j2_empty, Data!$J41="",_xlpm.lookup_table, IF(SD!$C$11="Create", Lap!$A$3:$BF$14, IF(SD!$C$11="Per Uploaded File", Lap!$A$19:$BF$30, "")),_xlpm.row_match, MATCH(BX41, Lap!$A$3:$A$14, 0),_xlpm.grade_offset, IF(IFERROR(FIND("Grade 60",_xlpm.GRR), 0) &gt; 0, 0, IF(IFERROR(FIND("Grade 80",_xlpm.GRR), 0), 1, IF(IFERROR(FIND("Grade 75",_xlpm.GRR), 0), 2, ""))),_xlpm.col_match, MATCH(VALUE(D41), Lap!$A$3:$BF$3, 0) + _xlpm.grade_offset,_xlpm.index_result, IFERROR(INDEX(_xlpm.lookup_table, _xlpm.row_match, _xlpm.col_match), Data!$J41),_xlpm.result_if_condition1, IF(_xlpm.data_j2_empty, _xlpm.index_result, Data!$J41),IF(_xlpm.is_coupler, 0, IF(_xlpm.condition1, _xlpm.result_if_condition1, SD!$C$43)))</f>
        <v>3-6</v>
      </c>
      <c r="CC41" s="24">
        <f t="shared" si="11"/>
        <v>3.5</v>
      </c>
      <c r="CD41">
        <f t="shared" si="12"/>
        <v>4.166666666666667</v>
      </c>
      <c r="CE41" t="str" cm="1">
        <f t="array" ref="CE41">IF(BY41="","",_xlfn._xlws.FILTER(SAC,(CName=SD!$C$8)*(EName="Vert Dowels")))</f>
        <v/>
      </c>
      <c r="CF41" t="str" cm="1">
        <f t="array" ref="CF41">IFERROR(IF(BY41="","",IF(K41="Coupler",_xlfn._xlws.FILTER(CCoupler,(CCName=SD!$C$8)*(CBSize=IF(A40=A41,W40&amp;W41,BX41&amp;W41))*(CCMFM="Male")),"")),"N/A")</f>
        <v/>
      </c>
      <c r="CG41" t="str">
        <f t="shared" si="13"/>
        <v/>
      </c>
      <c r="CH41" t="str">
        <f t="shared" si="14"/>
        <v/>
      </c>
      <c r="CI41" t="str">
        <f>_xlfn.LET(_xlpm.u3_value, U42,_xlpm.hyphen_pos,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K42="Coupler",_xlpm.coupler_value, IF(_xlpm.is_coupler, 0, _xlpm.calculated_value),_xlpm.final_value, _xlpm.calculated_value + SD!$E$13 + _xlpm.coupler_value,IF(CG41="", "", _xlpm.final_value))</f>
        <v/>
      </c>
      <c r="CJ41" t="str" cm="1">
        <f t="array" ref="CJ41">IF(CG41="","",_xlfn._xlws.FILTER(SAC,(CName=SD!$C$8)*(EName="Loose Dowels")))</f>
        <v/>
      </c>
      <c r="CK41" t="str" cm="1">
        <f t="array" ref="CK41">IFERROR(IF(CG41="","",IF(K42="Coupler",_xlfn._xlws.FILTER(CCoupler,(CCName=SD!$C$8)*(CBSize=IF(A41=A42,W41&amp;W42,""))*(CCMFM="Male")),"")),"N/A")</f>
        <v/>
      </c>
      <c r="CL41" t="str">
        <f>IFERROR(IF(AM41="Spiral","",IF(A40=A41,"",IF(SD!$C$37=0,"",SD!$C$37))),"")</f>
        <v/>
      </c>
      <c r="CN41">
        <f>IF(AM41="Spiral","",IFERROR(IF(SD!$C$36=0,"",SD!$C$36),""))</f>
        <v>5</v>
      </c>
      <c r="CP41" t="str">
        <f>IFERROR(IF(SD!$C$42=SD!$Q$3,'Take-off'!CA41,""),"")</f>
        <v/>
      </c>
      <c r="CR41">
        <f>IFERROR(IF(SD!$C$22=SD!$U$2,W41,SD!$C$22),"")</f>
        <v>0</v>
      </c>
      <c r="CS41" t="str" cm="1">
        <f t="array" ref="CS41">_xlfn.LET(_xlpm.GR,IF(AND(SD!$C$19=SD!$H$2,Grade!$G$1="Per level"),VLOOKUP(B41,Grade!$E$1:$F$200,2,FALSE),IF(AND(SD!$C$19=SD!$H$2,Grade!$G$1="Per Bar Size"),VLOOKUP(CR41,Grade!$B$1:$C$12,2,0),SD!$C$19)),IF(SD!$C$20=SD!$R$4,IF(A42=A41,"",INDEX(IF(_xlpm.GR=SD!$H$3,A615GR60,IF(_xlpm.GR=SD!$H$4,A615GR75,IF(_xlpm.GR=SD!$H$5,A615GR80,IF(_xlpm.GR=SD!H45,A615GR100,IF(_xlpm.GR=SD!$H$7,A706GR60,IF(_xlpm.GR=SD!$H$8,A706GR80)))))), MATCH(1, (BSize=CR41)*(BCName=SD!$C$8), 0))),""))</f>
        <v/>
      </c>
      <c r="CT41" t="str">
        <f>IF(A42=A41,"",IF(SD!$C$23="Match Vertical Bars ",X41,SD!$C$23))</f>
        <v/>
      </c>
      <c r="CU41" t="str" cm="1">
        <f t="array" ref="CU41">IF(A42=A41,"",IF(SD!$C$20="Top dowels",IF(SD!$E$25="No T-Head",IF(SD!$C$24=SD!$Q$3,VLOOKUP(CR41,S90Range,3,FALSE),LEFT(SD!$C$24,FIND("-",SD!$C$24)-1)+(RIGHT(SD!$C$24,LEN(SD!$C$24)-FIND("-",SD!$C$24))/12)),IF(SD!$E$25="T-Head",_xlfn._xlws.FILTER(THead,(TCName=SD!$C$8)*(TSize=CR41)),IF(SD!$E$25="Level Wise",_xlfn.LET(_xlpm.result,_xlfn.XLOOKUP(B41,TDLevel,TDLevelStatus,"No"),IF(_xlpm.result="Yes",_xlfn._xlws.FILTER(THead,(TCName=SD!$C$8)*(TSize=CR41)),IF(SD!$C$24=SD!$Q$3,VLOOKUP(CR41,S90Range,3,FALSE),LEFT(SD!$C$24,FIND("-",SD!$C$24)-1)+(RIGHT(SD!$C$24,LEN(SD!$C$24)-FIND("-", SD!$C$24))/12)))),IF(SD!$E$25="BarSize Wise",_xlfn.LET(_xlpm.result,_xlfn.XLOOKUP(CR41,TDBarSize,TDBarSizeStatus,"No"),IF(_xlpm.result="Yes",_xlfn._xlws.FILTER(THead,(TCName=SD!$C$8)*(TSize=CR41)),IF(SD!$C$24=SD!$Q$3,VLOOKUP(CR41,S90Range,3,FALSE),LEFT(SD!$C$24,FIND("-",SD!$C$24)-1)+(RIGHT(SD!$C$24,LEN(SD!$C$24)-FIND("-",SD!$C$24))/12)))), "")))),""))</f>
        <v/>
      </c>
      <c r="CV41" t="str">
        <f>_xlfn.LET(_xlpm.GRR,IF(AND(SD!$C$19=SD!$H$2,Grade!$G$1="Per level"),VLOOKUP(B41,Grade!$E$1:$F$200,2,FALSE),IF(AND(SD!$C$19=SD!$H$2,Grade!$G$1="Per Bar Size"),VLOOKUP(CR41,Grade!$B$1:$C$12,2,0),SD!$C$19)),IF(SD!$C$25=SD!$W$2,IF(Data!$J41="",IFERROR(INDEX(IF(SD!$C$11="Create",Lap!$A$3:$BF$14,IF(SD!$C$11="Per Uploaded File",Lap!$A$19:$BF$30,"")),MATCH(CR41,Lap!$A$3:$A$14,0),MATCH(VALUE(D41),Lap!$A$3:$BF$3,0)+IF(IFERROR(FIND("Grade 60",_xlpm.GRR),0)&gt;0,0,IF(IFERROR(FIND("Grade 80",_xlpm.GRR),0),1,IF(IFERROR(FIND("Grade 75",_xlpm.GRR),0),2,"")))),""),Data!J41),SD!$C$43))</f>
        <v>Match Lap</v>
      </c>
      <c r="CW41">
        <f t="shared" si="15"/>
        <v>0</v>
      </c>
      <c r="CX41">
        <f t="shared" si="16"/>
        <v>0</v>
      </c>
      <c r="CY41" t="str">
        <f t="shared" si="17"/>
        <v/>
      </c>
      <c r="DA41" t="str">
        <f t="shared" si="18"/>
        <v/>
      </c>
      <c r="DB41" t="str">
        <f t="shared" si="19"/>
        <v/>
      </c>
      <c r="DC41" s="24" t="str">
        <f t="shared" si="20"/>
        <v/>
      </c>
      <c r="DD41">
        <f t="shared" si="21"/>
        <v>10.583333333333334</v>
      </c>
      <c r="DE41" t="s">
        <v>785</v>
      </c>
      <c r="DF41" t="s">
        <v>67</v>
      </c>
      <c r="DG41" t="str">
        <f>VLOOKUP(W41,'Level Wise PSI'!$F$2:$G$12,2,FALSE)</f>
        <v>Double Lift</v>
      </c>
      <c r="DI41" t="str" cm="1">
        <f t="array" ref="DI41">_xlfn.LET(_xlpm.Coup,IFERROR(IF(BY41="","",IF(K41="Coupler",_xlfn._xlws.FILTER(CCFCoupler,(CCName=SD!$C$8)*(CBSize=IF(A40=A41,W40&amp;W41,BX41&amp;W41))),"")),"N/A"),IF(_xlpm.Coup=0,"",_xlpm.Coup))</f>
        <v/>
      </c>
      <c r="DJ41" t="str" cm="1">
        <f t="array" ref="DJ41">_xlfn.LET(_xlpm.Coup3,IFERROR(IF(CG41="","",IF(K42="Coupler",_xlfn._xlws.FILTER(CCFCoupler,(CCName=SD!$C$8)*(CBSize=IF(A41=A42,W41&amp;W42,""))),"")),"N/A"),IF(_xlpm.Coup3=0,"",_xlpm.Coup3))</f>
        <v/>
      </c>
      <c r="DK41" t="str" cm="1">
        <f t="array" ref="DK41">_xlfn.LET(_xlpm.Coup2,IFERROR(IF(A41&lt;&gt;A42,"",IF(DF41="No Lap","",IF(K42="Coupler",_xlfn._xlws.FILTER(CCFCoupler,(CCName=SD!$C$8)*(CBSize=IF(A40=A41,W41&amp;W42,W41&amp;W41))),""))),"N/A"),IF(_xlpm.Coup2=0,"",_xlpm.Coup2))</f>
        <v/>
      </c>
      <c r="DM41" t="str">
        <f>IF(AM41="Spiral","",IF(SD!$C$31=SD!$Y$3,SD!$E$32*2,""))</f>
        <v/>
      </c>
      <c r="DO41" s="24">
        <f t="shared" si="22"/>
        <v>2.5</v>
      </c>
      <c r="DQ41" t="str">
        <f t="shared" si="23"/>
        <v>Lig</v>
      </c>
      <c r="DR41" t="str">
        <f>IF(AM41="Spiral",((Y41-(SD!$E$12*2))/12),"")</f>
        <v/>
      </c>
      <c r="DS41" t="str">
        <f t="shared" si="24"/>
        <v/>
      </c>
      <c r="DT41" t="str">
        <f t="shared" si="25"/>
        <v/>
      </c>
      <c r="DU41" t="str">
        <f t="shared" si="26"/>
        <v/>
      </c>
    </row>
    <row r="42" spans="1:125" x14ac:dyDescent="0.25">
      <c r="A42">
        <v>27</v>
      </c>
      <c r="B42" t="s">
        <v>686</v>
      </c>
      <c r="C42" s="15">
        <v>2429</v>
      </c>
      <c r="D42" s="15">
        <v>10000</v>
      </c>
      <c r="E42" t="str">
        <f>IF(B42=Level!$A$2,SD!$C$14,SD!$C$13)</f>
        <v>0-8</v>
      </c>
      <c r="F42" s="15" t="s">
        <v>787</v>
      </c>
      <c r="G42" t="s">
        <v>745</v>
      </c>
      <c r="H42" t="str">
        <f>RIGHT(VLOOKUP(B42,Level!A:C,3,FALSE),LEN(VLOOKUP(B42,Level!A:C,3,FALSE))-1)</f>
        <v>10-7</v>
      </c>
      <c r="I42" t="s">
        <v>746</v>
      </c>
      <c r="J42" t="str">
        <f>IF(AND(SD!$C$19=SD!$H$2,Grade!$G$1="Per level"),VLOOKUP(B42,Grade!$E$1:$F$200,2,FALSE),IF(AND(SD!$C$19=SD!$H$2,Grade!$G$1="Per Bar Size"),VLOOKUP(W42,Grade!$B$1:$C$12,2,0),SD!$C$19))</f>
        <v>A615 Grade 60</v>
      </c>
      <c r="K42" t="s">
        <v>67</v>
      </c>
      <c r="L42" t="str">
        <f>IFERROR(IF(A42&lt;&gt;A43,"",IF(DF42="No Lap","",IF(K43="Lap",U42,IF(K43="Coupler",_xlfn._xlws.FILTER(CCoupler,(CCName=SD!$C$8)*(CBSize=IF(A41=A42,W42&amp;W43,W42&amp;W42))*(CCMFM="Male")),"")))),"N/A")</f>
        <v>3-6</v>
      </c>
      <c r="M42" t="str">
        <f t="shared" si="0"/>
        <v/>
      </c>
      <c r="N42" t="s">
        <v>719</v>
      </c>
      <c r="O42" t="s">
        <v>720</v>
      </c>
      <c r="P42" t="s">
        <v>719</v>
      </c>
      <c r="Q42" t="str">
        <f>IF(AND(SD!$C$29=SD!$P$2,Grade!$O$1="Per level"),VLOOKUP(B42,Grade!$M$1:$N$200,2,FALSE),IF(AND(SD!$C$29=SD!$P$2,Grade!$O$1="Per Bar Size"),VLOOKUP(LEFT(N42,FIND("@",N42)-2),Grade!$J$1:$K$12,2,0),SD!$C$29))</f>
        <v>A615 Grade 60</v>
      </c>
      <c r="R42" t="s">
        <v>747</v>
      </c>
      <c r="S42" s="57">
        <v>42</v>
      </c>
      <c r="U42" t="str">
        <f>IF(Data!$J42="",IFERROR(INDEX(IF(SD!$C$11="Create",Lap!$A$3:$BF$14,IF(SD!$C$11="Per Uploaded File",Lap!$A$19:$BF$30,"")),MATCH(W42,Lap!$A$3:$A$14,0),MATCH(VALUE(D42),Lap!$A$3:$BF$3,0)+IF(IFERROR(FIND("Grade 60",J42),0)&gt;0,0,IF(IFERROR(FIND("Grade 80",J42),0),1,IF(IFERROR(FIND("Grade 75",J42),0),2,"")))),""),Data!J42)</f>
        <v>3-6</v>
      </c>
      <c r="W42" t="s">
        <v>139</v>
      </c>
      <c r="X42">
        <v>10</v>
      </c>
      <c r="Y42" t="str">
        <f t="shared" si="1"/>
        <v xml:space="preserve">18 </v>
      </c>
      <c r="Z42" t="str">
        <f t="shared" si="2"/>
        <v xml:space="preserve"> 30</v>
      </c>
      <c r="AA42" s="24">
        <f t="shared" si="3"/>
        <v>14.083333333333334</v>
      </c>
      <c r="BB42" t="e" cm="1">
        <f t="array" ref="BB42">_xlfn.LET(_xlpm.PartF,(_xlfn.LET(_xlpm.grade, Q42,_xlpm.gradeRange, IF(_xlpm.grade=SD!$H$3, A615GR60, IF(_xlpm.grade=SD!$H$4, A615GR75, IF(_xlpm.grade=SD!$H$5, A615GR80, IF(_xlpm.grade=SD!$H$6, A615GR100, IF(_xlpm.grade=SD!$H$7, A706GR60, IF(_xlpm.grade=SD!$H$8, A706GR80)))))),_xlpm.matchValue, MATCH(1, (SD!$AW:$AW=AS42)*(SD!$AX:$AX=SD!$C$8), 0),INDEX(_xlpm.gradeRange, _xlpm.matchValue))),IF(AM42="Spiral",CONCATENATE("SP",_xlpm.PartF),_xlpm.PartF))</f>
        <v>#N/A</v>
      </c>
      <c r="BC42" cm="1">
        <f t="array" ref="BC42">_xlfn.LET(_xlpm.leftPart, LEFT(O42, FIND("@", O42) - 2),_xlpm.grade,Q42,_xlpm.gradeRange,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2" cm="1">
        <f t="array" ref="BD42">_xlfn.LET(_xlpm.leftPart, LEFT(P42, FIND("@", P42) - 2),_xlpm.grade, Q42,_xlpm.gradeRange,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2">
        <f t="shared" si="4"/>
        <v>2.5</v>
      </c>
      <c r="BF42">
        <f>IF(SD!$C$32=SD!$I$2,BE42,IF(SD!$C$32=SD!$I$3,DO42,IF(SD!$C$32=SD!$I$5,BA42,IF(SD!$C$32=SD!$I$6,(LEFT(SD!$C$35,FIND("-",SD!$C$35)-1)+RIGHT(SD!$C$35,LEN(SD!$C$35)-FIND("-",SD!$C$35))/12),IF(SD!$C$32=SD!$I$4,(AU42-(BG42+BH42)))))))</f>
        <v>0</v>
      </c>
      <c r="BG42">
        <f>IF(SD!$C$33=SD!$I$2,BE42,IF(SD!$C$33=SD!$I$3,DO42,IF(SD!$C$33=SD!$I$5,BA42,IF(SD!$C$33=SD!$I$6,(LEFT(SD!$C$35,FIND("-",SD!$C$35)-1)+RIGHT(SD!$C$35,LEN(SD!$C$35)-FIND("-",SD!$C$35))/12),IF(SD!$C$33=SD!$I$4,(AU42-(BF42+BH42)))))))</f>
        <v>-1</v>
      </c>
      <c r="BH42">
        <f>IF(SD!$C$34=SD!$I$2,BE42,IF(SD!$C$34=SD!$I$3,DO42,IF(SD!$C$34=SD!$I$5,BA42,IF(SD!$C$34=SD!$I$6,(LEFT(SD!$C$35,FIND("-",SD!$C$35)-1)+RIGHT(SD!$C$35,LEN(SD!$C$35)-FIND("-",SD!$C$35))/12),IF(SD!$C$34=SD!$I$4,(AU42-(BF42+BG42)))))))</f>
        <v>1</v>
      </c>
      <c r="BJ42">
        <f>IF(AM42="Spiral","1",MAX(ROUNDUP(IF(SD!$C$32="",AT42,BF42/(LEFT(RIGHT(N42,LEN(N42)-FIND("@",N42)),LEN(RIGHT(N42,LEN(N42)-FIND("@",N42)))-1)/12)+1),0),0))</f>
        <v>1</v>
      </c>
      <c r="BK42">
        <f>MAX(ROUNDUP(IF(SD!$C$33="","",BG42/(LEFT(RIGHT(O42,LEN(O42)-FIND("@",O42)),LEN(RIGHT(O42,LEN(O42)-FIND("@",O42)))-1)/12)+1),0),0)</f>
        <v>0</v>
      </c>
      <c r="BL42">
        <f>MAX(ROUNDUP(IF(SD!$C$34="","",BH42/(LEFT(RIGHT(P42,LEN(P42)-FIND("@",P42)),LEN(RIGHT(P42,LEN(P42)-FIND("@",P42)))-1)/12)+1),0),0)</f>
        <v>3</v>
      </c>
      <c r="BN42" t="e">
        <f t="shared" si="5"/>
        <v>#N/A</v>
      </c>
      <c r="BO42" t="e">
        <f t="shared" si="6"/>
        <v>#N/A</v>
      </c>
      <c r="BP42" t="e">
        <f t="shared" si="7"/>
        <v>#N/A</v>
      </c>
      <c r="BQ42" s="24" t="e">
        <f>IF(AM42=TRUE,(((Y42-(SD!$E$12*2))*3.14159265359)+BN42+BO42+BP42)/12+AL42,SUM(AF42:AG42,BN42,BO42,BP42,AO42,AQ42)/12)</f>
        <v>#N/A</v>
      </c>
      <c r="BR42" t="e">
        <f t="shared" si="8"/>
        <v>#N/A</v>
      </c>
      <c r="BS42" t="e">
        <f t="shared" si="9"/>
        <v>#N/A</v>
      </c>
      <c r="BT42" t="e">
        <f t="shared" si="10"/>
        <v>#N/A</v>
      </c>
      <c r="BU42" s="24" t="e">
        <f>IF(AM42=TRUE,(((Y42-(SD!$E$12*2))*3.14159265359)+BR42+BS42+BT42)/12+AL42,SUM(AF42:AG42,BR42,BS42,BT42,AO42,AQ42)/12)</f>
        <v>#N/A</v>
      </c>
      <c r="BW42" t="str">
        <f>IFERROR(LEFT(Data!L42,FIND(" -",Data!L42)-1),"")</f>
        <v/>
      </c>
      <c r="BX42" t="str">
        <f>IFERROR(IF(SD!$C$40=SD!$U$2,W42,IF(SD!$C$40=SD!$U$3,RIGHT(Data!L42,LEN(Data!L42)-(FIND("-",Data!L42)+1)),SD!$C$40)),"")</f>
        <v>#7</v>
      </c>
      <c r="BY42" t="str" cm="1">
        <f t="array" ref="BY42">IFERROR(_xlfn.LET(_xlpm.GRR,IF(AND(SD!$C$19=SD!$H$2,Grade!$G$1="Per level"),VLOOKUP(B42,Grade!$E$1:$F$200,2,FALSE),IF(AND(SD!$C$19=SD!$H$2,Grade!$G$1="Per Bar Size"),VLOOKUP(BX42,Grade!$B$1:$C$12,2,0),SD!$C$19)),_xlpm.is_equal, A41=A42,_xlpm.grade_range, IF(_xlpm.GRR=SD!$H$3, A615GR60,IF(_xlpm.GRR=SD!$H$4, A615GR75,IF(_xlpm.GRR=SD!$H$5, A615GR80,IF(_xlpm.GRR=SD!H46, A615GR100,IF(_xlpm.GRR=SD!$H$7, A706GR60,IF(_xlpm.GRR=SD!$H$8, A706GR80)))))),_xlpm.match_result, MATCH(1, (BSize=BX42)*(BCName=SD!$C$8), 0),_xlpm.final_result, INDEX(_xlpm.grade_range, _xlpm.match_result),IF(_xlpm.is_equal, "", _xlpm.final_result)),"")</f>
        <v/>
      </c>
      <c r="BZ42" t="str">
        <f>IF(A41=A42,"",IF(SD!$C$41="Match Vertical Bars ",X42,IF(SD!$C$41=SD!$V$3,BW42,SD!$C$41)))</f>
        <v/>
      </c>
      <c r="CA42" t="str" cm="1">
        <f t="array" ref="CA42">IF(A41=A42,"",IF(SD!$C$44="No T-Head",IF(SD!$C$42=SD!$Q$3,VLOOKUP(BX42,S90Range,3,FALSE),LEFT(SD!$C$42,FIND("-",SD!$C$42)-1)+(RIGHT(SD!$C$42,LEN(SD!$C$42)-FIND("-",SD!$C$42))/12)),IF(SD!$C$44="T-Head",_xlfn._xlws.FILTER(THead,(TCName=SD!$C$8)*(TSize=BX42)),IF(SD!$C$44="Level Wise",_xlfn.LET(_xlpm.result,_xlfn.XLOOKUP(B42,VDLevel,VDLevelStatus,"No"),IF(_xlpm.result="Yes",_xlfn._xlws.FILTER(THead,(TCName=SD!$C$8)*(TSize=BX42)),IF(SD!$C$42=SD!$Q$3,VLOOKUP(BX42,S90Range,3,FALSE),LEFT(SD!$C$42,FIND("-",SD!$C$42)-1)+(RIGHT(SD!$C$42,LEN(SD!$C$42)-FIND("-", SD!$C$42))/12)))),IF(SD!$C$44="BarSize Wise",_xlfn.LET(_xlpm.result,_xlfn.XLOOKUP(BX42,VDBarSize,VDBarSizeStatus,"No"),IF(_xlpm.result="Yes",_xlfn._xlws.FILTER(THead,(TCName=SD!$C$8)*(TSize=BX42)),IF(SD!$C$42=SD!$Q$3,VLOOKUP(BX42,S90Range,3,FALSE),LEFT(SD!$C$42,FIND("-",SD!$C$42)-1)+(RIGHT(SD!$C$42,LEN(SD!$C$42)-FIND("-",SD!$C$42))/12)))), "")))))</f>
        <v/>
      </c>
      <c r="CB42" t="str" cm="1">
        <f t="array" ref="CB42">_xlfn.LET(_xlpm.GRR,IF(AND(SD!$C$19=SD!$H$2,Grade!$G$1="Per level"),VLOOKUP(B42,Grade!$E$1:$F$200,2,FALSE),IF(AND(SD!$C$19=SD!$H$2,Grade!$G$1="Per Bar Size"),VLOOKUP(BX42,Grade!$B$1:$C$12,2,0),SD!$C$19)),_xlpm.is_coupler, K42="Coupler",_xlpm.condition1, SD!$C$43=SD!$W$2,_xlpm.data_j2_empty, Data!$J42="",_xlpm.lookup_table, IF(SD!$C$11="Create", Lap!$A$3:$BF$14, IF(SD!$C$11="Per Uploaded File", Lap!$A$19:$BF$30, "")),_xlpm.row_match, MATCH(BX42, Lap!$A$3:$A$14, 0),_xlpm.grade_offset, IF(IFERROR(FIND("Grade 60",_xlpm.GRR), 0) &gt; 0, 0, IF(IFERROR(FIND("Grade 80",_xlpm.GRR), 0), 1, IF(IFERROR(FIND("Grade 75",_xlpm.GRR), 0), 2, ""))),_xlpm.col_match, MATCH(VALUE(D42), Lap!$A$3:$BF$3, 0) + _xlpm.grade_offset,_xlpm.index_result, IFERROR(INDEX(_xlpm.lookup_table, _xlpm.row_match, _xlpm.col_match), Data!$J42),_xlpm.result_if_condition1, IF(_xlpm.data_j2_empty, _xlpm.index_result, Data!$J42),IF(_xlpm.is_coupler, 0, IF(_xlpm.condition1, _xlpm.result_if_condition1, SD!$C$43)))</f>
        <v>3-6</v>
      </c>
      <c r="CC42" s="24">
        <f t="shared" si="11"/>
        <v>3.5</v>
      </c>
      <c r="CD42">
        <f t="shared" si="12"/>
        <v>4.166666666666667</v>
      </c>
      <c r="CE42" t="str" cm="1">
        <f t="array" ref="CE42">IF(BY42="","",_xlfn._xlws.FILTER(SAC,(CName=SD!$C$8)*(EName="Vert Dowels")))</f>
        <v/>
      </c>
      <c r="CF42" t="str" cm="1">
        <f t="array" ref="CF42">IFERROR(IF(BY42="","",IF(K42="Coupler",_xlfn._xlws.FILTER(CCoupler,(CCName=SD!$C$8)*(CBSize=IF(A41=A42,W41&amp;W42,BX42&amp;W42))*(CCMFM="Male")),"")),"N/A")</f>
        <v/>
      </c>
      <c r="CG42" t="str">
        <f t="shared" si="13"/>
        <v/>
      </c>
      <c r="CH42" t="str">
        <f t="shared" si="14"/>
        <v/>
      </c>
      <c r="CI42" t="str">
        <f>_xlfn.LET(_xlpm.u3_value, U43,_xlpm.hyphen_pos,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K43="Coupler",_xlpm.coupler_value, IF(_xlpm.is_coupler, 0, _xlpm.calculated_value),_xlpm.final_value, _xlpm.calculated_value + SD!$E$13 + _xlpm.coupler_value,IF(CG42="", "", _xlpm.final_value))</f>
        <v/>
      </c>
      <c r="CJ42" t="str" cm="1">
        <f t="array" ref="CJ42">IF(CG42="","",_xlfn._xlws.FILTER(SAC,(CName=SD!$C$8)*(EName="Loose Dowels")))</f>
        <v/>
      </c>
      <c r="CK42" t="str" cm="1">
        <f t="array" ref="CK42">IFERROR(IF(CG42="","",IF(K43="Coupler",_xlfn._xlws.FILTER(CCoupler,(CCName=SD!$C$8)*(CBSize=IF(A42=A43,W42&amp;W43,""))*(CCMFM="Male")),"")),"N/A")</f>
        <v/>
      </c>
      <c r="CL42" t="str">
        <f>IFERROR(IF(AM42="Spiral","",IF(A41=A42,"",IF(SD!$C$37=0,"",SD!$C$37))),"")</f>
        <v/>
      </c>
      <c r="CN42">
        <f>IF(AM42="Spiral","",IFERROR(IF(SD!$C$36=0,"",SD!$C$36),""))</f>
        <v>5</v>
      </c>
      <c r="CP42" t="str">
        <f>IFERROR(IF(SD!$C$42=SD!$Q$3,'Take-off'!CA42,""),"")</f>
        <v/>
      </c>
      <c r="CR42">
        <f>IFERROR(IF(SD!$C$22=SD!$U$2,W42,SD!$C$22),"")</f>
        <v>0</v>
      </c>
      <c r="CS42" t="str" cm="1">
        <f t="array" ref="CS42">_xlfn.LET(_xlpm.GR,IF(AND(SD!$C$19=SD!$H$2,Grade!$G$1="Per level"),VLOOKUP(B42,Grade!$E$1:$F$200,2,FALSE),IF(AND(SD!$C$19=SD!$H$2,Grade!$G$1="Per Bar Size"),VLOOKUP(CR42,Grade!$B$1:$C$12,2,0),SD!$C$19)),IF(SD!$C$20=SD!$R$4,IF(A43=A42,"",INDEX(IF(_xlpm.GR=SD!$H$3,A615GR60,IF(_xlpm.GR=SD!$H$4,A615GR75,IF(_xlpm.GR=SD!$H$5,A615GR80,IF(_xlpm.GR=SD!H46,A615GR100,IF(_xlpm.GR=SD!$H$7,A706GR60,IF(_xlpm.GR=SD!$H$8,A706GR80)))))), MATCH(1, (BSize=CR42)*(BCName=SD!$C$8), 0))),""))</f>
        <v/>
      </c>
      <c r="CT42" t="str">
        <f>IF(A43=A42,"",IF(SD!$C$23="Match Vertical Bars ",X42,SD!$C$23))</f>
        <v/>
      </c>
      <c r="CU42" t="str" cm="1">
        <f t="array" ref="CU42">IF(A43=A42,"",IF(SD!$C$20="Top dowels",IF(SD!$E$25="No T-Head",IF(SD!$C$24=SD!$Q$3,VLOOKUP(CR42,S90Range,3,FALSE),LEFT(SD!$C$24,FIND("-",SD!$C$24)-1)+(RIGHT(SD!$C$24,LEN(SD!$C$24)-FIND("-",SD!$C$24))/12)),IF(SD!$E$25="T-Head",_xlfn._xlws.FILTER(THead,(TCName=SD!$C$8)*(TSize=CR42)),IF(SD!$E$25="Level Wise",_xlfn.LET(_xlpm.result,_xlfn.XLOOKUP(B42,TDLevel,TDLevelStatus,"No"),IF(_xlpm.result="Yes",_xlfn._xlws.FILTER(THead,(TCName=SD!$C$8)*(TSize=CR42)),IF(SD!$C$24=SD!$Q$3,VLOOKUP(CR42,S90Range,3,FALSE),LEFT(SD!$C$24,FIND("-",SD!$C$24)-1)+(RIGHT(SD!$C$24,LEN(SD!$C$24)-FIND("-", SD!$C$24))/12)))),IF(SD!$E$25="BarSize Wise",_xlfn.LET(_xlpm.result,_xlfn.XLOOKUP(CR42,TDBarSize,TDBarSizeStatus,"No"),IF(_xlpm.result="Yes",_xlfn._xlws.FILTER(THead,(TCName=SD!$C$8)*(TSize=CR42)),IF(SD!$C$24=SD!$Q$3,VLOOKUP(CR42,S90Range,3,FALSE),LEFT(SD!$C$24,FIND("-",SD!$C$24)-1)+(RIGHT(SD!$C$24,LEN(SD!$C$24)-FIND("-",SD!$C$24))/12)))), "")))),""))</f>
        <v/>
      </c>
      <c r="CV42" t="str">
        <f>_xlfn.LET(_xlpm.GRR,IF(AND(SD!$C$19=SD!$H$2,Grade!$G$1="Per level"),VLOOKUP(B42,Grade!$E$1:$F$200,2,FALSE),IF(AND(SD!$C$19=SD!$H$2,Grade!$G$1="Per Bar Size"),VLOOKUP(CR42,Grade!$B$1:$C$12,2,0),SD!$C$19)),IF(SD!$C$25=SD!$W$2,IF(Data!$J42="",IFERROR(INDEX(IF(SD!$C$11="Create",Lap!$A$3:$BF$14,IF(SD!$C$11="Per Uploaded File",Lap!$A$19:$BF$30,"")),MATCH(CR42,Lap!$A$3:$A$14,0),MATCH(VALUE(D42),Lap!$A$3:$BF$3,0)+IF(IFERROR(FIND("Grade 60",_xlpm.GRR),0)&gt;0,0,IF(IFERROR(FIND("Grade 80",_xlpm.GRR),0),1,IF(IFERROR(FIND("Grade 75",_xlpm.GRR),0),2,"")))),""),Data!J42),SD!$C$43))</f>
        <v>Match Lap</v>
      </c>
      <c r="CW42">
        <f t="shared" si="15"/>
        <v>0</v>
      </c>
      <c r="CX42">
        <f t="shared" si="16"/>
        <v>0</v>
      </c>
      <c r="CY42" t="str">
        <f t="shared" si="17"/>
        <v/>
      </c>
      <c r="DA42" t="str">
        <f t="shared" si="18"/>
        <v/>
      </c>
      <c r="DB42" t="str">
        <f t="shared" si="19"/>
        <v/>
      </c>
      <c r="DC42" s="24" t="str">
        <f t="shared" si="20"/>
        <v/>
      </c>
      <c r="DD42">
        <f t="shared" si="21"/>
        <v>10.583333333333334</v>
      </c>
      <c r="DE42" t="s">
        <v>785</v>
      </c>
      <c r="DF42" t="s">
        <v>67</v>
      </c>
      <c r="DG42" t="str">
        <f>VLOOKUP(W42,'Level Wise PSI'!$F$2:$G$12,2,FALSE)</f>
        <v>Double Lift</v>
      </c>
      <c r="DI42" t="str" cm="1">
        <f t="array" ref="DI42">_xlfn.LET(_xlpm.Coup,IFERROR(IF(BY42="","",IF(K42="Coupler",_xlfn._xlws.FILTER(CCFCoupler,(CCName=SD!$C$8)*(CBSize=IF(A41=A42,W41&amp;W42,BX42&amp;W42))),"")),"N/A"),IF(_xlpm.Coup=0,"",_xlpm.Coup))</f>
        <v/>
      </c>
      <c r="DJ42" t="str" cm="1">
        <f t="array" ref="DJ42">_xlfn.LET(_xlpm.Coup3,IFERROR(IF(CG42="","",IF(K43="Coupler",_xlfn._xlws.FILTER(CCFCoupler,(CCName=SD!$C$8)*(CBSize=IF(A42=A43,W42&amp;W43,""))),"")),"N/A"),IF(_xlpm.Coup3=0,"",_xlpm.Coup3))</f>
        <v/>
      </c>
      <c r="DK42" t="str" cm="1">
        <f t="array" ref="DK42">_xlfn.LET(_xlpm.Coup2,IFERROR(IF(A42&lt;&gt;A43,"",IF(DF42="No Lap","",IF(K43="Coupler",_xlfn._xlws.FILTER(CCFCoupler,(CCName=SD!$C$8)*(CBSize=IF(A41=A42,W42&amp;W43,W42&amp;W42))),""))),"N/A"),IF(_xlpm.Coup2=0,"",_xlpm.Coup2))</f>
        <v/>
      </c>
      <c r="DM42" t="str">
        <f>IF(AM42="Spiral","",IF(SD!$C$31=SD!$Y$3,SD!$E$32*2,""))</f>
        <v/>
      </c>
      <c r="DO42" s="24">
        <f t="shared" si="22"/>
        <v>2.5</v>
      </c>
      <c r="DQ42" t="str">
        <f t="shared" si="23"/>
        <v>Lig</v>
      </c>
      <c r="DR42" t="str">
        <f>IF(AM42="Spiral",((Y42-(SD!$E$12*2))/12),"")</f>
        <v/>
      </c>
      <c r="DS42" t="str">
        <f t="shared" si="24"/>
        <v/>
      </c>
      <c r="DT42" t="str">
        <f t="shared" si="25"/>
        <v/>
      </c>
      <c r="DU42" t="str">
        <f t="shared" si="26"/>
        <v/>
      </c>
    </row>
    <row r="43" spans="1:125" x14ac:dyDescent="0.25">
      <c r="A43">
        <v>27</v>
      </c>
      <c r="B43" t="s">
        <v>688</v>
      </c>
      <c r="C43" s="15">
        <v>2429</v>
      </c>
      <c r="D43" s="15">
        <v>10000</v>
      </c>
      <c r="E43" t="str">
        <f>IF(B43=Level!$A$2,SD!$C$14,SD!$C$13)</f>
        <v>0-8</v>
      </c>
      <c r="F43" s="15" t="s">
        <v>787</v>
      </c>
      <c r="G43" t="s">
        <v>745</v>
      </c>
      <c r="H43" t="str">
        <f>RIGHT(VLOOKUP(B43,Level!A:C,3,FALSE),LEN(VLOOKUP(B43,Level!A:C,3,FALSE))-1)</f>
        <v>10-7</v>
      </c>
      <c r="I43" t="s">
        <v>746</v>
      </c>
      <c r="J43" t="str">
        <f>IF(AND(SD!$C$19=SD!$H$2,Grade!$G$1="Per level"),VLOOKUP(B43,Grade!$E$1:$F$200,2,FALSE),IF(AND(SD!$C$19=SD!$H$2,Grade!$G$1="Per Bar Size"),VLOOKUP(W43,Grade!$B$1:$C$12,2,0),SD!$C$19))</f>
        <v>A615 Grade 60</v>
      </c>
      <c r="K43" t="s">
        <v>67</v>
      </c>
      <c r="L43" t="str">
        <f>IFERROR(IF(A43&lt;&gt;A44,"",IF(DF43="No Lap","",IF(K44="Lap",U43,IF(K44="Coupler",_xlfn._xlws.FILTER(CCoupler,(CCName=SD!$C$8)*(CBSize=IF(A42=A43,W43&amp;W44,W43&amp;W43))*(CCMFM="Male")),"")))),"N/A")</f>
        <v/>
      </c>
      <c r="M43" t="str">
        <f t="shared" si="0"/>
        <v/>
      </c>
      <c r="N43" t="s">
        <v>719</v>
      </c>
      <c r="O43" t="s">
        <v>720</v>
      </c>
      <c r="P43" t="s">
        <v>719</v>
      </c>
      <c r="Q43" t="str">
        <f>IF(AND(SD!$C$29=SD!$P$2,Grade!$O$1="Per level"),VLOOKUP(B43,Grade!$M$1:$N$200,2,FALSE),IF(AND(SD!$C$29=SD!$P$2,Grade!$O$1="Per Bar Size"),VLOOKUP(LEFT(N43,FIND("@",N43)-2),Grade!$J$1:$K$12,2,0),SD!$C$29))</f>
        <v>A615 Grade 60</v>
      </c>
      <c r="R43" t="s">
        <v>747</v>
      </c>
      <c r="S43" s="57">
        <v>43</v>
      </c>
      <c r="U43" t="str">
        <f>IF(Data!$J43="",IFERROR(INDEX(IF(SD!$C$11="Create",Lap!$A$3:$BF$14,IF(SD!$C$11="Per Uploaded File",Lap!$A$19:$BF$30,"")),MATCH(W43,Lap!$A$3:$A$14,0),MATCH(VALUE(D43),Lap!$A$3:$BF$3,0)+IF(IFERROR(FIND("Grade 60",J43),0)&gt;0,0,IF(IFERROR(FIND("Grade 80",J43),0),1,IF(IFERROR(FIND("Grade 75",J43),0),2,"")))),""),Data!J43)</f>
        <v>3-6</v>
      </c>
      <c r="W43" t="s">
        <v>139</v>
      </c>
      <c r="X43">
        <v>10</v>
      </c>
      <c r="Y43" t="str">
        <f t="shared" si="1"/>
        <v xml:space="preserve">18 </v>
      </c>
      <c r="Z43" t="str">
        <f t="shared" si="2"/>
        <v xml:space="preserve"> 30</v>
      </c>
      <c r="AA43" s="24">
        <f t="shared" si="3"/>
        <v>10.583333333333334</v>
      </c>
      <c r="BB43" t="e" cm="1">
        <f t="array" ref="BB43">_xlfn.LET(_xlpm.PartF,(_xlfn.LET(_xlpm.grade, Q43,_xlpm.gradeRange, IF(_xlpm.grade=SD!$H$3, A615GR60, IF(_xlpm.grade=SD!$H$4, A615GR75, IF(_xlpm.grade=SD!$H$5, A615GR80, IF(_xlpm.grade=SD!$H$6, A615GR100, IF(_xlpm.grade=SD!$H$7, A706GR60, IF(_xlpm.grade=SD!$H$8, A706GR80)))))),_xlpm.matchValue, MATCH(1, (SD!$AW:$AW=AS43)*(SD!$AX:$AX=SD!$C$8), 0),INDEX(_xlpm.gradeRange, _xlpm.matchValue))),IF(AM43="Spiral",CONCATENATE("SP",_xlpm.PartF),_xlpm.PartF))</f>
        <v>#N/A</v>
      </c>
      <c r="BC43" cm="1">
        <f t="array" ref="BC43">_xlfn.LET(_xlpm.leftPart, LEFT(O43, FIND("@", O43) - 2),_xlpm.grade,Q43,_xlpm.gradeRange,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3" cm="1">
        <f t="array" ref="BD43">_xlfn.LET(_xlpm.leftPart, LEFT(P43, FIND("@", P43) - 2),_xlpm.grade, Q43,_xlpm.gradeRange,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3">
        <f t="shared" si="4"/>
        <v>2.5</v>
      </c>
      <c r="BF43">
        <f>IF(SD!$C$32=SD!$I$2,BE43,IF(SD!$C$32=SD!$I$3,DO43,IF(SD!$C$32=SD!$I$5,BA43,IF(SD!$C$32=SD!$I$6,(LEFT(SD!$C$35,FIND("-",SD!$C$35)-1)+RIGHT(SD!$C$35,LEN(SD!$C$35)-FIND("-",SD!$C$35))/12),IF(SD!$C$32=SD!$I$4,(AU43-(BG43+BH43)))))))</f>
        <v>0</v>
      </c>
      <c r="BG43">
        <f>IF(SD!$C$33=SD!$I$2,BE43,IF(SD!$C$33=SD!$I$3,DO43,IF(SD!$C$33=SD!$I$5,BA43,IF(SD!$C$33=SD!$I$6,(LEFT(SD!$C$35,FIND("-",SD!$C$35)-1)+RIGHT(SD!$C$35,LEN(SD!$C$35)-FIND("-",SD!$C$35))/12),IF(SD!$C$33=SD!$I$4,(AU43-(BF43+BH43)))))))</f>
        <v>-1</v>
      </c>
      <c r="BH43">
        <f>IF(SD!$C$34=SD!$I$2,BE43,IF(SD!$C$34=SD!$I$3,DO43,IF(SD!$C$34=SD!$I$5,BA43,IF(SD!$C$34=SD!$I$6,(LEFT(SD!$C$35,FIND("-",SD!$C$35)-1)+RIGHT(SD!$C$35,LEN(SD!$C$35)-FIND("-",SD!$C$35))/12),IF(SD!$C$34=SD!$I$4,(AU43-(BF43+BG43)))))))</f>
        <v>1</v>
      </c>
      <c r="BJ43">
        <f>IF(AM43="Spiral","1",MAX(ROUNDUP(IF(SD!$C$32="",AT43,BF43/(LEFT(RIGHT(N43,LEN(N43)-FIND("@",N43)),LEN(RIGHT(N43,LEN(N43)-FIND("@",N43)))-1)/12)+1),0),0))</f>
        <v>1</v>
      </c>
      <c r="BK43">
        <f>MAX(ROUNDUP(IF(SD!$C$33="","",BG43/(LEFT(RIGHT(O43,LEN(O43)-FIND("@",O43)),LEN(RIGHT(O43,LEN(O43)-FIND("@",O43)))-1)/12)+1),0),0)</f>
        <v>0</v>
      </c>
      <c r="BL43">
        <f>MAX(ROUNDUP(IF(SD!$C$34="","",BH43/(LEFT(RIGHT(P43,LEN(P43)-FIND("@",P43)),LEN(RIGHT(P43,LEN(P43)-FIND("@",P43)))-1)/12)+1),0),0)</f>
        <v>3</v>
      </c>
      <c r="BN43" t="e">
        <f t="shared" si="5"/>
        <v>#N/A</v>
      </c>
      <c r="BO43" t="e">
        <f t="shared" si="6"/>
        <v>#N/A</v>
      </c>
      <c r="BP43" t="e">
        <f t="shared" si="7"/>
        <v>#N/A</v>
      </c>
      <c r="BQ43" s="24" t="e">
        <f>IF(AM43=TRUE,(((Y43-(SD!$E$12*2))*3.14159265359)+BN43+BO43+BP43)/12+AL43,SUM(AF43:AG43,BN43,BO43,BP43,AO43,AQ43)/12)</f>
        <v>#N/A</v>
      </c>
      <c r="BR43" t="e">
        <f t="shared" si="8"/>
        <v>#N/A</v>
      </c>
      <c r="BS43" t="e">
        <f t="shared" si="9"/>
        <v>#N/A</v>
      </c>
      <c r="BT43" t="e">
        <f t="shared" si="10"/>
        <v>#N/A</v>
      </c>
      <c r="BU43" s="24" t="e">
        <f>IF(AM43=TRUE,(((Y43-(SD!$E$12*2))*3.14159265359)+BR43+BS43+BT43)/12+AL43,SUM(AF43:AG43,BR43,BS43,BT43,AO43,AQ43)/12)</f>
        <v>#N/A</v>
      </c>
      <c r="BW43" t="str">
        <f>IFERROR(LEFT(Data!L43,FIND(" -",Data!L43)-1),"")</f>
        <v/>
      </c>
      <c r="BX43" t="str">
        <f>IFERROR(IF(SD!$C$40=SD!$U$2,W43,IF(SD!$C$40=SD!$U$3,RIGHT(Data!L43,LEN(Data!L43)-(FIND("-",Data!L43)+1)),SD!$C$40)),"")</f>
        <v>#7</v>
      </c>
      <c r="BY43" t="str" cm="1">
        <f t="array" ref="BY43">IFERROR(_xlfn.LET(_xlpm.GRR,IF(AND(SD!$C$19=SD!$H$2,Grade!$G$1="Per level"),VLOOKUP(B43,Grade!$E$1:$F$200,2,FALSE),IF(AND(SD!$C$19=SD!$H$2,Grade!$G$1="Per Bar Size"),VLOOKUP(BX43,Grade!$B$1:$C$12,2,0),SD!$C$19)),_xlpm.is_equal, A42=A43,_xlpm.grade_range, IF(_xlpm.GRR=SD!$H$3, A615GR60,IF(_xlpm.GRR=SD!$H$4, A615GR75,IF(_xlpm.GRR=SD!$H$5, A615GR80,IF(_xlpm.GRR=SD!H47, A615GR100,IF(_xlpm.GRR=SD!$H$7, A706GR60,IF(_xlpm.GRR=SD!$H$8, A706GR80)))))),_xlpm.match_result, MATCH(1, (BSize=BX43)*(BCName=SD!$C$8), 0),_xlpm.final_result, INDEX(_xlpm.grade_range, _xlpm.match_result),IF(_xlpm.is_equal, "", _xlpm.final_result)),"")</f>
        <v/>
      </c>
      <c r="BZ43" t="str">
        <f>IF(A42=A43,"",IF(SD!$C$41="Match Vertical Bars ",X43,IF(SD!$C$41=SD!$V$3,BW43,SD!$C$41)))</f>
        <v/>
      </c>
      <c r="CA43" t="str" cm="1">
        <f t="array" ref="CA43">IF(A42=A43,"",IF(SD!$C$44="No T-Head",IF(SD!$C$42=SD!$Q$3,VLOOKUP(BX43,S90Range,3,FALSE),LEFT(SD!$C$42,FIND("-",SD!$C$42)-1)+(RIGHT(SD!$C$42,LEN(SD!$C$42)-FIND("-",SD!$C$42))/12)),IF(SD!$C$44="T-Head",_xlfn._xlws.FILTER(THead,(TCName=SD!$C$8)*(TSize=BX43)),IF(SD!$C$44="Level Wise",_xlfn.LET(_xlpm.result,_xlfn.XLOOKUP(B43,VDLevel,VDLevelStatus,"No"),IF(_xlpm.result="Yes",_xlfn._xlws.FILTER(THead,(TCName=SD!$C$8)*(TSize=BX43)),IF(SD!$C$42=SD!$Q$3,VLOOKUP(BX43,S90Range,3,FALSE),LEFT(SD!$C$42,FIND("-",SD!$C$42)-1)+(RIGHT(SD!$C$42,LEN(SD!$C$42)-FIND("-", SD!$C$42))/12)))),IF(SD!$C$44="BarSize Wise",_xlfn.LET(_xlpm.result,_xlfn.XLOOKUP(BX43,VDBarSize,VDBarSizeStatus,"No"),IF(_xlpm.result="Yes",_xlfn._xlws.FILTER(THead,(TCName=SD!$C$8)*(TSize=BX43)),IF(SD!$C$42=SD!$Q$3,VLOOKUP(BX43,S90Range,3,FALSE),LEFT(SD!$C$42,FIND("-",SD!$C$42)-1)+(RIGHT(SD!$C$42,LEN(SD!$C$42)-FIND("-",SD!$C$42))/12)))), "")))))</f>
        <v/>
      </c>
      <c r="CB43" t="str" cm="1">
        <f t="array" ref="CB43">_xlfn.LET(_xlpm.GRR,IF(AND(SD!$C$19=SD!$H$2,Grade!$G$1="Per level"),VLOOKUP(B43,Grade!$E$1:$F$200,2,FALSE),IF(AND(SD!$C$19=SD!$H$2,Grade!$G$1="Per Bar Size"),VLOOKUP(BX43,Grade!$B$1:$C$12,2,0),SD!$C$19)),_xlpm.is_coupler, K43="Coupler",_xlpm.condition1, SD!$C$43=SD!$W$2,_xlpm.data_j2_empty, Data!$J43="",_xlpm.lookup_table, IF(SD!$C$11="Create", Lap!$A$3:$BF$14, IF(SD!$C$11="Per Uploaded File", Lap!$A$19:$BF$30, "")),_xlpm.row_match, MATCH(BX43, Lap!$A$3:$A$14, 0),_xlpm.grade_offset, IF(IFERROR(FIND("Grade 60",_xlpm.GRR), 0) &gt; 0, 0, IF(IFERROR(FIND("Grade 80",_xlpm.GRR), 0), 1, IF(IFERROR(FIND("Grade 75",_xlpm.GRR), 0), 2, ""))),_xlpm.col_match, MATCH(VALUE(D43), Lap!$A$3:$BF$3, 0) + _xlpm.grade_offset,_xlpm.index_result, IFERROR(INDEX(_xlpm.lookup_table, _xlpm.row_match, _xlpm.col_match), Data!$J43),_xlpm.result_if_condition1, IF(_xlpm.data_j2_empty, _xlpm.index_result, Data!$J43),IF(_xlpm.is_coupler, 0, IF(_xlpm.condition1, _xlpm.result_if_condition1, SD!$C$43)))</f>
        <v>3-6</v>
      </c>
      <c r="CC43" s="24">
        <f t="shared" si="11"/>
        <v>3.5</v>
      </c>
      <c r="CD43">
        <f t="shared" si="12"/>
        <v>4.166666666666667</v>
      </c>
      <c r="CE43" t="str" cm="1">
        <f t="array" ref="CE43">IF(BY43="","",_xlfn._xlws.FILTER(SAC,(CName=SD!$C$8)*(EName="Vert Dowels")))</f>
        <v/>
      </c>
      <c r="CF43" t="str" cm="1">
        <f t="array" ref="CF43">IFERROR(IF(BY43="","",IF(K43="Coupler",_xlfn._xlws.FILTER(CCoupler,(CCName=SD!$C$8)*(CBSize=IF(A42=A43,W42&amp;W43,BX43&amp;W43))*(CCMFM="Male")),"")),"N/A")</f>
        <v/>
      </c>
      <c r="CG43" t="str">
        <f t="shared" si="13"/>
        <v/>
      </c>
      <c r="CH43" t="str">
        <f t="shared" si="14"/>
        <v/>
      </c>
      <c r="CI43" t="str">
        <f>_xlfn.LET(_xlpm.u3_value, U44,_xlpm.hyphen_pos,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K44="Coupler",_xlpm.coupler_value, IF(_xlpm.is_coupler, 0, _xlpm.calculated_value),_xlpm.final_value, _xlpm.calculated_value + SD!$E$13 + _xlpm.coupler_value,IF(CG43="", "", _xlpm.final_value))</f>
        <v/>
      </c>
      <c r="CJ43" t="str" cm="1">
        <f t="array" ref="CJ43">IF(CG43="","",_xlfn._xlws.FILTER(SAC,(CName=SD!$C$8)*(EName="Loose Dowels")))</f>
        <v/>
      </c>
      <c r="CK43" t="str" cm="1">
        <f t="array" ref="CK43">IFERROR(IF(CG43="","",IF(K44="Coupler",_xlfn._xlws.FILTER(CCoupler,(CCName=SD!$C$8)*(CBSize=IF(A43=A44,W43&amp;W44,""))*(CCMFM="Male")),"")),"N/A")</f>
        <v/>
      </c>
      <c r="CL43" t="str">
        <f>IFERROR(IF(AM43="Spiral","",IF(A42=A43,"",IF(SD!$C$37=0,"",SD!$C$37))),"")</f>
        <v/>
      </c>
      <c r="CN43">
        <f>IF(AM43="Spiral","",IFERROR(IF(SD!$C$36=0,"",SD!$C$36),""))</f>
        <v>5</v>
      </c>
      <c r="CP43" t="str">
        <f>IFERROR(IF(SD!$C$42=SD!$Q$3,'Take-off'!CA43,""),"")</f>
        <v/>
      </c>
      <c r="CR43">
        <f>IFERROR(IF(SD!$C$22=SD!$U$2,W43,SD!$C$22),"")</f>
        <v>0</v>
      </c>
      <c r="CS43" t="str" cm="1">
        <f t="array" ref="CS43">_xlfn.LET(_xlpm.GR,IF(AND(SD!$C$19=SD!$H$2,Grade!$G$1="Per level"),VLOOKUP(B43,Grade!$E$1:$F$200,2,FALSE),IF(AND(SD!$C$19=SD!$H$2,Grade!$G$1="Per Bar Size"),VLOOKUP(CR43,Grade!$B$1:$C$12,2,0),SD!$C$19)),IF(SD!$C$20=SD!$R$4,IF(A44=A43,"",INDEX(IF(_xlpm.GR=SD!$H$3,A615GR60,IF(_xlpm.GR=SD!$H$4,A615GR75,IF(_xlpm.GR=SD!$H$5,A615GR80,IF(_xlpm.GR=SD!H47,A615GR100,IF(_xlpm.GR=SD!$H$7,A706GR60,IF(_xlpm.GR=SD!$H$8,A706GR80)))))), MATCH(1, (BSize=CR43)*(BCName=SD!$C$8), 0))),""))</f>
        <v/>
      </c>
      <c r="CT43">
        <f>IF(A44=A43,"",IF(SD!$C$23="Match Vertical Bars ",X43,SD!$C$23))</f>
        <v>0</v>
      </c>
      <c r="CU43" t="str" cm="1">
        <f t="array" ref="CU43">IF(A44=A43,"",IF(SD!$C$20="Top dowels",IF(SD!$E$25="No T-Head",IF(SD!$C$24=SD!$Q$3,VLOOKUP(CR43,S90Range,3,FALSE),LEFT(SD!$C$24,FIND("-",SD!$C$24)-1)+(RIGHT(SD!$C$24,LEN(SD!$C$24)-FIND("-",SD!$C$24))/12)),IF(SD!$E$25="T-Head",_xlfn._xlws.FILTER(THead,(TCName=SD!$C$8)*(TSize=CR43)),IF(SD!$E$25="Level Wise",_xlfn.LET(_xlpm.result,_xlfn.XLOOKUP(B43,TDLevel,TDLevelStatus,"No"),IF(_xlpm.result="Yes",_xlfn._xlws.FILTER(THead,(TCName=SD!$C$8)*(TSize=CR43)),IF(SD!$C$24=SD!$Q$3,VLOOKUP(CR43,S90Range,3,FALSE),LEFT(SD!$C$24,FIND("-",SD!$C$24)-1)+(RIGHT(SD!$C$24,LEN(SD!$C$24)-FIND("-", SD!$C$24))/12)))),IF(SD!$E$25="BarSize Wise",_xlfn.LET(_xlpm.result,_xlfn.XLOOKUP(CR43,TDBarSize,TDBarSizeStatus,"No"),IF(_xlpm.result="Yes",_xlfn._xlws.FILTER(THead,(TCName=SD!$C$8)*(TSize=CR43)),IF(SD!$C$24=SD!$Q$3,VLOOKUP(CR43,S90Range,3,FALSE),LEFT(SD!$C$24,FIND("-",SD!$C$24)-1)+(RIGHT(SD!$C$24,LEN(SD!$C$24)-FIND("-",SD!$C$24))/12)))), "")))),""))</f>
        <v/>
      </c>
      <c r="CV43" t="str">
        <f>_xlfn.LET(_xlpm.GRR,IF(AND(SD!$C$19=SD!$H$2,Grade!$G$1="Per level"),VLOOKUP(B43,Grade!$E$1:$F$200,2,FALSE),IF(AND(SD!$C$19=SD!$H$2,Grade!$G$1="Per Bar Size"),VLOOKUP(CR43,Grade!$B$1:$C$12,2,0),SD!$C$19)),IF(SD!$C$25=SD!$W$2,IF(Data!$J43="",IFERROR(INDEX(IF(SD!$C$11="Create",Lap!$A$3:$BF$14,IF(SD!$C$11="Per Uploaded File",Lap!$A$19:$BF$30,"")),MATCH(CR43,Lap!$A$3:$A$14,0),MATCH(VALUE(D43),Lap!$A$3:$BF$3,0)+IF(IFERROR(FIND("Grade 60",_xlpm.GRR),0)&gt;0,0,IF(IFERROR(FIND("Grade 80",_xlpm.GRR),0),1,IF(IFERROR(FIND("Grade 75",_xlpm.GRR),0),2,"")))),""),Data!J43),SD!$C$43))</f>
        <v>Match Lap</v>
      </c>
      <c r="CW43">
        <f t="shared" si="15"/>
        <v>0</v>
      </c>
      <c r="CX43">
        <f t="shared" si="16"/>
        <v>0</v>
      </c>
      <c r="CY43" t="str">
        <f t="shared" si="17"/>
        <v/>
      </c>
      <c r="DA43" t="str">
        <f t="shared" si="18"/>
        <v/>
      </c>
      <c r="DB43" t="str">
        <f t="shared" si="19"/>
        <v/>
      </c>
      <c r="DC43" s="24" t="str">
        <f t="shared" si="20"/>
        <v/>
      </c>
      <c r="DD43">
        <f t="shared" si="21"/>
        <v>10.583333333333334</v>
      </c>
      <c r="DE43" t="s">
        <v>785</v>
      </c>
      <c r="DF43" t="s">
        <v>67</v>
      </c>
      <c r="DG43" t="str">
        <f>VLOOKUP(W43,'Level Wise PSI'!$F$2:$G$12,2,FALSE)</f>
        <v>Double Lift</v>
      </c>
      <c r="DI43" t="str" cm="1">
        <f t="array" ref="DI43">_xlfn.LET(_xlpm.Coup,IFERROR(IF(BY43="","",IF(K43="Coupler",_xlfn._xlws.FILTER(CCFCoupler,(CCName=SD!$C$8)*(CBSize=IF(A42=A43,W42&amp;W43,BX43&amp;W43))),"")),"N/A"),IF(_xlpm.Coup=0,"",_xlpm.Coup))</f>
        <v/>
      </c>
      <c r="DJ43" t="str" cm="1">
        <f t="array" ref="DJ43">_xlfn.LET(_xlpm.Coup3,IFERROR(IF(CG43="","",IF(K44="Coupler",_xlfn._xlws.FILTER(CCFCoupler,(CCName=SD!$C$8)*(CBSize=IF(A43=A44,W43&amp;W44,""))),"")),"N/A"),IF(_xlpm.Coup3=0,"",_xlpm.Coup3))</f>
        <v/>
      </c>
      <c r="DK43" t="str" cm="1">
        <f t="array" ref="DK43">_xlfn.LET(_xlpm.Coup2,IFERROR(IF(A43&lt;&gt;A44,"",IF(DF43="No Lap","",IF(K44="Coupler",_xlfn._xlws.FILTER(CCFCoupler,(CCName=SD!$C$8)*(CBSize=IF(A42=A43,W43&amp;W44,W43&amp;W43))),""))),"N/A"),IF(_xlpm.Coup2=0,"",_xlpm.Coup2))</f>
        <v/>
      </c>
      <c r="DM43" t="str">
        <f>IF(AM43="Spiral","",IF(SD!$C$31=SD!$Y$3,SD!$E$32*2,""))</f>
        <v/>
      </c>
      <c r="DO43" s="24">
        <f t="shared" si="22"/>
        <v>2.5</v>
      </c>
      <c r="DQ43" t="str">
        <f t="shared" si="23"/>
        <v>Lig</v>
      </c>
      <c r="DR43" t="str">
        <f>IF(AM43="Spiral",((Y43-(SD!$E$12*2))/12),"")</f>
        <v/>
      </c>
      <c r="DS43" t="str">
        <f t="shared" si="24"/>
        <v/>
      </c>
      <c r="DT43" t="str">
        <f t="shared" si="25"/>
        <v/>
      </c>
      <c r="DU43" t="str">
        <f t="shared" si="26"/>
        <v/>
      </c>
    </row>
    <row r="44" spans="1:125" x14ac:dyDescent="0.25">
      <c r="A44">
        <v>28</v>
      </c>
      <c r="B44" t="s">
        <v>664</v>
      </c>
      <c r="C44" s="15">
        <v>2429</v>
      </c>
      <c r="D44" s="15">
        <v>10000</v>
      </c>
      <c r="E44" s="15" t="s">
        <v>791</v>
      </c>
      <c r="F44" s="15" t="s">
        <v>787</v>
      </c>
      <c r="G44" t="s">
        <v>733</v>
      </c>
      <c r="H44" s="15" t="s">
        <v>789</v>
      </c>
      <c r="I44" t="s">
        <v>723</v>
      </c>
      <c r="J44" t="str">
        <f>IF(AND(SD!$C$19=SD!$H$2,Grade!$G$1="Per level"),VLOOKUP(B44,Grade!$E$1:$F$200,2,FALSE),IF(AND(SD!$C$19=SD!$H$2,Grade!$G$1="Per Bar Size"),VLOOKUP(W44,Grade!$B$1:$C$12,2,0),SD!$C$19))</f>
        <v>A615 Grade 60</v>
      </c>
      <c r="K44" t="s">
        <v>67</v>
      </c>
      <c r="L44" t="str">
        <f>IFERROR(IF(A44&lt;&gt;A45,"",IF(DF44="No Lap","",IF(K45="Lap",U44,IF(K45="Coupler",_xlfn._xlws.FILTER(CCoupler,(CCName=SD!$C$8)*(CBSize=IF(A43=A44,W44&amp;W45,W44&amp;W44))*(CCMFM="Male")),"")))),"N/A")</f>
        <v/>
      </c>
      <c r="M44" t="str">
        <f t="shared" si="0"/>
        <v/>
      </c>
      <c r="N44" t="s">
        <v>719</v>
      </c>
      <c r="O44" t="s">
        <v>720</v>
      </c>
      <c r="P44" t="s">
        <v>719</v>
      </c>
      <c r="Q44" t="str">
        <f>IF(AND(SD!$C$29=SD!$P$2,Grade!$O$1="Per level"),VLOOKUP(B44,Grade!$M$1:$N$200,2,FALSE),IF(AND(SD!$C$29=SD!$P$2,Grade!$O$1="Per Bar Size"),VLOOKUP(LEFT(N44,FIND("@",N44)-2),Grade!$J$1:$K$12,2,0),SD!$C$29))</f>
        <v>A615 Grade 60</v>
      </c>
      <c r="R44" t="s">
        <v>725</v>
      </c>
      <c r="S44" s="57">
        <v>44</v>
      </c>
      <c r="U44" t="str">
        <f>IF(Data!$J44="",IFERROR(INDEX(IF(SD!$C$11="Create",Lap!$A$3:$BF$14,IF(SD!$C$11="Per Uploaded File",Lap!$A$19:$BF$30,"")),MATCH(W44,Lap!$A$3:$A$14,0),MATCH(VALUE(D44),Lap!$A$3:$BF$3,0)+IF(IFERROR(FIND("Grade 60",J44),0)&gt;0,0,IF(IFERROR(FIND("Grade 80",J44),0),1,IF(IFERROR(FIND("Grade 75",J44),0),2,"")))),""),Data!J44)</f>
        <v>3-6</v>
      </c>
      <c r="W44" t="s">
        <v>139</v>
      </c>
      <c r="X44">
        <v>6</v>
      </c>
      <c r="Y44" t="str">
        <f t="shared" si="1"/>
        <v xml:space="preserve">14 </v>
      </c>
      <c r="Z44" t="str">
        <f t="shared" si="2"/>
        <v xml:space="preserve"> 24</v>
      </c>
      <c r="AA44" s="24">
        <f t="shared" si="3"/>
        <v>21.583333333333332</v>
      </c>
      <c r="BB44" t="e" cm="1">
        <f t="array" ref="BB44">_xlfn.LET(_xlpm.PartF,(_xlfn.LET(_xlpm.grade, Q44,_xlpm.gradeRange, IF(_xlpm.grade=SD!$H$3, A615GR60, IF(_xlpm.grade=SD!$H$4, A615GR75, IF(_xlpm.grade=SD!$H$5, A615GR80, IF(_xlpm.grade=SD!$H$6, A615GR100, IF(_xlpm.grade=SD!$H$7, A706GR60, IF(_xlpm.grade=SD!$H$8, A706GR80)))))),_xlpm.matchValue, MATCH(1, (SD!$AW:$AW=AS44)*(SD!$AX:$AX=SD!$C$8), 0),INDEX(_xlpm.gradeRange, _xlpm.matchValue))),IF(AM44="Spiral",CONCATENATE("SP",_xlpm.PartF),_xlpm.PartF))</f>
        <v>#N/A</v>
      </c>
      <c r="BC44" cm="1">
        <f t="array" ref="BC44">_xlfn.LET(_xlpm.leftPart, LEFT(O44, FIND("@", O44) - 2),_xlpm.grade,Q44,_xlpm.gradeRange,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4" cm="1">
        <f t="array" ref="BD44">_xlfn.LET(_xlpm.leftPart, LEFT(P44, FIND("@", P44) - 2),_xlpm.grade, Q44,_xlpm.gradeRange,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4">
        <f t="shared" si="4"/>
        <v>2</v>
      </c>
      <c r="BF44">
        <f>IF(SD!$C$32=SD!$I$2,BE44,IF(SD!$C$32=SD!$I$3,DO44,IF(SD!$C$32=SD!$I$5,BA44,IF(SD!$C$32=SD!$I$6,(LEFT(SD!$C$35,FIND("-",SD!$C$35)-1)+RIGHT(SD!$C$35,LEN(SD!$C$35)-FIND("-",SD!$C$35))/12),IF(SD!$C$32=SD!$I$4,(AU44-(BG44+BH44)))))))</f>
        <v>0</v>
      </c>
      <c r="BG44">
        <f>IF(SD!$C$33=SD!$I$2,BE44,IF(SD!$C$33=SD!$I$3,DO44,IF(SD!$C$33=SD!$I$5,BA44,IF(SD!$C$33=SD!$I$6,(LEFT(SD!$C$35,FIND("-",SD!$C$35)-1)+RIGHT(SD!$C$35,LEN(SD!$C$35)-FIND("-",SD!$C$35))/12),IF(SD!$C$33=SD!$I$4,(AU44-(BF44+BH44)))))))</f>
        <v>-1</v>
      </c>
      <c r="BH44">
        <f>IF(SD!$C$34=SD!$I$2,BE44,IF(SD!$C$34=SD!$I$3,DO44,IF(SD!$C$34=SD!$I$5,BA44,IF(SD!$C$34=SD!$I$6,(LEFT(SD!$C$35,FIND("-",SD!$C$35)-1)+RIGHT(SD!$C$35,LEN(SD!$C$35)-FIND("-",SD!$C$35))/12),IF(SD!$C$34=SD!$I$4,(AU44-(BF44+BG44)))))))</f>
        <v>1</v>
      </c>
      <c r="BJ44">
        <f>IF(AM44="Spiral","1",MAX(ROUNDUP(IF(SD!$C$32="",AT44,BF44/(LEFT(RIGHT(N44,LEN(N44)-FIND("@",N44)),LEN(RIGHT(N44,LEN(N44)-FIND("@",N44)))-1)/12)+1),0),0))</f>
        <v>1</v>
      </c>
      <c r="BK44">
        <f>MAX(ROUNDUP(IF(SD!$C$33="","",BG44/(LEFT(RIGHT(O44,LEN(O44)-FIND("@",O44)),LEN(RIGHT(O44,LEN(O44)-FIND("@",O44)))-1)/12)+1),0),0)</f>
        <v>0</v>
      </c>
      <c r="BL44">
        <f>MAX(ROUNDUP(IF(SD!$C$34="","",BH44/(LEFT(RIGHT(P44,LEN(P44)-FIND("@",P44)),LEN(RIGHT(P44,LEN(P44)-FIND("@",P44)))-1)/12)+1),0),0)</f>
        <v>3</v>
      </c>
      <c r="BN44" t="e">
        <f t="shared" si="5"/>
        <v>#N/A</v>
      </c>
      <c r="BO44" t="e">
        <f t="shared" si="6"/>
        <v>#N/A</v>
      </c>
      <c r="BP44" t="e">
        <f t="shared" si="7"/>
        <v>#N/A</v>
      </c>
      <c r="BQ44" s="24" t="e">
        <f>IF(AM44=TRUE,(((Y44-(SD!$E$12*2))*3.14159265359)+BN44+BO44+BP44)/12+AL44,SUM(AF44:AG44,BN44,BO44,BP44,AO44,AQ44)/12)</f>
        <v>#N/A</v>
      </c>
      <c r="BR44" t="e">
        <f t="shared" si="8"/>
        <v>#N/A</v>
      </c>
      <c r="BS44" t="e">
        <f t="shared" si="9"/>
        <v>#N/A</v>
      </c>
      <c r="BT44" t="e">
        <f t="shared" si="10"/>
        <v>#N/A</v>
      </c>
      <c r="BU44" s="24" t="e">
        <f>IF(AM44=TRUE,(((Y44-(SD!$E$12*2))*3.14159265359)+BR44+BS44+BT44)/12+AL44,SUM(AF44:AG44,BR44,BS44,BT44,AO44,AQ44)/12)</f>
        <v>#N/A</v>
      </c>
      <c r="BW44" t="str">
        <f>IFERROR(LEFT(Data!L44,FIND(" -",Data!L44)-1),"")</f>
        <v/>
      </c>
      <c r="BX44" t="str">
        <f>IFERROR(IF(SD!$C$40=SD!$U$2,W44,IF(SD!$C$40=SD!$U$3,RIGHT(Data!L44,LEN(Data!L44)-(FIND("-",Data!L44)+1)),SD!$C$40)),"")</f>
        <v>#7</v>
      </c>
      <c r="BY44" cm="1">
        <f t="array" ref="BY44">IFERROR(_xlfn.LET(_xlpm.GRR,IF(AND(SD!$C$19=SD!$H$2,Grade!$G$1="Per level"),VLOOKUP(B44,Grade!$E$1:$F$200,2,FALSE),IF(AND(SD!$C$19=SD!$H$2,Grade!$G$1="Per Bar Size"),VLOOKUP(BX44,Grade!$B$1:$C$12,2,0),SD!$C$19)),_xlpm.is_equal, A43=A44,_xlpm.grade_range, IF(_xlpm.GRR=SD!$H$3, A615GR60,IF(_xlpm.GRR=SD!$H$4, A615GR75,IF(_xlpm.GRR=SD!$H$5, A615GR80,IF(_xlpm.GRR=SD!H48, A615GR100,IF(_xlpm.GRR=SD!$H$7, A706GR60,IF(_xlpm.GRR=SD!$H$8, A706GR80)))))),_xlpm.match_result, MATCH(1, (BSize=BX44)*(BCName=SD!$C$8), 0),_xlpm.final_result, INDEX(_xlpm.grade_range, _xlpm.match_result),IF(_xlpm.is_equal, "", _xlpm.final_result)),"")</f>
        <v>7</v>
      </c>
      <c r="BZ44">
        <f>IF(A43=A44,"",IF(SD!$C$41="Match Vertical Bars ",X44,IF(SD!$C$41=SD!$V$3,BW44,SD!$C$41)))</f>
        <v>6</v>
      </c>
      <c r="CA44" cm="1">
        <f t="array" ref="CA44">IF(A43=A44,"",IF(SD!$C$44="No T-Head",IF(SD!$C$42=SD!$Q$3,VLOOKUP(BX44,S90Range,3,FALSE),LEFT(SD!$C$42,FIND("-",SD!$C$42)-1)+(RIGHT(SD!$C$42,LEN(SD!$C$42)-FIND("-",SD!$C$42))/12)),IF(SD!$C$44="T-Head",_xlfn._xlws.FILTER(THead,(TCName=SD!$C$8)*(TSize=BX44)),IF(SD!$C$44="Level Wise",_xlfn.LET(_xlpm.result,_xlfn.XLOOKUP(B44,VDLevel,VDLevelStatus,"No"),IF(_xlpm.result="Yes",_xlfn._xlws.FILTER(THead,(TCName=SD!$C$8)*(TSize=BX44)),IF(SD!$C$42=SD!$Q$3,VLOOKUP(BX44,S90Range,3,FALSE),LEFT(SD!$C$42,FIND("-",SD!$C$42)-1)+(RIGHT(SD!$C$42,LEN(SD!$C$42)-FIND("-", SD!$C$42))/12)))),IF(SD!$C$44="BarSize Wise",_xlfn.LET(_xlpm.result,_xlfn.XLOOKUP(BX44,VDBarSize,VDBarSizeStatus,"No"),IF(_xlpm.result="Yes",_xlfn._xlws.FILTER(THead,(TCName=SD!$C$8)*(TSize=BX44)),IF(SD!$C$42=SD!$Q$3,VLOOKUP(BX44,S90Range,3,FALSE),LEFT(SD!$C$42,FIND("-",SD!$C$42)-1)+(RIGHT(SD!$C$42,LEN(SD!$C$42)-FIND("-",SD!$C$42))/12)))), "")))))</f>
        <v>1.1666666666666667</v>
      </c>
      <c r="CB44" t="str" cm="1">
        <f t="array" ref="CB44">_xlfn.LET(_xlpm.GRR,IF(AND(SD!$C$19=SD!$H$2,Grade!$G$1="Per level"),VLOOKUP(B44,Grade!$E$1:$F$200,2,FALSE),IF(AND(SD!$C$19=SD!$H$2,Grade!$G$1="Per Bar Size"),VLOOKUP(BX44,Grade!$B$1:$C$12,2,0),SD!$C$19)),_xlpm.is_coupler, K44="Coupler",_xlpm.condition1, SD!$C$43=SD!$W$2,_xlpm.data_j2_empty, Data!$J44="",_xlpm.lookup_table, IF(SD!$C$11="Create", Lap!$A$3:$BF$14, IF(SD!$C$11="Per Uploaded File", Lap!$A$19:$BF$30, "")),_xlpm.row_match, MATCH(BX44, Lap!$A$3:$A$14, 0),_xlpm.grade_offset, IF(IFERROR(FIND("Grade 60",_xlpm.GRR), 0) &gt; 0, 0, IF(IFERROR(FIND("Grade 80",_xlpm.GRR), 0), 1, IF(IFERROR(FIND("Grade 75",_xlpm.GRR), 0), 2, ""))),_xlpm.col_match, MATCH(VALUE(D44), Lap!$A$3:$BF$3, 0) + _xlpm.grade_offset,_xlpm.index_result, IFERROR(INDEX(_xlpm.lookup_table, _xlpm.row_match, _xlpm.col_match), Data!$J44),_xlpm.result_if_condition1, IF(_xlpm.data_j2_empty, _xlpm.index_result, Data!$J44),IF(_xlpm.is_coupler, 0, IF(_xlpm.condition1, _xlpm.result_if_condition1, SD!$C$43)))</f>
        <v>3-6</v>
      </c>
      <c r="CC44" s="24">
        <f t="shared" si="11"/>
        <v>3.5</v>
      </c>
      <c r="CD44">
        <f t="shared" si="12"/>
        <v>10.5</v>
      </c>
      <c r="CE44" t="str" cm="1">
        <f t="array" ref="CE44">IF(BY44="","",_xlfn._xlws.FILTER(SAC,(CName=SD!$C$8)*(EName="Vert Dowels")))</f>
        <v>2200 CD</v>
      </c>
      <c r="CF44" t="str" cm="1">
        <f t="array" ref="CF44">IFERROR(IF(BY44="","",IF(K44="Coupler",_xlfn._xlws.FILTER(CCoupler,(CCName=SD!$C$8)*(CBSize=IF(A43=A44,W43&amp;W44,BX44&amp;W44))*(CCMFM="Male")),"")),"N/A")</f>
        <v/>
      </c>
      <c r="CG44" t="str">
        <f t="shared" si="13"/>
        <v/>
      </c>
      <c r="CH44" t="str">
        <f t="shared" si="14"/>
        <v/>
      </c>
      <c r="CI44" t="str">
        <f>_xlfn.LET(_xlpm.u3_value, U45,_xlpm.hyphen_pos,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K45="Coupler",_xlpm.coupler_value, IF(_xlpm.is_coupler, 0, _xlpm.calculated_value),_xlpm.final_value, _xlpm.calculated_value + SD!$E$13 + _xlpm.coupler_value,IF(CG44="", "", _xlpm.final_value))</f>
        <v/>
      </c>
      <c r="CJ44" t="str" cm="1">
        <f t="array" ref="CJ44">IF(CG44="","",_xlfn._xlws.FILTER(SAC,(CName=SD!$C$8)*(EName="Loose Dowels")))</f>
        <v/>
      </c>
      <c r="CK44" t="str" cm="1">
        <f t="array" ref="CK44">IFERROR(IF(CG44="","",IF(K45="Coupler",_xlfn._xlws.FILTER(CCoupler,(CCName=SD!$C$8)*(CBSize=IF(A44=A45,W44&amp;W45,""))*(CCMFM="Male")),"")),"N/A")</f>
        <v/>
      </c>
      <c r="CL44">
        <f>IFERROR(IF(AM44="Spiral","",IF(A43=A44,"",IF(SD!$C$37=0,"",SD!$C$37))),"")</f>
        <v>3</v>
      </c>
      <c r="CN44">
        <f>IF(AM44="Spiral","",IFERROR(IF(SD!$C$36=0,"",SD!$C$36),""))</f>
        <v>5</v>
      </c>
      <c r="CP44">
        <f>IFERROR(IF(SD!$C$42=SD!$Q$3,'Take-off'!CA44,""),"")</f>
        <v>1.1666666666666667</v>
      </c>
      <c r="CR44">
        <f>IFERROR(IF(SD!$C$22=SD!$U$2,W44,SD!$C$22),"")</f>
        <v>0</v>
      </c>
      <c r="CS44" t="str" cm="1">
        <f t="array" ref="CS44">_xlfn.LET(_xlpm.GR,IF(AND(SD!$C$19=SD!$H$2,Grade!$G$1="Per level"),VLOOKUP(B44,Grade!$E$1:$F$200,2,FALSE),IF(AND(SD!$C$19=SD!$H$2,Grade!$G$1="Per Bar Size"),VLOOKUP(CR44,Grade!$B$1:$C$12,2,0),SD!$C$19)),IF(SD!$C$20=SD!$R$4,IF(A45=A44,"",INDEX(IF(_xlpm.GR=SD!$H$3,A615GR60,IF(_xlpm.GR=SD!$H$4,A615GR75,IF(_xlpm.GR=SD!$H$5,A615GR80,IF(_xlpm.GR=SD!H48,A615GR100,IF(_xlpm.GR=SD!$H$7,A706GR60,IF(_xlpm.GR=SD!$H$8,A706GR80)))))), MATCH(1, (BSize=CR44)*(BCName=SD!$C$8), 0))),""))</f>
        <v/>
      </c>
      <c r="CT44">
        <f>IF(A45=A44,"",IF(SD!$C$23="Match Vertical Bars ",X44,SD!$C$23))</f>
        <v>0</v>
      </c>
      <c r="CU44" t="str" cm="1">
        <f t="array" ref="CU44">IF(A45=A44,"",IF(SD!$C$20="Top dowels",IF(SD!$E$25="No T-Head",IF(SD!$C$24=SD!$Q$3,VLOOKUP(CR44,S90Range,3,FALSE),LEFT(SD!$C$24,FIND("-",SD!$C$24)-1)+(RIGHT(SD!$C$24,LEN(SD!$C$24)-FIND("-",SD!$C$24))/12)),IF(SD!$E$25="T-Head",_xlfn._xlws.FILTER(THead,(TCName=SD!$C$8)*(TSize=CR44)),IF(SD!$E$25="Level Wise",_xlfn.LET(_xlpm.result,_xlfn.XLOOKUP(B44,TDLevel,TDLevelStatus,"No"),IF(_xlpm.result="Yes",_xlfn._xlws.FILTER(THead,(TCName=SD!$C$8)*(TSize=CR44)),IF(SD!$C$24=SD!$Q$3,VLOOKUP(CR44,S90Range,3,FALSE),LEFT(SD!$C$24,FIND("-",SD!$C$24)-1)+(RIGHT(SD!$C$24,LEN(SD!$C$24)-FIND("-", SD!$C$24))/12)))),IF(SD!$E$25="BarSize Wise",_xlfn.LET(_xlpm.result,_xlfn.XLOOKUP(CR44,TDBarSize,TDBarSizeStatus,"No"),IF(_xlpm.result="Yes",_xlfn._xlws.FILTER(THead,(TCName=SD!$C$8)*(TSize=CR44)),IF(SD!$C$24=SD!$Q$3,VLOOKUP(CR44,S90Range,3,FALSE),LEFT(SD!$C$24,FIND("-",SD!$C$24)-1)+(RIGHT(SD!$C$24,LEN(SD!$C$24)-FIND("-",SD!$C$24))/12)))), "")))),""))</f>
        <v/>
      </c>
      <c r="CV44" t="str">
        <f>_xlfn.LET(_xlpm.GRR,IF(AND(SD!$C$19=SD!$H$2,Grade!$G$1="Per level"),VLOOKUP(B44,Grade!$E$1:$F$200,2,FALSE),IF(AND(SD!$C$19=SD!$H$2,Grade!$G$1="Per Bar Size"),VLOOKUP(CR44,Grade!$B$1:$C$12,2,0),SD!$C$19)),IF(SD!$C$25=SD!$W$2,IF(Data!$J44="",IFERROR(INDEX(IF(SD!$C$11="Create",Lap!$A$3:$BF$14,IF(SD!$C$11="Per Uploaded File",Lap!$A$19:$BF$30,"")),MATCH(CR44,Lap!$A$3:$A$14,0),MATCH(VALUE(D44),Lap!$A$3:$BF$3,0)+IF(IFERROR(FIND("Grade 60",_xlpm.GRR),0)&gt;0,0,IF(IFERROR(FIND("Grade 80",_xlpm.GRR),0),1,IF(IFERROR(FIND("Grade 75",_xlpm.GRR),0),2,"")))),""),Data!J44),SD!$C$43))</f>
        <v>Match Lap</v>
      </c>
      <c r="CW44">
        <f t="shared" si="15"/>
        <v>0</v>
      </c>
      <c r="CX44">
        <f t="shared" si="16"/>
        <v>0</v>
      </c>
      <c r="CY44" t="str">
        <f t="shared" si="17"/>
        <v/>
      </c>
      <c r="DA44">
        <f t="shared" si="18"/>
        <v>28</v>
      </c>
      <c r="DB44" t="str">
        <f t="shared" si="19"/>
        <v>21-7</v>
      </c>
      <c r="DC44" s="24">
        <f t="shared" si="20"/>
        <v>21.583333333333332</v>
      </c>
      <c r="DD44">
        <f t="shared" si="21"/>
        <v>21.583333333333332</v>
      </c>
      <c r="DE44" t="s">
        <v>733</v>
      </c>
      <c r="DF44" t="s">
        <v>67</v>
      </c>
      <c r="DG44" t="str">
        <f>VLOOKUP(W44,'Level Wise PSI'!$F$2:$G$12,2,FALSE)</f>
        <v>Double Lift</v>
      </c>
      <c r="DI44" t="str" cm="1">
        <f t="array" ref="DI44">_xlfn.LET(_xlpm.Coup,IFERROR(IF(BY44="","",IF(K44="Coupler",_xlfn._xlws.FILTER(CCFCoupler,(CCName=SD!$C$8)*(CBSize=IF(A43=A44,W43&amp;W44,BX44&amp;W44))),"")),"N/A"),IF(_xlpm.Coup=0,"",_xlpm.Coup))</f>
        <v/>
      </c>
      <c r="DJ44" t="str" cm="1">
        <f t="array" ref="DJ44">_xlfn.LET(_xlpm.Coup3,IFERROR(IF(CG44="","",IF(K45="Coupler",_xlfn._xlws.FILTER(CCFCoupler,(CCName=SD!$C$8)*(CBSize=IF(A44=A45,W44&amp;W45,""))),"")),"N/A"),IF(_xlpm.Coup3=0,"",_xlpm.Coup3))</f>
        <v/>
      </c>
      <c r="DK44" t="str" cm="1">
        <f t="array" ref="DK44">_xlfn.LET(_xlpm.Coup2,IFERROR(IF(A44&lt;&gt;A45,"",IF(DF44="No Lap","",IF(K45="Coupler",_xlfn._xlws.FILTER(CCFCoupler,(CCName=SD!$C$8)*(CBSize=IF(A43=A44,W44&amp;W45,W44&amp;W44))),""))),"N/A"),IF(_xlpm.Coup2=0,"",_xlpm.Coup2))</f>
        <v/>
      </c>
      <c r="DM44" t="str">
        <f>IF(AM44="Spiral","",IF(SD!$C$31=SD!$Y$3,SD!$E$32*2,""))</f>
        <v/>
      </c>
      <c r="DO44" s="24">
        <f t="shared" si="22"/>
        <v>2</v>
      </c>
      <c r="DQ44" t="str">
        <f t="shared" si="23"/>
        <v>Lig</v>
      </c>
      <c r="DR44" t="str">
        <f>IF(AM44="Spiral",((Y44-(SD!$E$12*2))/12),"")</f>
        <v/>
      </c>
      <c r="DS44" t="str">
        <f t="shared" si="24"/>
        <v/>
      </c>
      <c r="DT44" t="str">
        <f t="shared" si="25"/>
        <v/>
      </c>
      <c r="DU44" t="str">
        <f t="shared" si="26"/>
        <v/>
      </c>
    </row>
    <row r="45" spans="1:125" x14ac:dyDescent="0.25">
      <c r="A45">
        <v>29</v>
      </c>
      <c r="B45" t="s">
        <v>664</v>
      </c>
      <c r="C45" s="15">
        <v>2429</v>
      </c>
      <c r="D45" s="15">
        <v>10000</v>
      </c>
      <c r="E45" s="15" t="s">
        <v>711</v>
      </c>
      <c r="F45" s="15" t="s">
        <v>787</v>
      </c>
      <c r="G45" t="s">
        <v>726</v>
      </c>
      <c r="H45" s="15" t="s">
        <v>789</v>
      </c>
      <c r="I45" t="s">
        <v>739</v>
      </c>
      <c r="J45" t="str">
        <f>IF(AND(SD!$C$19=SD!$H$2,Grade!$G$1="Per level"),VLOOKUP(B45,Grade!$E$1:$F$200,2,FALSE),IF(AND(SD!$C$19=SD!$H$2,Grade!$G$1="Per Bar Size"),VLOOKUP(W45,Grade!$B$1:$C$12,2,0),SD!$C$19))</f>
        <v>A615 Grade 60</v>
      </c>
      <c r="K45" t="s">
        <v>67</v>
      </c>
      <c r="L45" t="str">
        <f>IFERROR(IF(A45&lt;&gt;A46,"",IF(DF45="No Lap","",IF(K46="Lap",U45,IF(K46="Coupler",_xlfn._xlws.FILTER(CCoupler,(CCName=SD!$C$8)*(CBSize=IF(A44=A45,W45&amp;W46,W45&amp;W45))*(CCMFM="Male")),"")))),"N/A")</f>
        <v>5-1</v>
      </c>
      <c r="M45" t="str">
        <f t="shared" si="0"/>
        <v>10 - #10</v>
      </c>
      <c r="N45" t="s">
        <v>719</v>
      </c>
      <c r="O45" t="s">
        <v>720</v>
      </c>
      <c r="P45" t="s">
        <v>719</v>
      </c>
      <c r="Q45" t="str">
        <f>IF(AND(SD!$C$29=SD!$P$2,Grade!$O$1="Per level"),VLOOKUP(B45,Grade!$M$1:$N$200,2,FALSE),IF(AND(SD!$C$29=SD!$P$2,Grade!$O$1="Per Bar Size"),VLOOKUP(LEFT(N45,FIND("@",N45)-2),Grade!$J$1:$K$12,2,0),SD!$C$29))</f>
        <v>A615 Grade 60</v>
      </c>
      <c r="R45" t="s">
        <v>736</v>
      </c>
      <c r="S45" s="57">
        <v>45</v>
      </c>
      <c r="U45" t="str">
        <f>IF(Data!$J45="",IFERROR(INDEX(IF(SD!$C$11="Create",Lap!$A$3:$BF$14,IF(SD!$C$11="Per Uploaded File",Lap!$A$19:$BF$30,"")),MATCH(W45,Lap!$A$3:$A$14,0),MATCH(VALUE(D45),Lap!$A$3:$BF$3,0)+IF(IFERROR(FIND("Grade 60",J45),0)&gt;0,0,IF(IFERROR(FIND("Grade 80",J45),0),1,IF(IFERROR(FIND("Grade 75",J45),0),2,"")))),""),Data!J45)</f>
        <v>5-1</v>
      </c>
      <c r="W45" t="s">
        <v>176</v>
      </c>
      <c r="X45">
        <v>8</v>
      </c>
      <c r="Y45" t="str">
        <f t="shared" si="1"/>
        <v xml:space="preserve">24 </v>
      </c>
      <c r="Z45" t="str">
        <f t="shared" si="2"/>
        <v xml:space="preserve"> 36</v>
      </c>
      <c r="AA45" s="24">
        <f t="shared" si="3"/>
        <v>26.666666666666668</v>
      </c>
      <c r="BB45" t="e" cm="1">
        <f t="array" ref="BB45">_xlfn.LET(_xlpm.PartF,(_xlfn.LET(_xlpm.grade, Q45,_xlpm.gradeRange, IF(_xlpm.grade=SD!$H$3, A615GR60, IF(_xlpm.grade=SD!$H$4, A615GR75, IF(_xlpm.grade=SD!$H$5, A615GR80, IF(_xlpm.grade=SD!$H$6, A615GR100, IF(_xlpm.grade=SD!$H$7, A706GR60, IF(_xlpm.grade=SD!$H$8, A706GR80)))))),_xlpm.matchValue, MATCH(1, (SD!$AW:$AW=AS45)*(SD!$AX:$AX=SD!$C$8), 0),INDEX(_xlpm.gradeRange, _xlpm.matchValue))),IF(AM45="Spiral",CONCATENATE("SP",_xlpm.PartF),_xlpm.PartF))</f>
        <v>#N/A</v>
      </c>
      <c r="BC45" cm="1">
        <f t="array" ref="BC45">_xlfn.LET(_xlpm.leftPart, LEFT(O45, FIND("@", O45) - 2),_xlpm.grade,Q45,_xlpm.gradeRange,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5" cm="1">
        <f t="array" ref="BD45">_xlfn.LET(_xlpm.leftPart, LEFT(P45, FIND("@", P45) - 2),_xlpm.grade, Q45,_xlpm.gradeRange,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5">
        <f t="shared" si="4"/>
        <v>3</v>
      </c>
      <c r="BF45">
        <f>IF(SD!$C$32=SD!$I$2,BE45,IF(SD!$C$32=SD!$I$3,DO45,IF(SD!$C$32=SD!$I$5,BA45,IF(SD!$C$32=SD!$I$6,(LEFT(SD!$C$35,FIND("-",SD!$C$35)-1)+RIGHT(SD!$C$35,LEN(SD!$C$35)-FIND("-",SD!$C$35))/12),IF(SD!$C$32=SD!$I$4,(AU45-(BG45+BH45)))))))</f>
        <v>0</v>
      </c>
      <c r="BG45">
        <f>IF(SD!$C$33=SD!$I$2,BE45,IF(SD!$C$33=SD!$I$3,DO45,IF(SD!$C$33=SD!$I$5,BA45,IF(SD!$C$33=SD!$I$6,(LEFT(SD!$C$35,FIND("-",SD!$C$35)-1)+RIGHT(SD!$C$35,LEN(SD!$C$35)-FIND("-",SD!$C$35))/12),IF(SD!$C$33=SD!$I$4,(AU45-(BF45+BH45)))))))</f>
        <v>-1</v>
      </c>
      <c r="BH45">
        <f>IF(SD!$C$34=SD!$I$2,BE45,IF(SD!$C$34=SD!$I$3,DO45,IF(SD!$C$34=SD!$I$5,BA45,IF(SD!$C$34=SD!$I$6,(LEFT(SD!$C$35,FIND("-",SD!$C$35)-1)+RIGHT(SD!$C$35,LEN(SD!$C$35)-FIND("-",SD!$C$35))/12),IF(SD!$C$34=SD!$I$4,(AU45-(BF45+BG45)))))))</f>
        <v>1</v>
      </c>
      <c r="BJ45">
        <f>IF(AM45="Spiral","1",MAX(ROUNDUP(IF(SD!$C$32="",AT45,BF45/(LEFT(RIGHT(N45,LEN(N45)-FIND("@",N45)),LEN(RIGHT(N45,LEN(N45)-FIND("@",N45)))-1)/12)+1),0),0))</f>
        <v>1</v>
      </c>
      <c r="BK45">
        <f>MAX(ROUNDUP(IF(SD!$C$33="","",BG45/(LEFT(RIGHT(O45,LEN(O45)-FIND("@",O45)),LEN(RIGHT(O45,LEN(O45)-FIND("@",O45)))-1)/12)+1),0),0)</f>
        <v>0</v>
      </c>
      <c r="BL45">
        <f>MAX(ROUNDUP(IF(SD!$C$34="","",BH45/(LEFT(RIGHT(P45,LEN(P45)-FIND("@",P45)),LEN(RIGHT(P45,LEN(P45)-FIND("@",P45)))-1)/12)+1),0),0)</f>
        <v>3</v>
      </c>
      <c r="BN45" t="e">
        <f t="shared" si="5"/>
        <v>#N/A</v>
      </c>
      <c r="BO45" t="e">
        <f t="shared" si="6"/>
        <v>#N/A</v>
      </c>
      <c r="BP45" t="e">
        <f t="shared" si="7"/>
        <v>#N/A</v>
      </c>
      <c r="BQ45" s="24" t="e">
        <f>IF(AM45=TRUE,(((Y45-(SD!$E$12*2))*3.14159265359)+BN45+BO45+BP45)/12+AL45,SUM(AF45:AG45,BN45,BO45,BP45,AO45,AQ45)/12)</f>
        <v>#N/A</v>
      </c>
      <c r="BR45" t="e">
        <f t="shared" si="8"/>
        <v>#N/A</v>
      </c>
      <c r="BS45" t="e">
        <f t="shared" si="9"/>
        <v>#N/A</v>
      </c>
      <c r="BT45" t="e">
        <f t="shared" si="10"/>
        <v>#N/A</v>
      </c>
      <c r="BU45" s="24" t="e">
        <f>IF(AM45=TRUE,(((Y45-(SD!$E$12*2))*3.14159265359)+BR45+BS45+BT45)/12+AL45,SUM(AF45:AG45,BR45,BS45,BT45,AO45,AQ45)/12)</f>
        <v>#N/A</v>
      </c>
      <c r="BW45" t="str">
        <f>IFERROR(LEFT(Data!L45,FIND(" -",Data!L45)-1),"")</f>
        <v/>
      </c>
      <c r="BX45" t="str">
        <f>IFERROR(IF(SD!$C$40=SD!$U$2,W45,IF(SD!$C$40=SD!$U$3,RIGHT(Data!L45,LEN(Data!L45)-(FIND("-",Data!L45)+1)),SD!$C$40)),"")</f>
        <v>#10</v>
      </c>
      <c r="BY45" cm="1">
        <f t="array" ref="BY45">IFERROR(_xlfn.LET(_xlpm.GRR,IF(AND(SD!$C$19=SD!$H$2,Grade!$G$1="Per level"),VLOOKUP(B45,Grade!$E$1:$F$200,2,FALSE),IF(AND(SD!$C$19=SD!$H$2,Grade!$G$1="Per Bar Size"),VLOOKUP(BX45,Grade!$B$1:$C$12,2,0),SD!$C$19)),_xlpm.is_equal, A44=A45,_xlpm.grade_range, IF(_xlpm.GRR=SD!$H$3, A615GR60,IF(_xlpm.GRR=SD!$H$4, A615GR75,IF(_xlpm.GRR=SD!$H$5, A615GR80,IF(_xlpm.GRR=SD!H49, A615GR100,IF(_xlpm.GRR=SD!$H$7, A706GR60,IF(_xlpm.GRR=SD!$H$8, A706GR80)))))),_xlpm.match_result, MATCH(1, (BSize=BX45)*(BCName=SD!$C$8), 0),_xlpm.final_result, INDEX(_xlpm.grade_range, _xlpm.match_result),IF(_xlpm.is_equal, "", _xlpm.final_result)),"")</f>
        <v>10</v>
      </c>
      <c r="BZ45">
        <f>IF(A44=A45,"",IF(SD!$C$41="Match Vertical Bars ",X45,IF(SD!$C$41=SD!$V$3,BW45,SD!$C$41)))</f>
        <v>8</v>
      </c>
      <c r="CA45" cm="1">
        <f t="array" ref="CA45">IF(A44=A45,"",IF(SD!$C$44="No T-Head",IF(SD!$C$42=SD!$Q$3,VLOOKUP(BX45,S90Range,3,FALSE),LEFT(SD!$C$42,FIND("-",SD!$C$42)-1)+(RIGHT(SD!$C$42,LEN(SD!$C$42)-FIND("-",SD!$C$42))/12)),IF(SD!$C$44="T-Head",_xlfn._xlws.FILTER(THead,(TCName=SD!$C$8)*(TSize=BX45)),IF(SD!$C$44="Level Wise",_xlfn.LET(_xlpm.result,_xlfn.XLOOKUP(B45,VDLevel,VDLevelStatus,"No"),IF(_xlpm.result="Yes",_xlfn._xlws.FILTER(THead,(TCName=SD!$C$8)*(TSize=BX45)),IF(SD!$C$42=SD!$Q$3,VLOOKUP(BX45,S90Range,3,FALSE),LEFT(SD!$C$42,FIND("-",SD!$C$42)-1)+(RIGHT(SD!$C$42,LEN(SD!$C$42)-FIND("-", SD!$C$42))/12)))),IF(SD!$C$44="BarSize Wise",_xlfn.LET(_xlpm.result,_xlfn.XLOOKUP(BX45,VDBarSize,VDBarSizeStatus,"No"),IF(_xlpm.result="Yes",_xlfn._xlws.FILTER(THead,(TCName=SD!$C$8)*(TSize=BX45)),IF(SD!$C$42=SD!$Q$3,VLOOKUP(BX45,S90Range,3,FALSE),LEFT(SD!$C$42,FIND("-",SD!$C$42)-1)+(RIGHT(SD!$C$42,LEN(SD!$C$42)-FIND("-",SD!$C$42))/12)))), "")))))</f>
        <v>1.8333333333333335</v>
      </c>
      <c r="CB45" t="str" cm="1">
        <f t="array" ref="CB45">_xlfn.LET(_xlpm.GRR,IF(AND(SD!$C$19=SD!$H$2,Grade!$G$1="Per level"),VLOOKUP(B45,Grade!$E$1:$F$200,2,FALSE),IF(AND(SD!$C$19=SD!$H$2,Grade!$G$1="Per Bar Size"),VLOOKUP(BX45,Grade!$B$1:$C$12,2,0),SD!$C$19)),_xlpm.is_coupler, K45="Coupler",_xlpm.condition1, SD!$C$43=SD!$W$2,_xlpm.data_j2_empty, Data!$J45="",_xlpm.lookup_table, IF(SD!$C$11="Create", Lap!$A$3:$BF$14, IF(SD!$C$11="Per Uploaded File", Lap!$A$19:$BF$30, "")),_xlpm.row_match, MATCH(BX45, Lap!$A$3:$A$14, 0),_xlpm.grade_offset, IF(IFERROR(FIND("Grade 60",_xlpm.GRR), 0) &gt; 0, 0, IF(IFERROR(FIND("Grade 80",_xlpm.GRR), 0), 1, IF(IFERROR(FIND("Grade 75",_xlpm.GRR), 0), 2, ""))),_xlpm.col_match, MATCH(VALUE(D45), Lap!$A$3:$BF$3, 0) + _xlpm.grade_offset,_xlpm.index_result, IFERROR(INDEX(_xlpm.lookup_table, _xlpm.row_match, _xlpm.col_match), Data!$J45),_xlpm.result_if_condition1, IF(_xlpm.data_j2_empty, _xlpm.index_result, Data!$J45),IF(_xlpm.is_coupler, 0, IF(_xlpm.condition1, _xlpm.result_if_condition1, SD!$C$43)))</f>
        <v>5-1</v>
      </c>
      <c r="CC45" s="24">
        <f t="shared" si="11"/>
        <v>5.083333333333333</v>
      </c>
      <c r="CD45">
        <f t="shared" si="12"/>
        <v>12.583333333333332</v>
      </c>
      <c r="CE45" t="str" cm="1">
        <f t="array" ref="CE45">IF(BY45="","",_xlfn._xlws.FILTER(SAC,(CName=SD!$C$8)*(EName="Vert Dowels")))</f>
        <v>2200 CD</v>
      </c>
      <c r="CF45" t="str" cm="1">
        <f t="array" ref="CF45">IFERROR(IF(BY45="","",IF(K45="Coupler",_xlfn._xlws.FILTER(CCoupler,(CCName=SD!$C$8)*(CBSize=IF(A44=A45,W44&amp;W45,BX45&amp;W45))*(CCMFM="Male")),"")),"N/A")</f>
        <v/>
      </c>
      <c r="CG45" t="str">
        <f t="shared" si="13"/>
        <v>10</v>
      </c>
      <c r="CH45">
        <f t="shared" si="14"/>
        <v>0</v>
      </c>
      <c r="CI45">
        <f>_xlfn.LET(_xlpm.u3_value, U46,_xlpm.hyphen_pos,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K46="Coupler",_xlpm.coupler_value, IF(_xlpm.is_coupler, 0, _xlpm.calculated_value),_xlpm.final_value, _xlpm.calculated_value + SD!$E$13 + _xlpm.coupler_value,IF(CG45="", "", _xlpm.final_value))</f>
        <v>10.833333333333332</v>
      </c>
      <c r="CJ45" cm="1">
        <f t="array" ref="CJ45">IF(CG45="","",_xlfn._xlws.FILTER(SAC,(CName=SD!$C$8)*(EName="Loose Dowels")))</f>
        <v>2429</v>
      </c>
      <c r="CK45" t="str" cm="1">
        <f t="array" ref="CK45">IFERROR(IF(CG45="","",IF(K46="Coupler",_xlfn._xlws.FILTER(CCoupler,(CCName=SD!$C$8)*(CBSize=IF(A45=A46,W45&amp;W46,""))*(CCMFM="Male")),"")),"N/A")</f>
        <v/>
      </c>
      <c r="CL45">
        <f>IFERROR(IF(AM45="Spiral","",IF(A44=A45,"",IF(SD!$C$37=0,"",SD!$C$37))),"")</f>
        <v>3</v>
      </c>
      <c r="CN45">
        <f>IF(AM45="Spiral","",IFERROR(IF(SD!$C$36=0,"",SD!$C$36),""))</f>
        <v>5</v>
      </c>
      <c r="CP45">
        <f>IFERROR(IF(SD!$C$42=SD!$Q$3,'Take-off'!CA45,""),"")</f>
        <v>1.8333333333333335</v>
      </c>
      <c r="CR45">
        <f>IFERROR(IF(SD!$C$22=SD!$U$2,W45,SD!$C$22),"")</f>
        <v>0</v>
      </c>
      <c r="CS45" t="str" cm="1">
        <f t="array" ref="CS45">_xlfn.LET(_xlpm.GR,IF(AND(SD!$C$19=SD!$H$2,Grade!$G$1="Per level"),VLOOKUP(B45,Grade!$E$1:$F$200,2,FALSE),IF(AND(SD!$C$19=SD!$H$2,Grade!$G$1="Per Bar Size"),VLOOKUP(CR45,Grade!$B$1:$C$12,2,0),SD!$C$19)),IF(SD!$C$20=SD!$R$4,IF(A46=A45,"",INDEX(IF(_xlpm.GR=SD!$H$3,A615GR60,IF(_xlpm.GR=SD!$H$4,A615GR75,IF(_xlpm.GR=SD!$H$5,A615GR80,IF(_xlpm.GR=SD!H49,A615GR100,IF(_xlpm.GR=SD!$H$7,A706GR60,IF(_xlpm.GR=SD!$H$8,A706GR80)))))), MATCH(1, (BSize=CR45)*(BCName=SD!$C$8), 0))),""))</f>
        <v/>
      </c>
      <c r="CT45" t="str">
        <f>IF(A46=A45,"",IF(SD!$C$23="Match Vertical Bars ",X45,SD!$C$23))</f>
        <v/>
      </c>
      <c r="CU45" t="str" cm="1">
        <f t="array" ref="CU45">IF(A46=A45,"",IF(SD!$C$20="Top dowels",IF(SD!$E$25="No T-Head",IF(SD!$C$24=SD!$Q$3,VLOOKUP(CR45,S90Range,3,FALSE),LEFT(SD!$C$24,FIND("-",SD!$C$24)-1)+(RIGHT(SD!$C$24,LEN(SD!$C$24)-FIND("-",SD!$C$24))/12)),IF(SD!$E$25="T-Head",_xlfn._xlws.FILTER(THead,(TCName=SD!$C$8)*(TSize=CR45)),IF(SD!$E$25="Level Wise",_xlfn.LET(_xlpm.result,_xlfn.XLOOKUP(B45,TDLevel,TDLevelStatus,"No"),IF(_xlpm.result="Yes",_xlfn._xlws.FILTER(THead,(TCName=SD!$C$8)*(TSize=CR45)),IF(SD!$C$24=SD!$Q$3,VLOOKUP(CR45,S90Range,3,FALSE),LEFT(SD!$C$24,FIND("-",SD!$C$24)-1)+(RIGHT(SD!$C$24,LEN(SD!$C$24)-FIND("-", SD!$C$24))/12)))),IF(SD!$E$25="BarSize Wise",_xlfn.LET(_xlpm.result,_xlfn.XLOOKUP(CR45,TDBarSize,TDBarSizeStatus,"No"),IF(_xlpm.result="Yes",_xlfn._xlws.FILTER(THead,(TCName=SD!$C$8)*(TSize=CR45)),IF(SD!$C$24=SD!$Q$3,VLOOKUP(CR45,S90Range,3,FALSE),LEFT(SD!$C$24,FIND("-",SD!$C$24)-1)+(RIGHT(SD!$C$24,LEN(SD!$C$24)-FIND("-",SD!$C$24))/12)))), "")))),""))</f>
        <v/>
      </c>
      <c r="CV45" t="str">
        <f>_xlfn.LET(_xlpm.GRR,IF(AND(SD!$C$19=SD!$H$2,Grade!$G$1="Per level"),VLOOKUP(B45,Grade!$E$1:$F$200,2,FALSE),IF(AND(SD!$C$19=SD!$H$2,Grade!$G$1="Per Bar Size"),VLOOKUP(CR45,Grade!$B$1:$C$12,2,0),SD!$C$19)),IF(SD!$C$25=SD!$W$2,IF(Data!$J45="",IFERROR(INDEX(IF(SD!$C$11="Create",Lap!$A$3:$BF$14,IF(SD!$C$11="Per Uploaded File",Lap!$A$19:$BF$30,"")),MATCH(CR45,Lap!$A$3:$A$14,0),MATCH(VALUE(D45),Lap!$A$3:$BF$3,0)+IF(IFERROR(FIND("Grade 60",_xlpm.GRR),0)&gt;0,0,IF(IFERROR(FIND("Grade 80",_xlpm.GRR),0),1,IF(IFERROR(FIND("Grade 75",_xlpm.GRR),0),2,"")))),""),Data!J45),SD!$C$43))</f>
        <v>Match Lap</v>
      </c>
      <c r="CW45">
        <f t="shared" si="15"/>
        <v>0</v>
      </c>
      <c r="CX45">
        <f t="shared" si="16"/>
        <v>0</v>
      </c>
      <c r="CY45" t="str">
        <f t="shared" si="17"/>
        <v/>
      </c>
      <c r="DA45">
        <f t="shared" si="18"/>
        <v>29</v>
      </c>
      <c r="DB45" t="str">
        <f t="shared" si="19"/>
        <v>138-0</v>
      </c>
      <c r="DC45" s="24">
        <f t="shared" si="20"/>
        <v>137.99999999999997</v>
      </c>
      <c r="DD45">
        <f t="shared" si="21"/>
        <v>21.583333333333332</v>
      </c>
      <c r="DE45" t="s">
        <v>785</v>
      </c>
      <c r="DF45" t="s">
        <v>67</v>
      </c>
      <c r="DG45" t="str">
        <f>VLOOKUP(W45,'Level Wise PSI'!$F$2:$G$12,2,FALSE)</f>
        <v>Double Lift</v>
      </c>
      <c r="DI45" t="str" cm="1">
        <f t="array" ref="DI45">_xlfn.LET(_xlpm.Coup,IFERROR(IF(BY45="","",IF(K45="Coupler",_xlfn._xlws.FILTER(CCFCoupler,(CCName=SD!$C$8)*(CBSize=IF(A44=A45,W44&amp;W45,BX45&amp;W45))),"")),"N/A"),IF(_xlpm.Coup=0,"",_xlpm.Coup))</f>
        <v/>
      </c>
      <c r="DJ45" t="str" cm="1">
        <f t="array" ref="DJ45">_xlfn.LET(_xlpm.Coup3,IFERROR(IF(CG45="","",IF(K46="Coupler",_xlfn._xlws.FILTER(CCFCoupler,(CCName=SD!$C$8)*(CBSize=IF(A45=A46,W45&amp;W46,""))),"")),"N/A"),IF(_xlpm.Coup3=0,"",_xlpm.Coup3))</f>
        <v/>
      </c>
      <c r="DK45" t="str" cm="1">
        <f t="array" ref="DK45">_xlfn.LET(_xlpm.Coup2,IFERROR(IF(A45&lt;&gt;A46,"",IF(DF45="No Lap","",IF(K46="Coupler",_xlfn._xlws.FILTER(CCFCoupler,(CCName=SD!$C$8)*(CBSize=IF(A44=A45,W45&amp;W46,W45&amp;W45))),""))),"N/A"),IF(_xlpm.Coup2=0,"",_xlpm.Coup2))</f>
        <v/>
      </c>
      <c r="DM45" t="str">
        <f>IF(AM45="Spiral","",IF(SD!$C$31=SD!$Y$3,SD!$E$32*2,""))</f>
        <v/>
      </c>
      <c r="DO45" s="24">
        <f t="shared" si="22"/>
        <v>3</v>
      </c>
      <c r="DQ45" t="str">
        <f t="shared" si="23"/>
        <v>Lig</v>
      </c>
      <c r="DR45" t="str">
        <f>IF(AM45="Spiral",((Y45-(SD!$E$12*2))/12),"")</f>
        <v/>
      </c>
      <c r="DS45" t="str">
        <f t="shared" si="24"/>
        <v/>
      </c>
      <c r="DT45" t="str">
        <f t="shared" si="25"/>
        <v/>
      </c>
      <c r="DU45" t="str">
        <f t="shared" si="26"/>
        <v/>
      </c>
    </row>
    <row r="46" spans="1:125" x14ac:dyDescent="0.25">
      <c r="A46">
        <v>29</v>
      </c>
      <c r="B46" t="s">
        <v>667</v>
      </c>
      <c r="C46" s="15">
        <v>2429</v>
      </c>
      <c r="D46" s="15">
        <v>10000</v>
      </c>
      <c r="E46" t="str">
        <f>IF(B46=Level!$A$2,SD!$C$14,SD!$C$13)</f>
        <v>0-8</v>
      </c>
      <c r="F46" s="15" t="s">
        <v>787</v>
      </c>
      <c r="G46" t="s">
        <v>740</v>
      </c>
      <c r="H46" t="str">
        <f>RIGHT(VLOOKUP(B46,Level!A:C,3,FALSE),LEN(VLOOKUP(B46,Level!A:C,3,FALSE))-1)</f>
        <v>10-7</v>
      </c>
      <c r="I46" t="s">
        <v>741</v>
      </c>
      <c r="J46" t="str">
        <f>IF(AND(SD!$C$19=SD!$H$2,Grade!$G$1="Per level"),VLOOKUP(B46,Grade!$E$1:$F$200,2,FALSE),IF(AND(SD!$C$19=SD!$H$2,Grade!$G$1="Per Bar Size"),VLOOKUP(W46,Grade!$B$1:$C$12,2,0),SD!$C$19))</f>
        <v>A615 Grade 60</v>
      </c>
      <c r="K46" t="s">
        <v>67</v>
      </c>
      <c r="L46" t="str">
        <f>IFERROR(IF(A46&lt;&gt;A47,"",IF(DF46="No Lap","",IF(K47="Lap",U46,IF(K47="Coupler",_xlfn._xlws.FILTER(CCoupler,(CCName=SD!$C$8)*(CBSize=IF(A45=A46,W46&amp;W47,W46&amp;W46))*(CCMFM="Male")),"")))),"N/A")</f>
        <v>5-1</v>
      </c>
      <c r="M46" t="str">
        <f t="shared" si="0"/>
        <v/>
      </c>
      <c r="N46" t="s">
        <v>719</v>
      </c>
      <c r="O46" t="s">
        <v>720</v>
      </c>
      <c r="P46" t="s">
        <v>719</v>
      </c>
      <c r="Q46" t="str">
        <f>IF(AND(SD!$C$29=SD!$P$2,Grade!$O$1="Per level"),VLOOKUP(B46,Grade!$M$1:$N$200,2,FALSE),IF(AND(SD!$C$29=SD!$P$2,Grade!$O$1="Per Bar Size"),VLOOKUP(LEFT(N46,FIND("@",N46)-2),Grade!$J$1:$K$12,2,0),SD!$C$29))</f>
        <v>A615 Grade 60</v>
      </c>
      <c r="R46" t="s">
        <v>740</v>
      </c>
      <c r="S46" s="57">
        <v>46</v>
      </c>
      <c r="U46" t="str">
        <f>IF(Data!$J46="",IFERROR(INDEX(IF(SD!$C$11="Create",Lap!$A$3:$BF$14,IF(SD!$C$11="Per Uploaded File",Lap!$A$19:$BF$30,"")),MATCH(W46,Lap!$A$3:$A$14,0),MATCH(VALUE(D46),Lap!$A$3:$BF$3,0)+IF(IFERROR(FIND("Grade 60",J46),0)&gt;0,0,IF(IFERROR(FIND("Grade 80",J46),0),1,IF(IFERROR(FIND("Grade 75",J46),0),2,"")))),""),Data!J46)</f>
        <v>5-1</v>
      </c>
      <c r="W46" t="s">
        <v>176</v>
      </c>
      <c r="X46">
        <v>10</v>
      </c>
      <c r="Y46" t="str">
        <f t="shared" si="1"/>
        <v>36</v>
      </c>
      <c r="Z46">
        <f t="shared" si="2"/>
        <v>0</v>
      </c>
      <c r="AA46" s="24">
        <f t="shared" si="3"/>
        <v>15.666666666666666</v>
      </c>
      <c r="BB46" t="e" cm="1">
        <f t="array" ref="BB46">_xlfn.LET(_xlpm.PartF,(_xlfn.LET(_xlpm.grade, Q46,_xlpm.gradeRange, IF(_xlpm.grade=SD!$H$3, A615GR60, IF(_xlpm.grade=SD!$H$4, A615GR75, IF(_xlpm.grade=SD!$H$5, A615GR80, IF(_xlpm.grade=SD!$H$6, A615GR100, IF(_xlpm.grade=SD!$H$7, A706GR60, IF(_xlpm.grade=SD!$H$8, A706GR80)))))),_xlpm.matchValue, MATCH(1, (SD!$AW:$AW=AS46)*(SD!$AX:$AX=SD!$C$8), 0),INDEX(_xlpm.gradeRange, _xlpm.matchValue))),IF(AM46="Spiral",CONCATENATE("SP",_xlpm.PartF),_xlpm.PartF))</f>
        <v>#N/A</v>
      </c>
      <c r="BC46" cm="1">
        <f t="array" ref="BC46">_xlfn.LET(_xlpm.leftPart, LEFT(O46, FIND("@", O46) - 2),_xlpm.grade,Q46,_xlpm.gradeRange,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6" cm="1">
        <f t="array" ref="BD46">_xlfn.LET(_xlpm.leftPart, LEFT(P46, FIND("@", P46) - 2),_xlpm.grade, Q46,_xlpm.gradeRange,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6">
        <f t="shared" si="4"/>
        <v>3</v>
      </c>
      <c r="BF46">
        <f>IF(SD!$C$32=SD!$I$2,BE46,IF(SD!$C$32=SD!$I$3,DO46,IF(SD!$C$32=SD!$I$5,BA46,IF(SD!$C$32=SD!$I$6,(LEFT(SD!$C$35,FIND("-",SD!$C$35)-1)+RIGHT(SD!$C$35,LEN(SD!$C$35)-FIND("-",SD!$C$35))/12),IF(SD!$C$32=SD!$I$4,(AU46-(BG46+BH46)))))))</f>
        <v>0</v>
      </c>
      <c r="BG46">
        <f>IF(SD!$C$33=SD!$I$2,BE46,IF(SD!$C$33=SD!$I$3,DO46,IF(SD!$C$33=SD!$I$5,BA46,IF(SD!$C$33=SD!$I$6,(LEFT(SD!$C$35,FIND("-",SD!$C$35)-1)+RIGHT(SD!$C$35,LEN(SD!$C$35)-FIND("-",SD!$C$35))/12),IF(SD!$C$33=SD!$I$4,(AU46-(BF46+BH46)))))))</f>
        <v>-1</v>
      </c>
      <c r="BH46">
        <f>IF(SD!$C$34=SD!$I$2,BE46,IF(SD!$C$34=SD!$I$3,DO46,IF(SD!$C$34=SD!$I$5,BA46,IF(SD!$C$34=SD!$I$6,(LEFT(SD!$C$35,FIND("-",SD!$C$35)-1)+RIGHT(SD!$C$35,LEN(SD!$C$35)-FIND("-",SD!$C$35))/12),IF(SD!$C$34=SD!$I$4,(AU46-(BF46+BG46)))))))</f>
        <v>1</v>
      </c>
      <c r="BJ46">
        <f>IF(AM46="Spiral","1",MAX(ROUNDUP(IF(SD!$C$32="",AT46,BF46/(LEFT(RIGHT(N46,LEN(N46)-FIND("@",N46)),LEN(RIGHT(N46,LEN(N46)-FIND("@",N46)))-1)/12)+1),0),0))</f>
        <v>1</v>
      </c>
      <c r="BK46">
        <f>MAX(ROUNDUP(IF(SD!$C$33="","",BG46/(LEFT(RIGHT(O46,LEN(O46)-FIND("@",O46)),LEN(RIGHT(O46,LEN(O46)-FIND("@",O46)))-1)/12)+1),0),0)</f>
        <v>0</v>
      </c>
      <c r="BL46">
        <f>MAX(ROUNDUP(IF(SD!$C$34="","",BH46/(LEFT(RIGHT(P46,LEN(P46)-FIND("@",P46)),LEN(RIGHT(P46,LEN(P46)-FIND("@",P46)))-1)/12)+1),0),0)</f>
        <v>3</v>
      </c>
      <c r="BN46" t="e">
        <f t="shared" si="5"/>
        <v>#N/A</v>
      </c>
      <c r="BO46" t="e">
        <f t="shared" si="6"/>
        <v>#N/A</v>
      </c>
      <c r="BP46" t="e">
        <f t="shared" si="7"/>
        <v>#N/A</v>
      </c>
      <c r="BQ46" s="24" t="e">
        <f>IF(AM46=TRUE,(((Y46-(SD!$E$12*2))*3.14159265359)+BN46+BO46+BP46)/12+AL46,SUM(AF46:AG46,BN46,BO46,BP46,AO46,AQ46)/12)</f>
        <v>#N/A</v>
      </c>
      <c r="BR46" t="e">
        <f t="shared" si="8"/>
        <v>#N/A</v>
      </c>
      <c r="BS46" t="e">
        <f t="shared" si="9"/>
        <v>#N/A</v>
      </c>
      <c r="BT46" t="e">
        <f t="shared" si="10"/>
        <v>#N/A</v>
      </c>
      <c r="BU46" s="24" t="e">
        <f>IF(AM46=TRUE,(((Y46-(SD!$E$12*2))*3.14159265359)+BR46+BS46+BT46)/12+AL46,SUM(AF46:AG46,BR46,BS46,BT46,AO46,AQ46)/12)</f>
        <v>#N/A</v>
      </c>
      <c r="BW46" t="str">
        <f>IFERROR(LEFT(Data!L46,FIND(" -",Data!L46)-1),"")</f>
        <v/>
      </c>
      <c r="BX46" t="str">
        <f>IFERROR(IF(SD!$C$40=SD!$U$2,W46,IF(SD!$C$40=SD!$U$3,RIGHT(Data!L46,LEN(Data!L46)-(FIND("-",Data!L46)+1)),SD!$C$40)),"")</f>
        <v>#10</v>
      </c>
      <c r="BY46" t="str" cm="1">
        <f t="array" ref="BY46">IFERROR(_xlfn.LET(_xlpm.GRR,IF(AND(SD!$C$19=SD!$H$2,Grade!$G$1="Per level"),VLOOKUP(B46,Grade!$E$1:$F$200,2,FALSE),IF(AND(SD!$C$19=SD!$H$2,Grade!$G$1="Per Bar Size"),VLOOKUP(BX46,Grade!$B$1:$C$12,2,0),SD!$C$19)),_xlpm.is_equal, A45=A46,_xlpm.grade_range, IF(_xlpm.GRR=SD!$H$3, A615GR60,IF(_xlpm.GRR=SD!$H$4, A615GR75,IF(_xlpm.GRR=SD!$H$5, A615GR80,IF(_xlpm.GRR=SD!H50, A615GR100,IF(_xlpm.GRR=SD!$H$7, A706GR60,IF(_xlpm.GRR=SD!$H$8, A706GR80)))))),_xlpm.match_result, MATCH(1, (BSize=BX46)*(BCName=SD!$C$8), 0),_xlpm.final_result, INDEX(_xlpm.grade_range, _xlpm.match_result),IF(_xlpm.is_equal, "", _xlpm.final_result)),"")</f>
        <v/>
      </c>
      <c r="BZ46" t="str">
        <f>IF(A45=A46,"",IF(SD!$C$41="Match Vertical Bars ",X46,IF(SD!$C$41=SD!$V$3,BW46,SD!$C$41)))</f>
        <v/>
      </c>
      <c r="CA46" t="str" cm="1">
        <f t="array" ref="CA46">IF(A45=A46,"",IF(SD!$C$44="No T-Head",IF(SD!$C$42=SD!$Q$3,VLOOKUP(BX46,S90Range,3,FALSE),LEFT(SD!$C$42,FIND("-",SD!$C$42)-1)+(RIGHT(SD!$C$42,LEN(SD!$C$42)-FIND("-",SD!$C$42))/12)),IF(SD!$C$44="T-Head",_xlfn._xlws.FILTER(THead,(TCName=SD!$C$8)*(TSize=BX46)),IF(SD!$C$44="Level Wise",_xlfn.LET(_xlpm.result,_xlfn.XLOOKUP(B46,VDLevel,VDLevelStatus,"No"),IF(_xlpm.result="Yes",_xlfn._xlws.FILTER(THead,(TCName=SD!$C$8)*(TSize=BX46)),IF(SD!$C$42=SD!$Q$3,VLOOKUP(BX46,S90Range,3,FALSE),LEFT(SD!$C$42,FIND("-",SD!$C$42)-1)+(RIGHT(SD!$C$42,LEN(SD!$C$42)-FIND("-", SD!$C$42))/12)))),IF(SD!$C$44="BarSize Wise",_xlfn.LET(_xlpm.result,_xlfn.XLOOKUP(BX46,VDBarSize,VDBarSizeStatus,"No"),IF(_xlpm.result="Yes",_xlfn._xlws.FILTER(THead,(TCName=SD!$C$8)*(TSize=BX46)),IF(SD!$C$42=SD!$Q$3,VLOOKUP(BX46,S90Range,3,FALSE),LEFT(SD!$C$42,FIND("-",SD!$C$42)-1)+(RIGHT(SD!$C$42,LEN(SD!$C$42)-FIND("-",SD!$C$42))/12)))), "")))))</f>
        <v/>
      </c>
      <c r="CB46" t="str" cm="1">
        <f t="array" ref="CB46">_xlfn.LET(_xlpm.GRR,IF(AND(SD!$C$19=SD!$H$2,Grade!$G$1="Per level"),VLOOKUP(B46,Grade!$E$1:$F$200,2,FALSE),IF(AND(SD!$C$19=SD!$H$2,Grade!$G$1="Per Bar Size"),VLOOKUP(BX46,Grade!$B$1:$C$12,2,0),SD!$C$19)),_xlpm.is_coupler, K46="Coupler",_xlpm.condition1, SD!$C$43=SD!$W$2,_xlpm.data_j2_empty, Data!$J46="",_xlpm.lookup_table, IF(SD!$C$11="Create", Lap!$A$3:$BF$14, IF(SD!$C$11="Per Uploaded File", Lap!$A$19:$BF$30, "")),_xlpm.row_match, MATCH(BX46, Lap!$A$3:$A$14, 0),_xlpm.grade_offset, IF(IFERROR(FIND("Grade 60",_xlpm.GRR), 0) &gt; 0, 0, IF(IFERROR(FIND("Grade 80",_xlpm.GRR), 0), 1, IF(IFERROR(FIND("Grade 75",_xlpm.GRR), 0), 2, ""))),_xlpm.col_match, MATCH(VALUE(D46), Lap!$A$3:$BF$3, 0) + _xlpm.grade_offset,_xlpm.index_result, IFERROR(INDEX(_xlpm.lookup_table, _xlpm.row_match, _xlpm.col_match), Data!$J46),_xlpm.result_if_condition1, IF(_xlpm.data_j2_empty, _xlpm.index_result, Data!$J46),IF(_xlpm.is_coupler, 0, IF(_xlpm.condition1, _xlpm.result_if_condition1, SD!$C$43)))</f>
        <v>5-1</v>
      </c>
      <c r="CC46" s="24">
        <f t="shared" si="11"/>
        <v>5.083333333333333</v>
      </c>
      <c r="CD46">
        <f t="shared" si="12"/>
        <v>5.75</v>
      </c>
      <c r="CE46" t="str" cm="1">
        <f t="array" ref="CE46">IF(BY46="","",_xlfn._xlws.FILTER(SAC,(CName=SD!$C$8)*(EName="Vert Dowels")))</f>
        <v/>
      </c>
      <c r="CF46" t="str" cm="1">
        <f t="array" ref="CF46">IFERROR(IF(BY46="","",IF(K46="Coupler",_xlfn._xlws.FILTER(CCoupler,(CCName=SD!$C$8)*(CBSize=IF(A45=A46,W45&amp;W46,BX46&amp;W46))*(CCMFM="Male")),"")),"N/A")</f>
        <v/>
      </c>
      <c r="CG46" t="str">
        <f t="shared" si="13"/>
        <v/>
      </c>
      <c r="CH46" t="str">
        <f t="shared" si="14"/>
        <v/>
      </c>
      <c r="CI46" t="str">
        <f>_xlfn.LET(_xlpm.u3_value, U47,_xlpm.hyphen_pos,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K47="Coupler",_xlpm.coupler_value, IF(_xlpm.is_coupler, 0, _xlpm.calculated_value),_xlpm.final_value, _xlpm.calculated_value + SD!$E$13 + _xlpm.coupler_value,IF(CG46="", "", _xlpm.final_value))</f>
        <v/>
      </c>
      <c r="CJ46" t="str" cm="1">
        <f t="array" ref="CJ46">IF(CG46="","",_xlfn._xlws.FILTER(SAC,(CName=SD!$C$8)*(EName="Loose Dowels")))</f>
        <v/>
      </c>
      <c r="CK46" t="str" cm="1">
        <f t="array" ref="CK46">IFERROR(IF(CG46="","",IF(K47="Coupler",_xlfn._xlws.FILTER(CCoupler,(CCName=SD!$C$8)*(CBSize=IF(A46=A47,W46&amp;W47,""))*(CCMFM="Male")),"")),"N/A")</f>
        <v/>
      </c>
      <c r="CL46" t="str">
        <f>IFERROR(IF(AM46="Spiral","",IF(A45=A46,"",IF(SD!$C$37=0,"",SD!$C$37))),"")</f>
        <v/>
      </c>
      <c r="CN46">
        <f>IF(AM46="Spiral","",IFERROR(IF(SD!$C$36=0,"",SD!$C$36),""))</f>
        <v>5</v>
      </c>
      <c r="CP46" t="str">
        <f>IFERROR(IF(SD!$C$42=SD!$Q$3,'Take-off'!CA46,""),"")</f>
        <v/>
      </c>
      <c r="CR46">
        <f>IFERROR(IF(SD!$C$22=SD!$U$2,W46,SD!$C$22),"")</f>
        <v>0</v>
      </c>
      <c r="CS46" t="str" cm="1">
        <f t="array" ref="CS46">_xlfn.LET(_xlpm.GR,IF(AND(SD!$C$19=SD!$H$2,Grade!$G$1="Per level"),VLOOKUP(B46,Grade!$E$1:$F$200,2,FALSE),IF(AND(SD!$C$19=SD!$H$2,Grade!$G$1="Per Bar Size"),VLOOKUP(CR46,Grade!$B$1:$C$12,2,0),SD!$C$19)),IF(SD!$C$20=SD!$R$4,IF(A47=A46,"",INDEX(IF(_xlpm.GR=SD!$H$3,A615GR60,IF(_xlpm.GR=SD!$H$4,A615GR75,IF(_xlpm.GR=SD!$H$5,A615GR80,IF(_xlpm.GR=SD!H50,A615GR100,IF(_xlpm.GR=SD!$H$7,A706GR60,IF(_xlpm.GR=SD!$H$8,A706GR80)))))), MATCH(1, (BSize=CR46)*(BCName=SD!$C$8), 0))),""))</f>
        <v/>
      </c>
      <c r="CT46" t="str">
        <f>IF(A47=A46,"",IF(SD!$C$23="Match Vertical Bars ",X46,SD!$C$23))</f>
        <v/>
      </c>
      <c r="CU46" t="str" cm="1">
        <f t="array" ref="CU46">IF(A47=A46,"",IF(SD!$C$20="Top dowels",IF(SD!$E$25="No T-Head",IF(SD!$C$24=SD!$Q$3,VLOOKUP(CR46,S90Range,3,FALSE),LEFT(SD!$C$24,FIND("-",SD!$C$24)-1)+(RIGHT(SD!$C$24,LEN(SD!$C$24)-FIND("-",SD!$C$24))/12)),IF(SD!$E$25="T-Head",_xlfn._xlws.FILTER(THead,(TCName=SD!$C$8)*(TSize=CR46)),IF(SD!$E$25="Level Wise",_xlfn.LET(_xlpm.result,_xlfn.XLOOKUP(B46,TDLevel,TDLevelStatus,"No"),IF(_xlpm.result="Yes",_xlfn._xlws.FILTER(THead,(TCName=SD!$C$8)*(TSize=CR46)),IF(SD!$C$24=SD!$Q$3,VLOOKUP(CR46,S90Range,3,FALSE),LEFT(SD!$C$24,FIND("-",SD!$C$24)-1)+(RIGHT(SD!$C$24,LEN(SD!$C$24)-FIND("-", SD!$C$24))/12)))),IF(SD!$E$25="BarSize Wise",_xlfn.LET(_xlpm.result,_xlfn.XLOOKUP(CR46,TDBarSize,TDBarSizeStatus,"No"),IF(_xlpm.result="Yes",_xlfn._xlws.FILTER(THead,(TCName=SD!$C$8)*(TSize=CR46)),IF(SD!$C$24=SD!$Q$3,VLOOKUP(CR46,S90Range,3,FALSE),LEFT(SD!$C$24,FIND("-",SD!$C$24)-1)+(RIGHT(SD!$C$24,LEN(SD!$C$24)-FIND("-",SD!$C$24))/12)))), "")))),""))</f>
        <v/>
      </c>
      <c r="CV46" t="str">
        <f>_xlfn.LET(_xlpm.GRR,IF(AND(SD!$C$19=SD!$H$2,Grade!$G$1="Per level"),VLOOKUP(B46,Grade!$E$1:$F$200,2,FALSE),IF(AND(SD!$C$19=SD!$H$2,Grade!$G$1="Per Bar Size"),VLOOKUP(CR46,Grade!$B$1:$C$12,2,0),SD!$C$19)),IF(SD!$C$25=SD!$W$2,IF(Data!$J46="",IFERROR(INDEX(IF(SD!$C$11="Create",Lap!$A$3:$BF$14,IF(SD!$C$11="Per Uploaded File",Lap!$A$19:$BF$30,"")),MATCH(CR46,Lap!$A$3:$A$14,0),MATCH(VALUE(D46),Lap!$A$3:$BF$3,0)+IF(IFERROR(FIND("Grade 60",_xlpm.GRR),0)&gt;0,0,IF(IFERROR(FIND("Grade 80",_xlpm.GRR),0),1,IF(IFERROR(FIND("Grade 75",_xlpm.GRR),0),2,"")))),""),Data!J46),SD!$C$43))</f>
        <v>Match Lap</v>
      </c>
      <c r="CW46">
        <f t="shared" si="15"/>
        <v>0</v>
      </c>
      <c r="CX46">
        <f t="shared" si="16"/>
        <v>0</v>
      </c>
      <c r="CY46" t="str">
        <f t="shared" si="17"/>
        <v/>
      </c>
      <c r="DA46" t="str">
        <f t="shared" si="18"/>
        <v/>
      </c>
      <c r="DB46" t="str">
        <f t="shared" si="19"/>
        <v/>
      </c>
      <c r="DC46" s="24" t="str">
        <f t="shared" si="20"/>
        <v/>
      </c>
      <c r="DD46">
        <f t="shared" si="21"/>
        <v>10.583333333333334</v>
      </c>
      <c r="DE46" t="s">
        <v>785</v>
      </c>
      <c r="DF46" t="s">
        <v>67</v>
      </c>
      <c r="DG46" t="str">
        <f>VLOOKUP(W46,'Level Wise PSI'!$F$2:$G$12,2,FALSE)</f>
        <v>Double Lift</v>
      </c>
      <c r="DI46" t="str" cm="1">
        <f t="array" ref="DI46">_xlfn.LET(_xlpm.Coup,IFERROR(IF(BY46="","",IF(K46="Coupler",_xlfn._xlws.FILTER(CCFCoupler,(CCName=SD!$C$8)*(CBSize=IF(A45=A46,W45&amp;W46,BX46&amp;W46))),"")),"N/A"),IF(_xlpm.Coup=0,"",_xlpm.Coup))</f>
        <v/>
      </c>
      <c r="DJ46" t="str" cm="1">
        <f t="array" ref="DJ46">_xlfn.LET(_xlpm.Coup3,IFERROR(IF(CG46="","",IF(K47="Coupler",_xlfn._xlws.FILTER(CCFCoupler,(CCName=SD!$C$8)*(CBSize=IF(A46=A47,W46&amp;W47,""))),"")),"N/A"),IF(_xlpm.Coup3=0,"",_xlpm.Coup3))</f>
        <v/>
      </c>
      <c r="DK46" t="str" cm="1">
        <f t="array" ref="DK46">_xlfn.LET(_xlpm.Coup2,IFERROR(IF(A46&lt;&gt;A47,"",IF(DF46="No Lap","",IF(K47="Coupler",_xlfn._xlws.FILTER(CCFCoupler,(CCName=SD!$C$8)*(CBSize=IF(A45=A46,W46&amp;W47,W46&amp;W46))),""))),"N/A"),IF(_xlpm.Coup2=0,"",_xlpm.Coup2))</f>
        <v/>
      </c>
      <c r="DM46" t="str">
        <f>IF(AM46="Spiral","",IF(SD!$C$31=SD!$Y$3,SD!$E$32*2,""))</f>
        <v/>
      </c>
      <c r="DO46" s="24">
        <f t="shared" si="22"/>
        <v>3</v>
      </c>
      <c r="DQ46" t="str">
        <f t="shared" si="23"/>
        <v>Lig</v>
      </c>
      <c r="DR46" t="str">
        <f>IF(AM46="Spiral",((Y46-(SD!$E$12*2))/12),"")</f>
        <v/>
      </c>
      <c r="DS46" t="str">
        <f t="shared" si="24"/>
        <v/>
      </c>
      <c r="DT46" t="str">
        <f t="shared" si="25"/>
        <v/>
      </c>
      <c r="DU46" t="str">
        <f t="shared" si="26"/>
        <v/>
      </c>
    </row>
    <row r="47" spans="1:125" x14ac:dyDescent="0.25">
      <c r="A47">
        <v>29</v>
      </c>
      <c r="B47" t="s">
        <v>670</v>
      </c>
      <c r="C47" s="15">
        <v>2429</v>
      </c>
      <c r="D47" s="15">
        <v>10000</v>
      </c>
      <c r="E47" t="str">
        <f>IF(B47=Level!$A$2,SD!$C$14,SD!$C$13)</f>
        <v>0-8</v>
      </c>
      <c r="F47" s="15" t="s">
        <v>787</v>
      </c>
      <c r="G47" t="s">
        <v>742</v>
      </c>
      <c r="H47" t="str">
        <f>RIGHT(VLOOKUP(B47,Level!A:C,3,FALSE),LEN(VLOOKUP(B47,Level!A:C,3,FALSE))-1)</f>
        <v>10-7</v>
      </c>
      <c r="I47" t="s">
        <v>743</v>
      </c>
      <c r="J47" t="str">
        <f>IF(AND(SD!$C$19=SD!$H$2,Grade!$G$1="Per level"),VLOOKUP(B47,Grade!$E$1:$F$200,2,FALSE),IF(AND(SD!$C$19=SD!$H$2,Grade!$G$1="Per Bar Size"),VLOOKUP(W47,Grade!$B$1:$C$12,2,0),SD!$C$19))</f>
        <v>A615 Grade 60</v>
      </c>
      <c r="K47" t="s">
        <v>67</v>
      </c>
      <c r="L47" t="str">
        <f>IFERROR(IF(A47&lt;&gt;A48,"",IF(DF47="No Lap","",IF(K48="Lap",U47,IF(K48="Coupler",_xlfn._xlws.FILTER(CCoupler,(CCName=SD!$C$8)*(CBSize=IF(A46=A47,W47&amp;W48,W47&amp;W47))*(CCMFM="Male")),"")))),"N/A")</f>
        <v>5-1</v>
      </c>
      <c r="M47" t="str">
        <f t="shared" si="0"/>
        <v/>
      </c>
      <c r="N47" t="s">
        <v>719</v>
      </c>
      <c r="O47" t="s">
        <v>720</v>
      </c>
      <c r="P47" t="s">
        <v>719</v>
      </c>
      <c r="Q47" t="str">
        <f>IF(AND(SD!$C$29=SD!$P$2,Grade!$O$1="Per level"),VLOOKUP(B47,Grade!$M$1:$N$200,2,FALSE),IF(AND(SD!$C$29=SD!$P$2,Grade!$O$1="Per Bar Size"),VLOOKUP(LEFT(N47,FIND("@",N47)-2),Grade!$J$1:$K$12,2,0),SD!$C$29))</f>
        <v>A615 Grade 60</v>
      </c>
      <c r="R47" t="s">
        <v>742</v>
      </c>
      <c r="S47" s="57">
        <v>47</v>
      </c>
      <c r="U47" t="str">
        <f>IF(Data!$J47="",IFERROR(INDEX(IF(SD!$C$11="Create",Lap!$A$3:$BF$14,IF(SD!$C$11="Per Uploaded File",Lap!$A$19:$BF$30,"")),MATCH(W47,Lap!$A$3:$A$14,0),MATCH(VALUE(D47),Lap!$A$3:$BF$3,0)+IF(IFERROR(FIND("Grade 60",J47),0)&gt;0,0,IF(IFERROR(FIND("Grade 80",J47),0),1,IF(IFERROR(FIND("Grade 75",J47),0),2,"")))),""),Data!J47)</f>
        <v>5-1</v>
      </c>
      <c r="W47" t="s">
        <v>176</v>
      </c>
      <c r="X47">
        <v>6</v>
      </c>
      <c r="Y47" t="str">
        <f t="shared" si="1"/>
        <v>30</v>
      </c>
      <c r="Z47">
        <f t="shared" si="2"/>
        <v>0</v>
      </c>
      <c r="AA47" s="24">
        <f t="shared" si="3"/>
        <v>15.666666666666666</v>
      </c>
      <c r="BB47" t="e" cm="1">
        <f t="array" ref="BB47">_xlfn.LET(_xlpm.PartF,(_xlfn.LET(_xlpm.grade, Q47,_xlpm.gradeRange, IF(_xlpm.grade=SD!$H$3, A615GR60, IF(_xlpm.grade=SD!$H$4, A615GR75, IF(_xlpm.grade=SD!$H$5, A615GR80, IF(_xlpm.grade=SD!$H$6, A615GR100, IF(_xlpm.grade=SD!$H$7, A706GR60, IF(_xlpm.grade=SD!$H$8, A706GR80)))))),_xlpm.matchValue, MATCH(1, (SD!$AW:$AW=AS47)*(SD!$AX:$AX=SD!$C$8), 0),INDEX(_xlpm.gradeRange, _xlpm.matchValue))),IF(AM47="Spiral",CONCATENATE("SP",_xlpm.PartF),_xlpm.PartF))</f>
        <v>#N/A</v>
      </c>
      <c r="BC47" cm="1">
        <f t="array" ref="BC47">_xlfn.LET(_xlpm.leftPart, LEFT(O47, FIND("@", O47) - 2),_xlpm.grade,Q47,_xlpm.gradeRange,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7" cm="1">
        <f t="array" ref="BD47">_xlfn.LET(_xlpm.leftPart, LEFT(P47, FIND("@", P47) - 2),_xlpm.grade, Q47,_xlpm.gradeRange,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7">
        <f t="shared" si="4"/>
        <v>2.5</v>
      </c>
      <c r="BF47">
        <f>IF(SD!$C$32=SD!$I$2,BE47,IF(SD!$C$32=SD!$I$3,DO47,IF(SD!$C$32=SD!$I$5,BA47,IF(SD!$C$32=SD!$I$6,(LEFT(SD!$C$35,FIND("-",SD!$C$35)-1)+RIGHT(SD!$C$35,LEN(SD!$C$35)-FIND("-",SD!$C$35))/12),IF(SD!$C$32=SD!$I$4,(AU47-(BG47+BH47)))))))</f>
        <v>0</v>
      </c>
      <c r="BG47">
        <f>IF(SD!$C$33=SD!$I$2,BE47,IF(SD!$C$33=SD!$I$3,DO47,IF(SD!$C$33=SD!$I$5,BA47,IF(SD!$C$33=SD!$I$6,(LEFT(SD!$C$35,FIND("-",SD!$C$35)-1)+RIGHT(SD!$C$35,LEN(SD!$C$35)-FIND("-",SD!$C$35))/12),IF(SD!$C$33=SD!$I$4,(AU47-(BF47+BH47)))))))</f>
        <v>-1</v>
      </c>
      <c r="BH47">
        <f>IF(SD!$C$34=SD!$I$2,BE47,IF(SD!$C$34=SD!$I$3,DO47,IF(SD!$C$34=SD!$I$5,BA47,IF(SD!$C$34=SD!$I$6,(LEFT(SD!$C$35,FIND("-",SD!$C$35)-1)+RIGHT(SD!$C$35,LEN(SD!$C$35)-FIND("-",SD!$C$35))/12),IF(SD!$C$34=SD!$I$4,(AU47-(BF47+BG47)))))))</f>
        <v>1</v>
      </c>
      <c r="BJ47">
        <f>IF(AM47="Spiral","1",MAX(ROUNDUP(IF(SD!$C$32="",AT47,BF47/(LEFT(RIGHT(N47,LEN(N47)-FIND("@",N47)),LEN(RIGHT(N47,LEN(N47)-FIND("@",N47)))-1)/12)+1),0),0))</f>
        <v>1</v>
      </c>
      <c r="BK47">
        <f>MAX(ROUNDUP(IF(SD!$C$33="","",BG47/(LEFT(RIGHT(O47,LEN(O47)-FIND("@",O47)),LEN(RIGHT(O47,LEN(O47)-FIND("@",O47)))-1)/12)+1),0),0)</f>
        <v>0</v>
      </c>
      <c r="BL47">
        <f>MAX(ROUNDUP(IF(SD!$C$34="","",BH47/(LEFT(RIGHT(P47,LEN(P47)-FIND("@",P47)),LEN(RIGHT(P47,LEN(P47)-FIND("@",P47)))-1)/12)+1),0),0)</f>
        <v>3</v>
      </c>
      <c r="BN47" t="e">
        <f t="shared" si="5"/>
        <v>#N/A</v>
      </c>
      <c r="BO47" t="e">
        <f t="shared" si="6"/>
        <v>#N/A</v>
      </c>
      <c r="BP47" t="e">
        <f t="shared" si="7"/>
        <v>#N/A</v>
      </c>
      <c r="BQ47" s="24" t="e">
        <f>IF(AM47=TRUE,(((Y47-(SD!$E$12*2))*3.14159265359)+BN47+BO47+BP47)/12+AL47,SUM(AF47:AG47,BN47,BO47,BP47,AO47,AQ47)/12)</f>
        <v>#N/A</v>
      </c>
      <c r="BR47" t="e">
        <f t="shared" si="8"/>
        <v>#N/A</v>
      </c>
      <c r="BS47" t="e">
        <f t="shared" si="9"/>
        <v>#N/A</v>
      </c>
      <c r="BT47" t="e">
        <f t="shared" si="10"/>
        <v>#N/A</v>
      </c>
      <c r="BU47" s="24" t="e">
        <f>IF(AM47=TRUE,(((Y47-(SD!$E$12*2))*3.14159265359)+BR47+BS47+BT47)/12+AL47,SUM(AF47:AG47,BR47,BS47,BT47,AO47,AQ47)/12)</f>
        <v>#N/A</v>
      </c>
      <c r="BW47" t="str">
        <f>IFERROR(LEFT(Data!L47,FIND(" -",Data!L47)-1),"")</f>
        <v/>
      </c>
      <c r="BX47" t="str">
        <f>IFERROR(IF(SD!$C$40=SD!$U$2,W47,IF(SD!$C$40=SD!$U$3,RIGHT(Data!L47,LEN(Data!L47)-(FIND("-",Data!L47)+1)),SD!$C$40)),"")</f>
        <v>#10</v>
      </c>
      <c r="BY47" t="str" cm="1">
        <f t="array" ref="BY47">IFERROR(_xlfn.LET(_xlpm.GRR,IF(AND(SD!$C$19=SD!$H$2,Grade!$G$1="Per level"),VLOOKUP(B47,Grade!$E$1:$F$200,2,FALSE),IF(AND(SD!$C$19=SD!$H$2,Grade!$G$1="Per Bar Size"),VLOOKUP(BX47,Grade!$B$1:$C$12,2,0),SD!$C$19)),_xlpm.is_equal, A46=A47,_xlpm.grade_range, IF(_xlpm.GRR=SD!$H$3, A615GR60,IF(_xlpm.GRR=SD!$H$4, A615GR75,IF(_xlpm.GRR=SD!$H$5, A615GR80,IF(_xlpm.GRR=SD!H51, A615GR100,IF(_xlpm.GRR=SD!$H$7, A706GR60,IF(_xlpm.GRR=SD!$H$8, A706GR80)))))),_xlpm.match_result, MATCH(1, (BSize=BX47)*(BCName=SD!$C$8), 0),_xlpm.final_result, INDEX(_xlpm.grade_range, _xlpm.match_result),IF(_xlpm.is_equal, "", _xlpm.final_result)),"")</f>
        <v/>
      </c>
      <c r="BZ47" t="str">
        <f>IF(A46=A47,"",IF(SD!$C$41="Match Vertical Bars ",X47,IF(SD!$C$41=SD!$V$3,BW47,SD!$C$41)))</f>
        <v/>
      </c>
      <c r="CA47" t="str" cm="1">
        <f t="array" ref="CA47">IF(A46=A47,"",IF(SD!$C$44="No T-Head",IF(SD!$C$42=SD!$Q$3,VLOOKUP(BX47,S90Range,3,FALSE),LEFT(SD!$C$42,FIND("-",SD!$C$42)-1)+(RIGHT(SD!$C$42,LEN(SD!$C$42)-FIND("-",SD!$C$42))/12)),IF(SD!$C$44="T-Head",_xlfn._xlws.FILTER(THead,(TCName=SD!$C$8)*(TSize=BX47)),IF(SD!$C$44="Level Wise",_xlfn.LET(_xlpm.result,_xlfn.XLOOKUP(B47,VDLevel,VDLevelStatus,"No"),IF(_xlpm.result="Yes",_xlfn._xlws.FILTER(THead,(TCName=SD!$C$8)*(TSize=BX47)),IF(SD!$C$42=SD!$Q$3,VLOOKUP(BX47,S90Range,3,FALSE),LEFT(SD!$C$42,FIND("-",SD!$C$42)-1)+(RIGHT(SD!$C$42,LEN(SD!$C$42)-FIND("-", SD!$C$42))/12)))),IF(SD!$C$44="BarSize Wise",_xlfn.LET(_xlpm.result,_xlfn.XLOOKUP(BX47,VDBarSize,VDBarSizeStatus,"No"),IF(_xlpm.result="Yes",_xlfn._xlws.FILTER(THead,(TCName=SD!$C$8)*(TSize=BX47)),IF(SD!$C$42=SD!$Q$3,VLOOKUP(BX47,S90Range,3,FALSE),LEFT(SD!$C$42,FIND("-",SD!$C$42)-1)+(RIGHT(SD!$C$42,LEN(SD!$C$42)-FIND("-",SD!$C$42))/12)))), "")))))</f>
        <v/>
      </c>
      <c r="CB47" t="str" cm="1">
        <f t="array" ref="CB47">_xlfn.LET(_xlpm.GRR,IF(AND(SD!$C$19=SD!$H$2,Grade!$G$1="Per level"),VLOOKUP(B47,Grade!$E$1:$F$200,2,FALSE),IF(AND(SD!$C$19=SD!$H$2,Grade!$G$1="Per Bar Size"),VLOOKUP(BX47,Grade!$B$1:$C$12,2,0),SD!$C$19)),_xlpm.is_coupler, K47="Coupler",_xlpm.condition1, SD!$C$43=SD!$W$2,_xlpm.data_j2_empty, Data!$J47="",_xlpm.lookup_table, IF(SD!$C$11="Create", Lap!$A$3:$BF$14, IF(SD!$C$11="Per Uploaded File", Lap!$A$19:$BF$30, "")),_xlpm.row_match, MATCH(BX47, Lap!$A$3:$A$14, 0),_xlpm.grade_offset, IF(IFERROR(FIND("Grade 60",_xlpm.GRR), 0) &gt; 0, 0, IF(IFERROR(FIND("Grade 80",_xlpm.GRR), 0), 1, IF(IFERROR(FIND("Grade 75",_xlpm.GRR), 0), 2, ""))),_xlpm.col_match, MATCH(VALUE(D47), Lap!$A$3:$BF$3, 0) + _xlpm.grade_offset,_xlpm.index_result, IFERROR(INDEX(_xlpm.lookup_table, _xlpm.row_match, _xlpm.col_match), Data!$J47),_xlpm.result_if_condition1, IF(_xlpm.data_j2_empty, _xlpm.index_result, Data!$J47),IF(_xlpm.is_coupler, 0, IF(_xlpm.condition1, _xlpm.result_if_condition1, SD!$C$43)))</f>
        <v>5-1</v>
      </c>
      <c r="CC47" s="24">
        <f t="shared" si="11"/>
        <v>5.083333333333333</v>
      </c>
      <c r="CD47">
        <f t="shared" si="12"/>
        <v>5.75</v>
      </c>
      <c r="CE47" t="str" cm="1">
        <f t="array" ref="CE47">IF(BY47="","",_xlfn._xlws.FILTER(SAC,(CName=SD!$C$8)*(EName="Vert Dowels")))</f>
        <v/>
      </c>
      <c r="CF47" t="str" cm="1">
        <f t="array" ref="CF47">IFERROR(IF(BY47="","",IF(K47="Coupler",_xlfn._xlws.FILTER(CCoupler,(CCName=SD!$C$8)*(CBSize=IF(A46=A47,W46&amp;W47,BX47&amp;W47))*(CCMFM="Male")),"")),"N/A")</f>
        <v/>
      </c>
      <c r="CG47" t="str">
        <f t="shared" si="13"/>
        <v/>
      </c>
      <c r="CH47" t="str">
        <f t="shared" si="14"/>
        <v/>
      </c>
      <c r="CI47" t="str">
        <f>_xlfn.LET(_xlpm.u3_value, U48,_xlpm.hyphen_pos,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K48="Coupler",_xlpm.coupler_value, IF(_xlpm.is_coupler, 0, _xlpm.calculated_value),_xlpm.final_value, _xlpm.calculated_value + SD!$E$13 + _xlpm.coupler_value,IF(CG47="", "", _xlpm.final_value))</f>
        <v/>
      </c>
      <c r="CJ47" t="str" cm="1">
        <f t="array" ref="CJ47">IF(CG47="","",_xlfn._xlws.FILTER(SAC,(CName=SD!$C$8)*(EName="Loose Dowels")))</f>
        <v/>
      </c>
      <c r="CK47" t="str" cm="1">
        <f t="array" ref="CK47">IFERROR(IF(CG47="","",IF(K48="Coupler",_xlfn._xlws.FILTER(CCoupler,(CCName=SD!$C$8)*(CBSize=IF(A47=A48,W47&amp;W48,""))*(CCMFM="Male")),"")),"N/A")</f>
        <v/>
      </c>
      <c r="CL47" t="str">
        <f>IFERROR(IF(AM47="Spiral","",IF(A46=A47,"",IF(SD!$C$37=0,"",SD!$C$37))),"")</f>
        <v/>
      </c>
      <c r="CN47">
        <f>IF(AM47="Spiral","",IFERROR(IF(SD!$C$36=0,"",SD!$C$36),""))</f>
        <v>5</v>
      </c>
      <c r="CP47" t="str">
        <f>IFERROR(IF(SD!$C$42=SD!$Q$3,'Take-off'!CA47,""),"")</f>
        <v/>
      </c>
      <c r="CR47">
        <f>IFERROR(IF(SD!$C$22=SD!$U$2,W47,SD!$C$22),"")</f>
        <v>0</v>
      </c>
      <c r="CS47" t="str" cm="1">
        <f t="array" ref="CS47">_xlfn.LET(_xlpm.GR,IF(AND(SD!$C$19=SD!$H$2,Grade!$G$1="Per level"),VLOOKUP(B47,Grade!$E$1:$F$200,2,FALSE),IF(AND(SD!$C$19=SD!$H$2,Grade!$G$1="Per Bar Size"),VLOOKUP(CR47,Grade!$B$1:$C$12,2,0),SD!$C$19)),IF(SD!$C$20=SD!$R$4,IF(A48=A47,"",INDEX(IF(_xlpm.GR=SD!$H$3,A615GR60,IF(_xlpm.GR=SD!$H$4,A615GR75,IF(_xlpm.GR=SD!$H$5,A615GR80,IF(_xlpm.GR=SD!H51,A615GR100,IF(_xlpm.GR=SD!$H$7,A706GR60,IF(_xlpm.GR=SD!$H$8,A706GR80)))))), MATCH(1, (BSize=CR47)*(BCName=SD!$C$8), 0))),""))</f>
        <v/>
      </c>
      <c r="CT47" t="str">
        <f>IF(A48=A47,"",IF(SD!$C$23="Match Vertical Bars ",X47,SD!$C$23))</f>
        <v/>
      </c>
      <c r="CU47" t="str" cm="1">
        <f t="array" ref="CU47">IF(A48=A47,"",IF(SD!$C$20="Top dowels",IF(SD!$E$25="No T-Head",IF(SD!$C$24=SD!$Q$3,VLOOKUP(CR47,S90Range,3,FALSE),LEFT(SD!$C$24,FIND("-",SD!$C$24)-1)+(RIGHT(SD!$C$24,LEN(SD!$C$24)-FIND("-",SD!$C$24))/12)),IF(SD!$E$25="T-Head",_xlfn._xlws.FILTER(THead,(TCName=SD!$C$8)*(TSize=CR47)),IF(SD!$E$25="Level Wise",_xlfn.LET(_xlpm.result,_xlfn.XLOOKUP(B47,TDLevel,TDLevelStatus,"No"),IF(_xlpm.result="Yes",_xlfn._xlws.FILTER(THead,(TCName=SD!$C$8)*(TSize=CR47)),IF(SD!$C$24=SD!$Q$3,VLOOKUP(CR47,S90Range,3,FALSE),LEFT(SD!$C$24,FIND("-",SD!$C$24)-1)+(RIGHT(SD!$C$24,LEN(SD!$C$24)-FIND("-", SD!$C$24))/12)))),IF(SD!$E$25="BarSize Wise",_xlfn.LET(_xlpm.result,_xlfn.XLOOKUP(CR47,TDBarSize,TDBarSizeStatus,"No"),IF(_xlpm.result="Yes",_xlfn._xlws.FILTER(THead,(TCName=SD!$C$8)*(TSize=CR47)),IF(SD!$C$24=SD!$Q$3,VLOOKUP(CR47,S90Range,3,FALSE),LEFT(SD!$C$24,FIND("-",SD!$C$24)-1)+(RIGHT(SD!$C$24,LEN(SD!$C$24)-FIND("-",SD!$C$24))/12)))), "")))),""))</f>
        <v/>
      </c>
      <c r="CV47" t="str">
        <f>_xlfn.LET(_xlpm.GRR,IF(AND(SD!$C$19=SD!$H$2,Grade!$G$1="Per level"),VLOOKUP(B47,Grade!$E$1:$F$200,2,FALSE),IF(AND(SD!$C$19=SD!$H$2,Grade!$G$1="Per Bar Size"),VLOOKUP(CR47,Grade!$B$1:$C$12,2,0),SD!$C$19)),IF(SD!$C$25=SD!$W$2,IF(Data!$J47="",IFERROR(INDEX(IF(SD!$C$11="Create",Lap!$A$3:$BF$14,IF(SD!$C$11="Per Uploaded File",Lap!$A$19:$BF$30,"")),MATCH(CR47,Lap!$A$3:$A$14,0),MATCH(VALUE(D47),Lap!$A$3:$BF$3,0)+IF(IFERROR(FIND("Grade 60",_xlpm.GRR),0)&gt;0,0,IF(IFERROR(FIND("Grade 80",_xlpm.GRR),0),1,IF(IFERROR(FIND("Grade 75",_xlpm.GRR),0),2,"")))),""),Data!J47),SD!$C$43))</f>
        <v>Match Lap</v>
      </c>
      <c r="CW47">
        <f t="shared" si="15"/>
        <v>0</v>
      </c>
      <c r="CX47">
        <f t="shared" si="16"/>
        <v>0</v>
      </c>
      <c r="CY47" t="str">
        <f t="shared" si="17"/>
        <v/>
      </c>
      <c r="DA47" t="str">
        <f t="shared" si="18"/>
        <v/>
      </c>
      <c r="DB47" t="str">
        <f t="shared" si="19"/>
        <v/>
      </c>
      <c r="DC47" s="24" t="str">
        <f t="shared" si="20"/>
        <v/>
      </c>
      <c r="DD47">
        <f t="shared" si="21"/>
        <v>10.583333333333334</v>
      </c>
      <c r="DE47" t="s">
        <v>785</v>
      </c>
      <c r="DF47" t="s">
        <v>67</v>
      </c>
      <c r="DG47" t="str">
        <f>VLOOKUP(W47,'Level Wise PSI'!$F$2:$G$12,2,FALSE)</f>
        <v>Double Lift</v>
      </c>
      <c r="DI47" t="str" cm="1">
        <f t="array" ref="DI47">_xlfn.LET(_xlpm.Coup,IFERROR(IF(BY47="","",IF(K47="Coupler",_xlfn._xlws.FILTER(CCFCoupler,(CCName=SD!$C$8)*(CBSize=IF(A46=A47,W46&amp;W47,BX47&amp;W47))),"")),"N/A"),IF(_xlpm.Coup=0,"",_xlpm.Coup))</f>
        <v/>
      </c>
      <c r="DJ47" t="str" cm="1">
        <f t="array" ref="DJ47">_xlfn.LET(_xlpm.Coup3,IFERROR(IF(CG47="","",IF(K48="Coupler",_xlfn._xlws.FILTER(CCFCoupler,(CCName=SD!$C$8)*(CBSize=IF(A47=A48,W47&amp;W48,""))),"")),"N/A"),IF(_xlpm.Coup3=0,"",_xlpm.Coup3))</f>
        <v/>
      </c>
      <c r="DK47" t="str" cm="1">
        <f t="array" ref="DK47">_xlfn.LET(_xlpm.Coup2,IFERROR(IF(A47&lt;&gt;A48,"",IF(DF47="No Lap","",IF(K48="Coupler",_xlfn._xlws.FILTER(CCFCoupler,(CCName=SD!$C$8)*(CBSize=IF(A46=A47,W47&amp;W48,W47&amp;W47))),""))),"N/A"),IF(_xlpm.Coup2=0,"",_xlpm.Coup2))</f>
        <v/>
      </c>
      <c r="DM47" t="str">
        <f>IF(AM47="Spiral","",IF(SD!$C$31=SD!$Y$3,SD!$E$32*2,""))</f>
        <v/>
      </c>
      <c r="DO47" s="24">
        <f t="shared" si="22"/>
        <v>2.5</v>
      </c>
      <c r="DQ47" t="str">
        <f t="shared" si="23"/>
        <v>Lig</v>
      </c>
      <c r="DR47" t="str">
        <f>IF(AM47="Spiral",((Y47-(SD!$E$12*2))/12),"")</f>
        <v/>
      </c>
      <c r="DS47" t="str">
        <f t="shared" si="24"/>
        <v/>
      </c>
      <c r="DT47" t="str">
        <f t="shared" si="25"/>
        <v/>
      </c>
      <c r="DU47" t="str">
        <f t="shared" si="26"/>
        <v/>
      </c>
    </row>
    <row r="48" spans="1:125" x14ac:dyDescent="0.25">
      <c r="A48">
        <v>29</v>
      </c>
      <c r="B48" t="s">
        <v>672</v>
      </c>
      <c r="C48" s="15">
        <v>2429</v>
      </c>
      <c r="D48" s="15">
        <v>10000</v>
      </c>
      <c r="E48" t="str">
        <f>IF(B48=Level!$A$2,SD!$C$14,SD!$C$13)</f>
        <v>0-8</v>
      </c>
      <c r="F48" s="15" t="s">
        <v>787</v>
      </c>
      <c r="G48" t="s">
        <v>742</v>
      </c>
      <c r="H48" t="str">
        <f>RIGHT(VLOOKUP(B48,Level!A:C,3,FALSE),LEN(VLOOKUP(B48,Level!A:C,3,FALSE))-1)</f>
        <v>10-7</v>
      </c>
      <c r="I48" t="s">
        <v>743</v>
      </c>
      <c r="J48" t="str">
        <f>IF(AND(SD!$C$19=SD!$H$2,Grade!$G$1="Per level"),VLOOKUP(B48,Grade!$E$1:$F$200,2,FALSE),IF(AND(SD!$C$19=SD!$H$2,Grade!$G$1="Per Bar Size"),VLOOKUP(W48,Grade!$B$1:$C$12,2,0),SD!$C$19))</f>
        <v>A615 Grade 60</v>
      </c>
      <c r="K48" t="s">
        <v>67</v>
      </c>
      <c r="L48" t="str">
        <f>IFERROR(IF(A48&lt;&gt;A49,"",IF(DF48="No Lap","",IF(K49="Lap",U48,IF(K49="Coupler",_xlfn._xlws.FILTER(CCoupler,(CCName=SD!$C$8)*(CBSize=IF(A47=A48,W48&amp;W49,W48&amp;W48))*(CCMFM="Male")),"")))),"N/A")</f>
        <v>5-1</v>
      </c>
      <c r="M48" t="str">
        <f t="shared" si="0"/>
        <v/>
      </c>
      <c r="N48" t="s">
        <v>719</v>
      </c>
      <c r="O48" t="s">
        <v>720</v>
      </c>
      <c r="P48" t="s">
        <v>719</v>
      </c>
      <c r="Q48" t="str">
        <f>IF(AND(SD!$C$29=SD!$P$2,Grade!$O$1="Per level"),VLOOKUP(B48,Grade!$M$1:$N$200,2,FALSE),IF(AND(SD!$C$29=SD!$P$2,Grade!$O$1="Per Bar Size"),VLOOKUP(LEFT(N48,FIND("@",N48)-2),Grade!$J$1:$K$12,2,0),SD!$C$29))</f>
        <v>A615 Grade 60</v>
      </c>
      <c r="R48" t="s">
        <v>742</v>
      </c>
      <c r="S48" s="57">
        <v>48</v>
      </c>
      <c r="U48" t="str">
        <f>IF(Data!$J48="",IFERROR(INDEX(IF(SD!$C$11="Create",Lap!$A$3:$BF$14,IF(SD!$C$11="Per Uploaded File",Lap!$A$19:$BF$30,"")),MATCH(W48,Lap!$A$3:$A$14,0),MATCH(VALUE(D48),Lap!$A$3:$BF$3,0)+IF(IFERROR(FIND("Grade 60",J48),0)&gt;0,0,IF(IFERROR(FIND("Grade 80",J48),0),1,IF(IFERROR(FIND("Grade 75",J48),0),2,"")))),""),Data!J48)</f>
        <v>5-1</v>
      </c>
      <c r="W48" t="s">
        <v>176</v>
      </c>
      <c r="X48">
        <v>6</v>
      </c>
      <c r="Y48" t="str">
        <f t="shared" si="1"/>
        <v>30</v>
      </c>
      <c r="Z48">
        <f t="shared" si="2"/>
        <v>0</v>
      </c>
      <c r="AA48" s="24">
        <f t="shared" si="3"/>
        <v>15.666666666666666</v>
      </c>
      <c r="BB48" t="e" cm="1">
        <f t="array" ref="BB48">_xlfn.LET(_xlpm.PartF,(_xlfn.LET(_xlpm.grade, Q48,_xlpm.gradeRange, IF(_xlpm.grade=SD!$H$3, A615GR60, IF(_xlpm.grade=SD!$H$4, A615GR75, IF(_xlpm.grade=SD!$H$5, A615GR80, IF(_xlpm.grade=SD!$H$6, A615GR100, IF(_xlpm.grade=SD!$H$7, A706GR60, IF(_xlpm.grade=SD!$H$8, A706GR80)))))),_xlpm.matchValue, MATCH(1, (SD!$AW:$AW=AS48)*(SD!$AX:$AX=SD!$C$8), 0),INDEX(_xlpm.gradeRange, _xlpm.matchValue))),IF(AM48="Spiral",CONCATENATE("SP",_xlpm.PartF),_xlpm.PartF))</f>
        <v>#N/A</v>
      </c>
      <c r="BC48" cm="1">
        <f t="array" ref="BC48">_xlfn.LET(_xlpm.leftPart, LEFT(O48, FIND("@", O48) - 2),_xlpm.grade,Q48,_xlpm.gradeRange,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8" cm="1">
        <f t="array" ref="BD48">_xlfn.LET(_xlpm.leftPart, LEFT(P48, FIND("@", P48) - 2),_xlpm.grade, Q48,_xlpm.gradeRange,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8">
        <f t="shared" si="4"/>
        <v>2.5</v>
      </c>
      <c r="BF48">
        <f>IF(SD!$C$32=SD!$I$2,BE48,IF(SD!$C$32=SD!$I$3,DO48,IF(SD!$C$32=SD!$I$5,BA48,IF(SD!$C$32=SD!$I$6,(LEFT(SD!$C$35,FIND("-",SD!$C$35)-1)+RIGHT(SD!$C$35,LEN(SD!$C$35)-FIND("-",SD!$C$35))/12),IF(SD!$C$32=SD!$I$4,(AU48-(BG48+BH48)))))))</f>
        <v>0</v>
      </c>
      <c r="BG48">
        <f>IF(SD!$C$33=SD!$I$2,BE48,IF(SD!$C$33=SD!$I$3,DO48,IF(SD!$C$33=SD!$I$5,BA48,IF(SD!$C$33=SD!$I$6,(LEFT(SD!$C$35,FIND("-",SD!$C$35)-1)+RIGHT(SD!$C$35,LEN(SD!$C$35)-FIND("-",SD!$C$35))/12),IF(SD!$C$33=SD!$I$4,(AU48-(BF48+BH48)))))))</f>
        <v>-1</v>
      </c>
      <c r="BH48">
        <f>IF(SD!$C$34=SD!$I$2,BE48,IF(SD!$C$34=SD!$I$3,DO48,IF(SD!$C$34=SD!$I$5,BA48,IF(SD!$C$34=SD!$I$6,(LEFT(SD!$C$35,FIND("-",SD!$C$35)-1)+RIGHT(SD!$C$35,LEN(SD!$C$35)-FIND("-",SD!$C$35))/12),IF(SD!$C$34=SD!$I$4,(AU48-(BF48+BG48)))))))</f>
        <v>1</v>
      </c>
      <c r="BJ48">
        <f>IF(AM48="Spiral","1",MAX(ROUNDUP(IF(SD!$C$32="",AT48,BF48/(LEFT(RIGHT(N48,LEN(N48)-FIND("@",N48)),LEN(RIGHT(N48,LEN(N48)-FIND("@",N48)))-1)/12)+1),0),0))</f>
        <v>1</v>
      </c>
      <c r="BK48">
        <f>MAX(ROUNDUP(IF(SD!$C$33="","",BG48/(LEFT(RIGHT(O48,LEN(O48)-FIND("@",O48)),LEN(RIGHT(O48,LEN(O48)-FIND("@",O48)))-1)/12)+1),0),0)</f>
        <v>0</v>
      </c>
      <c r="BL48">
        <f>MAX(ROUNDUP(IF(SD!$C$34="","",BH48/(LEFT(RIGHT(P48,LEN(P48)-FIND("@",P48)),LEN(RIGHT(P48,LEN(P48)-FIND("@",P48)))-1)/12)+1),0),0)</f>
        <v>3</v>
      </c>
      <c r="BN48" t="e">
        <f t="shared" si="5"/>
        <v>#N/A</v>
      </c>
      <c r="BO48" t="e">
        <f t="shared" si="6"/>
        <v>#N/A</v>
      </c>
      <c r="BP48" t="e">
        <f t="shared" si="7"/>
        <v>#N/A</v>
      </c>
      <c r="BQ48" s="24" t="e">
        <f>IF(AM48=TRUE,(((Y48-(SD!$E$12*2))*3.14159265359)+BN48+BO48+BP48)/12+AL48,SUM(AF48:AG48,BN48,BO48,BP48,AO48,AQ48)/12)</f>
        <v>#N/A</v>
      </c>
      <c r="BR48" t="e">
        <f t="shared" si="8"/>
        <v>#N/A</v>
      </c>
      <c r="BS48" t="e">
        <f t="shared" si="9"/>
        <v>#N/A</v>
      </c>
      <c r="BT48" t="e">
        <f t="shared" si="10"/>
        <v>#N/A</v>
      </c>
      <c r="BU48" s="24" t="e">
        <f>IF(AM48=TRUE,(((Y48-(SD!$E$12*2))*3.14159265359)+BR48+BS48+BT48)/12+AL48,SUM(AF48:AG48,BR48,BS48,BT48,AO48,AQ48)/12)</f>
        <v>#N/A</v>
      </c>
      <c r="BW48" t="str">
        <f>IFERROR(LEFT(Data!L48,FIND(" -",Data!L48)-1),"")</f>
        <v/>
      </c>
      <c r="BX48" t="str">
        <f>IFERROR(IF(SD!$C$40=SD!$U$2,W48,IF(SD!$C$40=SD!$U$3,RIGHT(Data!L48,LEN(Data!L48)-(FIND("-",Data!L48)+1)),SD!$C$40)),"")</f>
        <v>#10</v>
      </c>
      <c r="BY48" t="str" cm="1">
        <f t="array" ref="BY48">IFERROR(_xlfn.LET(_xlpm.GRR,IF(AND(SD!$C$19=SD!$H$2,Grade!$G$1="Per level"),VLOOKUP(B48,Grade!$E$1:$F$200,2,FALSE),IF(AND(SD!$C$19=SD!$H$2,Grade!$G$1="Per Bar Size"),VLOOKUP(BX48,Grade!$B$1:$C$12,2,0),SD!$C$19)),_xlpm.is_equal, A47=A48,_xlpm.grade_range, IF(_xlpm.GRR=SD!$H$3, A615GR60,IF(_xlpm.GRR=SD!$H$4, A615GR75,IF(_xlpm.GRR=SD!$H$5, A615GR80,IF(_xlpm.GRR=SD!H52, A615GR100,IF(_xlpm.GRR=SD!$H$7, A706GR60,IF(_xlpm.GRR=SD!$H$8, A706GR80)))))),_xlpm.match_result, MATCH(1, (BSize=BX48)*(BCName=SD!$C$8), 0),_xlpm.final_result, INDEX(_xlpm.grade_range, _xlpm.match_result),IF(_xlpm.is_equal, "", _xlpm.final_result)),"")</f>
        <v/>
      </c>
      <c r="BZ48" t="str">
        <f>IF(A47=A48,"",IF(SD!$C$41="Match Vertical Bars ",X48,IF(SD!$C$41=SD!$V$3,BW48,SD!$C$41)))</f>
        <v/>
      </c>
      <c r="CA48" t="str" cm="1">
        <f t="array" ref="CA48">IF(A47=A48,"",IF(SD!$C$44="No T-Head",IF(SD!$C$42=SD!$Q$3,VLOOKUP(BX48,S90Range,3,FALSE),LEFT(SD!$C$42,FIND("-",SD!$C$42)-1)+(RIGHT(SD!$C$42,LEN(SD!$C$42)-FIND("-",SD!$C$42))/12)),IF(SD!$C$44="T-Head",_xlfn._xlws.FILTER(THead,(TCName=SD!$C$8)*(TSize=BX48)),IF(SD!$C$44="Level Wise",_xlfn.LET(_xlpm.result,_xlfn.XLOOKUP(B48,VDLevel,VDLevelStatus,"No"),IF(_xlpm.result="Yes",_xlfn._xlws.FILTER(THead,(TCName=SD!$C$8)*(TSize=BX48)),IF(SD!$C$42=SD!$Q$3,VLOOKUP(BX48,S90Range,3,FALSE),LEFT(SD!$C$42,FIND("-",SD!$C$42)-1)+(RIGHT(SD!$C$42,LEN(SD!$C$42)-FIND("-", SD!$C$42))/12)))),IF(SD!$C$44="BarSize Wise",_xlfn.LET(_xlpm.result,_xlfn.XLOOKUP(BX48,VDBarSize,VDBarSizeStatus,"No"),IF(_xlpm.result="Yes",_xlfn._xlws.FILTER(THead,(TCName=SD!$C$8)*(TSize=BX48)),IF(SD!$C$42=SD!$Q$3,VLOOKUP(BX48,S90Range,3,FALSE),LEFT(SD!$C$42,FIND("-",SD!$C$42)-1)+(RIGHT(SD!$C$42,LEN(SD!$C$42)-FIND("-",SD!$C$42))/12)))), "")))))</f>
        <v/>
      </c>
      <c r="CB48" t="str" cm="1">
        <f t="array" ref="CB48">_xlfn.LET(_xlpm.GRR,IF(AND(SD!$C$19=SD!$H$2,Grade!$G$1="Per level"),VLOOKUP(B48,Grade!$E$1:$F$200,2,FALSE),IF(AND(SD!$C$19=SD!$H$2,Grade!$G$1="Per Bar Size"),VLOOKUP(BX48,Grade!$B$1:$C$12,2,0),SD!$C$19)),_xlpm.is_coupler, K48="Coupler",_xlpm.condition1, SD!$C$43=SD!$W$2,_xlpm.data_j2_empty, Data!$J48="",_xlpm.lookup_table, IF(SD!$C$11="Create", Lap!$A$3:$BF$14, IF(SD!$C$11="Per Uploaded File", Lap!$A$19:$BF$30, "")),_xlpm.row_match, MATCH(BX48, Lap!$A$3:$A$14, 0),_xlpm.grade_offset, IF(IFERROR(FIND("Grade 60",_xlpm.GRR), 0) &gt; 0, 0, IF(IFERROR(FIND("Grade 80",_xlpm.GRR), 0), 1, IF(IFERROR(FIND("Grade 75",_xlpm.GRR), 0), 2, ""))),_xlpm.col_match, MATCH(VALUE(D48), Lap!$A$3:$BF$3, 0) + _xlpm.grade_offset,_xlpm.index_result, IFERROR(INDEX(_xlpm.lookup_table, _xlpm.row_match, _xlpm.col_match), Data!$J48),_xlpm.result_if_condition1, IF(_xlpm.data_j2_empty, _xlpm.index_result, Data!$J48),IF(_xlpm.is_coupler, 0, IF(_xlpm.condition1, _xlpm.result_if_condition1, SD!$C$43)))</f>
        <v>5-1</v>
      </c>
      <c r="CC48" s="24">
        <f t="shared" si="11"/>
        <v>5.083333333333333</v>
      </c>
      <c r="CD48">
        <f t="shared" si="12"/>
        <v>5.75</v>
      </c>
      <c r="CE48" t="str" cm="1">
        <f t="array" ref="CE48">IF(BY48="","",_xlfn._xlws.FILTER(SAC,(CName=SD!$C$8)*(EName="Vert Dowels")))</f>
        <v/>
      </c>
      <c r="CF48" t="str" cm="1">
        <f t="array" ref="CF48">IFERROR(IF(BY48="","",IF(K48="Coupler",_xlfn._xlws.FILTER(CCoupler,(CCName=SD!$C$8)*(CBSize=IF(A47=A48,W47&amp;W48,BX48&amp;W48))*(CCMFM="Male")),"")),"N/A")</f>
        <v/>
      </c>
      <c r="CG48" t="str">
        <f t="shared" si="13"/>
        <v/>
      </c>
      <c r="CH48" t="str">
        <f t="shared" si="14"/>
        <v/>
      </c>
      <c r="CI48" t="str">
        <f>_xlfn.LET(_xlpm.u3_value, U49,_xlpm.hyphen_pos,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K49="Coupler",_xlpm.coupler_value, IF(_xlpm.is_coupler, 0, _xlpm.calculated_value),_xlpm.final_value, _xlpm.calculated_value + SD!$E$13 + _xlpm.coupler_value,IF(CG48="", "", _xlpm.final_value))</f>
        <v/>
      </c>
      <c r="CJ48" t="str" cm="1">
        <f t="array" ref="CJ48">IF(CG48="","",_xlfn._xlws.FILTER(SAC,(CName=SD!$C$8)*(EName="Loose Dowels")))</f>
        <v/>
      </c>
      <c r="CK48" t="str" cm="1">
        <f t="array" ref="CK48">IFERROR(IF(CG48="","",IF(K49="Coupler",_xlfn._xlws.FILTER(CCoupler,(CCName=SD!$C$8)*(CBSize=IF(A48=A49,W48&amp;W49,""))*(CCMFM="Male")),"")),"N/A")</f>
        <v/>
      </c>
      <c r="CL48" t="str">
        <f>IFERROR(IF(AM48="Spiral","",IF(A47=A48,"",IF(SD!$C$37=0,"",SD!$C$37))),"")</f>
        <v/>
      </c>
      <c r="CN48">
        <f>IF(AM48="Spiral","",IFERROR(IF(SD!$C$36=0,"",SD!$C$36),""))</f>
        <v>5</v>
      </c>
      <c r="CP48" t="str">
        <f>IFERROR(IF(SD!$C$42=SD!$Q$3,'Take-off'!CA48,""),"")</f>
        <v/>
      </c>
      <c r="CR48">
        <f>IFERROR(IF(SD!$C$22=SD!$U$2,W48,SD!$C$22),"")</f>
        <v>0</v>
      </c>
      <c r="CS48" t="str" cm="1">
        <f t="array" ref="CS48">_xlfn.LET(_xlpm.GR,IF(AND(SD!$C$19=SD!$H$2,Grade!$G$1="Per level"),VLOOKUP(B48,Grade!$E$1:$F$200,2,FALSE),IF(AND(SD!$C$19=SD!$H$2,Grade!$G$1="Per Bar Size"),VLOOKUP(CR48,Grade!$B$1:$C$12,2,0),SD!$C$19)),IF(SD!$C$20=SD!$R$4,IF(A49=A48,"",INDEX(IF(_xlpm.GR=SD!$H$3,A615GR60,IF(_xlpm.GR=SD!$H$4,A615GR75,IF(_xlpm.GR=SD!$H$5,A615GR80,IF(_xlpm.GR=SD!H52,A615GR100,IF(_xlpm.GR=SD!$H$7,A706GR60,IF(_xlpm.GR=SD!$H$8,A706GR80)))))), MATCH(1, (BSize=CR48)*(BCName=SD!$C$8), 0))),""))</f>
        <v/>
      </c>
      <c r="CT48" t="str">
        <f>IF(A49=A48,"",IF(SD!$C$23="Match Vertical Bars ",X48,SD!$C$23))</f>
        <v/>
      </c>
      <c r="CU48" t="str" cm="1">
        <f t="array" ref="CU48">IF(A49=A48,"",IF(SD!$C$20="Top dowels",IF(SD!$E$25="No T-Head",IF(SD!$C$24=SD!$Q$3,VLOOKUP(CR48,S90Range,3,FALSE),LEFT(SD!$C$24,FIND("-",SD!$C$24)-1)+(RIGHT(SD!$C$24,LEN(SD!$C$24)-FIND("-",SD!$C$24))/12)),IF(SD!$E$25="T-Head",_xlfn._xlws.FILTER(THead,(TCName=SD!$C$8)*(TSize=CR48)),IF(SD!$E$25="Level Wise",_xlfn.LET(_xlpm.result,_xlfn.XLOOKUP(B48,TDLevel,TDLevelStatus,"No"),IF(_xlpm.result="Yes",_xlfn._xlws.FILTER(THead,(TCName=SD!$C$8)*(TSize=CR48)),IF(SD!$C$24=SD!$Q$3,VLOOKUP(CR48,S90Range,3,FALSE),LEFT(SD!$C$24,FIND("-",SD!$C$24)-1)+(RIGHT(SD!$C$24,LEN(SD!$C$24)-FIND("-", SD!$C$24))/12)))),IF(SD!$E$25="BarSize Wise",_xlfn.LET(_xlpm.result,_xlfn.XLOOKUP(CR48,TDBarSize,TDBarSizeStatus,"No"),IF(_xlpm.result="Yes",_xlfn._xlws.FILTER(THead,(TCName=SD!$C$8)*(TSize=CR48)),IF(SD!$C$24=SD!$Q$3,VLOOKUP(CR48,S90Range,3,FALSE),LEFT(SD!$C$24,FIND("-",SD!$C$24)-1)+(RIGHT(SD!$C$24,LEN(SD!$C$24)-FIND("-",SD!$C$24))/12)))), "")))),""))</f>
        <v/>
      </c>
      <c r="CV48" t="str">
        <f>_xlfn.LET(_xlpm.GRR,IF(AND(SD!$C$19=SD!$H$2,Grade!$G$1="Per level"),VLOOKUP(B48,Grade!$E$1:$F$200,2,FALSE),IF(AND(SD!$C$19=SD!$H$2,Grade!$G$1="Per Bar Size"),VLOOKUP(CR48,Grade!$B$1:$C$12,2,0),SD!$C$19)),IF(SD!$C$25=SD!$W$2,IF(Data!$J48="",IFERROR(INDEX(IF(SD!$C$11="Create",Lap!$A$3:$BF$14,IF(SD!$C$11="Per Uploaded File",Lap!$A$19:$BF$30,"")),MATCH(CR48,Lap!$A$3:$A$14,0),MATCH(VALUE(D48),Lap!$A$3:$BF$3,0)+IF(IFERROR(FIND("Grade 60",_xlpm.GRR),0)&gt;0,0,IF(IFERROR(FIND("Grade 80",_xlpm.GRR),0),1,IF(IFERROR(FIND("Grade 75",_xlpm.GRR),0),2,"")))),""),Data!J48),SD!$C$43))</f>
        <v>Match Lap</v>
      </c>
      <c r="CW48">
        <f t="shared" si="15"/>
        <v>0</v>
      </c>
      <c r="CX48">
        <f t="shared" si="16"/>
        <v>0</v>
      </c>
      <c r="CY48" t="str">
        <f t="shared" si="17"/>
        <v/>
      </c>
      <c r="DA48" t="str">
        <f t="shared" si="18"/>
        <v/>
      </c>
      <c r="DB48" t="str">
        <f t="shared" si="19"/>
        <v/>
      </c>
      <c r="DC48" s="24" t="str">
        <f t="shared" si="20"/>
        <v/>
      </c>
      <c r="DD48">
        <f t="shared" si="21"/>
        <v>10.583333333333334</v>
      </c>
      <c r="DE48" t="s">
        <v>785</v>
      </c>
      <c r="DF48" t="s">
        <v>67</v>
      </c>
      <c r="DG48" t="str">
        <f>VLOOKUP(W48,'Level Wise PSI'!$F$2:$G$12,2,FALSE)</f>
        <v>Double Lift</v>
      </c>
      <c r="DI48" t="str" cm="1">
        <f t="array" ref="DI48">_xlfn.LET(_xlpm.Coup,IFERROR(IF(BY48="","",IF(K48="Coupler",_xlfn._xlws.FILTER(CCFCoupler,(CCName=SD!$C$8)*(CBSize=IF(A47=A48,W47&amp;W48,BX48&amp;W48))),"")),"N/A"),IF(_xlpm.Coup=0,"",_xlpm.Coup))</f>
        <v/>
      </c>
      <c r="DJ48" t="str" cm="1">
        <f t="array" ref="DJ48">_xlfn.LET(_xlpm.Coup3,IFERROR(IF(CG48="","",IF(K49="Coupler",_xlfn._xlws.FILTER(CCFCoupler,(CCName=SD!$C$8)*(CBSize=IF(A48=A49,W48&amp;W49,""))),"")),"N/A"),IF(_xlpm.Coup3=0,"",_xlpm.Coup3))</f>
        <v/>
      </c>
      <c r="DK48" t="str" cm="1">
        <f t="array" ref="DK48">_xlfn.LET(_xlpm.Coup2,IFERROR(IF(A48&lt;&gt;A49,"",IF(DF48="No Lap","",IF(K49="Coupler",_xlfn._xlws.FILTER(CCFCoupler,(CCName=SD!$C$8)*(CBSize=IF(A47=A48,W48&amp;W49,W48&amp;W48))),""))),"N/A"),IF(_xlpm.Coup2=0,"",_xlpm.Coup2))</f>
        <v/>
      </c>
      <c r="DM48" t="str">
        <f>IF(AM48="Spiral","",IF(SD!$C$31=SD!$Y$3,SD!$E$32*2,""))</f>
        <v/>
      </c>
      <c r="DO48" s="24">
        <f t="shared" si="22"/>
        <v>2.5</v>
      </c>
      <c r="DQ48" t="str">
        <f t="shared" si="23"/>
        <v>Lig</v>
      </c>
      <c r="DR48" t="str">
        <f>IF(AM48="Spiral",((Y48-(SD!$E$12*2))/12),"")</f>
        <v/>
      </c>
      <c r="DS48" t="str">
        <f t="shared" si="24"/>
        <v/>
      </c>
      <c r="DT48" t="str">
        <f t="shared" si="25"/>
        <v/>
      </c>
      <c r="DU48" t="str">
        <f t="shared" si="26"/>
        <v/>
      </c>
    </row>
    <row r="49" spans="1:125" x14ac:dyDescent="0.25">
      <c r="A49">
        <v>29</v>
      </c>
      <c r="B49" t="s">
        <v>674</v>
      </c>
      <c r="C49" s="15">
        <v>2429</v>
      </c>
      <c r="D49" s="15">
        <v>10000</v>
      </c>
      <c r="E49" t="str">
        <f>IF(B49=Level!$A$2,SD!$C$14,SD!$C$13)</f>
        <v>0-8</v>
      </c>
      <c r="F49" s="15" t="s">
        <v>787</v>
      </c>
      <c r="G49" t="s">
        <v>742</v>
      </c>
      <c r="H49" t="str">
        <f>RIGHT(VLOOKUP(B49,Level!A:C,3,FALSE),LEN(VLOOKUP(B49,Level!A:C,3,FALSE))-1)</f>
        <v>10-7</v>
      </c>
      <c r="I49" t="s">
        <v>743</v>
      </c>
      <c r="J49" t="str">
        <f>IF(AND(SD!$C$19=SD!$H$2,Grade!$G$1="Per level"),VLOOKUP(B49,Grade!$E$1:$F$200,2,FALSE),IF(AND(SD!$C$19=SD!$H$2,Grade!$G$1="Per Bar Size"),VLOOKUP(W49,Grade!$B$1:$C$12,2,0),SD!$C$19))</f>
        <v>A615 Grade 60</v>
      </c>
      <c r="K49" t="s">
        <v>67</v>
      </c>
      <c r="L49" t="str">
        <f>IFERROR(IF(A49&lt;&gt;A50,"",IF(DF49="No Lap","",IF(K50="Lap",U49,IF(K50="Coupler",_xlfn._xlws.FILTER(CCoupler,(CCName=SD!$C$8)*(CBSize=IF(A48=A49,W49&amp;W50,W49&amp;W49))*(CCMFM="Male")),"")))),"N/A")</f>
        <v>5-1</v>
      </c>
      <c r="M49" t="str">
        <f t="shared" si="0"/>
        <v/>
      </c>
      <c r="N49" t="s">
        <v>719</v>
      </c>
      <c r="O49" t="s">
        <v>720</v>
      </c>
      <c r="P49" t="s">
        <v>719</v>
      </c>
      <c r="Q49" t="str">
        <f>IF(AND(SD!$C$29=SD!$P$2,Grade!$O$1="Per level"),VLOOKUP(B49,Grade!$M$1:$N$200,2,FALSE),IF(AND(SD!$C$29=SD!$P$2,Grade!$O$1="Per Bar Size"),VLOOKUP(LEFT(N49,FIND("@",N49)-2),Grade!$J$1:$K$12,2,0),SD!$C$29))</f>
        <v>A615 Grade 60</v>
      </c>
      <c r="R49" t="s">
        <v>742</v>
      </c>
      <c r="S49" s="57">
        <v>49</v>
      </c>
      <c r="U49" t="str">
        <f>IF(Data!$J49="",IFERROR(INDEX(IF(SD!$C$11="Create",Lap!$A$3:$BF$14,IF(SD!$C$11="Per Uploaded File",Lap!$A$19:$BF$30,"")),MATCH(W49,Lap!$A$3:$A$14,0),MATCH(VALUE(D49),Lap!$A$3:$BF$3,0)+IF(IFERROR(FIND("Grade 60",J49),0)&gt;0,0,IF(IFERROR(FIND("Grade 80",J49),0),1,IF(IFERROR(FIND("Grade 75",J49),0),2,"")))),""),Data!J49)</f>
        <v>5-1</v>
      </c>
      <c r="W49" t="s">
        <v>176</v>
      </c>
      <c r="X49">
        <v>6</v>
      </c>
      <c r="Y49" t="str">
        <f t="shared" si="1"/>
        <v>30</v>
      </c>
      <c r="Z49">
        <f t="shared" si="2"/>
        <v>0</v>
      </c>
      <c r="AA49" s="24">
        <f t="shared" si="3"/>
        <v>15.666666666666666</v>
      </c>
      <c r="BB49" t="e" cm="1">
        <f t="array" ref="BB49">_xlfn.LET(_xlpm.PartF,(_xlfn.LET(_xlpm.grade, Q49,_xlpm.gradeRange, IF(_xlpm.grade=SD!$H$3, A615GR60, IF(_xlpm.grade=SD!$H$4, A615GR75, IF(_xlpm.grade=SD!$H$5, A615GR80, IF(_xlpm.grade=SD!$H$6, A615GR100, IF(_xlpm.grade=SD!$H$7, A706GR60, IF(_xlpm.grade=SD!$H$8, A706GR80)))))),_xlpm.matchValue, MATCH(1, (SD!$AW:$AW=AS49)*(SD!$AX:$AX=SD!$C$8), 0),INDEX(_xlpm.gradeRange, _xlpm.matchValue))),IF(AM49="Spiral",CONCATENATE("SP",_xlpm.PartF),_xlpm.PartF))</f>
        <v>#N/A</v>
      </c>
      <c r="BC49" cm="1">
        <f t="array" ref="BC49">_xlfn.LET(_xlpm.leftPart, LEFT(O49, FIND("@", O49) - 2),_xlpm.grade,Q49,_xlpm.gradeRange,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49" cm="1">
        <f t="array" ref="BD49">_xlfn.LET(_xlpm.leftPart, LEFT(P49, FIND("@", P49) - 2),_xlpm.grade, Q49,_xlpm.gradeRange,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49">
        <f t="shared" si="4"/>
        <v>2.5</v>
      </c>
      <c r="BF49">
        <f>IF(SD!$C$32=SD!$I$2,BE49,IF(SD!$C$32=SD!$I$3,DO49,IF(SD!$C$32=SD!$I$5,BA49,IF(SD!$C$32=SD!$I$6,(LEFT(SD!$C$35,FIND("-",SD!$C$35)-1)+RIGHT(SD!$C$35,LEN(SD!$C$35)-FIND("-",SD!$C$35))/12),IF(SD!$C$32=SD!$I$4,(AU49-(BG49+BH49)))))))</f>
        <v>0</v>
      </c>
      <c r="BG49">
        <f>IF(SD!$C$33=SD!$I$2,BE49,IF(SD!$C$33=SD!$I$3,DO49,IF(SD!$C$33=SD!$I$5,BA49,IF(SD!$C$33=SD!$I$6,(LEFT(SD!$C$35,FIND("-",SD!$C$35)-1)+RIGHT(SD!$C$35,LEN(SD!$C$35)-FIND("-",SD!$C$35))/12),IF(SD!$C$33=SD!$I$4,(AU49-(BF49+BH49)))))))</f>
        <v>-1</v>
      </c>
      <c r="BH49">
        <f>IF(SD!$C$34=SD!$I$2,BE49,IF(SD!$C$34=SD!$I$3,DO49,IF(SD!$C$34=SD!$I$5,BA49,IF(SD!$C$34=SD!$I$6,(LEFT(SD!$C$35,FIND("-",SD!$C$35)-1)+RIGHT(SD!$C$35,LEN(SD!$C$35)-FIND("-",SD!$C$35))/12),IF(SD!$C$34=SD!$I$4,(AU49-(BF49+BG49)))))))</f>
        <v>1</v>
      </c>
      <c r="BJ49">
        <f>IF(AM49="Spiral","1",MAX(ROUNDUP(IF(SD!$C$32="",AT49,BF49/(LEFT(RIGHT(N49,LEN(N49)-FIND("@",N49)),LEN(RIGHT(N49,LEN(N49)-FIND("@",N49)))-1)/12)+1),0),0))</f>
        <v>1</v>
      </c>
      <c r="BK49">
        <f>MAX(ROUNDUP(IF(SD!$C$33="","",BG49/(LEFT(RIGHT(O49,LEN(O49)-FIND("@",O49)),LEN(RIGHT(O49,LEN(O49)-FIND("@",O49)))-1)/12)+1),0),0)</f>
        <v>0</v>
      </c>
      <c r="BL49">
        <f>MAX(ROUNDUP(IF(SD!$C$34="","",BH49/(LEFT(RIGHT(P49,LEN(P49)-FIND("@",P49)),LEN(RIGHT(P49,LEN(P49)-FIND("@",P49)))-1)/12)+1),0),0)</f>
        <v>3</v>
      </c>
      <c r="BN49" t="e">
        <f t="shared" si="5"/>
        <v>#N/A</v>
      </c>
      <c r="BO49" t="e">
        <f t="shared" si="6"/>
        <v>#N/A</v>
      </c>
      <c r="BP49" t="e">
        <f t="shared" si="7"/>
        <v>#N/A</v>
      </c>
      <c r="BQ49" s="24" t="e">
        <f>IF(AM49=TRUE,(((Y49-(SD!$E$12*2))*3.14159265359)+BN49+BO49+BP49)/12+AL49,SUM(AF49:AG49,BN49,BO49,BP49,AO49,AQ49)/12)</f>
        <v>#N/A</v>
      </c>
      <c r="BR49" t="e">
        <f t="shared" si="8"/>
        <v>#N/A</v>
      </c>
      <c r="BS49" t="e">
        <f t="shared" si="9"/>
        <v>#N/A</v>
      </c>
      <c r="BT49" t="e">
        <f t="shared" si="10"/>
        <v>#N/A</v>
      </c>
      <c r="BU49" s="24" t="e">
        <f>IF(AM49=TRUE,(((Y49-(SD!$E$12*2))*3.14159265359)+BR49+BS49+BT49)/12+AL49,SUM(AF49:AG49,BR49,BS49,BT49,AO49,AQ49)/12)</f>
        <v>#N/A</v>
      </c>
      <c r="BW49" t="str">
        <f>IFERROR(LEFT(Data!L49,FIND(" -",Data!L49)-1),"")</f>
        <v/>
      </c>
      <c r="BX49" t="str">
        <f>IFERROR(IF(SD!$C$40=SD!$U$2,W49,IF(SD!$C$40=SD!$U$3,RIGHT(Data!L49,LEN(Data!L49)-(FIND("-",Data!L49)+1)),SD!$C$40)),"")</f>
        <v>#10</v>
      </c>
      <c r="BY49" t="str" cm="1">
        <f t="array" ref="BY49">IFERROR(_xlfn.LET(_xlpm.GRR,IF(AND(SD!$C$19=SD!$H$2,Grade!$G$1="Per level"),VLOOKUP(B49,Grade!$E$1:$F$200,2,FALSE),IF(AND(SD!$C$19=SD!$H$2,Grade!$G$1="Per Bar Size"),VLOOKUP(BX49,Grade!$B$1:$C$12,2,0),SD!$C$19)),_xlpm.is_equal, A48=A49,_xlpm.grade_range, IF(_xlpm.GRR=SD!$H$3, A615GR60,IF(_xlpm.GRR=SD!$H$4, A615GR75,IF(_xlpm.GRR=SD!$H$5, A615GR80,IF(_xlpm.GRR=SD!H53, A615GR100,IF(_xlpm.GRR=SD!$H$7, A706GR60,IF(_xlpm.GRR=SD!$H$8, A706GR80)))))),_xlpm.match_result, MATCH(1, (BSize=BX49)*(BCName=SD!$C$8), 0),_xlpm.final_result, INDEX(_xlpm.grade_range, _xlpm.match_result),IF(_xlpm.is_equal, "", _xlpm.final_result)),"")</f>
        <v/>
      </c>
      <c r="BZ49" t="str">
        <f>IF(A48=A49,"",IF(SD!$C$41="Match Vertical Bars ",X49,IF(SD!$C$41=SD!$V$3,BW49,SD!$C$41)))</f>
        <v/>
      </c>
      <c r="CA49" t="str" cm="1">
        <f t="array" ref="CA49">IF(A48=A49,"",IF(SD!$C$44="No T-Head",IF(SD!$C$42=SD!$Q$3,VLOOKUP(BX49,S90Range,3,FALSE),LEFT(SD!$C$42,FIND("-",SD!$C$42)-1)+(RIGHT(SD!$C$42,LEN(SD!$C$42)-FIND("-",SD!$C$42))/12)),IF(SD!$C$44="T-Head",_xlfn._xlws.FILTER(THead,(TCName=SD!$C$8)*(TSize=BX49)),IF(SD!$C$44="Level Wise",_xlfn.LET(_xlpm.result,_xlfn.XLOOKUP(B49,VDLevel,VDLevelStatus,"No"),IF(_xlpm.result="Yes",_xlfn._xlws.FILTER(THead,(TCName=SD!$C$8)*(TSize=BX49)),IF(SD!$C$42=SD!$Q$3,VLOOKUP(BX49,S90Range,3,FALSE),LEFT(SD!$C$42,FIND("-",SD!$C$42)-1)+(RIGHT(SD!$C$42,LEN(SD!$C$42)-FIND("-", SD!$C$42))/12)))),IF(SD!$C$44="BarSize Wise",_xlfn.LET(_xlpm.result,_xlfn.XLOOKUP(BX49,VDBarSize,VDBarSizeStatus,"No"),IF(_xlpm.result="Yes",_xlfn._xlws.FILTER(THead,(TCName=SD!$C$8)*(TSize=BX49)),IF(SD!$C$42=SD!$Q$3,VLOOKUP(BX49,S90Range,3,FALSE),LEFT(SD!$C$42,FIND("-",SD!$C$42)-1)+(RIGHT(SD!$C$42,LEN(SD!$C$42)-FIND("-",SD!$C$42))/12)))), "")))))</f>
        <v/>
      </c>
      <c r="CB49" t="str" cm="1">
        <f t="array" ref="CB49">_xlfn.LET(_xlpm.GRR,IF(AND(SD!$C$19=SD!$H$2,Grade!$G$1="Per level"),VLOOKUP(B49,Grade!$E$1:$F$200,2,FALSE),IF(AND(SD!$C$19=SD!$H$2,Grade!$G$1="Per Bar Size"),VLOOKUP(BX49,Grade!$B$1:$C$12,2,0),SD!$C$19)),_xlpm.is_coupler, K49="Coupler",_xlpm.condition1, SD!$C$43=SD!$W$2,_xlpm.data_j2_empty, Data!$J49="",_xlpm.lookup_table, IF(SD!$C$11="Create", Lap!$A$3:$BF$14, IF(SD!$C$11="Per Uploaded File", Lap!$A$19:$BF$30, "")),_xlpm.row_match, MATCH(BX49, Lap!$A$3:$A$14, 0),_xlpm.grade_offset, IF(IFERROR(FIND("Grade 60",_xlpm.GRR), 0) &gt; 0, 0, IF(IFERROR(FIND("Grade 80",_xlpm.GRR), 0), 1, IF(IFERROR(FIND("Grade 75",_xlpm.GRR), 0), 2, ""))),_xlpm.col_match, MATCH(VALUE(D49), Lap!$A$3:$BF$3, 0) + _xlpm.grade_offset,_xlpm.index_result, IFERROR(INDEX(_xlpm.lookup_table, _xlpm.row_match, _xlpm.col_match), Data!$J49),_xlpm.result_if_condition1, IF(_xlpm.data_j2_empty, _xlpm.index_result, Data!$J49),IF(_xlpm.is_coupler, 0, IF(_xlpm.condition1, _xlpm.result_if_condition1, SD!$C$43)))</f>
        <v>5-1</v>
      </c>
      <c r="CC49" s="24">
        <f t="shared" si="11"/>
        <v>5.083333333333333</v>
      </c>
      <c r="CD49">
        <f t="shared" si="12"/>
        <v>5.75</v>
      </c>
      <c r="CE49" t="str" cm="1">
        <f t="array" ref="CE49">IF(BY49="","",_xlfn._xlws.FILTER(SAC,(CName=SD!$C$8)*(EName="Vert Dowels")))</f>
        <v/>
      </c>
      <c r="CF49" t="str" cm="1">
        <f t="array" ref="CF49">IFERROR(IF(BY49="","",IF(K49="Coupler",_xlfn._xlws.FILTER(CCoupler,(CCName=SD!$C$8)*(CBSize=IF(A48=A49,W48&amp;W49,BX49&amp;W49))*(CCMFM="Male")),"")),"N/A")</f>
        <v/>
      </c>
      <c r="CG49" t="str">
        <f t="shared" si="13"/>
        <v/>
      </c>
      <c r="CH49" t="str">
        <f t="shared" si="14"/>
        <v/>
      </c>
      <c r="CI49" t="str">
        <f>_xlfn.LET(_xlpm.u3_value, U50,_xlpm.hyphen_pos,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K50="Coupler",_xlpm.coupler_value, IF(_xlpm.is_coupler, 0, _xlpm.calculated_value),_xlpm.final_value, _xlpm.calculated_value + SD!$E$13 + _xlpm.coupler_value,IF(CG49="", "", _xlpm.final_value))</f>
        <v/>
      </c>
      <c r="CJ49" t="str" cm="1">
        <f t="array" ref="CJ49">IF(CG49="","",_xlfn._xlws.FILTER(SAC,(CName=SD!$C$8)*(EName="Loose Dowels")))</f>
        <v/>
      </c>
      <c r="CK49" t="str" cm="1">
        <f t="array" ref="CK49">IFERROR(IF(CG49="","",IF(K50="Coupler",_xlfn._xlws.FILTER(CCoupler,(CCName=SD!$C$8)*(CBSize=IF(A49=A50,W49&amp;W50,""))*(CCMFM="Male")),"")),"N/A")</f>
        <v/>
      </c>
      <c r="CL49" t="str">
        <f>IFERROR(IF(AM49="Spiral","",IF(A48=A49,"",IF(SD!$C$37=0,"",SD!$C$37))),"")</f>
        <v/>
      </c>
      <c r="CN49">
        <f>IF(AM49="Spiral","",IFERROR(IF(SD!$C$36=0,"",SD!$C$36),""))</f>
        <v>5</v>
      </c>
      <c r="CP49" t="str">
        <f>IFERROR(IF(SD!$C$42=SD!$Q$3,'Take-off'!CA49,""),"")</f>
        <v/>
      </c>
      <c r="CR49">
        <f>IFERROR(IF(SD!$C$22=SD!$U$2,W49,SD!$C$22),"")</f>
        <v>0</v>
      </c>
      <c r="CS49" t="str" cm="1">
        <f t="array" ref="CS49">_xlfn.LET(_xlpm.GR,IF(AND(SD!$C$19=SD!$H$2,Grade!$G$1="Per level"),VLOOKUP(B49,Grade!$E$1:$F$200,2,FALSE),IF(AND(SD!$C$19=SD!$H$2,Grade!$G$1="Per Bar Size"),VLOOKUP(CR49,Grade!$B$1:$C$12,2,0),SD!$C$19)),IF(SD!$C$20=SD!$R$4,IF(A50=A49,"",INDEX(IF(_xlpm.GR=SD!$H$3,A615GR60,IF(_xlpm.GR=SD!$H$4,A615GR75,IF(_xlpm.GR=SD!$H$5,A615GR80,IF(_xlpm.GR=SD!H53,A615GR100,IF(_xlpm.GR=SD!$H$7,A706GR60,IF(_xlpm.GR=SD!$H$8,A706GR80)))))), MATCH(1, (BSize=CR49)*(BCName=SD!$C$8), 0))),""))</f>
        <v/>
      </c>
      <c r="CT49" t="str">
        <f>IF(A50=A49,"",IF(SD!$C$23="Match Vertical Bars ",X49,SD!$C$23))</f>
        <v/>
      </c>
      <c r="CU49" t="str" cm="1">
        <f t="array" ref="CU49">IF(A50=A49,"",IF(SD!$C$20="Top dowels",IF(SD!$E$25="No T-Head",IF(SD!$C$24=SD!$Q$3,VLOOKUP(CR49,S90Range,3,FALSE),LEFT(SD!$C$24,FIND("-",SD!$C$24)-1)+(RIGHT(SD!$C$24,LEN(SD!$C$24)-FIND("-",SD!$C$24))/12)),IF(SD!$E$25="T-Head",_xlfn._xlws.FILTER(THead,(TCName=SD!$C$8)*(TSize=CR49)),IF(SD!$E$25="Level Wise",_xlfn.LET(_xlpm.result,_xlfn.XLOOKUP(B49,TDLevel,TDLevelStatus,"No"),IF(_xlpm.result="Yes",_xlfn._xlws.FILTER(THead,(TCName=SD!$C$8)*(TSize=CR49)),IF(SD!$C$24=SD!$Q$3,VLOOKUP(CR49,S90Range,3,FALSE),LEFT(SD!$C$24,FIND("-",SD!$C$24)-1)+(RIGHT(SD!$C$24,LEN(SD!$C$24)-FIND("-", SD!$C$24))/12)))),IF(SD!$E$25="BarSize Wise",_xlfn.LET(_xlpm.result,_xlfn.XLOOKUP(CR49,TDBarSize,TDBarSizeStatus,"No"),IF(_xlpm.result="Yes",_xlfn._xlws.FILTER(THead,(TCName=SD!$C$8)*(TSize=CR49)),IF(SD!$C$24=SD!$Q$3,VLOOKUP(CR49,S90Range,3,FALSE),LEFT(SD!$C$24,FIND("-",SD!$C$24)-1)+(RIGHT(SD!$C$24,LEN(SD!$C$24)-FIND("-",SD!$C$24))/12)))), "")))),""))</f>
        <v/>
      </c>
      <c r="CV49" t="str">
        <f>_xlfn.LET(_xlpm.GRR,IF(AND(SD!$C$19=SD!$H$2,Grade!$G$1="Per level"),VLOOKUP(B49,Grade!$E$1:$F$200,2,FALSE),IF(AND(SD!$C$19=SD!$H$2,Grade!$G$1="Per Bar Size"),VLOOKUP(CR49,Grade!$B$1:$C$12,2,0),SD!$C$19)),IF(SD!$C$25=SD!$W$2,IF(Data!$J49="",IFERROR(INDEX(IF(SD!$C$11="Create",Lap!$A$3:$BF$14,IF(SD!$C$11="Per Uploaded File",Lap!$A$19:$BF$30,"")),MATCH(CR49,Lap!$A$3:$A$14,0),MATCH(VALUE(D49),Lap!$A$3:$BF$3,0)+IF(IFERROR(FIND("Grade 60",_xlpm.GRR),0)&gt;0,0,IF(IFERROR(FIND("Grade 80",_xlpm.GRR),0),1,IF(IFERROR(FIND("Grade 75",_xlpm.GRR),0),2,"")))),""),Data!J49),SD!$C$43))</f>
        <v>Match Lap</v>
      </c>
      <c r="CW49">
        <f t="shared" si="15"/>
        <v>0</v>
      </c>
      <c r="CX49">
        <f t="shared" si="16"/>
        <v>0</v>
      </c>
      <c r="CY49" t="str">
        <f t="shared" si="17"/>
        <v/>
      </c>
      <c r="DA49" t="str">
        <f t="shared" si="18"/>
        <v/>
      </c>
      <c r="DB49" t="str">
        <f t="shared" si="19"/>
        <v/>
      </c>
      <c r="DC49" s="24" t="str">
        <f t="shared" si="20"/>
        <v/>
      </c>
      <c r="DD49">
        <f t="shared" si="21"/>
        <v>10.583333333333334</v>
      </c>
      <c r="DE49" t="s">
        <v>785</v>
      </c>
      <c r="DF49" t="s">
        <v>67</v>
      </c>
      <c r="DG49" t="str">
        <f>VLOOKUP(W49,'Level Wise PSI'!$F$2:$G$12,2,FALSE)</f>
        <v>Double Lift</v>
      </c>
      <c r="DI49" t="str" cm="1">
        <f t="array" ref="DI49">_xlfn.LET(_xlpm.Coup,IFERROR(IF(BY49="","",IF(K49="Coupler",_xlfn._xlws.FILTER(CCFCoupler,(CCName=SD!$C$8)*(CBSize=IF(A48=A49,W48&amp;W49,BX49&amp;W49))),"")),"N/A"),IF(_xlpm.Coup=0,"",_xlpm.Coup))</f>
        <v/>
      </c>
      <c r="DJ49" t="str" cm="1">
        <f t="array" ref="DJ49">_xlfn.LET(_xlpm.Coup3,IFERROR(IF(CG49="","",IF(K50="Coupler",_xlfn._xlws.FILTER(CCFCoupler,(CCName=SD!$C$8)*(CBSize=IF(A49=A50,W49&amp;W50,""))),"")),"N/A"),IF(_xlpm.Coup3=0,"",_xlpm.Coup3))</f>
        <v/>
      </c>
      <c r="DK49" t="str" cm="1">
        <f t="array" ref="DK49">_xlfn.LET(_xlpm.Coup2,IFERROR(IF(A49&lt;&gt;A50,"",IF(DF49="No Lap","",IF(K50="Coupler",_xlfn._xlws.FILTER(CCFCoupler,(CCName=SD!$C$8)*(CBSize=IF(A48=A49,W49&amp;W50,W49&amp;W49))),""))),"N/A"),IF(_xlpm.Coup2=0,"",_xlpm.Coup2))</f>
        <v/>
      </c>
      <c r="DM49" t="str">
        <f>IF(AM49="Spiral","",IF(SD!$C$31=SD!$Y$3,SD!$E$32*2,""))</f>
        <v/>
      </c>
      <c r="DO49" s="24">
        <f t="shared" si="22"/>
        <v>2.5</v>
      </c>
      <c r="DQ49" t="str">
        <f t="shared" si="23"/>
        <v>Lig</v>
      </c>
      <c r="DR49" t="str">
        <f>IF(AM49="Spiral",((Y49-(SD!$E$12*2))/12),"")</f>
        <v/>
      </c>
      <c r="DS49" t="str">
        <f t="shared" si="24"/>
        <v/>
      </c>
      <c r="DT49" t="str">
        <f t="shared" si="25"/>
        <v/>
      </c>
      <c r="DU49" t="str">
        <f t="shared" si="26"/>
        <v/>
      </c>
    </row>
    <row r="50" spans="1:125" x14ac:dyDescent="0.25">
      <c r="A50">
        <v>29</v>
      </c>
      <c r="B50" t="s">
        <v>676</v>
      </c>
      <c r="C50" s="15">
        <v>2429</v>
      </c>
      <c r="D50" s="15">
        <v>10000</v>
      </c>
      <c r="E50" t="str">
        <f>IF(B50=Level!$A$2,SD!$C$14,SD!$C$13)</f>
        <v>0-8</v>
      </c>
      <c r="F50" s="15" t="s">
        <v>787</v>
      </c>
      <c r="G50" t="s">
        <v>742</v>
      </c>
      <c r="H50" t="str">
        <f>RIGHT(VLOOKUP(B50,Level!A:C,3,FALSE),LEN(VLOOKUP(B50,Level!A:C,3,FALSE))-1)</f>
        <v>10-7</v>
      </c>
      <c r="I50" t="s">
        <v>743</v>
      </c>
      <c r="J50" t="str">
        <f>IF(AND(SD!$C$19=SD!$H$2,Grade!$G$1="Per level"),VLOOKUP(B50,Grade!$E$1:$F$200,2,FALSE),IF(AND(SD!$C$19=SD!$H$2,Grade!$G$1="Per Bar Size"),VLOOKUP(W50,Grade!$B$1:$C$12,2,0),SD!$C$19))</f>
        <v>A615 Grade 60</v>
      </c>
      <c r="K50" t="s">
        <v>67</v>
      </c>
      <c r="L50" t="str">
        <f>IFERROR(IF(A50&lt;&gt;A51,"",IF(DF50="No Lap","",IF(K51="Lap",U50,IF(K51="Coupler",_xlfn._xlws.FILTER(CCoupler,(CCName=SD!$C$8)*(CBSize=IF(A49=A50,W50&amp;W51,W50&amp;W50))*(CCMFM="Male")),"")))),"N/A")</f>
        <v>5-1</v>
      </c>
      <c r="M50" t="str">
        <f t="shared" si="0"/>
        <v/>
      </c>
      <c r="N50" t="s">
        <v>719</v>
      </c>
      <c r="O50" t="s">
        <v>720</v>
      </c>
      <c r="P50" t="s">
        <v>719</v>
      </c>
      <c r="Q50" t="str">
        <f>IF(AND(SD!$C$29=SD!$P$2,Grade!$O$1="Per level"),VLOOKUP(B50,Grade!$M$1:$N$200,2,FALSE),IF(AND(SD!$C$29=SD!$P$2,Grade!$O$1="Per Bar Size"),VLOOKUP(LEFT(N50,FIND("@",N50)-2),Grade!$J$1:$K$12,2,0),SD!$C$29))</f>
        <v>A615 Grade 60</v>
      </c>
      <c r="R50" t="s">
        <v>742</v>
      </c>
      <c r="S50" s="57">
        <v>50</v>
      </c>
      <c r="U50" t="str">
        <f>IF(Data!$J50="",IFERROR(INDEX(IF(SD!$C$11="Create",Lap!$A$3:$BF$14,IF(SD!$C$11="Per Uploaded File",Lap!$A$19:$BF$30,"")),MATCH(W50,Lap!$A$3:$A$14,0),MATCH(VALUE(D50),Lap!$A$3:$BF$3,0)+IF(IFERROR(FIND("Grade 60",J50),0)&gt;0,0,IF(IFERROR(FIND("Grade 80",J50),0),1,IF(IFERROR(FIND("Grade 75",J50),0),2,"")))),""),Data!J50)</f>
        <v>5-1</v>
      </c>
      <c r="W50" t="s">
        <v>176</v>
      </c>
      <c r="X50">
        <v>6</v>
      </c>
      <c r="Y50" t="str">
        <f t="shared" si="1"/>
        <v>30</v>
      </c>
      <c r="Z50">
        <f t="shared" si="2"/>
        <v>0</v>
      </c>
      <c r="AA50" s="24">
        <f t="shared" si="3"/>
        <v>15.666666666666666</v>
      </c>
      <c r="BB50" t="e" cm="1">
        <f t="array" ref="BB50">_xlfn.LET(_xlpm.PartF,(_xlfn.LET(_xlpm.grade, Q50,_xlpm.gradeRange, IF(_xlpm.grade=SD!$H$3, A615GR60, IF(_xlpm.grade=SD!$H$4, A615GR75, IF(_xlpm.grade=SD!$H$5, A615GR80, IF(_xlpm.grade=SD!$H$6, A615GR100, IF(_xlpm.grade=SD!$H$7, A706GR60, IF(_xlpm.grade=SD!$H$8, A706GR80)))))),_xlpm.matchValue, MATCH(1, (SD!$AW:$AW=AS50)*(SD!$AX:$AX=SD!$C$8), 0),INDEX(_xlpm.gradeRange, _xlpm.matchValue))),IF(AM50="Spiral",CONCATENATE("SP",_xlpm.PartF),_xlpm.PartF))</f>
        <v>#N/A</v>
      </c>
      <c r="BC50" cm="1">
        <f t="array" ref="BC50">_xlfn.LET(_xlpm.leftPart, LEFT(O50, FIND("@", O50) - 2),_xlpm.grade,Q50,_xlpm.gradeRange,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0" cm="1">
        <f t="array" ref="BD50">_xlfn.LET(_xlpm.leftPart, LEFT(P50, FIND("@", P50) - 2),_xlpm.grade, Q50,_xlpm.gradeRange,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0">
        <f t="shared" si="4"/>
        <v>2.5</v>
      </c>
      <c r="BF50">
        <f>IF(SD!$C$32=SD!$I$2,BE50,IF(SD!$C$32=SD!$I$3,DO50,IF(SD!$C$32=SD!$I$5,BA50,IF(SD!$C$32=SD!$I$6,(LEFT(SD!$C$35,FIND("-",SD!$C$35)-1)+RIGHT(SD!$C$35,LEN(SD!$C$35)-FIND("-",SD!$C$35))/12),IF(SD!$C$32=SD!$I$4,(AU50-(BG50+BH50)))))))</f>
        <v>0</v>
      </c>
      <c r="BG50">
        <f>IF(SD!$C$33=SD!$I$2,BE50,IF(SD!$C$33=SD!$I$3,DO50,IF(SD!$C$33=SD!$I$5,BA50,IF(SD!$C$33=SD!$I$6,(LEFT(SD!$C$35,FIND("-",SD!$C$35)-1)+RIGHT(SD!$C$35,LEN(SD!$C$35)-FIND("-",SD!$C$35))/12),IF(SD!$C$33=SD!$I$4,(AU50-(BF50+BH50)))))))</f>
        <v>-1</v>
      </c>
      <c r="BH50">
        <f>IF(SD!$C$34=SD!$I$2,BE50,IF(SD!$C$34=SD!$I$3,DO50,IF(SD!$C$34=SD!$I$5,BA50,IF(SD!$C$34=SD!$I$6,(LEFT(SD!$C$35,FIND("-",SD!$C$35)-1)+RIGHT(SD!$C$35,LEN(SD!$C$35)-FIND("-",SD!$C$35))/12),IF(SD!$C$34=SD!$I$4,(AU50-(BF50+BG50)))))))</f>
        <v>1</v>
      </c>
      <c r="BJ50">
        <f>IF(AM50="Spiral","1",MAX(ROUNDUP(IF(SD!$C$32="",AT50,BF50/(LEFT(RIGHT(N50,LEN(N50)-FIND("@",N50)),LEN(RIGHT(N50,LEN(N50)-FIND("@",N50)))-1)/12)+1),0),0))</f>
        <v>1</v>
      </c>
      <c r="BK50">
        <f>MAX(ROUNDUP(IF(SD!$C$33="","",BG50/(LEFT(RIGHT(O50,LEN(O50)-FIND("@",O50)),LEN(RIGHT(O50,LEN(O50)-FIND("@",O50)))-1)/12)+1),0),0)</f>
        <v>0</v>
      </c>
      <c r="BL50">
        <f>MAX(ROUNDUP(IF(SD!$C$34="","",BH50/(LEFT(RIGHT(P50,LEN(P50)-FIND("@",P50)),LEN(RIGHT(P50,LEN(P50)-FIND("@",P50)))-1)/12)+1),0),0)</f>
        <v>3</v>
      </c>
      <c r="BN50" t="e">
        <f t="shared" si="5"/>
        <v>#N/A</v>
      </c>
      <c r="BO50" t="e">
        <f t="shared" si="6"/>
        <v>#N/A</v>
      </c>
      <c r="BP50" t="e">
        <f t="shared" si="7"/>
        <v>#N/A</v>
      </c>
      <c r="BQ50" s="24" t="e">
        <f>IF(AM50=TRUE,(((Y50-(SD!$E$12*2))*3.14159265359)+BN50+BO50+BP50)/12+AL50,SUM(AF50:AG50,BN50,BO50,BP50,AO50,AQ50)/12)</f>
        <v>#N/A</v>
      </c>
      <c r="BR50" t="e">
        <f t="shared" si="8"/>
        <v>#N/A</v>
      </c>
      <c r="BS50" t="e">
        <f t="shared" si="9"/>
        <v>#N/A</v>
      </c>
      <c r="BT50" t="e">
        <f t="shared" si="10"/>
        <v>#N/A</v>
      </c>
      <c r="BU50" s="24" t="e">
        <f>IF(AM50=TRUE,(((Y50-(SD!$E$12*2))*3.14159265359)+BR50+BS50+BT50)/12+AL50,SUM(AF50:AG50,BR50,BS50,BT50,AO50,AQ50)/12)</f>
        <v>#N/A</v>
      </c>
      <c r="BW50" t="str">
        <f>IFERROR(LEFT(Data!L50,FIND(" -",Data!L50)-1),"")</f>
        <v/>
      </c>
      <c r="BX50" t="str">
        <f>IFERROR(IF(SD!$C$40=SD!$U$2,W50,IF(SD!$C$40=SD!$U$3,RIGHT(Data!L50,LEN(Data!L50)-(FIND("-",Data!L50)+1)),SD!$C$40)),"")</f>
        <v>#10</v>
      </c>
      <c r="BY50" t="str" cm="1">
        <f t="array" ref="BY50">IFERROR(_xlfn.LET(_xlpm.GRR,IF(AND(SD!$C$19=SD!$H$2,Grade!$G$1="Per level"),VLOOKUP(B50,Grade!$E$1:$F$200,2,FALSE),IF(AND(SD!$C$19=SD!$H$2,Grade!$G$1="Per Bar Size"),VLOOKUP(BX50,Grade!$B$1:$C$12,2,0),SD!$C$19)),_xlpm.is_equal, A49=A50,_xlpm.grade_range, IF(_xlpm.GRR=SD!$H$3, A615GR60,IF(_xlpm.GRR=SD!$H$4, A615GR75,IF(_xlpm.GRR=SD!$H$5, A615GR80,IF(_xlpm.GRR=SD!H54, A615GR100,IF(_xlpm.GRR=SD!$H$7, A706GR60,IF(_xlpm.GRR=SD!$H$8, A706GR80)))))),_xlpm.match_result, MATCH(1, (BSize=BX50)*(BCName=SD!$C$8), 0),_xlpm.final_result, INDEX(_xlpm.grade_range, _xlpm.match_result),IF(_xlpm.is_equal, "", _xlpm.final_result)),"")</f>
        <v/>
      </c>
      <c r="BZ50" t="str">
        <f>IF(A49=A50,"",IF(SD!$C$41="Match Vertical Bars ",X50,IF(SD!$C$41=SD!$V$3,BW50,SD!$C$41)))</f>
        <v/>
      </c>
      <c r="CA50" t="str" cm="1">
        <f t="array" ref="CA50">IF(A49=A50,"",IF(SD!$C$44="No T-Head",IF(SD!$C$42=SD!$Q$3,VLOOKUP(BX50,S90Range,3,FALSE),LEFT(SD!$C$42,FIND("-",SD!$C$42)-1)+(RIGHT(SD!$C$42,LEN(SD!$C$42)-FIND("-",SD!$C$42))/12)),IF(SD!$C$44="T-Head",_xlfn._xlws.FILTER(THead,(TCName=SD!$C$8)*(TSize=BX50)),IF(SD!$C$44="Level Wise",_xlfn.LET(_xlpm.result,_xlfn.XLOOKUP(B50,VDLevel,VDLevelStatus,"No"),IF(_xlpm.result="Yes",_xlfn._xlws.FILTER(THead,(TCName=SD!$C$8)*(TSize=BX50)),IF(SD!$C$42=SD!$Q$3,VLOOKUP(BX50,S90Range,3,FALSE),LEFT(SD!$C$42,FIND("-",SD!$C$42)-1)+(RIGHT(SD!$C$42,LEN(SD!$C$42)-FIND("-", SD!$C$42))/12)))),IF(SD!$C$44="BarSize Wise",_xlfn.LET(_xlpm.result,_xlfn.XLOOKUP(BX50,VDBarSize,VDBarSizeStatus,"No"),IF(_xlpm.result="Yes",_xlfn._xlws.FILTER(THead,(TCName=SD!$C$8)*(TSize=BX50)),IF(SD!$C$42=SD!$Q$3,VLOOKUP(BX50,S90Range,3,FALSE),LEFT(SD!$C$42,FIND("-",SD!$C$42)-1)+(RIGHT(SD!$C$42,LEN(SD!$C$42)-FIND("-",SD!$C$42))/12)))), "")))))</f>
        <v/>
      </c>
      <c r="CB50" t="str" cm="1">
        <f t="array" ref="CB50">_xlfn.LET(_xlpm.GRR,IF(AND(SD!$C$19=SD!$H$2,Grade!$G$1="Per level"),VLOOKUP(B50,Grade!$E$1:$F$200,2,FALSE),IF(AND(SD!$C$19=SD!$H$2,Grade!$G$1="Per Bar Size"),VLOOKUP(BX50,Grade!$B$1:$C$12,2,0),SD!$C$19)),_xlpm.is_coupler, K50="Coupler",_xlpm.condition1, SD!$C$43=SD!$W$2,_xlpm.data_j2_empty, Data!$J50="",_xlpm.lookup_table, IF(SD!$C$11="Create", Lap!$A$3:$BF$14, IF(SD!$C$11="Per Uploaded File", Lap!$A$19:$BF$30, "")),_xlpm.row_match, MATCH(BX50, Lap!$A$3:$A$14, 0),_xlpm.grade_offset, IF(IFERROR(FIND("Grade 60",_xlpm.GRR), 0) &gt; 0, 0, IF(IFERROR(FIND("Grade 80",_xlpm.GRR), 0), 1, IF(IFERROR(FIND("Grade 75",_xlpm.GRR), 0), 2, ""))),_xlpm.col_match, MATCH(VALUE(D50), Lap!$A$3:$BF$3, 0) + _xlpm.grade_offset,_xlpm.index_result, IFERROR(INDEX(_xlpm.lookup_table, _xlpm.row_match, _xlpm.col_match), Data!$J50),_xlpm.result_if_condition1, IF(_xlpm.data_j2_empty, _xlpm.index_result, Data!$J50),IF(_xlpm.is_coupler, 0, IF(_xlpm.condition1, _xlpm.result_if_condition1, SD!$C$43)))</f>
        <v>5-1</v>
      </c>
      <c r="CC50" s="24">
        <f t="shared" si="11"/>
        <v>5.083333333333333</v>
      </c>
      <c r="CD50">
        <f t="shared" si="12"/>
        <v>5.75</v>
      </c>
      <c r="CE50" t="str" cm="1">
        <f t="array" ref="CE50">IF(BY50="","",_xlfn._xlws.FILTER(SAC,(CName=SD!$C$8)*(EName="Vert Dowels")))</f>
        <v/>
      </c>
      <c r="CF50" t="str" cm="1">
        <f t="array" ref="CF50">IFERROR(IF(BY50="","",IF(K50="Coupler",_xlfn._xlws.FILTER(CCoupler,(CCName=SD!$C$8)*(CBSize=IF(A49=A50,W49&amp;W50,BX50&amp;W50))*(CCMFM="Male")),"")),"N/A")</f>
        <v/>
      </c>
      <c r="CG50" t="str">
        <f t="shared" si="13"/>
        <v/>
      </c>
      <c r="CH50" t="str">
        <f t="shared" si="14"/>
        <v/>
      </c>
      <c r="CI50" t="str">
        <f>_xlfn.LET(_xlpm.u3_value, U51,_xlpm.hyphen_pos,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K51="Coupler",_xlpm.coupler_value, IF(_xlpm.is_coupler, 0, _xlpm.calculated_value),_xlpm.final_value, _xlpm.calculated_value + SD!$E$13 + _xlpm.coupler_value,IF(CG50="", "", _xlpm.final_value))</f>
        <v/>
      </c>
      <c r="CJ50" t="str" cm="1">
        <f t="array" ref="CJ50">IF(CG50="","",_xlfn._xlws.FILTER(SAC,(CName=SD!$C$8)*(EName="Loose Dowels")))</f>
        <v/>
      </c>
      <c r="CK50" t="str" cm="1">
        <f t="array" ref="CK50">IFERROR(IF(CG50="","",IF(K51="Coupler",_xlfn._xlws.FILTER(CCoupler,(CCName=SD!$C$8)*(CBSize=IF(A50=A51,W50&amp;W51,""))*(CCMFM="Male")),"")),"N/A")</f>
        <v/>
      </c>
      <c r="CL50" t="str">
        <f>IFERROR(IF(AM50="Spiral","",IF(A49=A50,"",IF(SD!$C$37=0,"",SD!$C$37))),"")</f>
        <v/>
      </c>
      <c r="CN50">
        <f>IF(AM50="Spiral","",IFERROR(IF(SD!$C$36=0,"",SD!$C$36),""))</f>
        <v>5</v>
      </c>
      <c r="CP50" t="str">
        <f>IFERROR(IF(SD!$C$42=SD!$Q$3,'Take-off'!CA50,""),"")</f>
        <v/>
      </c>
      <c r="CR50">
        <f>IFERROR(IF(SD!$C$22=SD!$U$2,W50,SD!$C$22),"")</f>
        <v>0</v>
      </c>
      <c r="CS50" t="str" cm="1">
        <f t="array" ref="CS50">_xlfn.LET(_xlpm.GR,IF(AND(SD!$C$19=SD!$H$2,Grade!$G$1="Per level"),VLOOKUP(B50,Grade!$E$1:$F$200,2,FALSE),IF(AND(SD!$C$19=SD!$H$2,Grade!$G$1="Per Bar Size"),VLOOKUP(CR50,Grade!$B$1:$C$12,2,0),SD!$C$19)),IF(SD!$C$20=SD!$R$4,IF(A51=A50,"",INDEX(IF(_xlpm.GR=SD!$H$3,A615GR60,IF(_xlpm.GR=SD!$H$4,A615GR75,IF(_xlpm.GR=SD!$H$5,A615GR80,IF(_xlpm.GR=SD!H54,A615GR100,IF(_xlpm.GR=SD!$H$7,A706GR60,IF(_xlpm.GR=SD!$H$8,A706GR80)))))), MATCH(1, (BSize=CR50)*(BCName=SD!$C$8), 0))),""))</f>
        <v/>
      </c>
      <c r="CT50" t="str">
        <f>IF(A51=A50,"",IF(SD!$C$23="Match Vertical Bars ",X50,SD!$C$23))</f>
        <v/>
      </c>
      <c r="CU50" t="str" cm="1">
        <f t="array" ref="CU50">IF(A51=A50,"",IF(SD!$C$20="Top dowels",IF(SD!$E$25="No T-Head",IF(SD!$C$24=SD!$Q$3,VLOOKUP(CR50,S90Range,3,FALSE),LEFT(SD!$C$24,FIND("-",SD!$C$24)-1)+(RIGHT(SD!$C$24,LEN(SD!$C$24)-FIND("-",SD!$C$24))/12)),IF(SD!$E$25="T-Head",_xlfn._xlws.FILTER(THead,(TCName=SD!$C$8)*(TSize=CR50)),IF(SD!$E$25="Level Wise",_xlfn.LET(_xlpm.result,_xlfn.XLOOKUP(B50,TDLevel,TDLevelStatus,"No"),IF(_xlpm.result="Yes",_xlfn._xlws.FILTER(THead,(TCName=SD!$C$8)*(TSize=CR50)),IF(SD!$C$24=SD!$Q$3,VLOOKUP(CR50,S90Range,3,FALSE),LEFT(SD!$C$24,FIND("-",SD!$C$24)-1)+(RIGHT(SD!$C$24,LEN(SD!$C$24)-FIND("-", SD!$C$24))/12)))),IF(SD!$E$25="BarSize Wise",_xlfn.LET(_xlpm.result,_xlfn.XLOOKUP(CR50,TDBarSize,TDBarSizeStatus,"No"),IF(_xlpm.result="Yes",_xlfn._xlws.FILTER(THead,(TCName=SD!$C$8)*(TSize=CR50)),IF(SD!$C$24=SD!$Q$3,VLOOKUP(CR50,S90Range,3,FALSE),LEFT(SD!$C$24,FIND("-",SD!$C$24)-1)+(RIGHT(SD!$C$24,LEN(SD!$C$24)-FIND("-",SD!$C$24))/12)))), "")))),""))</f>
        <v/>
      </c>
      <c r="CV50" t="str">
        <f>_xlfn.LET(_xlpm.GRR,IF(AND(SD!$C$19=SD!$H$2,Grade!$G$1="Per level"),VLOOKUP(B50,Grade!$E$1:$F$200,2,FALSE),IF(AND(SD!$C$19=SD!$H$2,Grade!$G$1="Per Bar Size"),VLOOKUP(CR50,Grade!$B$1:$C$12,2,0),SD!$C$19)),IF(SD!$C$25=SD!$W$2,IF(Data!$J50="",IFERROR(INDEX(IF(SD!$C$11="Create",Lap!$A$3:$BF$14,IF(SD!$C$11="Per Uploaded File",Lap!$A$19:$BF$30,"")),MATCH(CR50,Lap!$A$3:$A$14,0),MATCH(VALUE(D50),Lap!$A$3:$BF$3,0)+IF(IFERROR(FIND("Grade 60",_xlpm.GRR),0)&gt;0,0,IF(IFERROR(FIND("Grade 80",_xlpm.GRR),0),1,IF(IFERROR(FIND("Grade 75",_xlpm.GRR),0),2,"")))),""),Data!J50),SD!$C$43))</f>
        <v>Match Lap</v>
      </c>
      <c r="CW50">
        <f t="shared" si="15"/>
        <v>0</v>
      </c>
      <c r="CX50">
        <f t="shared" si="16"/>
        <v>0</v>
      </c>
      <c r="CY50" t="str">
        <f t="shared" si="17"/>
        <v/>
      </c>
      <c r="DA50" t="str">
        <f t="shared" si="18"/>
        <v/>
      </c>
      <c r="DB50" t="str">
        <f t="shared" si="19"/>
        <v/>
      </c>
      <c r="DC50" s="24" t="str">
        <f t="shared" si="20"/>
        <v/>
      </c>
      <c r="DD50">
        <f t="shared" si="21"/>
        <v>10.583333333333334</v>
      </c>
      <c r="DE50" t="s">
        <v>785</v>
      </c>
      <c r="DF50" t="s">
        <v>67</v>
      </c>
      <c r="DG50" t="str">
        <f>VLOOKUP(W50,'Level Wise PSI'!$F$2:$G$12,2,FALSE)</f>
        <v>Double Lift</v>
      </c>
      <c r="DI50" t="str" cm="1">
        <f t="array" ref="DI50">_xlfn.LET(_xlpm.Coup,IFERROR(IF(BY50="","",IF(K50="Coupler",_xlfn._xlws.FILTER(CCFCoupler,(CCName=SD!$C$8)*(CBSize=IF(A49=A50,W49&amp;W50,BX50&amp;W50))),"")),"N/A"),IF(_xlpm.Coup=0,"",_xlpm.Coup))</f>
        <v/>
      </c>
      <c r="DJ50" t="str" cm="1">
        <f t="array" ref="DJ50">_xlfn.LET(_xlpm.Coup3,IFERROR(IF(CG50="","",IF(K51="Coupler",_xlfn._xlws.FILTER(CCFCoupler,(CCName=SD!$C$8)*(CBSize=IF(A50=A51,W50&amp;W51,""))),"")),"N/A"),IF(_xlpm.Coup3=0,"",_xlpm.Coup3))</f>
        <v/>
      </c>
      <c r="DK50" t="str" cm="1">
        <f t="array" ref="DK50">_xlfn.LET(_xlpm.Coup2,IFERROR(IF(A50&lt;&gt;A51,"",IF(DF50="No Lap","",IF(K51="Coupler",_xlfn._xlws.FILTER(CCFCoupler,(CCName=SD!$C$8)*(CBSize=IF(A49=A50,W50&amp;W51,W50&amp;W50))),""))),"N/A"),IF(_xlpm.Coup2=0,"",_xlpm.Coup2))</f>
        <v/>
      </c>
      <c r="DM50" t="str">
        <f>IF(AM50="Spiral","",IF(SD!$C$31=SD!$Y$3,SD!$E$32*2,""))</f>
        <v/>
      </c>
      <c r="DO50" s="24">
        <f t="shared" si="22"/>
        <v>2.5</v>
      </c>
      <c r="DQ50" t="str">
        <f t="shared" si="23"/>
        <v>Lig</v>
      </c>
      <c r="DR50" t="str">
        <f>IF(AM50="Spiral",((Y50-(SD!$E$12*2))/12),"")</f>
        <v/>
      </c>
      <c r="DS50" t="str">
        <f t="shared" si="24"/>
        <v/>
      </c>
      <c r="DT50" t="str">
        <f t="shared" si="25"/>
        <v/>
      </c>
      <c r="DU50" t="str">
        <f t="shared" si="26"/>
        <v/>
      </c>
    </row>
    <row r="51" spans="1:125" x14ac:dyDescent="0.25">
      <c r="A51">
        <v>29</v>
      </c>
      <c r="B51" t="s">
        <v>678</v>
      </c>
      <c r="C51" s="15">
        <v>2429</v>
      </c>
      <c r="D51" s="15">
        <v>10000</v>
      </c>
      <c r="E51" t="str">
        <f>IF(B51=Level!$A$2,SD!$C$14,SD!$C$13)</f>
        <v>0-8</v>
      </c>
      <c r="F51" s="15" t="s">
        <v>787</v>
      </c>
      <c r="G51" t="s">
        <v>742</v>
      </c>
      <c r="H51" t="str">
        <f>RIGHT(VLOOKUP(B51,Level!A:C,3,FALSE),LEN(VLOOKUP(B51,Level!A:C,3,FALSE))-1)</f>
        <v>10-7</v>
      </c>
      <c r="I51" t="s">
        <v>743</v>
      </c>
      <c r="J51" t="str">
        <f>IF(AND(SD!$C$19=SD!$H$2,Grade!$G$1="Per level"),VLOOKUP(B51,Grade!$E$1:$F$200,2,FALSE),IF(AND(SD!$C$19=SD!$H$2,Grade!$G$1="Per Bar Size"),VLOOKUP(W51,Grade!$B$1:$C$12,2,0),SD!$C$19))</f>
        <v>A615 Grade 60</v>
      </c>
      <c r="K51" t="s">
        <v>67</v>
      </c>
      <c r="L51" t="str">
        <f>IFERROR(IF(A51&lt;&gt;A52,"",IF(DF51="No Lap","",IF(K52="Lap",U51,IF(K52="Coupler",_xlfn._xlws.FILTER(CCoupler,(CCName=SD!$C$8)*(CBSize=IF(A50=A51,W51&amp;W52,W51&amp;W51))*(CCMFM="Male")),"")))),"N/A")</f>
        <v>5-1</v>
      </c>
      <c r="M51" t="str">
        <f t="shared" si="0"/>
        <v/>
      </c>
      <c r="N51" t="s">
        <v>719</v>
      </c>
      <c r="O51" t="s">
        <v>720</v>
      </c>
      <c r="P51" t="s">
        <v>719</v>
      </c>
      <c r="Q51" t="str">
        <f>IF(AND(SD!$C$29=SD!$P$2,Grade!$O$1="Per level"),VLOOKUP(B51,Grade!$M$1:$N$200,2,FALSE),IF(AND(SD!$C$29=SD!$P$2,Grade!$O$1="Per Bar Size"),VLOOKUP(LEFT(N51,FIND("@",N51)-2),Grade!$J$1:$K$12,2,0),SD!$C$29))</f>
        <v>A615 Grade 60</v>
      </c>
      <c r="R51" t="s">
        <v>742</v>
      </c>
      <c r="S51" s="57">
        <v>51</v>
      </c>
      <c r="U51" t="str">
        <f>IF(Data!$J51="",IFERROR(INDEX(IF(SD!$C$11="Create",Lap!$A$3:$BF$14,IF(SD!$C$11="Per Uploaded File",Lap!$A$19:$BF$30,"")),MATCH(W51,Lap!$A$3:$A$14,0),MATCH(VALUE(D51),Lap!$A$3:$BF$3,0)+IF(IFERROR(FIND("Grade 60",J51),0)&gt;0,0,IF(IFERROR(FIND("Grade 80",J51),0),1,IF(IFERROR(FIND("Grade 75",J51),0),2,"")))),""),Data!J51)</f>
        <v>5-1</v>
      </c>
      <c r="W51" t="s">
        <v>176</v>
      </c>
      <c r="X51">
        <v>6</v>
      </c>
      <c r="Y51" t="str">
        <f t="shared" si="1"/>
        <v>30</v>
      </c>
      <c r="Z51">
        <f t="shared" si="2"/>
        <v>0</v>
      </c>
      <c r="AA51" s="24">
        <f t="shared" si="3"/>
        <v>15.666666666666666</v>
      </c>
      <c r="BB51" t="e" cm="1">
        <f t="array" ref="BB51">_xlfn.LET(_xlpm.PartF,(_xlfn.LET(_xlpm.grade, Q51,_xlpm.gradeRange, IF(_xlpm.grade=SD!$H$3, A615GR60, IF(_xlpm.grade=SD!$H$4, A615GR75, IF(_xlpm.grade=SD!$H$5, A615GR80, IF(_xlpm.grade=SD!$H$6, A615GR100, IF(_xlpm.grade=SD!$H$7, A706GR60, IF(_xlpm.grade=SD!$H$8, A706GR80)))))),_xlpm.matchValue, MATCH(1, (SD!$AW:$AW=AS51)*(SD!$AX:$AX=SD!$C$8), 0),INDEX(_xlpm.gradeRange, _xlpm.matchValue))),IF(AM51="Spiral",CONCATENATE("SP",_xlpm.PartF),_xlpm.PartF))</f>
        <v>#N/A</v>
      </c>
      <c r="BC51" cm="1">
        <f t="array" ref="BC51">_xlfn.LET(_xlpm.leftPart, LEFT(O51, FIND("@", O51) - 2),_xlpm.grade,Q51,_xlpm.gradeRange,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1" cm="1">
        <f t="array" ref="BD51">_xlfn.LET(_xlpm.leftPart, LEFT(P51, FIND("@", P51) - 2),_xlpm.grade, Q51,_xlpm.gradeRange,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1">
        <f t="shared" si="4"/>
        <v>2.5</v>
      </c>
      <c r="BF51">
        <f>IF(SD!$C$32=SD!$I$2,BE51,IF(SD!$C$32=SD!$I$3,DO51,IF(SD!$C$32=SD!$I$5,BA51,IF(SD!$C$32=SD!$I$6,(LEFT(SD!$C$35,FIND("-",SD!$C$35)-1)+RIGHT(SD!$C$35,LEN(SD!$C$35)-FIND("-",SD!$C$35))/12),IF(SD!$C$32=SD!$I$4,(AU51-(BG51+BH51)))))))</f>
        <v>0</v>
      </c>
      <c r="BG51">
        <f>IF(SD!$C$33=SD!$I$2,BE51,IF(SD!$C$33=SD!$I$3,DO51,IF(SD!$C$33=SD!$I$5,BA51,IF(SD!$C$33=SD!$I$6,(LEFT(SD!$C$35,FIND("-",SD!$C$35)-1)+RIGHT(SD!$C$35,LEN(SD!$C$35)-FIND("-",SD!$C$35))/12),IF(SD!$C$33=SD!$I$4,(AU51-(BF51+BH51)))))))</f>
        <v>-1</v>
      </c>
      <c r="BH51">
        <f>IF(SD!$C$34=SD!$I$2,BE51,IF(SD!$C$34=SD!$I$3,DO51,IF(SD!$C$34=SD!$I$5,BA51,IF(SD!$C$34=SD!$I$6,(LEFT(SD!$C$35,FIND("-",SD!$C$35)-1)+RIGHT(SD!$C$35,LEN(SD!$C$35)-FIND("-",SD!$C$35))/12),IF(SD!$C$34=SD!$I$4,(AU51-(BF51+BG51)))))))</f>
        <v>1</v>
      </c>
      <c r="BJ51">
        <f>IF(AM51="Spiral","1",MAX(ROUNDUP(IF(SD!$C$32="",AT51,BF51/(LEFT(RIGHT(N51,LEN(N51)-FIND("@",N51)),LEN(RIGHT(N51,LEN(N51)-FIND("@",N51)))-1)/12)+1),0),0))</f>
        <v>1</v>
      </c>
      <c r="BK51">
        <f>MAX(ROUNDUP(IF(SD!$C$33="","",BG51/(LEFT(RIGHT(O51,LEN(O51)-FIND("@",O51)),LEN(RIGHT(O51,LEN(O51)-FIND("@",O51)))-1)/12)+1),0),0)</f>
        <v>0</v>
      </c>
      <c r="BL51">
        <f>MAX(ROUNDUP(IF(SD!$C$34="","",BH51/(LEFT(RIGHT(P51,LEN(P51)-FIND("@",P51)),LEN(RIGHT(P51,LEN(P51)-FIND("@",P51)))-1)/12)+1),0),0)</f>
        <v>3</v>
      </c>
      <c r="BN51" t="e">
        <f t="shared" si="5"/>
        <v>#N/A</v>
      </c>
      <c r="BO51" t="e">
        <f t="shared" si="6"/>
        <v>#N/A</v>
      </c>
      <c r="BP51" t="e">
        <f t="shared" si="7"/>
        <v>#N/A</v>
      </c>
      <c r="BQ51" s="24" t="e">
        <f>IF(AM51=TRUE,(((Y51-(SD!$E$12*2))*3.14159265359)+BN51+BO51+BP51)/12+AL51,SUM(AF51:AG51,BN51,BO51,BP51,AO51,AQ51)/12)</f>
        <v>#N/A</v>
      </c>
      <c r="BR51" t="e">
        <f t="shared" si="8"/>
        <v>#N/A</v>
      </c>
      <c r="BS51" t="e">
        <f t="shared" si="9"/>
        <v>#N/A</v>
      </c>
      <c r="BT51" t="e">
        <f t="shared" si="10"/>
        <v>#N/A</v>
      </c>
      <c r="BU51" s="24" t="e">
        <f>IF(AM51=TRUE,(((Y51-(SD!$E$12*2))*3.14159265359)+BR51+BS51+BT51)/12+AL51,SUM(AF51:AG51,BR51,BS51,BT51,AO51,AQ51)/12)</f>
        <v>#N/A</v>
      </c>
      <c r="BW51" t="str">
        <f>IFERROR(LEFT(Data!L51,FIND(" -",Data!L51)-1),"")</f>
        <v/>
      </c>
      <c r="BX51" t="str">
        <f>IFERROR(IF(SD!$C$40=SD!$U$2,W51,IF(SD!$C$40=SD!$U$3,RIGHT(Data!L51,LEN(Data!L51)-(FIND("-",Data!L51)+1)),SD!$C$40)),"")</f>
        <v>#10</v>
      </c>
      <c r="BY51" t="str" cm="1">
        <f t="array" ref="BY51">IFERROR(_xlfn.LET(_xlpm.GRR,IF(AND(SD!$C$19=SD!$H$2,Grade!$G$1="Per level"),VLOOKUP(B51,Grade!$E$1:$F$200,2,FALSE),IF(AND(SD!$C$19=SD!$H$2,Grade!$G$1="Per Bar Size"),VLOOKUP(BX51,Grade!$B$1:$C$12,2,0),SD!$C$19)),_xlpm.is_equal, A50=A51,_xlpm.grade_range, IF(_xlpm.GRR=SD!$H$3, A615GR60,IF(_xlpm.GRR=SD!$H$4, A615GR75,IF(_xlpm.GRR=SD!$H$5, A615GR80,IF(_xlpm.GRR=SD!H55, A615GR100,IF(_xlpm.GRR=SD!$H$7, A706GR60,IF(_xlpm.GRR=SD!$H$8, A706GR80)))))),_xlpm.match_result, MATCH(1, (BSize=BX51)*(BCName=SD!$C$8), 0),_xlpm.final_result, INDEX(_xlpm.grade_range, _xlpm.match_result),IF(_xlpm.is_equal, "", _xlpm.final_result)),"")</f>
        <v/>
      </c>
      <c r="BZ51" t="str">
        <f>IF(A50=A51,"",IF(SD!$C$41="Match Vertical Bars ",X51,IF(SD!$C$41=SD!$V$3,BW51,SD!$C$41)))</f>
        <v/>
      </c>
      <c r="CA51" t="str" cm="1">
        <f t="array" ref="CA51">IF(A50=A51,"",IF(SD!$C$44="No T-Head",IF(SD!$C$42=SD!$Q$3,VLOOKUP(BX51,S90Range,3,FALSE),LEFT(SD!$C$42,FIND("-",SD!$C$42)-1)+(RIGHT(SD!$C$42,LEN(SD!$C$42)-FIND("-",SD!$C$42))/12)),IF(SD!$C$44="T-Head",_xlfn._xlws.FILTER(THead,(TCName=SD!$C$8)*(TSize=BX51)),IF(SD!$C$44="Level Wise",_xlfn.LET(_xlpm.result,_xlfn.XLOOKUP(B51,VDLevel,VDLevelStatus,"No"),IF(_xlpm.result="Yes",_xlfn._xlws.FILTER(THead,(TCName=SD!$C$8)*(TSize=BX51)),IF(SD!$C$42=SD!$Q$3,VLOOKUP(BX51,S90Range,3,FALSE),LEFT(SD!$C$42,FIND("-",SD!$C$42)-1)+(RIGHT(SD!$C$42,LEN(SD!$C$42)-FIND("-", SD!$C$42))/12)))),IF(SD!$C$44="BarSize Wise",_xlfn.LET(_xlpm.result,_xlfn.XLOOKUP(BX51,VDBarSize,VDBarSizeStatus,"No"),IF(_xlpm.result="Yes",_xlfn._xlws.FILTER(THead,(TCName=SD!$C$8)*(TSize=BX51)),IF(SD!$C$42=SD!$Q$3,VLOOKUP(BX51,S90Range,3,FALSE),LEFT(SD!$C$42,FIND("-",SD!$C$42)-1)+(RIGHT(SD!$C$42,LEN(SD!$C$42)-FIND("-",SD!$C$42))/12)))), "")))))</f>
        <v/>
      </c>
      <c r="CB51" t="str" cm="1">
        <f t="array" ref="CB51">_xlfn.LET(_xlpm.GRR,IF(AND(SD!$C$19=SD!$H$2,Grade!$G$1="Per level"),VLOOKUP(B51,Grade!$E$1:$F$200,2,FALSE),IF(AND(SD!$C$19=SD!$H$2,Grade!$G$1="Per Bar Size"),VLOOKUP(BX51,Grade!$B$1:$C$12,2,0),SD!$C$19)),_xlpm.is_coupler, K51="Coupler",_xlpm.condition1, SD!$C$43=SD!$W$2,_xlpm.data_j2_empty, Data!$J51="",_xlpm.lookup_table, IF(SD!$C$11="Create", Lap!$A$3:$BF$14, IF(SD!$C$11="Per Uploaded File", Lap!$A$19:$BF$30, "")),_xlpm.row_match, MATCH(BX51, Lap!$A$3:$A$14, 0),_xlpm.grade_offset, IF(IFERROR(FIND("Grade 60",_xlpm.GRR), 0) &gt; 0, 0, IF(IFERROR(FIND("Grade 80",_xlpm.GRR), 0), 1, IF(IFERROR(FIND("Grade 75",_xlpm.GRR), 0), 2, ""))),_xlpm.col_match, MATCH(VALUE(D51), Lap!$A$3:$BF$3, 0) + _xlpm.grade_offset,_xlpm.index_result, IFERROR(INDEX(_xlpm.lookup_table, _xlpm.row_match, _xlpm.col_match), Data!$J51),_xlpm.result_if_condition1, IF(_xlpm.data_j2_empty, _xlpm.index_result, Data!$J51),IF(_xlpm.is_coupler, 0, IF(_xlpm.condition1, _xlpm.result_if_condition1, SD!$C$43)))</f>
        <v>5-1</v>
      </c>
      <c r="CC51" s="24">
        <f t="shared" si="11"/>
        <v>5.083333333333333</v>
      </c>
      <c r="CD51">
        <f t="shared" si="12"/>
        <v>5.75</v>
      </c>
      <c r="CE51" t="str" cm="1">
        <f t="array" ref="CE51">IF(BY51="","",_xlfn._xlws.FILTER(SAC,(CName=SD!$C$8)*(EName="Vert Dowels")))</f>
        <v/>
      </c>
      <c r="CF51" t="str" cm="1">
        <f t="array" ref="CF51">IFERROR(IF(BY51="","",IF(K51="Coupler",_xlfn._xlws.FILTER(CCoupler,(CCName=SD!$C$8)*(CBSize=IF(A50=A51,W50&amp;W51,BX51&amp;W51))*(CCMFM="Male")),"")),"N/A")</f>
        <v/>
      </c>
      <c r="CG51" t="str">
        <f t="shared" si="13"/>
        <v/>
      </c>
      <c r="CH51" t="str">
        <f t="shared" si="14"/>
        <v/>
      </c>
      <c r="CI51" t="str">
        <f>_xlfn.LET(_xlpm.u3_value, U52,_xlpm.hyphen_pos,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K52="Coupler",_xlpm.coupler_value, IF(_xlpm.is_coupler, 0, _xlpm.calculated_value),_xlpm.final_value, _xlpm.calculated_value + SD!$E$13 + _xlpm.coupler_value,IF(CG51="", "", _xlpm.final_value))</f>
        <v/>
      </c>
      <c r="CJ51" t="str" cm="1">
        <f t="array" ref="CJ51">IF(CG51="","",_xlfn._xlws.FILTER(SAC,(CName=SD!$C$8)*(EName="Loose Dowels")))</f>
        <v/>
      </c>
      <c r="CK51" t="str" cm="1">
        <f t="array" ref="CK51">IFERROR(IF(CG51="","",IF(K52="Coupler",_xlfn._xlws.FILTER(CCoupler,(CCName=SD!$C$8)*(CBSize=IF(A51=A52,W51&amp;W52,""))*(CCMFM="Male")),"")),"N/A")</f>
        <v/>
      </c>
      <c r="CL51" t="str">
        <f>IFERROR(IF(AM51="Spiral","",IF(A50=A51,"",IF(SD!$C$37=0,"",SD!$C$37))),"")</f>
        <v/>
      </c>
      <c r="CN51">
        <f>IF(AM51="Spiral","",IFERROR(IF(SD!$C$36=0,"",SD!$C$36),""))</f>
        <v>5</v>
      </c>
      <c r="CP51" t="str">
        <f>IFERROR(IF(SD!$C$42=SD!$Q$3,'Take-off'!CA51,""),"")</f>
        <v/>
      </c>
      <c r="CR51">
        <f>IFERROR(IF(SD!$C$22=SD!$U$2,W51,SD!$C$22),"")</f>
        <v>0</v>
      </c>
      <c r="CS51" t="str" cm="1">
        <f t="array" ref="CS51">_xlfn.LET(_xlpm.GR,IF(AND(SD!$C$19=SD!$H$2,Grade!$G$1="Per level"),VLOOKUP(B51,Grade!$E$1:$F$200,2,FALSE),IF(AND(SD!$C$19=SD!$H$2,Grade!$G$1="Per Bar Size"),VLOOKUP(CR51,Grade!$B$1:$C$12,2,0),SD!$C$19)),IF(SD!$C$20=SD!$R$4,IF(A52=A51,"",INDEX(IF(_xlpm.GR=SD!$H$3,A615GR60,IF(_xlpm.GR=SD!$H$4,A615GR75,IF(_xlpm.GR=SD!$H$5,A615GR80,IF(_xlpm.GR=SD!H55,A615GR100,IF(_xlpm.GR=SD!$H$7,A706GR60,IF(_xlpm.GR=SD!$H$8,A706GR80)))))), MATCH(1, (BSize=CR51)*(BCName=SD!$C$8), 0))),""))</f>
        <v/>
      </c>
      <c r="CT51" t="str">
        <f>IF(A52=A51,"",IF(SD!$C$23="Match Vertical Bars ",X51,SD!$C$23))</f>
        <v/>
      </c>
      <c r="CU51" t="str" cm="1">
        <f t="array" ref="CU51">IF(A52=A51,"",IF(SD!$C$20="Top dowels",IF(SD!$E$25="No T-Head",IF(SD!$C$24=SD!$Q$3,VLOOKUP(CR51,S90Range,3,FALSE),LEFT(SD!$C$24,FIND("-",SD!$C$24)-1)+(RIGHT(SD!$C$24,LEN(SD!$C$24)-FIND("-",SD!$C$24))/12)),IF(SD!$E$25="T-Head",_xlfn._xlws.FILTER(THead,(TCName=SD!$C$8)*(TSize=CR51)),IF(SD!$E$25="Level Wise",_xlfn.LET(_xlpm.result,_xlfn.XLOOKUP(B51,TDLevel,TDLevelStatus,"No"),IF(_xlpm.result="Yes",_xlfn._xlws.FILTER(THead,(TCName=SD!$C$8)*(TSize=CR51)),IF(SD!$C$24=SD!$Q$3,VLOOKUP(CR51,S90Range,3,FALSE),LEFT(SD!$C$24,FIND("-",SD!$C$24)-1)+(RIGHT(SD!$C$24,LEN(SD!$C$24)-FIND("-", SD!$C$24))/12)))),IF(SD!$E$25="BarSize Wise",_xlfn.LET(_xlpm.result,_xlfn.XLOOKUP(CR51,TDBarSize,TDBarSizeStatus,"No"),IF(_xlpm.result="Yes",_xlfn._xlws.FILTER(THead,(TCName=SD!$C$8)*(TSize=CR51)),IF(SD!$C$24=SD!$Q$3,VLOOKUP(CR51,S90Range,3,FALSE),LEFT(SD!$C$24,FIND("-",SD!$C$24)-1)+(RIGHT(SD!$C$24,LEN(SD!$C$24)-FIND("-",SD!$C$24))/12)))), "")))),""))</f>
        <v/>
      </c>
      <c r="CV51" t="str">
        <f>_xlfn.LET(_xlpm.GRR,IF(AND(SD!$C$19=SD!$H$2,Grade!$G$1="Per level"),VLOOKUP(B51,Grade!$E$1:$F$200,2,FALSE),IF(AND(SD!$C$19=SD!$H$2,Grade!$G$1="Per Bar Size"),VLOOKUP(CR51,Grade!$B$1:$C$12,2,0),SD!$C$19)),IF(SD!$C$25=SD!$W$2,IF(Data!$J51="",IFERROR(INDEX(IF(SD!$C$11="Create",Lap!$A$3:$BF$14,IF(SD!$C$11="Per Uploaded File",Lap!$A$19:$BF$30,"")),MATCH(CR51,Lap!$A$3:$A$14,0),MATCH(VALUE(D51),Lap!$A$3:$BF$3,0)+IF(IFERROR(FIND("Grade 60",_xlpm.GRR),0)&gt;0,0,IF(IFERROR(FIND("Grade 80",_xlpm.GRR),0),1,IF(IFERROR(FIND("Grade 75",_xlpm.GRR),0),2,"")))),""),Data!J51),SD!$C$43))</f>
        <v>Match Lap</v>
      </c>
      <c r="CW51">
        <f t="shared" si="15"/>
        <v>0</v>
      </c>
      <c r="CX51">
        <f t="shared" si="16"/>
        <v>0</v>
      </c>
      <c r="CY51" t="str">
        <f t="shared" si="17"/>
        <v/>
      </c>
      <c r="DA51" t="str">
        <f t="shared" si="18"/>
        <v/>
      </c>
      <c r="DB51" t="str">
        <f t="shared" si="19"/>
        <v/>
      </c>
      <c r="DC51" s="24" t="str">
        <f t="shared" si="20"/>
        <v/>
      </c>
      <c r="DD51">
        <f t="shared" si="21"/>
        <v>10.583333333333334</v>
      </c>
      <c r="DE51" t="s">
        <v>785</v>
      </c>
      <c r="DF51" t="s">
        <v>67</v>
      </c>
      <c r="DG51" t="str">
        <f>VLOOKUP(W51,'Level Wise PSI'!$F$2:$G$12,2,FALSE)</f>
        <v>Double Lift</v>
      </c>
      <c r="DI51" t="str" cm="1">
        <f t="array" ref="DI51">_xlfn.LET(_xlpm.Coup,IFERROR(IF(BY51="","",IF(K51="Coupler",_xlfn._xlws.FILTER(CCFCoupler,(CCName=SD!$C$8)*(CBSize=IF(A50=A51,W50&amp;W51,BX51&amp;W51))),"")),"N/A"),IF(_xlpm.Coup=0,"",_xlpm.Coup))</f>
        <v/>
      </c>
      <c r="DJ51" t="str" cm="1">
        <f t="array" ref="DJ51">_xlfn.LET(_xlpm.Coup3,IFERROR(IF(CG51="","",IF(K52="Coupler",_xlfn._xlws.FILTER(CCFCoupler,(CCName=SD!$C$8)*(CBSize=IF(A51=A52,W51&amp;W52,""))),"")),"N/A"),IF(_xlpm.Coup3=0,"",_xlpm.Coup3))</f>
        <v/>
      </c>
      <c r="DK51" t="str" cm="1">
        <f t="array" ref="DK51">_xlfn.LET(_xlpm.Coup2,IFERROR(IF(A51&lt;&gt;A52,"",IF(DF51="No Lap","",IF(K52="Coupler",_xlfn._xlws.FILTER(CCFCoupler,(CCName=SD!$C$8)*(CBSize=IF(A50=A51,W51&amp;W52,W51&amp;W51))),""))),"N/A"),IF(_xlpm.Coup2=0,"",_xlpm.Coup2))</f>
        <v/>
      </c>
      <c r="DM51" t="str">
        <f>IF(AM51="Spiral","",IF(SD!$C$31=SD!$Y$3,SD!$E$32*2,""))</f>
        <v/>
      </c>
      <c r="DO51" s="24">
        <f t="shared" si="22"/>
        <v>2.5</v>
      </c>
      <c r="DQ51" t="str">
        <f t="shared" si="23"/>
        <v>Lig</v>
      </c>
      <c r="DR51" t="str">
        <f>IF(AM51="Spiral",((Y51-(SD!$E$12*2))/12),"")</f>
        <v/>
      </c>
      <c r="DS51" t="str">
        <f t="shared" si="24"/>
        <v/>
      </c>
      <c r="DT51" t="str">
        <f t="shared" si="25"/>
        <v/>
      </c>
      <c r="DU51" t="str">
        <f t="shared" si="26"/>
        <v/>
      </c>
    </row>
    <row r="52" spans="1:125" x14ac:dyDescent="0.25">
      <c r="A52">
        <v>29</v>
      </c>
      <c r="B52" t="s">
        <v>680</v>
      </c>
      <c r="C52" s="15">
        <v>2429</v>
      </c>
      <c r="D52" s="15">
        <v>10000</v>
      </c>
      <c r="E52" t="str">
        <f>IF(B52=Level!$A$2,SD!$C$14,SD!$C$13)</f>
        <v>0-8</v>
      </c>
      <c r="F52" s="15" t="s">
        <v>787</v>
      </c>
      <c r="G52" t="s">
        <v>742</v>
      </c>
      <c r="H52" t="str">
        <f>RIGHT(VLOOKUP(B52,Level!A:C,3,FALSE),LEN(VLOOKUP(B52,Level!A:C,3,FALSE))-1)</f>
        <v>10-7</v>
      </c>
      <c r="I52" t="s">
        <v>743</v>
      </c>
      <c r="J52" t="str">
        <f>IF(AND(SD!$C$19=SD!$H$2,Grade!$G$1="Per level"),VLOOKUP(B52,Grade!$E$1:$F$200,2,FALSE),IF(AND(SD!$C$19=SD!$H$2,Grade!$G$1="Per Bar Size"),VLOOKUP(W52,Grade!$B$1:$C$12,2,0),SD!$C$19))</f>
        <v>A615 Grade 60</v>
      </c>
      <c r="K52" t="s">
        <v>67</v>
      </c>
      <c r="L52" t="str">
        <f>IFERROR(IF(A52&lt;&gt;A53,"",IF(DF52="No Lap","",IF(K53="Lap",U52,IF(K53="Coupler",_xlfn._xlws.FILTER(CCoupler,(CCName=SD!$C$8)*(CBSize=IF(A51=A52,W52&amp;W53,W52&amp;W52))*(CCMFM="Male")),"")))),"N/A")</f>
        <v>5-1</v>
      </c>
      <c r="M52" t="str">
        <f t="shared" si="0"/>
        <v/>
      </c>
      <c r="N52" t="s">
        <v>719</v>
      </c>
      <c r="O52" t="s">
        <v>720</v>
      </c>
      <c r="P52" t="s">
        <v>719</v>
      </c>
      <c r="Q52" t="str">
        <f>IF(AND(SD!$C$29=SD!$P$2,Grade!$O$1="Per level"),VLOOKUP(B52,Grade!$M$1:$N$200,2,FALSE),IF(AND(SD!$C$29=SD!$P$2,Grade!$O$1="Per Bar Size"),VLOOKUP(LEFT(N52,FIND("@",N52)-2),Grade!$J$1:$K$12,2,0),SD!$C$29))</f>
        <v>A615 Grade 60</v>
      </c>
      <c r="R52" t="s">
        <v>742</v>
      </c>
      <c r="S52" s="57">
        <v>52</v>
      </c>
      <c r="U52" t="str">
        <f>IF(Data!$J52="",IFERROR(INDEX(IF(SD!$C$11="Create",Lap!$A$3:$BF$14,IF(SD!$C$11="Per Uploaded File",Lap!$A$19:$BF$30,"")),MATCH(W52,Lap!$A$3:$A$14,0),MATCH(VALUE(D52),Lap!$A$3:$BF$3,0)+IF(IFERROR(FIND("Grade 60",J52),0)&gt;0,0,IF(IFERROR(FIND("Grade 80",J52),0),1,IF(IFERROR(FIND("Grade 75",J52),0),2,"")))),""),Data!J52)</f>
        <v>5-1</v>
      </c>
      <c r="W52" t="s">
        <v>176</v>
      </c>
      <c r="X52">
        <v>6</v>
      </c>
      <c r="Y52" t="str">
        <f t="shared" si="1"/>
        <v>30</v>
      </c>
      <c r="Z52">
        <f t="shared" si="2"/>
        <v>0</v>
      </c>
      <c r="AA52" s="24">
        <f t="shared" si="3"/>
        <v>15.666666666666666</v>
      </c>
      <c r="BB52" t="e" cm="1">
        <f t="array" ref="BB52">_xlfn.LET(_xlpm.PartF,(_xlfn.LET(_xlpm.grade, Q52,_xlpm.gradeRange, IF(_xlpm.grade=SD!$H$3, A615GR60, IF(_xlpm.grade=SD!$H$4, A615GR75, IF(_xlpm.grade=SD!$H$5, A615GR80, IF(_xlpm.grade=SD!$H$6, A615GR100, IF(_xlpm.grade=SD!$H$7, A706GR60, IF(_xlpm.grade=SD!$H$8, A706GR80)))))),_xlpm.matchValue, MATCH(1, (SD!$AW:$AW=AS52)*(SD!$AX:$AX=SD!$C$8), 0),INDEX(_xlpm.gradeRange, _xlpm.matchValue))),IF(AM52="Spiral",CONCATENATE("SP",_xlpm.PartF),_xlpm.PartF))</f>
        <v>#N/A</v>
      </c>
      <c r="BC52" cm="1">
        <f t="array" ref="BC52">_xlfn.LET(_xlpm.leftPart, LEFT(O52, FIND("@", O52) - 2),_xlpm.grade,Q52,_xlpm.gradeRange,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2" cm="1">
        <f t="array" ref="BD52">_xlfn.LET(_xlpm.leftPart, LEFT(P52, FIND("@", P52) - 2),_xlpm.grade, Q52,_xlpm.gradeRange,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2">
        <f t="shared" si="4"/>
        <v>2.5</v>
      </c>
      <c r="BF52">
        <f>IF(SD!$C$32=SD!$I$2,BE52,IF(SD!$C$32=SD!$I$3,DO52,IF(SD!$C$32=SD!$I$5,BA52,IF(SD!$C$32=SD!$I$6,(LEFT(SD!$C$35,FIND("-",SD!$C$35)-1)+RIGHT(SD!$C$35,LEN(SD!$C$35)-FIND("-",SD!$C$35))/12),IF(SD!$C$32=SD!$I$4,(AU52-(BG52+BH52)))))))</f>
        <v>0</v>
      </c>
      <c r="BG52">
        <f>IF(SD!$C$33=SD!$I$2,BE52,IF(SD!$C$33=SD!$I$3,DO52,IF(SD!$C$33=SD!$I$5,BA52,IF(SD!$C$33=SD!$I$6,(LEFT(SD!$C$35,FIND("-",SD!$C$35)-1)+RIGHT(SD!$C$35,LEN(SD!$C$35)-FIND("-",SD!$C$35))/12),IF(SD!$C$33=SD!$I$4,(AU52-(BF52+BH52)))))))</f>
        <v>-1</v>
      </c>
      <c r="BH52">
        <f>IF(SD!$C$34=SD!$I$2,BE52,IF(SD!$C$34=SD!$I$3,DO52,IF(SD!$C$34=SD!$I$5,BA52,IF(SD!$C$34=SD!$I$6,(LEFT(SD!$C$35,FIND("-",SD!$C$35)-1)+RIGHT(SD!$C$35,LEN(SD!$C$35)-FIND("-",SD!$C$35))/12),IF(SD!$C$34=SD!$I$4,(AU52-(BF52+BG52)))))))</f>
        <v>1</v>
      </c>
      <c r="BJ52">
        <f>IF(AM52="Spiral","1",MAX(ROUNDUP(IF(SD!$C$32="",AT52,BF52/(LEFT(RIGHT(N52,LEN(N52)-FIND("@",N52)),LEN(RIGHT(N52,LEN(N52)-FIND("@",N52)))-1)/12)+1),0),0))</f>
        <v>1</v>
      </c>
      <c r="BK52">
        <f>MAX(ROUNDUP(IF(SD!$C$33="","",BG52/(LEFT(RIGHT(O52,LEN(O52)-FIND("@",O52)),LEN(RIGHT(O52,LEN(O52)-FIND("@",O52)))-1)/12)+1),0),0)</f>
        <v>0</v>
      </c>
      <c r="BL52">
        <f>MAX(ROUNDUP(IF(SD!$C$34="","",BH52/(LEFT(RIGHT(P52,LEN(P52)-FIND("@",P52)),LEN(RIGHT(P52,LEN(P52)-FIND("@",P52)))-1)/12)+1),0),0)</f>
        <v>3</v>
      </c>
      <c r="BN52" t="e">
        <f t="shared" si="5"/>
        <v>#N/A</v>
      </c>
      <c r="BO52" t="e">
        <f t="shared" si="6"/>
        <v>#N/A</v>
      </c>
      <c r="BP52" t="e">
        <f t="shared" si="7"/>
        <v>#N/A</v>
      </c>
      <c r="BQ52" s="24" t="e">
        <f>IF(AM52=TRUE,(((Y52-(SD!$E$12*2))*3.14159265359)+BN52+BO52+BP52)/12+AL52,SUM(AF52:AG52,BN52,BO52,BP52,AO52,AQ52)/12)</f>
        <v>#N/A</v>
      </c>
      <c r="BR52" t="e">
        <f t="shared" si="8"/>
        <v>#N/A</v>
      </c>
      <c r="BS52" t="e">
        <f t="shared" si="9"/>
        <v>#N/A</v>
      </c>
      <c r="BT52" t="e">
        <f t="shared" si="10"/>
        <v>#N/A</v>
      </c>
      <c r="BU52" s="24" t="e">
        <f>IF(AM52=TRUE,(((Y52-(SD!$E$12*2))*3.14159265359)+BR52+BS52+BT52)/12+AL52,SUM(AF52:AG52,BR52,BS52,BT52,AO52,AQ52)/12)</f>
        <v>#N/A</v>
      </c>
      <c r="BW52" t="str">
        <f>IFERROR(LEFT(Data!L52,FIND(" -",Data!L52)-1),"")</f>
        <v/>
      </c>
      <c r="BX52" t="str">
        <f>IFERROR(IF(SD!$C$40=SD!$U$2,W52,IF(SD!$C$40=SD!$U$3,RIGHT(Data!L52,LEN(Data!L52)-(FIND("-",Data!L52)+1)),SD!$C$40)),"")</f>
        <v>#10</v>
      </c>
      <c r="BY52" t="str" cm="1">
        <f t="array" ref="BY52">IFERROR(_xlfn.LET(_xlpm.GRR,IF(AND(SD!$C$19=SD!$H$2,Grade!$G$1="Per level"),VLOOKUP(B52,Grade!$E$1:$F$200,2,FALSE),IF(AND(SD!$C$19=SD!$H$2,Grade!$G$1="Per Bar Size"),VLOOKUP(BX52,Grade!$B$1:$C$12,2,0),SD!$C$19)),_xlpm.is_equal, A51=A52,_xlpm.grade_range, IF(_xlpm.GRR=SD!$H$3, A615GR60,IF(_xlpm.GRR=SD!$H$4, A615GR75,IF(_xlpm.GRR=SD!$H$5, A615GR80,IF(_xlpm.GRR=SD!H56, A615GR100,IF(_xlpm.GRR=SD!$H$7, A706GR60,IF(_xlpm.GRR=SD!$H$8, A706GR80)))))),_xlpm.match_result, MATCH(1, (BSize=BX52)*(BCName=SD!$C$8), 0),_xlpm.final_result, INDEX(_xlpm.grade_range, _xlpm.match_result),IF(_xlpm.is_equal, "", _xlpm.final_result)),"")</f>
        <v/>
      </c>
      <c r="BZ52" t="str">
        <f>IF(A51=A52,"",IF(SD!$C$41="Match Vertical Bars ",X52,IF(SD!$C$41=SD!$V$3,BW52,SD!$C$41)))</f>
        <v/>
      </c>
      <c r="CA52" t="str" cm="1">
        <f t="array" ref="CA52">IF(A51=A52,"",IF(SD!$C$44="No T-Head",IF(SD!$C$42=SD!$Q$3,VLOOKUP(BX52,S90Range,3,FALSE),LEFT(SD!$C$42,FIND("-",SD!$C$42)-1)+(RIGHT(SD!$C$42,LEN(SD!$C$42)-FIND("-",SD!$C$42))/12)),IF(SD!$C$44="T-Head",_xlfn._xlws.FILTER(THead,(TCName=SD!$C$8)*(TSize=BX52)),IF(SD!$C$44="Level Wise",_xlfn.LET(_xlpm.result,_xlfn.XLOOKUP(B52,VDLevel,VDLevelStatus,"No"),IF(_xlpm.result="Yes",_xlfn._xlws.FILTER(THead,(TCName=SD!$C$8)*(TSize=BX52)),IF(SD!$C$42=SD!$Q$3,VLOOKUP(BX52,S90Range,3,FALSE),LEFT(SD!$C$42,FIND("-",SD!$C$42)-1)+(RIGHT(SD!$C$42,LEN(SD!$C$42)-FIND("-", SD!$C$42))/12)))),IF(SD!$C$44="BarSize Wise",_xlfn.LET(_xlpm.result,_xlfn.XLOOKUP(BX52,VDBarSize,VDBarSizeStatus,"No"),IF(_xlpm.result="Yes",_xlfn._xlws.FILTER(THead,(TCName=SD!$C$8)*(TSize=BX52)),IF(SD!$C$42=SD!$Q$3,VLOOKUP(BX52,S90Range,3,FALSE),LEFT(SD!$C$42,FIND("-",SD!$C$42)-1)+(RIGHT(SD!$C$42,LEN(SD!$C$42)-FIND("-",SD!$C$42))/12)))), "")))))</f>
        <v/>
      </c>
      <c r="CB52" t="str" cm="1">
        <f t="array" ref="CB52">_xlfn.LET(_xlpm.GRR,IF(AND(SD!$C$19=SD!$H$2,Grade!$G$1="Per level"),VLOOKUP(B52,Grade!$E$1:$F$200,2,FALSE),IF(AND(SD!$C$19=SD!$H$2,Grade!$G$1="Per Bar Size"),VLOOKUP(BX52,Grade!$B$1:$C$12,2,0),SD!$C$19)),_xlpm.is_coupler, K52="Coupler",_xlpm.condition1, SD!$C$43=SD!$W$2,_xlpm.data_j2_empty, Data!$J52="",_xlpm.lookup_table, IF(SD!$C$11="Create", Lap!$A$3:$BF$14, IF(SD!$C$11="Per Uploaded File", Lap!$A$19:$BF$30, "")),_xlpm.row_match, MATCH(BX52, Lap!$A$3:$A$14, 0),_xlpm.grade_offset, IF(IFERROR(FIND("Grade 60",_xlpm.GRR), 0) &gt; 0, 0, IF(IFERROR(FIND("Grade 80",_xlpm.GRR), 0), 1, IF(IFERROR(FIND("Grade 75",_xlpm.GRR), 0), 2, ""))),_xlpm.col_match, MATCH(VALUE(D52), Lap!$A$3:$BF$3, 0) + _xlpm.grade_offset,_xlpm.index_result, IFERROR(INDEX(_xlpm.lookup_table, _xlpm.row_match, _xlpm.col_match), Data!$J52),_xlpm.result_if_condition1, IF(_xlpm.data_j2_empty, _xlpm.index_result, Data!$J52),IF(_xlpm.is_coupler, 0, IF(_xlpm.condition1, _xlpm.result_if_condition1, SD!$C$43)))</f>
        <v>5-1</v>
      </c>
      <c r="CC52" s="24">
        <f t="shared" si="11"/>
        <v>5.083333333333333</v>
      </c>
      <c r="CD52">
        <f t="shared" si="12"/>
        <v>5.75</v>
      </c>
      <c r="CE52" t="str" cm="1">
        <f t="array" ref="CE52">IF(BY52="","",_xlfn._xlws.FILTER(SAC,(CName=SD!$C$8)*(EName="Vert Dowels")))</f>
        <v/>
      </c>
      <c r="CF52" t="str" cm="1">
        <f t="array" ref="CF52">IFERROR(IF(BY52="","",IF(K52="Coupler",_xlfn._xlws.FILTER(CCoupler,(CCName=SD!$C$8)*(CBSize=IF(A51=A52,W51&amp;W52,BX52&amp;W52))*(CCMFM="Male")),"")),"N/A")</f>
        <v/>
      </c>
      <c r="CG52" t="str">
        <f t="shared" si="13"/>
        <v/>
      </c>
      <c r="CH52" t="str">
        <f t="shared" si="14"/>
        <v/>
      </c>
      <c r="CI52" t="str">
        <f>_xlfn.LET(_xlpm.u3_value, U53,_xlpm.hyphen_pos,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K53="Coupler",_xlpm.coupler_value, IF(_xlpm.is_coupler, 0, _xlpm.calculated_value),_xlpm.final_value, _xlpm.calculated_value + SD!$E$13 + _xlpm.coupler_value,IF(CG52="", "", _xlpm.final_value))</f>
        <v/>
      </c>
      <c r="CJ52" t="str" cm="1">
        <f t="array" ref="CJ52">IF(CG52="","",_xlfn._xlws.FILTER(SAC,(CName=SD!$C$8)*(EName="Loose Dowels")))</f>
        <v/>
      </c>
      <c r="CK52" t="str" cm="1">
        <f t="array" ref="CK52">IFERROR(IF(CG52="","",IF(K53="Coupler",_xlfn._xlws.FILTER(CCoupler,(CCName=SD!$C$8)*(CBSize=IF(A52=A53,W52&amp;W53,""))*(CCMFM="Male")),"")),"N/A")</f>
        <v/>
      </c>
      <c r="CL52" t="str">
        <f>IFERROR(IF(AM52="Spiral","",IF(A51=A52,"",IF(SD!$C$37=0,"",SD!$C$37))),"")</f>
        <v/>
      </c>
      <c r="CN52">
        <f>IF(AM52="Spiral","",IFERROR(IF(SD!$C$36=0,"",SD!$C$36),""))</f>
        <v>5</v>
      </c>
      <c r="CP52" t="str">
        <f>IFERROR(IF(SD!$C$42=SD!$Q$3,'Take-off'!CA52,""),"")</f>
        <v/>
      </c>
      <c r="CR52">
        <f>IFERROR(IF(SD!$C$22=SD!$U$2,W52,SD!$C$22),"")</f>
        <v>0</v>
      </c>
      <c r="CS52" t="str" cm="1">
        <f t="array" ref="CS52">_xlfn.LET(_xlpm.GR,IF(AND(SD!$C$19=SD!$H$2,Grade!$G$1="Per level"),VLOOKUP(B52,Grade!$E$1:$F$200,2,FALSE),IF(AND(SD!$C$19=SD!$H$2,Grade!$G$1="Per Bar Size"),VLOOKUP(CR52,Grade!$B$1:$C$12,2,0),SD!$C$19)),IF(SD!$C$20=SD!$R$4,IF(A53=A52,"",INDEX(IF(_xlpm.GR=SD!$H$3,A615GR60,IF(_xlpm.GR=SD!$H$4,A615GR75,IF(_xlpm.GR=SD!$H$5,A615GR80,IF(_xlpm.GR=SD!H56,A615GR100,IF(_xlpm.GR=SD!$H$7,A706GR60,IF(_xlpm.GR=SD!$H$8,A706GR80)))))), MATCH(1, (BSize=CR52)*(BCName=SD!$C$8), 0))),""))</f>
        <v/>
      </c>
      <c r="CT52" t="str">
        <f>IF(A53=A52,"",IF(SD!$C$23="Match Vertical Bars ",X52,SD!$C$23))</f>
        <v/>
      </c>
      <c r="CU52" t="str" cm="1">
        <f t="array" ref="CU52">IF(A53=A52,"",IF(SD!$C$20="Top dowels",IF(SD!$E$25="No T-Head",IF(SD!$C$24=SD!$Q$3,VLOOKUP(CR52,S90Range,3,FALSE),LEFT(SD!$C$24,FIND("-",SD!$C$24)-1)+(RIGHT(SD!$C$24,LEN(SD!$C$24)-FIND("-",SD!$C$24))/12)),IF(SD!$E$25="T-Head",_xlfn._xlws.FILTER(THead,(TCName=SD!$C$8)*(TSize=CR52)),IF(SD!$E$25="Level Wise",_xlfn.LET(_xlpm.result,_xlfn.XLOOKUP(B52,TDLevel,TDLevelStatus,"No"),IF(_xlpm.result="Yes",_xlfn._xlws.FILTER(THead,(TCName=SD!$C$8)*(TSize=CR52)),IF(SD!$C$24=SD!$Q$3,VLOOKUP(CR52,S90Range,3,FALSE),LEFT(SD!$C$24,FIND("-",SD!$C$24)-1)+(RIGHT(SD!$C$24,LEN(SD!$C$24)-FIND("-", SD!$C$24))/12)))),IF(SD!$E$25="BarSize Wise",_xlfn.LET(_xlpm.result,_xlfn.XLOOKUP(CR52,TDBarSize,TDBarSizeStatus,"No"),IF(_xlpm.result="Yes",_xlfn._xlws.FILTER(THead,(TCName=SD!$C$8)*(TSize=CR52)),IF(SD!$C$24=SD!$Q$3,VLOOKUP(CR52,S90Range,3,FALSE),LEFT(SD!$C$24,FIND("-",SD!$C$24)-1)+(RIGHT(SD!$C$24,LEN(SD!$C$24)-FIND("-",SD!$C$24))/12)))), "")))),""))</f>
        <v/>
      </c>
      <c r="CV52" t="str">
        <f>_xlfn.LET(_xlpm.GRR,IF(AND(SD!$C$19=SD!$H$2,Grade!$G$1="Per level"),VLOOKUP(B52,Grade!$E$1:$F$200,2,FALSE),IF(AND(SD!$C$19=SD!$H$2,Grade!$G$1="Per Bar Size"),VLOOKUP(CR52,Grade!$B$1:$C$12,2,0),SD!$C$19)),IF(SD!$C$25=SD!$W$2,IF(Data!$J52="",IFERROR(INDEX(IF(SD!$C$11="Create",Lap!$A$3:$BF$14,IF(SD!$C$11="Per Uploaded File",Lap!$A$19:$BF$30,"")),MATCH(CR52,Lap!$A$3:$A$14,0),MATCH(VALUE(D52),Lap!$A$3:$BF$3,0)+IF(IFERROR(FIND("Grade 60",_xlpm.GRR),0)&gt;0,0,IF(IFERROR(FIND("Grade 80",_xlpm.GRR),0),1,IF(IFERROR(FIND("Grade 75",_xlpm.GRR),0),2,"")))),""),Data!J52),SD!$C$43))</f>
        <v>Match Lap</v>
      </c>
      <c r="CW52">
        <f t="shared" si="15"/>
        <v>0</v>
      </c>
      <c r="CX52">
        <f t="shared" si="16"/>
        <v>0</v>
      </c>
      <c r="CY52" t="str">
        <f t="shared" si="17"/>
        <v/>
      </c>
      <c r="DA52" t="str">
        <f t="shared" si="18"/>
        <v/>
      </c>
      <c r="DB52" t="str">
        <f t="shared" si="19"/>
        <v/>
      </c>
      <c r="DC52" s="24" t="str">
        <f t="shared" si="20"/>
        <v/>
      </c>
      <c r="DD52">
        <f t="shared" si="21"/>
        <v>10.583333333333334</v>
      </c>
      <c r="DE52" t="s">
        <v>785</v>
      </c>
      <c r="DF52" t="s">
        <v>67</v>
      </c>
      <c r="DG52" t="str">
        <f>VLOOKUP(W52,'Level Wise PSI'!$F$2:$G$12,2,FALSE)</f>
        <v>Double Lift</v>
      </c>
      <c r="DI52" t="str" cm="1">
        <f t="array" ref="DI52">_xlfn.LET(_xlpm.Coup,IFERROR(IF(BY52="","",IF(K52="Coupler",_xlfn._xlws.FILTER(CCFCoupler,(CCName=SD!$C$8)*(CBSize=IF(A51=A52,W51&amp;W52,BX52&amp;W52))),"")),"N/A"),IF(_xlpm.Coup=0,"",_xlpm.Coup))</f>
        <v/>
      </c>
      <c r="DJ52" t="str" cm="1">
        <f t="array" ref="DJ52">_xlfn.LET(_xlpm.Coup3,IFERROR(IF(CG52="","",IF(K53="Coupler",_xlfn._xlws.FILTER(CCFCoupler,(CCName=SD!$C$8)*(CBSize=IF(A52=A53,W52&amp;W53,""))),"")),"N/A"),IF(_xlpm.Coup3=0,"",_xlpm.Coup3))</f>
        <v/>
      </c>
      <c r="DK52" t="str" cm="1">
        <f t="array" ref="DK52">_xlfn.LET(_xlpm.Coup2,IFERROR(IF(A52&lt;&gt;A53,"",IF(DF52="No Lap","",IF(K53="Coupler",_xlfn._xlws.FILTER(CCFCoupler,(CCName=SD!$C$8)*(CBSize=IF(A51=A52,W52&amp;W53,W52&amp;W52))),""))),"N/A"),IF(_xlpm.Coup2=0,"",_xlpm.Coup2))</f>
        <v/>
      </c>
      <c r="DM52" t="str">
        <f>IF(AM52="Spiral","",IF(SD!$C$31=SD!$Y$3,SD!$E$32*2,""))</f>
        <v/>
      </c>
      <c r="DO52" s="24">
        <f t="shared" si="22"/>
        <v>2.5</v>
      </c>
      <c r="DQ52" t="str">
        <f t="shared" si="23"/>
        <v>Lig</v>
      </c>
      <c r="DR52" t="str">
        <f>IF(AM52="Spiral",((Y52-(SD!$E$12*2))/12),"")</f>
        <v/>
      </c>
      <c r="DS52" t="str">
        <f t="shared" si="24"/>
        <v/>
      </c>
      <c r="DT52" t="str">
        <f t="shared" si="25"/>
        <v/>
      </c>
      <c r="DU52" t="str">
        <f t="shared" si="26"/>
        <v/>
      </c>
    </row>
    <row r="53" spans="1:125" x14ac:dyDescent="0.25">
      <c r="A53">
        <v>29</v>
      </c>
      <c r="B53" t="s">
        <v>682</v>
      </c>
      <c r="C53" s="15">
        <v>2429</v>
      </c>
      <c r="D53" s="15">
        <v>10000</v>
      </c>
      <c r="E53" t="str">
        <f>IF(B53=Level!$A$2,SD!$C$14,SD!$C$13)</f>
        <v>0-8</v>
      </c>
      <c r="F53" s="15" t="s">
        <v>787</v>
      </c>
      <c r="G53" t="s">
        <v>742</v>
      </c>
      <c r="H53" t="str">
        <f>RIGHT(VLOOKUP(B53,Level!A:C,3,FALSE),LEN(VLOOKUP(B53,Level!A:C,3,FALSE))-1)</f>
        <v>10-7</v>
      </c>
      <c r="I53" t="s">
        <v>743</v>
      </c>
      <c r="J53" t="str">
        <f>IF(AND(SD!$C$19=SD!$H$2,Grade!$G$1="Per level"),VLOOKUP(B53,Grade!$E$1:$F$200,2,FALSE),IF(AND(SD!$C$19=SD!$H$2,Grade!$G$1="Per Bar Size"),VLOOKUP(W53,Grade!$B$1:$C$12,2,0),SD!$C$19))</f>
        <v>A615 Grade 60</v>
      </c>
      <c r="K53" t="s">
        <v>67</v>
      </c>
      <c r="L53" t="str">
        <f>IFERROR(IF(A53&lt;&gt;A54,"",IF(DF53="No Lap","",IF(K54="Lap",U53,IF(K54="Coupler",_xlfn._xlws.FILTER(CCoupler,(CCName=SD!$C$8)*(CBSize=IF(A52=A53,W53&amp;W54,W53&amp;W53))*(CCMFM="Male")),"")))),"N/A")</f>
        <v>5-1</v>
      </c>
      <c r="M53" t="str">
        <f t="shared" si="0"/>
        <v/>
      </c>
      <c r="N53" t="s">
        <v>719</v>
      </c>
      <c r="O53" t="s">
        <v>720</v>
      </c>
      <c r="P53" t="s">
        <v>719</v>
      </c>
      <c r="Q53" t="str">
        <f>IF(AND(SD!$C$29=SD!$P$2,Grade!$O$1="Per level"),VLOOKUP(B53,Grade!$M$1:$N$200,2,FALSE),IF(AND(SD!$C$29=SD!$P$2,Grade!$O$1="Per Bar Size"),VLOOKUP(LEFT(N53,FIND("@",N53)-2),Grade!$J$1:$K$12,2,0),SD!$C$29))</f>
        <v>A615 Grade 60</v>
      </c>
      <c r="R53" t="s">
        <v>742</v>
      </c>
      <c r="S53" s="57">
        <v>53</v>
      </c>
      <c r="U53" t="str">
        <f>IF(Data!$J53="",IFERROR(INDEX(IF(SD!$C$11="Create",Lap!$A$3:$BF$14,IF(SD!$C$11="Per Uploaded File",Lap!$A$19:$BF$30,"")),MATCH(W53,Lap!$A$3:$A$14,0),MATCH(VALUE(D53),Lap!$A$3:$BF$3,0)+IF(IFERROR(FIND("Grade 60",J53),0)&gt;0,0,IF(IFERROR(FIND("Grade 80",J53),0),1,IF(IFERROR(FIND("Grade 75",J53),0),2,"")))),""),Data!J53)</f>
        <v>5-1</v>
      </c>
      <c r="W53" t="s">
        <v>176</v>
      </c>
      <c r="X53">
        <v>6</v>
      </c>
      <c r="Y53" t="str">
        <f t="shared" si="1"/>
        <v>30</v>
      </c>
      <c r="Z53">
        <f t="shared" si="2"/>
        <v>0</v>
      </c>
      <c r="AA53" s="24">
        <f t="shared" si="3"/>
        <v>15.666666666666666</v>
      </c>
      <c r="BB53" t="e" cm="1">
        <f t="array" ref="BB53">_xlfn.LET(_xlpm.PartF,(_xlfn.LET(_xlpm.grade, Q53,_xlpm.gradeRange, IF(_xlpm.grade=SD!$H$3, A615GR60, IF(_xlpm.grade=SD!$H$4, A615GR75, IF(_xlpm.grade=SD!$H$5, A615GR80, IF(_xlpm.grade=SD!$H$6, A615GR100, IF(_xlpm.grade=SD!$H$7, A706GR60, IF(_xlpm.grade=SD!$H$8, A706GR80)))))),_xlpm.matchValue, MATCH(1, (SD!$AW:$AW=AS53)*(SD!$AX:$AX=SD!$C$8), 0),INDEX(_xlpm.gradeRange, _xlpm.matchValue))),IF(AM53="Spiral",CONCATENATE("SP",_xlpm.PartF),_xlpm.PartF))</f>
        <v>#N/A</v>
      </c>
      <c r="BC53" cm="1">
        <f t="array" ref="BC53">_xlfn.LET(_xlpm.leftPart, LEFT(O53, FIND("@", O53) - 2),_xlpm.grade,Q53,_xlpm.gradeRange,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3" cm="1">
        <f t="array" ref="BD53">_xlfn.LET(_xlpm.leftPart, LEFT(P53, FIND("@", P53) - 2),_xlpm.grade, Q53,_xlpm.gradeRange,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3">
        <f t="shared" si="4"/>
        <v>2.5</v>
      </c>
      <c r="BF53">
        <f>IF(SD!$C$32=SD!$I$2,BE53,IF(SD!$C$32=SD!$I$3,DO53,IF(SD!$C$32=SD!$I$5,BA53,IF(SD!$C$32=SD!$I$6,(LEFT(SD!$C$35,FIND("-",SD!$C$35)-1)+RIGHT(SD!$C$35,LEN(SD!$C$35)-FIND("-",SD!$C$35))/12),IF(SD!$C$32=SD!$I$4,(AU53-(BG53+BH53)))))))</f>
        <v>0</v>
      </c>
      <c r="BG53">
        <f>IF(SD!$C$33=SD!$I$2,BE53,IF(SD!$C$33=SD!$I$3,DO53,IF(SD!$C$33=SD!$I$5,BA53,IF(SD!$C$33=SD!$I$6,(LEFT(SD!$C$35,FIND("-",SD!$C$35)-1)+RIGHT(SD!$C$35,LEN(SD!$C$35)-FIND("-",SD!$C$35))/12),IF(SD!$C$33=SD!$I$4,(AU53-(BF53+BH53)))))))</f>
        <v>-1</v>
      </c>
      <c r="BH53">
        <f>IF(SD!$C$34=SD!$I$2,BE53,IF(SD!$C$34=SD!$I$3,DO53,IF(SD!$C$34=SD!$I$5,BA53,IF(SD!$C$34=SD!$I$6,(LEFT(SD!$C$35,FIND("-",SD!$C$35)-1)+RIGHT(SD!$C$35,LEN(SD!$C$35)-FIND("-",SD!$C$35))/12),IF(SD!$C$34=SD!$I$4,(AU53-(BF53+BG53)))))))</f>
        <v>1</v>
      </c>
      <c r="BJ53">
        <f>IF(AM53="Spiral","1",MAX(ROUNDUP(IF(SD!$C$32="",AT53,BF53/(LEFT(RIGHT(N53,LEN(N53)-FIND("@",N53)),LEN(RIGHT(N53,LEN(N53)-FIND("@",N53)))-1)/12)+1),0),0))</f>
        <v>1</v>
      </c>
      <c r="BK53">
        <f>MAX(ROUNDUP(IF(SD!$C$33="","",BG53/(LEFT(RIGHT(O53,LEN(O53)-FIND("@",O53)),LEN(RIGHT(O53,LEN(O53)-FIND("@",O53)))-1)/12)+1),0),0)</f>
        <v>0</v>
      </c>
      <c r="BL53">
        <f>MAX(ROUNDUP(IF(SD!$C$34="","",BH53/(LEFT(RIGHT(P53,LEN(P53)-FIND("@",P53)),LEN(RIGHT(P53,LEN(P53)-FIND("@",P53)))-1)/12)+1),0),0)</f>
        <v>3</v>
      </c>
      <c r="BN53" t="e">
        <f t="shared" si="5"/>
        <v>#N/A</v>
      </c>
      <c r="BO53" t="e">
        <f t="shared" si="6"/>
        <v>#N/A</v>
      </c>
      <c r="BP53" t="e">
        <f t="shared" si="7"/>
        <v>#N/A</v>
      </c>
      <c r="BQ53" s="24" t="e">
        <f>IF(AM53=TRUE,(((Y53-(SD!$E$12*2))*3.14159265359)+BN53+BO53+BP53)/12+AL53,SUM(AF53:AG53,BN53,BO53,BP53,AO53,AQ53)/12)</f>
        <v>#N/A</v>
      </c>
      <c r="BR53" t="e">
        <f t="shared" si="8"/>
        <v>#N/A</v>
      </c>
      <c r="BS53" t="e">
        <f t="shared" si="9"/>
        <v>#N/A</v>
      </c>
      <c r="BT53" t="e">
        <f t="shared" si="10"/>
        <v>#N/A</v>
      </c>
      <c r="BU53" s="24" t="e">
        <f>IF(AM53=TRUE,(((Y53-(SD!$E$12*2))*3.14159265359)+BR53+BS53+BT53)/12+AL53,SUM(AF53:AG53,BR53,BS53,BT53,AO53,AQ53)/12)</f>
        <v>#N/A</v>
      </c>
      <c r="BW53" t="str">
        <f>IFERROR(LEFT(Data!L53,FIND(" -",Data!L53)-1),"")</f>
        <v/>
      </c>
      <c r="BX53" t="str">
        <f>IFERROR(IF(SD!$C$40=SD!$U$2,W53,IF(SD!$C$40=SD!$U$3,RIGHT(Data!L53,LEN(Data!L53)-(FIND("-",Data!L53)+1)),SD!$C$40)),"")</f>
        <v>#10</v>
      </c>
      <c r="BY53" t="str" cm="1">
        <f t="array" ref="BY53">IFERROR(_xlfn.LET(_xlpm.GRR,IF(AND(SD!$C$19=SD!$H$2,Grade!$G$1="Per level"),VLOOKUP(B53,Grade!$E$1:$F$200,2,FALSE),IF(AND(SD!$C$19=SD!$H$2,Grade!$G$1="Per Bar Size"),VLOOKUP(BX53,Grade!$B$1:$C$12,2,0),SD!$C$19)),_xlpm.is_equal, A52=A53,_xlpm.grade_range, IF(_xlpm.GRR=SD!$H$3, A615GR60,IF(_xlpm.GRR=SD!$H$4, A615GR75,IF(_xlpm.GRR=SD!$H$5, A615GR80,IF(_xlpm.GRR=SD!H57, A615GR100,IF(_xlpm.GRR=SD!$H$7, A706GR60,IF(_xlpm.GRR=SD!$H$8, A706GR80)))))),_xlpm.match_result, MATCH(1, (BSize=BX53)*(BCName=SD!$C$8), 0),_xlpm.final_result, INDEX(_xlpm.grade_range, _xlpm.match_result),IF(_xlpm.is_equal, "", _xlpm.final_result)),"")</f>
        <v/>
      </c>
      <c r="BZ53" t="str">
        <f>IF(A52=A53,"",IF(SD!$C$41="Match Vertical Bars ",X53,IF(SD!$C$41=SD!$V$3,BW53,SD!$C$41)))</f>
        <v/>
      </c>
      <c r="CA53" t="str" cm="1">
        <f t="array" ref="CA53">IF(A52=A53,"",IF(SD!$C$44="No T-Head",IF(SD!$C$42=SD!$Q$3,VLOOKUP(BX53,S90Range,3,FALSE),LEFT(SD!$C$42,FIND("-",SD!$C$42)-1)+(RIGHT(SD!$C$42,LEN(SD!$C$42)-FIND("-",SD!$C$42))/12)),IF(SD!$C$44="T-Head",_xlfn._xlws.FILTER(THead,(TCName=SD!$C$8)*(TSize=BX53)),IF(SD!$C$44="Level Wise",_xlfn.LET(_xlpm.result,_xlfn.XLOOKUP(B53,VDLevel,VDLevelStatus,"No"),IF(_xlpm.result="Yes",_xlfn._xlws.FILTER(THead,(TCName=SD!$C$8)*(TSize=BX53)),IF(SD!$C$42=SD!$Q$3,VLOOKUP(BX53,S90Range,3,FALSE),LEFT(SD!$C$42,FIND("-",SD!$C$42)-1)+(RIGHT(SD!$C$42,LEN(SD!$C$42)-FIND("-", SD!$C$42))/12)))),IF(SD!$C$44="BarSize Wise",_xlfn.LET(_xlpm.result,_xlfn.XLOOKUP(BX53,VDBarSize,VDBarSizeStatus,"No"),IF(_xlpm.result="Yes",_xlfn._xlws.FILTER(THead,(TCName=SD!$C$8)*(TSize=BX53)),IF(SD!$C$42=SD!$Q$3,VLOOKUP(BX53,S90Range,3,FALSE),LEFT(SD!$C$42,FIND("-",SD!$C$42)-1)+(RIGHT(SD!$C$42,LEN(SD!$C$42)-FIND("-",SD!$C$42))/12)))), "")))))</f>
        <v/>
      </c>
      <c r="CB53" t="str" cm="1">
        <f t="array" ref="CB53">_xlfn.LET(_xlpm.GRR,IF(AND(SD!$C$19=SD!$H$2,Grade!$G$1="Per level"),VLOOKUP(B53,Grade!$E$1:$F$200,2,FALSE),IF(AND(SD!$C$19=SD!$H$2,Grade!$G$1="Per Bar Size"),VLOOKUP(BX53,Grade!$B$1:$C$12,2,0),SD!$C$19)),_xlpm.is_coupler, K53="Coupler",_xlpm.condition1, SD!$C$43=SD!$W$2,_xlpm.data_j2_empty, Data!$J53="",_xlpm.lookup_table, IF(SD!$C$11="Create", Lap!$A$3:$BF$14, IF(SD!$C$11="Per Uploaded File", Lap!$A$19:$BF$30, "")),_xlpm.row_match, MATCH(BX53, Lap!$A$3:$A$14, 0),_xlpm.grade_offset, IF(IFERROR(FIND("Grade 60",_xlpm.GRR), 0) &gt; 0, 0, IF(IFERROR(FIND("Grade 80",_xlpm.GRR), 0), 1, IF(IFERROR(FIND("Grade 75",_xlpm.GRR), 0), 2, ""))),_xlpm.col_match, MATCH(VALUE(D53), Lap!$A$3:$BF$3, 0) + _xlpm.grade_offset,_xlpm.index_result, IFERROR(INDEX(_xlpm.lookup_table, _xlpm.row_match, _xlpm.col_match), Data!$J53),_xlpm.result_if_condition1, IF(_xlpm.data_j2_empty, _xlpm.index_result, Data!$J53),IF(_xlpm.is_coupler, 0, IF(_xlpm.condition1, _xlpm.result_if_condition1, SD!$C$43)))</f>
        <v>5-1</v>
      </c>
      <c r="CC53" s="24">
        <f t="shared" si="11"/>
        <v>5.083333333333333</v>
      </c>
      <c r="CD53">
        <f t="shared" si="12"/>
        <v>5.75</v>
      </c>
      <c r="CE53" t="str" cm="1">
        <f t="array" ref="CE53">IF(BY53="","",_xlfn._xlws.FILTER(SAC,(CName=SD!$C$8)*(EName="Vert Dowels")))</f>
        <v/>
      </c>
      <c r="CF53" t="str" cm="1">
        <f t="array" ref="CF53">IFERROR(IF(BY53="","",IF(K53="Coupler",_xlfn._xlws.FILTER(CCoupler,(CCName=SD!$C$8)*(CBSize=IF(A52=A53,W52&amp;W53,BX53&amp;W53))*(CCMFM="Male")),"")),"N/A")</f>
        <v/>
      </c>
      <c r="CG53" t="str">
        <f t="shared" si="13"/>
        <v/>
      </c>
      <c r="CH53" t="str">
        <f t="shared" si="14"/>
        <v/>
      </c>
      <c r="CI53" t="str">
        <f>_xlfn.LET(_xlpm.u3_value, U54,_xlpm.hyphen_pos,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K54="Coupler",_xlpm.coupler_value, IF(_xlpm.is_coupler, 0, _xlpm.calculated_value),_xlpm.final_value, _xlpm.calculated_value + SD!$E$13 + _xlpm.coupler_value,IF(CG53="", "", _xlpm.final_value))</f>
        <v/>
      </c>
      <c r="CJ53" t="str" cm="1">
        <f t="array" ref="CJ53">IF(CG53="","",_xlfn._xlws.FILTER(SAC,(CName=SD!$C$8)*(EName="Loose Dowels")))</f>
        <v/>
      </c>
      <c r="CK53" t="str" cm="1">
        <f t="array" ref="CK53">IFERROR(IF(CG53="","",IF(K54="Coupler",_xlfn._xlws.FILTER(CCoupler,(CCName=SD!$C$8)*(CBSize=IF(A53=A54,W53&amp;W54,""))*(CCMFM="Male")),"")),"N/A")</f>
        <v/>
      </c>
      <c r="CL53" t="str">
        <f>IFERROR(IF(AM53="Spiral","",IF(A52=A53,"",IF(SD!$C$37=0,"",SD!$C$37))),"")</f>
        <v/>
      </c>
      <c r="CN53">
        <f>IF(AM53="Spiral","",IFERROR(IF(SD!$C$36=0,"",SD!$C$36),""))</f>
        <v>5</v>
      </c>
      <c r="CP53" t="str">
        <f>IFERROR(IF(SD!$C$42=SD!$Q$3,'Take-off'!CA53,""),"")</f>
        <v/>
      </c>
      <c r="CR53">
        <f>IFERROR(IF(SD!$C$22=SD!$U$2,W53,SD!$C$22),"")</f>
        <v>0</v>
      </c>
      <c r="CS53" t="str" cm="1">
        <f t="array" ref="CS53">_xlfn.LET(_xlpm.GR,IF(AND(SD!$C$19=SD!$H$2,Grade!$G$1="Per level"),VLOOKUP(B53,Grade!$E$1:$F$200,2,FALSE),IF(AND(SD!$C$19=SD!$H$2,Grade!$G$1="Per Bar Size"),VLOOKUP(CR53,Grade!$B$1:$C$12,2,0),SD!$C$19)),IF(SD!$C$20=SD!$R$4,IF(A54=A53,"",INDEX(IF(_xlpm.GR=SD!$H$3,A615GR60,IF(_xlpm.GR=SD!$H$4,A615GR75,IF(_xlpm.GR=SD!$H$5,A615GR80,IF(_xlpm.GR=SD!H57,A615GR100,IF(_xlpm.GR=SD!$H$7,A706GR60,IF(_xlpm.GR=SD!$H$8,A706GR80)))))), MATCH(1, (BSize=CR53)*(BCName=SD!$C$8), 0))),""))</f>
        <v/>
      </c>
      <c r="CT53" t="str">
        <f>IF(A54=A53,"",IF(SD!$C$23="Match Vertical Bars ",X53,SD!$C$23))</f>
        <v/>
      </c>
      <c r="CU53" t="str" cm="1">
        <f t="array" ref="CU53">IF(A54=A53,"",IF(SD!$C$20="Top dowels",IF(SD!$E$25="No T-Head",IF(SD!$C$24=SD!$Q$3,VLOOKUP(CR53,S90Range,3,FALSE),LEFT(SD!$C$24,FIND("-",SD!$C$24)-1)+(RIGHT(SD!$C$24,LEN(SD!$C$24)-FIND("-",SD!$C$24))/12)),IF(SD!$E$25="T-Head",_xlfn._xlws.FILTER(THead,(TCName=SD!$C$8)*(TSize=CR53)),IF(SD!$E$25="Level Wise",_xlfn.LET(_xlpm.result,_xlfn.XLOOKUP(B53,TDLevel,TDLevelStatus,"No"),IF(_xlpm.result="Yes",_xlfn._xlws.FILTER(THead,(TCName=SD!$C$8)*(TSize=CR53)),IF(SD!$C$24=SD!$Q$3,VLOOKUP(CR53,S90Range,3,FALSE),LEFT(SD!$C$24,FIND("-",SD!$C$24)-1)+(RIGHT(SD!$C$24,LEN(SD!$C$24)-FIND("-", SD!$C$24))/12)))),IF(SD!$E$25="BarSize Wise",_xlfn.LET(_xlpm.result,_xlfn.XLOOKUP(CR53,TDBarSize,TDBarSizeStatus,"No"),IF(_xlpm.result="Yes",_xlfn._xlws.FILTER(THead,(TCName=SD!$C$8)*(TSize=CR53)),IF(SD!$C$24=SD!$Q$3,VLOOKUP(CR53,S90Range,3,FALSE),LEFT(SD!$C$24,FIND("-",SD!$C$24)-1)+(RIGHT(SD!$C$24,LEN(SD!$C$24)-FIND("-",SD!$C$24))/12)))), "")))),""))</f>
        <v/>
      </c>
      <c r="CV53" t="str">
        <f>_xlfn.LET(_xlpm.GRR,IF(AND(SD!$C$19=SD!$H$2,Grade!$G$1="Per level"),VLOOKUP(B53,Grade!$E$1:$F$200,2,FALSE),IF(AND(SD!$C$19=SD!$H$2,Grade!$G$1="Per Bar Size"),VLOOKUP(CR53,Grade!$B$1:$C$12,2,0),SD!$C$19)),IF(SD!$C$25=SD!$W$2,IF(Data!$J53="",IFERROR(INDEX(IF(SD!$C$11="Create",Lap!$A$3:$BF$14,IF(SD!$C$11="Per Uploaded File",Lap!$A$19:$BF$30,"")),MATCH(CR53,Lap!$A$3:$A$14,0),MATCH(VALUE(D53),Lap!$A$3:$BF$3,0)+IF(IFERROR(FIND("Grade 60",_xlpm.GRR),0)&gt;0,0,IF(IFERROR(FIND("Grade 80",_xlpm.GRR),0),1,IF(IFERROR(FIND("Grade 75",_xlpm.GRR),0),2,"")))),""),Data!J53),SD!$C$43))</f>
        <v>Match Lap</v>
      </c>
      <c r="CW53">
        <f t="shared" si="15"/>
        <v>0</v>
      </c>
      <c r="CX53">
        <f t="shared" si="16"/>
        <v>0</v>
      </c>
      <c r="CY53" t="str">
        <f t="shared" si="17"/>
        <v/>
      </c>
      <c r="DA53" t="str">
        <f t="shared" si="18"/>
        <v/>
      </c>
      <c r="DB53" t="str">
        <f t="shared" si="19"/>
        <v/>
      </c>
      <c r="DC53" s="24" t="str">
        <f t="shared" si="20"/>
        <v/>
      </c>
      <c r="DD53">
        <f t="shared" si="21"/>
        <v>10.583333333333334</v>
      </c>
      <c r="DE53" t="s">
        <v>785</v>
      </c>
      <c r="DF53" t="s">
        <v>67</v>
      </c>
      <c r="DG53" t="str">
        <f>VLOOKUP(W53,'Level Wise PSI'!$F$2:$G$12,2,FALSE)</f>
        <v>Double Lift</v>
      </c>
      <c r="DI53" t="str" cm="1">
        <f t="array" ref="DI53">_xlfn.LET(_xlpm.Coup,IFERROR(IF(BY53="","",IF(K53="Coupler",_xlfn._xlws.FILTER(CCFCoupler,(CCName=SD!$C$8)*(CBSize=IF(A52=A53,W52&amp;W53,BX53&amp;W53))),"")),"N/A"),IF(_xlpm.Coup=0,"",_xlpm.Coup))</f>
        <v/>
      </c>
      <c r="DJ53" t="str" cm="1">
        <f t="array" ref="DJ53">_xlfn.LET(_xlpm.Coup3,IFERROR(IF(CG53="","",IF(K54="Coupler",_xlfn._xlws.FILTER(CCFCoupler,(CCName=SD!$C$8)*(CBSize=IF(A53=A54,W53&amp;W54,""))),"")),"N/A"),IF(_xlpm.Coup3=0,"",_xlpm.Coup3))</f>
        <v/>
      </c>
      <c r="DK53" t="str" cm="1">
        <f t="array" ref="DK53">_xlfn.LET(_xlpm.Coup2,IFERROR(IF(A53&lt;&gt;A54,"",IF(DF53="No Lap","",IF(K54="Coupler",_xlfn._xlws.FILTER(CCFCoupler,(CCName=SD!$C$8)*(CBSize=IF(A52=A53,W53&amp;W54,W53&amp;W53))),""))),"N/A"),IF(_xlpm.Coup2=0,"",_xlpm.Coup2))</f>
        <v/>
      </c>
      <c r="DM53" t="str">
        <f>IF(AM53="Spiral","",IF(SD!$C$31=SD!$Y$3,SD!$E$32*2,""))</f>
        <v/>
      </c>
      <c r="DO53" s="24">
        <f t="shared" si="22"/>
        <v>2.5</v>
      </c>
      <c r="DQ53" t="str">
        <f t="shared" si="23"/>
        <v>Lig</v>
      </c>
      <c r="DR53" t="str">
        <f>IF(AM53="Spiral",((Y53-(SD!$E$12*2))/12),"")</f>
        <v/>
      </c>
      <c r="DS53" t="str">
        <f t="shared" si="24"/>
        <v/>
      </c>
      <c r="DT53" t="str">
        <f t="shared" si="25"/>
        <v/>
      </c>
      <c r="DU53" t="str">
        <f t="shared" si="26"/>
        <v/>
      </c>
    </row>
    <row r="54" spans="1:125" x14ac:dyDescent="0.25">
      <c r="A54">
        <v>29</v>
      </c>
      <c r="B54" t="s">
        <v>684</v>
      </c>
      <c r="C54" s="15">
        <v>2429</v>
      </c>
      <c r="D54" s="15">
        <v>10000</v>
      </c>
      <c r="E54" t="str">
        <f>IF(B54=Level!$A$2,SD!$C$14,SD!$C$13)</f>
        <v>0-8</v>
      </c>
      <c r="F54" s="15" t="s">
        <v>787</v>
      </c>
      <c r="G54" t="s">
        <v>742</v>
      </c>
      <c r="H54" t="str">
        <f>RIGHT(VLOOKUP(B54,Level!A:C,3,FALSE),LEN(VLOOKUP(B54,Level!A:C,3,FALSE))-1)</f>
        <v>10-7</v>
      </c>
      <c r="I54" t="s">
        <v>743</v>
      </c>
      <c r="J54" t="str">
        <f>IF(AND(SD!$C$19=SD!$H$2,Grade!$G$1="Per level"),VLOOKUP(B54,Grade!$E$1:$F$200,2,FALSE),IF(AND(SD!$C$19=SD!$H$2,Grade!$G$1="Per Bar Size"),VLOOKUP(W54,Grade!$B$1:$C$12,2,0),SD!$C$19))</f>
        <v>A615 Grade 60</v>
      </c>
      <c r="K54" t="s">
        <v>67</v>
      </c>
      <c r="L54" t="str">
        <f>IFERROR(IF(A54&lt;&gt;A55,"",IF(DF54="No Lap","",IF(K55="Lap",U54,IF(K55="Coupler",_xlfn._xlws.FILTER(CCoupler,(CCName=SD!$C$8)*(CBSize=IF(A53=A54,W54&amp;W55,W54&amp;W54))*(CCMFM="Male")),"")))),"N/A")</f>
        <v>5-1</v>
      </c>
      <c r="M54" t="str">
        <f t="shared" si="0"/>
        <v/>
      </c>
      <c r="N54" t="s">
        <v>719</v>
      </c>
      <c r="O54" t="s">
        <v>720</v>
      </c>
      <c r="P54" t="s">
        <v>719</v>
      </c>
      <c r="Q54" t="str">
        <f>IF(AND(SD!$C$29=SD!$P$2,Grade!$O$1="Per level"),VLOOKUP(B54,Grade!$M$1:$N$200,2,FALSE),IF(AND(SD!$C$29=SD!$P$2,Grade!$O$1="Per Bar Size"),VLOOKUP(LEFT(N54,FIND("@",N54)-2),Grade!$J$1:$K$12,2,0),SD!$C$29))</f>
        <v>A615 Grade 60</v>
      </c>
      <c r="R54" t="s">
        <v>742</v>
      </c>
      <c r="S54" s="57">
        <v>54</v>
      </c>
      <c r="U54" t="str">
        <f>IF(Data!$J54="",IFERROR(INDEX(IF(SD!$C$11="Create",Lap!$A$3:$BF$14,IF(SD!$C$11="Per Uploaded File",Lap!$A$19:$BF$30,"")),MATCH(W54,Lap!$A$3:$A$14,0),MATCH(VALUE(D54),Lap!$A$3:$BF$3,0)+IF(IFERROR(FIND("Grade 60",J54),0)&gt;0,0,IF(IFERROR(FIND("Grade 80",J54),0),1,IF(IFERROR(FIND("Grade 75",J54),0),2,"")))),""),Data!J54)</f>
        <v>5-1</v>
      </c>
      <c r="W54" t="s">
        <v>176</v>
      </c>
      <c r="X54">
        <v>6</v>
      </c>
      <c r="Y54" t="str">
        <f t="shared" si="1"/>
        <v>30</v>
      </c>
      <c r="Z54">
        <f t="shared" si="2"/>
        <v>0</v>
      </c>
      <c r="AA54" s="24">
        <f t="shared" si="3"/>
        <v>15.666666666666666</v>
      </c>
      <c r="BB54" t="e" cm="1">
        <f t="array" ref="BB54">_xlfn.LET(_xlpm.PartF,(_xlfn.LET(_xlpm.grade, Q54,_xlpm.gradeRange, IF(_xlpm.grade=SD!$H$3, A615GR60, IF(_xlpm.grade=SD!$H$4, A615GR75, IF(_xlpm.grade=SD!$H$5, A615GR80, IF(_xlpm.grade=SD!$H$6, A615GR100, IF(_xlpm.grade=SD!$H$7, A706GR60, IF(_xlpm.grade=SD!$H$8, A706GR80)))))),_xlpm.matchValue, MATCH(1, (SD!$AW:$AW=AS54)*(SD!$AX:$AX=SD!$C$8), 0),INDEX(_xlpm.gradeRange, _xlpm.matchValue))),IF(AM54="Spiral",CONCATENATE("SP",_xlpm.PartF),_xlpm.PartF))</f>
        <v>#N/A</v>
      </c>
      <c r="BC54" cm="1">
        <f t="array" ref="BC54">_xlfn.LET(_xlpm.leftPart, LEFT(O54, FIND("@", O54) - 2),_xlpm.grade,Q54,_xlpm.gradeRange,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4" cm="1">
        <f t="array" ref="BD54">_xlfn.LET(_xlpm.leftPart, LEFT(P54, FIND("@", P54) - 2),_xlpm.grade, Q54,_xlpm.gradeRange,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4">
        <f t="shared" si="4"/>
        <v>2.5</v>
      </c>
      <c r="BF54">
        <f>IF(SD!$C$32=SD!$I$2,BE54,IF(SD!$C$32=SD!$I$3,DO54,IF(SD!$C$32=SD!$I$5,BA54,IF(SD!$C$32=SD!$I$6,(LEFT(SD!$C$35,FIND("-",SD!$C$35)-1)+RIGHT(SD!$C$35,LEN(SD!$C$35)-FIND("-",SD!$C$35))/12),IF(SD!$C$32=SD!$I$4,(AU54-(BG54+BH54)))))))</f>
        <v>0</v>
      </c>
      <c r="BG54">
        <f>IF(SD!$C$33=SD!$I$2,BE54,IF(SD!$C$33=SD!$I$3,DO54,IF(SD!$C$33=SD!$I$5,BA54,IF(SD!$C$33=SD!$I$6,(LEFT(SD!$C$35,FIND("-",SD!$C$35)-1)+RIGHT(SD!$C$35,LEN(SD!$C$35)-FIND("-",SD!$C$35))/12),IF(SD!$C$33=SD!$I$4,(AU54-(BF54+BH54)))))))</f>
        <v>-1</v>
      </c>
      <c r="BH54">
        <f>IF(SD!$C$34=SD!$I$2,BE54,IF(SD!$C$34=SD!$I$3,DO54,IF(SD!$C$34=SD!$I$5,BA54,IF(SD!$C$34=SD!$I$6,(LEFT(SD!$C$35,FIND("-",SD!$C$35)-1)+RIGHT(SD!$C$35,LEN(SD!$C$35)-FIND("-",SD!$C$35))/12),IF(SD!$C$34=SD!$I$4,(AU54-(BF54+BG54)))))))</f>
        <v>1</v>
      </c>
      <c r="BJ54">
        <f>IF(AM54="Spiral","1",MAX(ROUNDUP(IF(SD!$C$32="",AT54,BF54/(LEFT(RIGHT(N54,LEN(N54)-FIND("@",N54)),LEN(RIGHT(N54,LEN(N54)-FIND("@",N54)))-1)/12)+1),0),0))</f>
        <v>1</v>
      </c>
      <c r="BK54">
        <f>MAX(ROUNDUP(IF(SD!$C$33="","",BG54/(LEFT(RIGHT(O54,LEN(O54)-FIND("@",O54)),LEN(RIGHT(O54,LEN(O54)-FIND("@",O54)))-1)/12)+1),0),0)</f>
        <v>0</v>
      </c>
      <c r="BL54">
        <f>MAX(ROUNDUP(IF(SD!$C$34="","",BH54/(LEFT(RIGHT(P54,LEN(P54)-FIND("@",P54)),LEN(RIGHT(P54,LEN(P54)-FIND("@",P54)))-1)/12)+1),0),0)</f>
        <v>3</v>
      </c>
      <c r="BN54" t="e">
        <f t="shared" si="5"/>
        <v>#N/A</v>
      </c>
      <c r="BO54" t="e">
        <f t="shared" si="6"/>
        <v>#N/A</v>
      </c>
      <c r="BP54" t="e">
        <f t="shared" si="7"/>
        <v>#N/A</v>
      </c>
      <c r="BQ54" s="24" t="e">
        <f>IF(AM54=TRUE,(((Y54-(SD!$E$12*2))*3.14159265359)+BN54+BO54+BP54)/12+AL54,SUM(AF54:AG54,BN54,BO54,BP54,AO54,AQ54)/12)</f>
        <v>#N/A</v>
      </c>
      <c r="BR54" t="e">
        <f t="shared" si="8"/>
        <v>#N/A</v>
      </c>
      <c r="BS54" t="e">
        <f t="shared" si="9"/>
        <v>#N/A</v>
      </c>
      <c r="BT54" t="e">
        <f t="shared" si="10"/>
        <v>#N/A</v>
      </c>
      <c r="BU54" s="24" t="e">
        <f>IF(AM54=TRUE,(((Y54-(SD!$E$12*2))*3.14159265359)+BR54+BS54+BT54)/12+AL54,SUM(AF54:AG54,BR54,BS54,BT54,AO54,AQ54)/12)</f>
        <v>#N/A</v>
      </c>
      <c r="BW54" t="str">
        <f>IFERROR(LEFT(Data!L54,FIND(" -",Data!L54)-1),"")</f>
        <v/>
      </c>
      <c r="BX54" t="str">
        <f>IFERROR(IF(SD!$C$40=SD!$U$2,W54,IF(SD!$C$40=SD!$U$3,RIGHT(Data!L54,LEN(Data!L54)-(FIND("-",Data!L54)+1)),SD!$C$40)),"")</f>
        <v>#10</v>
      </c>
      <c r="BY54" t="str" cm="1">
        <f t="array" ref="BY54">IFERROR(_xlfn.LET(_xlpm.GRR,IF(AND(SD!$C$19=SD!$H$2,Grade!$G$1="Per level"),VLOOKUP(B54,Grade!$E$1:$F$200,2,FALSE),IF(AND(SD!$C$19=SD!$H$2,Grade!$G$1="Per Bar Size"),VLOOKUP(BX54,Grade!$B$1:$C$12,2,0),SD!$C$19)),_xlpm.is_equal, A53=A54,_xlpm.grade_range, IF(_xlpm.GRR=SD!$H$3, A615GR60,IF(_xlpm.GRR=SD!$H$4, A615GR75,IF(_xlpm.GRR=SD!$H$5, A615GR80,IF(_xlpm.GRR=SD!H58, A615GR100,IF(_xlpm.GRR=SD!$H$7, A706GR60,IF(_xlpm.GRR=SD!$H$8, A706GR80)))))),_xlpm.match_result, MATCH(1, (BSize=BX54)*(BCName=SD!$C$8), 0),_xlpm.final_result, INDEX(_xlpm.grade_range, _xlpm.match_result),IF(_xlpm.is_equal, "", _xlpm.final_result)),"")</f>
        <v/>
      </c>
      <c r="BZ54" t="str">
        <f>IF(A53=A54,"",IF(SD!$C$41="Match Vertical Bars ",X54,IF(SD!$C$41=SD!$V$3,BW54,SD!$C$41)))</f>
        <v/>
      </c>
      <c r="CA54" t="str" cm="1">
        <f t="array" ref="CA54">IF(A53=A54,"",IF(SD!$C$44="No T-Head",IF(SD!$C$42=SD!$Q$3,VLOOKUP(BX54,S90Range,3,FALSE),LEFT(SD!$C$42,FIND("-",SD!$C$42)-1)+(RIGHT(SD!$C$42,LEN(SD!$C$42)-FIND("-",SD!$C$42))/12)),IF(SD!$C$44="T-Head",_xlfn._xlws.FILTER(THead,(TCName=SD!$C$8)*(TSize=BX54)),IF(SD!$C$44="Level Wise",_xlfn.LET(_xlpm.result,_xlfn.XLOOKUP(B54,VDLevel,VDLevelStatus,"No"),IF(_xlpm.result="Yes",_xlfn._xlws.FILTER(THead,(TCName=SD!$C$8)*(TSize=BX54)),IF(SD!$C$42=SD!$Q$3,VLOOKUP(BX54,S90Range,3,FALSE),LEFT(SD!$C$42,FIND("-",SD!$C$42)-1)+(RIGHT(SD!$C$42,LEN(SD!$C$42)-FIND("-", SD!$C$42))/12)))),IF(SD!$C$44="BarSize Wise",_xlfn.LET(_xlpm.result,_xlfn.XLOOKUP(BX54,VDBarSize,VDBarSizeStatus,"No"),IF(_xlpm.result="Yes",_xlfn._xlws.FILTER(THead,(TCName=SD!$C$8)*(TSize=BX54)),IF(SD!$C$42=SD!$Q$3,VLOOKUP(BX54,S90Range,3,FALSE),LEFT(SD!$C$42,FIND("-",SD!$C$42)-1)+(RIGHT(SD!$C$42,LEN(SD!$C$42)-FIND("-",SD!$C$42))/12)))), "")))))</f>
        <v/>
      </c>
      <c r="CB54" t="str" cm="1">
        <f t="array" ref="CB54">_xlfn.LET(_xlpm.GRR,IF(AND(SD!$C$19=SD!$H$2,Grade!$G$1="Per level"),VLOOKUP(B54,Grade!$E$1:$F$200,2,FALSE),IF(AND(SD!$C$19=SD!$H$2,Grade!$G$1="Per Bar Size"),VLOOKUP(BX54,Grade!$B$1:$C$12,2,0),SD!$C$19)),_xlpm.is_coupler, K54="Coupler",_xlpm.condition1, SD!$C$43=SD!$W$2,_xlpm.data_j2_empty, Data!$J54="",_xlpm.lookup_table, IF(SD!$C$11="Create", Lap!$A$3:$BF$14, IF(SD!$C$11="Per Uploaded File", Lap!$A$19:$BF$30, "")),_xlpm.row_match, MATCH(BX54, Lap!$A$3:$A$14, 0),_xlpm.grade_offset, IF(IFERROR(FIND("Grade 60",_xlpm.GRR), 0) &gt; 0, 0, IF(IFERROR(FIND("Grade 80",_xlpm.GRR), 0), 1, IF(IFERROR(FIND("Grade 75",_xlpm.GRR), 0), 2, ""))),_xlpm.col_match, MATCH(VALUE(D54), Lap!$A$3:$BF$3, 0) + _xlpm.grade_offset,_xlpm.index_result, IFERROR(INDEX(_xlpm.lookup_table, _xlpm.row_match, _xlpm.col_match), Data!$J54),_xlpm.result_if_condition1, IF(_xlpm.data_j2_empty, _xlpm.index_result, Data!$J54),IF(_xlpm.is_coupler, 0, IF(_xlpm.condition1, _xlpm.result_if_condition1, SD!$C$43)))</f>
        <v>5-1</v>
      </c>
      <c r="CC54" s="24">
        <f t="shared" si="11"/>
        <v>5.083333333333333</v>
      </c>
      <c r="CD54">
        <f t="shared" si="12"/>
        <v>5.75</v>
      </c>
      <c r="CE54" t="str" cm="1">
        <f t="array" ref="CE54">IF(BY54="","",_xlfn._xlws.FILTER(SAC,(CName=SD!$C$8)*(EName="Vert Dowels")))</f>
        <v/>
      </c>
      <c r="CF54" t="str" cm="1">
        <f t="array" ref="CF54">IFERROR(IF(BY54="","",IF(K54="Coupler",_xlfn._xlws.FILTER(CCoupler,(CCName=SD!$C$8)*(CBSize=IF(A53=A54,W53&amp;W54,BX54&amp;W54))*(CCMFM="Male")),"")),"N/A")</f>
        <v/>
      </c>
      <c r="CG54" t="str">
        <f t="shared" si="13"/>
        <v/>
      </c>
      <c r="CH54" t="str">
        <f t="shared" si="14"/>
        <v/>
      </c>
      <c r="CI54" t="str">
        <f>_xlfn.LET(_xlpm.u3_value, U55,_xlpm.hyphen_pos,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K55="Coupler",_xlpm.coupler_value, IF(_xlpm.is_coupler, 0, _xlpm.calculated_value),_xlpm.final_value, _xlpm.calculated_value + SD!$E$13 + _xlpm.coupler_value,IF(CG54="", "", _xlpm.final_value))</f>
        <v/>
      </c>
      <c r="CJ54" t="str" cm="1">
        <f t="array" ref="CJ54">IF(CG54="","",_xlfn._xlws.FILTER(SAC,(CName=SD!$C$8)*(EName="Loose Dowels")))</f>
        <v/>
      </c>
      <c r="CK54" t="str" cm="1">
        <f t="array" ref="CK54">IFERROR(IF(CG54="","",IF(K55="Coupler",_xlfn._xlws.FILTER(CCoupler,(CCName=SD!$C$8)*(CBSize=IF(A54=A55,W54&amp;W55,""))*(CCMFM="Male")),"")),"N/A")</f>
        <v/>
      </c>
      <c r="CL54" t="str">
        <f>IFERROR(IF(AM54="Spiral","",IF(A53=A54,"",IF(SD!$C$37=0,"",SD!$C$37))),"")</f>
        <v/>
      </c>
      <c r="CN54">
        <f>IF(AM54="Spiral","",IFERROR(IF(SD!$C$36=0,"",SD!$C$36),""))</f>
        <v>5</v>
      </c>
      <c r="CP54" t="str">
        <f>IFERROR(IF(SD!$C$42=SD!$Q$3,'Take-off'!CA54,""),"")</f>
        <v/>
      </c>
      <c r="CR54">
        <f>IFERROR(IF(SD!$C$22=SD!$U$2,W54,SD!$C$22),"")</f>
        <v>0</v>
      </c>
      <c r="CS54" t="str" cm="1">
        <f t="array" ref="CS54">_xlfn.LET(_xlpm.GR,IF(AND(SD!$C$19=SD!$H$2,Grade!$G$1="Per level"),VLOOKUP(B54,Grade!$E$1:$F$200,2,FALSE),IF(AND(SD!$C$19=SD!$H$2,Grade!$G$1="Per Bar Size"),VLOOKUP(CR54,Grade!$B$1:$C$12,2,0),SD!$C$19)),IF(SD!$C$20=SD!$R$4,IF(A55=A54,"",INDEX(IF(_xlpm.GR=SD!$H$3,A615GR60,IF(_xlpm.GR=SD!$H$4,A615GR75,IF(_xlpm.GR=SD!$H$5,A615GR80,IF(_xlpm.GR=SD!H58,A615GR100,IF(_xlpm.GR=SD!$H$7,A706GR60,IF(_xlpm.GR=SD!$H$8,A706GR80)))))), MATCH(1, (BSize=CR54)*(BCName=SD!$C$8), 0))),""))</f>
        <v/>
      </c>
      <c r="CT54" t="str">
        <f>IF(A55=A54,"",IF(SD!$C$23="Match Vertical Bars ",X54,SD!$C$23))</f>
        <v/>
      </c>
      <c r="CU54" t="str" cm="1">
        <f t="array" ref="CU54">IF(A55=A54,"",IF(SD!$C$20="Top dowels",IF(SD!$E$25="No T-Head",IF(SD!$C$24=SD!$Q$3,VLOOKUP(CR54,S90Range,3,FALSE),LEFT(SD!$C$24,FIND("-",SD!$C$24)-1)+(RIGHT(SD!$C$24,LEN(SD!$C$24)-FIND("-",SD!$C$24))/12)),IF(SD!$E$25="T-Head",_xlfn._xlws.FILTER(THead,(TCName=SD!$C$8)*(TSize=CR54)),IF(SD!$E$25="Level Wise",_xlfn.LET(_xlpm.result,_xlfn.XLOOKUP(B54,TDLevel,TDLevelStatus,"No"),IF(_xlpm.result="Yes",_xlfn._xlws.FILTER(THead,(TCName=SD!$C$8)*(TSize=CR54)),IF(SD!$C$24=SD!$Q$3,VLOOKUP(CR54,S90Range,3,FALSE),LEFT(SD!$C$24,FIND("-",SD!$C$24)-1)+(RIGHT(SD!$C$24,LEN(SD!$C$24)-FIND("-", SD!$C$24))/12)))),IF(SD!$E$25="BarSize Wise",_xlfn.LET(_xlpm.result,_xlfn.XLOOKUP(CR54,TDBarSize,TDBarSizeStatus,"No"),IF(_xlpm.result="Yes",_xlfn._xlws.FILTER(THead,(TCName=SD!$C$8)*(TSize=CR54)),IF(SD!$C$24=SD!$Q$3,VLOOKUP(CR54,S90Range,3,FALSE),LEFT(SD!$C$24,FIND("-",SD!$C$24)-1)+(RIGHT(SD!$C$24,LEN(SD!$C$24)-FIND("-",SD!$C$24))/12)))), "")))),""))</f>
        <v/>
      </c>
      <c r="CV54" t="str">
        <f>_xlfn.LET(_xlpm.GRR,IF(AND(SD!$C$19=SD!$H$2,Grade!$G$1="Per level"),VLOOKUP(B54,Grade!$E$1:$F$200,2,FALSE),IF(AND(SD!$C$19=SD!$H$2,Grade!$G$1="Per Bar Size"),VLOOKUP(CR54,Grade!$B$1:$C$12,2,0),SD!$C$19)),IF(SD!$C$25=SD!$W$2,IF(Data!$J54="",IFERROR(INDEX(IF(SD!$C$11="Create",Lap!$A$3:$BF$14,IF(SD!$C$11="Per Uploaded File",Lap!$A$19:$BF$30,"")),MATCH(CR54,Lap!$A$3:$A$14,0),MATCH(VALUE(D54),Lap!$A$3:$BF$3,0)+IF(IFERROR(FIND("Grade 60",_xlpm.GRR),0)&gt;0,0,IF(IFERROR(FIND("Grade 80",_xlpm.GRR),0),1,IF(IFERROR(FIND("Grade 75",_xlpm.GRR),0),2,"")))),""),Data!J54),SD!$C$43))</f>
        <v>Match Lap</v>
      </c>
      <c r="CW54">
        <f t="shared" si="15"/>
        <v>0</v>
      </c>
      <c r="CX54">
        <f t="shared" si="16"/>
        <v>0</v>
      </c>
      <c r="CY54" t="str">
        <f t="shared" si="17"/>
        <v/>
      </c>
      <c r="DA54" t="str">
        <f t="shared" si="18"/>
        <v/>
      </c>
      <c r="DB54" t="str">
        <f t="shared" si="19"/>
        <v/>
      </c>
      <c r="DC54" s="24" t="str">
        <f t="shared" si="20"/>
        <v/>
      </c>
      <c r="DD54">
        <f t="shared" si="21"/>
        <v>10.583333333333334</v>
      </c>
      <c r="DE54" t="s">
        <v>785</v>
      </c>
      <c r="DF54" t="s">
        <v>67</v>
      </c>
      <c r="DG54" t="str">
        <f>VLOOKUP(W54,'Level Wise PSI'!$F$2:$G$12,2,FALSE)</f>
        <v>Double Lift</v>
      </c>
      <c r="DI54" t="str" cm="1">
        <f t="array" ref="DI54">_xlfn.LET(_xlpm.Coup,IFERROR(IF(BY54="","",IF(K54="Coupler",_xlfn._xlws.FILTER(CCFCoupler,(CCName=SD!$C$8)*(CBSize=IF(A53=A54,W53&amp;W54,BX54&amp;W54))),"")),"N/A"),IF(_xlpm.Coup=0,"",_xlpm.Coup))</f>
        <v/>
      </c>
      <c r="DJ54" t="str" cm="1">
        <f t="array" ref="DJ54">_xlfn.LET(_xlpm.Coup3,IFERROR(IF(CG54="","",IF(K55="Coupler",_xlfn._xlws.FILTER(CCFCoupler,(CCName=SD!$C$8)*(CBSize=IF(A54=A55,W54&amp;W55,""))),"")),"N/A"),IF(_xlpm.Coup3=0,"",_xlpm.Coup3))</f>
        <v/>
      </c>
      <c r="DK54" t="str" cm="1">
        <f t="array" ref="DK54">_xlfn.LET(_xlpm.Coup2,IFERROR(IF(A54&lt;&gt;A55,"",IF(DF54="No Lap","",IF(K55="Coupler",_xlfn._xlws.FILTER(CCFCoupler,(CCName=SD!$C$8)*(CBSize=IF(A53=A54,W54&amp;W55,W54&amp;W54))),""))),"N/A"),IF(_xlpm.Coup2=0,"",_xlpm.Coup2))</f>
        <v/>
      </c>
      <c r="DM54" t="str">
        <f>IF(AM54="Spiral","",IF(SD!$C$31=SD!$Y$3,SD!$E$32*2,""))</f>
        <v/>
      </c>
      <c r="DO54" s="24">
        <f t="shared" si="22"/>
        <v>2.5</v>
      </c>
      <c r="DQ54" t="str">
        <f t="shared" si="23"/>
        <v>Lig</v>
      </c>
      <c r="DR54" t="str">
        <f>IF(AM54="Spiral",((Y54-(SD!$E$12*2))/12),"")</f>
        <v/>
      </c>
      <c r="DS54" t="str">
        <f t="shared" si="24"/>
        <v/>
      </c>
      <c r="DT54" t="str">
        <f t="shared" si="25"/>
        <v/>
      </c>
      <c r="DU54" t="str">
        <f t="shared" si="26"/>
        <v/>
      </c>
    </row>
    <row r="55" spans="1:125" x14ac:dyDescent="0.25">
      <c r="A55">
        <v>29</v>
      </c>
      <c r="B55" t="s">
        <v>686</v>
      </c>
      <c r="C55" s="15">
        <v>2429</v>
      </c>
      <c r="D55" s="15">
        <v>10000</v>
      </c>
      <c r="E55" t="str">
        <f>IF(B55=Level!$A$2,SD!$C$14,SD!$C$13)</f>
        <v>0-8</v>
      </c>
      <c r="F55" s="15" t="s">
        <v>787</v>
      </c>
      <c r="G55" t="s">
        <v>742</v>
      </c>
      <c r="H55" t="str">
        <f>RIGHT(VLOOKUP(B55,Level!A:C,3,FALSE),LEN(VLOOKUP(B55,Level!A:C,3,FALSE))-1)</f>
        <v>10-7</v>
      </c>
      <c r="I55" t="s">
        <v>743</v>
      </c>
      <c r="J55" t="str">
        <f>IF(AND(SD!$C$19=SD!$H$2,Grade!$G$1="Per level"),VLOOKUP(B55,Grade!$E$1:$F$200,2,FALSE),IF(AND(SD!$C$19=SD!$H$2,Grade!$G$1="Per Bar Size"),VLOOKUP(W55,Grade!$B$1:$C$12,2,0),SD!$C$19))</f>
        <v>A615 Grade 60</v>
      </c>
      <c r="K55" t="s">
        <v>67</v>
      </c>
      <c r="L55" t="str">
        <f>IFERROR(IF(A55&lt;&gt;A56,"",IF(DF55="No Lap","",IF(K56="Lap",U55,IF(K56="Coupler",_xlfn._xlws.FILTER(CCoupler,(CCName=SD!$C$8)*(CBSize=IF(A54=A55,W55&amp;W56,W55&amp;W55))*(CCMFM="Male")),"")))),"N/A")</f>
        <v>5-1</v>
      </c>
      <c r="M55" t="str">
        <f t="shared" si="0"/>
        <v/>
      </c>
      <c r="N55" t="s">
        <v>719</v>
      </c>
      <c r="O55" t="s">
        <v>720</v>
      </c>
      <c r="P55" t="s">
        <v>719</v>
      </c>
      <c r="Q55" t="str">
        <f>IF(AND(SD!$C$29=SD!$P$2,Grade!$O$1="Per level"),VLOOKUP(B55,Grade!$M$1:$N$200,2,FALSE),IF(AND(SD!$C$29=SD!$P$2,Grade!$O$1="Per Bar Size"),VLOOKUP(LEFT(N55,FIND("@",N55)-2),Grade!$J$1:$K$12,2,0),SD!$C$29))</f>
        <v>A615 Grade 60</v>
      </c>
      <c r="R55" t="s">
        <v>742</v>
      </c>
      <c r="S55" s="57">
        <v>55</v>
      </c>
      <c r="U55" t="str">
        <f>IF(Data!$J55="",IFERROR(INDEX(IF(SD!$C$11="Create",Lap!$A$3:$BF$14,IF(SD!$C$11="Per Uploaded File",Lap!$A$19:$BF$30,"")),MATCH(W55,Lap!$A$3:$A$14,0),MATCH(VALUE(D55),Lap!$A$3:$BF$3,0)+IF(IFERROR(FIND("Grade 60",J55),0)&gt;0,0,IF(IFERROR(FIND("Grade 80",J55),0),1,IF(IFERROR(FIND("Grade 75",J55),0),2,"")))),""),Data!J55)</f>
        <v>5-1</v>
      </c>
      <c r="W55" t="s">
        <v>176</v>
      </c>
      <c r="X55">
        <v>6</v>
      </c>
      <c r="Y55" t="str">
        <f t="shared" si="1"/>
        <v>30</v>
      </c>
      <c r="Z55">
        <f t="shared" si="2"/>
        <v>0</v>
      </c>
      <c r="AA55" s="24">
        <f t="shared" si="3"/>
        <v>15.666666666666666</v>
      </c>
      <c r="BB55" t="e" cm="1">
        <f t="array" ref="BB55">_xlfn.LET(_xlpm.PartF,(_xlfn.LET(_xlpm.grade, Q55,_xlpm.gradeRange, IF(_xlpm.grade=SD!$H$3, A615GR60, IF(_xlpm.grade=SD!$H$4, A615GR75, IF(_xlpm.grade=SD!$H$5, A615GR80, IF(_xlpm.grade=SD!$H$6, A615GR100, IF(_xlpm.grade=SD!$H$7, A706GR60, IF(_xlpm.grade=SD!$H$8, A706GR80)))))),_xlpm.matchValue, MATCH(1, (SD!$AW:$AW=AS55)*(SD!$AX:$AX=SD!$C$8), 0),INDEX(_xlpm.gradeRange, _xlpm.matchValue))),IF(AM55="Spiral",CONCATENATE("SP",_xlpm.PartF),_xlpm.PartF))</f>
        <v>#N/A</v>
      </c>
      <c r="BC55" cm="1">
        <f t="array" ref="BC55">_xlfn.LET(_xlpm.leftPart, LEFT(O55, FIND("@", O55) - 2),_xlpm.grade,Q55,_xlpm.gradeRange,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5" cm="1">
        <f t="array" ref="BD55">_xlfn.LET(_xlpm.leftPart, LEFT(P55, FIND("@", P55) - 2),_xlpm.grade, Q55,_xlpm.gradeRange,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5">
        <f t="shared" si="4"/>
        <v>2.5</v>
      </c>
      <c r="BF55">
        <f>IF(SD!$C$32=SD!$I$2,BE55,IF(SD!$C$32=SD!$I$3,DO55,IF(SD!$C$32=SD!$I$5,BA55,IF(SD!$C$32=SD!$I$6,(LEFT(SD!$C$35,FIND("-",SD!$C$35)-1)+RIGHT(SD!$C$35,LEN(SD!$C$35)-FIND("-",SD!$C$35))/12),IF(SD!$C$32=SD!$I$4,(AU55-(BG55+BH55)))))))</f>
        <v>0</v>
      </c>
      <c r="BG55">
        <f>IF(SD!$C$33=SD!$I$2,BE55,IF(SD!$C$33=SD!$I$3,DO55,IF(SD!$C$33=SD!$I$5,BA55,IF(SD!$C$33=SD!$I$6,(LEFT(SD!$C$35,FIND("-",SD!$C$35)-1)+RIGHT(SD!$C$35,LEN(SD!$C$35)-FIND("-",SD!$C$35))/12),IF(SD!$C$33=SD!$I$4,(AU55-(BF55+BH55)))))))</f>
        <v>-1</v>
      </c>
      <c r="BH55">
        <f>IF(SD!$C$34=SD!$I$2,BE55,IF(SD!$C$34=SD!$I$3,DO55,IF(SD!$C$34=SD!$I$5,BA55,IF(SD!$C$34=SD!$I$6,(LEFT(SD!$C$35,FIND("-",SD!$C$35)-1)+RIGHT(SD!$C$35,LEN(SD!$C$35)-FIND("-",SD!$C$35))/12),IF(SD!$C$34=SD!$I$4,(AU55-(BF55+BG55)))))))</f>
        <v>1</v>
      </c>
      <c r="BJ55">
        <f>IF(AM55="Spiral","1",MAX(ROUNDUP(IF(SD!$C$32="",AT55,BF55/(LEFT(RIGHT(N55,LEN(N55)-FIND("@",N55)),LEN(RIGHT(N55,LEN(N55)-FIND("@",N55)))-1)/12)+1),0),0))</f>
        <v>1</v>
      </c>
      <c r="BK55">
        <f>MAX(ROUNDUP(IF(SD!$C$33="","",BG55/(LEFT(RIGHT(O55,LEN(O55)-FIND("@",O55)),LEN(RIGHT(O55,LEN(O55)-FIND("@",O55)))-1)/12)+1),0),0)</f>
        <v>0</v>
      </c>
      <c r="BL55">
        <f>MAX(ROUNDUP(IF(SD!$C$34="","",BH55/(LEFT(RIGHT(P55,LEN(P55)-FIND("@",P55)),LEN(RIGHT(P55,LEN(P55)-FIND("@",P55)))-1)/12)+1),0),0)</f>
        <v>3</v>
      </c>
      <c r="BN55" t="e">
        <f t="shared" si="5"/>
        <v>#N/A</v>
      </c>
      <c r="BO55" t="e">
        <f t="shared" si="6"/>
        <v>#N/A</v>
      </c>
      <c r="BP55" t="e">
        <f t="shared" si="7"/>
        <v>#N/A</v>
      </c>
      <c r="BQ55" s="24" t="e">
        <f>IF(AM55=TRUE,(((Y55-(SD!$E$12*2))*3.14159265359)+BN55+BO55+BP55)/12+AL55,SUM(AF55:AG55,BN55,BO55,BP55,AO55,AQ55)/12)</f>
        <v>#N/A</v>
      </c>
      <c r="BR55" t="e">
        <f t="shared" si="8"/>
        <v>#N/A</v>
      </c>
      <c r="BS55" t="e">
        <f t="shared" si="9"/>
        <v>#N/A</v>
      </c>
      <c r="BT55" t="e">
        <f t="shared" si="10"/>
        <v>#N/A</v>
      </c>
      <c r="BU55" s="24" t="e">
        <f>IF(AM55=TRUE,(((Y55-(SD!$E$12*2))*3.14159265359)+BR55+BS55+BT55)/12+AL55,SUM(AF55:AG55,BR55,BS55,BT55,AO55,AQ55)/12)</f>
        <v>#N/A</v>
      </c>
      <c r="BW55" t="str">
        <f>IFERROR(LEFT(Data!L55,FIND(" -",Data!L55)-1),"")</f>
        <v/>
      </c>
      <c r="BX55" t="str">
        <f>IFERROR(IF(SD!$C$40=SD!$U$2,W55,IF(SD!$C$40=SD!$U$3,RIGHT(Data!L55,LEN(Data!L55)-(FIND("-",Data!L55)+1)),SD!$C$40)),"")</f>
        <v>#10</v>
      </c>
      <c r="BY55" t="str" cm="1">
        <f t="array" ref="BY55">IFERROR(_xlfn.LET(_xlpm.GRR,IF(AND(SD!$C$19=SD!$H$2,Grade!$G$1="Per level"),VLOOKUP(B55,Grade!$E$1:$F$200,2,FALSE),IF(AND(SD!$C$19=SD!$H$2,Grade!$G$1="Per Bar Size"),VLOOKUP(BX55,Grade!$B$1:$C$12,2,0),SD!$C$19)),_xlpm.is_equal, A54=A55,_xlpm.grade_range, IF(_xlpm.GRR=SD!$H$3, A615GR60,IF(_xlpm.GRR=SD!$H$4, A615GR75,IF(_xlpm.GRR=SD!$H$5, A615GR80,IF(_xlpm.GRR=SD!H59, A615GR100,IF(_xlpm.GRR=SD!$H$7, A706GR60,IF(_xlpm.GRR=SD!$H$8, A706GR80)))))),_xlpm.match_result, MATCH(1, (BSize=BX55)*(BCName=SD!$C$8), 0),_xlpm.final_result, INDEX(_xlpm.grade_range, _xlpm.match_result),IF(_xlpm.is_equal, "", _xlpm.final_result)),"")</f>
        <v/>
      </c>
      <c r="BZ55" t="str">
        <f>IF(A54=A55,"",IF(SD!$C$41="Match Vertical Bars ",X55,IF(SD!$C$41=SD!$V$3,BW55,SD!$C$41)))</f>
        <v/>
      </c>
      <c r="CA55" t="str" cm="1">
        <f t="array" ref="CA55">IF(A54=A55,"",IF(SD!$C$44="No T-Head",IF(SD!$C$42=SD!$Q$3,VLOOKUP(BX55,S90Range,3,FALSE),LEFT(SD!$C$42,FIND("-",SD!$C$42)-1)+(RIGHT(SD!$C$42,LEN(SD!$C$42)-FIND("-",SD!$C$42))/12)),IF(SD!$C$44="T-Head",_xlfn._xlws.FILTER(THead,(TCName=SD!$C$8)*(TSize=BX55)),IF(SD!$C$44="Level Wise",_xlfn.LET(_xlpm.result,_xlfn.XLOOKUP(B55,VDLevel,VDLevelStatus,"No"),IF(_xlpm.result="Yes",_xlfn._xlws.FILTER(THead,(TCName=SD!$C$8)*(TSize=BX55)),IF(SD!$C$42=SD!$Q$3,VLOOKUP(BX55,S90Range,3,FALSE),LEFT(SD!$C$42,FIND("-",SD!$C$42)-1)+(RIGHT(SD!$C$42,LEN(SD!$C$42)-FIND("-", SD!$C$42))/12)))),IF(SD!$C$44="BarSize Wise",_xlfn.LET(_xlpm.result,_xlfn.XLOOKUP(BX55,VDBarSize,VDBarSizeStatus,"No"),IF(_xlpm.result="Yes",_xlfn._xlws.FILTER(THead,(TCName=SD!$C$8)*(TSize=BX55)),IF(SD!$C$42=SD!$Q$3,VLOOKUP(BX55,S90Range,3,FALSE),LEFT(SD!$C$42,FIND("-",SD!$C$42)-1)+(RIGHT(SD!$C$42,LEN(SD!$C$42)-FIND("-",SD!$C$42))/12)))), "")))))</f>
        <v/>
      </c>
      <c r="CB55" t="str" cm="1">
        <f t="array" ref="CB55">_xlfn.LET(_xlpm.GRR,IF(AND(SD!$C$19=SD!$H$2,Grade!$G$1="Per level"),VLOOKUP(B55,Grade!$E$1:$F$200,2,FALSE),IF(AND(SD!$C$19=SD!$H$2,Grade!$G$1="Per Bar Size"),VLOOKUP(BX55,Grade!$B$1:$C$12,2,0),SD!$C$19)),_xlpm.is_coupler, K55="Coupler",_xlpm.condition1, SD!$C$43=SD!$W$2,_xlpm.data_j2_empty, Data!$J55="",_xlpm.lookup_table, IF(SD!$C$11="Create", Lap!$A$3:$BF$14, IF(SD!$C$11="Per Uploaded File", Lap!$A$19:$BF$30, "")),_xlpm.row_match, MATCH(BX55, Lap!$A$3:$A$14, 0),_xlpm.grade_offset, IF(IFERROR(FIND("Grade 60",_xlpm.GRR), 0) &gt; 0, 0, IF(IFERROR(FIND("Grade 80",_xlpm.GRR), 0), 1, IF(IFERROR(FIND("Grade 75",_xlpm.GRR), 0), 2, ""))),_xlpm.col_match, MATCH(VALUE(D55), Lap!$A$3:$BF$3, 0) + _xlpm.grade_offset,_xlpm.index_result, IFERROR(INDEX(_xlpm.lookup_table, _xlpm.row_match, _xlpm.col_match), Data!$J55),_xlpm.result_if_condition1, IF(_xlpm.data_j2_empty, _xlpm.index_result, Data!$J55),IF(_xlpm.is_coupler, 0, IF(_xlpm.condition1, _xlpm.result_if_condition1, SD!$C$43)))</f>
        <v>5-1</v>
      </c>
      <c r="CC55" s="24">
        <f t="shared" si="11"/>
        <v>5.083333333333333</v>
      </c>
      <c r="CD55">
        <f t="shared" si="12"/>
        <v>5.75</v>
      </c>
      <c r="CE55" t="str" cm="1">
        <f t="array" ref="CE55">IF(BY55="","",_xlfn._xlws.FILTER(SAC,(CName=SD!$C$8)*(EName="Vert Dowels")))</f>
        <v/>
      </c>
      <c r="CF55" t="str" cm="1">
        <f t="array" ref="CF55">IFERROR(IF(BY55="","",IF(K55="Coupler",_xlfn._xlws.FILTER(CCoupler,(CCName=SD!$C$8)*(CBSize=IF(A54=A55,W54&amp;W55,BX55&amp;W55))*(CCMFM="Male")),"")),"N/A")</f>
        <v/>
      </c>
      <c r="CG55" t="str">
        <f t="shared" si="13"/>
        <v/>
      </c>
      <c r="CH55" t="str">
        <f t="shared" si="14"/>
        <v/>
      </c>
      <c r="CI55" t="str">
        <f>_xlfn.LET(_xlpm.u3_value, U56,_xlpm.hyphen_pos,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K56="Coupler",_xlpm.coupler_value, IF(_xlpm.is_coupler, 0, _xlpm.calculated_value),_xlpm.final_value, _xlpm.calculated_value + SD!$E$13 + _xlpm.coupler_value,IF(CG55="", "", _xlpm.final_value))</f>
        <v/>
      </c>
      <c r="CJ55" t="str" cm="1">
        <f t="array" ref="CJ55">IF(CG55="","",_xlfn._xlws.FILTER(SAC,(CName=SD!$C$8)*(EName="Loose Dowels")))</f>
        <v/>
      </c>
      <c r="CK55" t="str" cm="1">
        <f t="array" ref="CK55">IFERROR(IF(CG55="","",IF(K56="Coupler",_xlfn._xlws.FILTER(CCoupler,(CCName=SD!$C$8)*(CBSize=IF(A55=A56,W55&amp;W56,""))*(CCMFM="Male")),"")),"N/A")</f>
        <v/>
      </c>
      <c r="CL55" t="str">
        <f>IFERROR(IF(AM55="Spiral","",IF(A54=A55,"",IF(SD!$C$37=0,"",SD!$C$37))),"")</f>
        <v/>
      </c>
      <c r="CN55">
        <f>IF(AM55="Spiral","",IFERROR(IF(SD!$C$36=0,"",SD!$C$36),""))</f>
        <v>5</v>
      </c>
      <c r="CP55" t="str">
        <f>IFERROR(IF(SD!$C$42=SD!$Q$3,'Take-off'!CA55,""),"")</f>
        <v/>
      </c>
      <c r="CR55">
        <f>IFERROR(IF(SD!$C$22=SD!$U$2,W55,SD!$C$22),"")</f>
        <v>0</v>
      </c>
      <c r="CS55" t="str" cm="1">
        <f t="array" ref="CS55">_xlfn.LET(_xlpm.GR,IF(AND(SD!$C$19=SD!$H$2,Grade!$G$1="Per level"),VLOOKUP(B55,Grade!$E$1:$F$200,2,FALSE),IF(AND(SD!$C$19=SD!$H$2,Grade!$G$1="Per Bar Size"),VLOOKUP(CR55,Grade!$B$1:$C$12,2,0),SD!$C$19)),IF(SD!$C$20=SD!$R$4,IF(A56=A55,"",INDEX(IF(_xlpm.GR=SD!$H$3,A615GR60,IF(_xlpm.GR=SD!$H$4,A615GR75,IF(_xlpm.GR=SD!$H$5,A615GR80,IF(_xlpm.GR=SD!H59,A615GR100,IF(_xlpm.GR=SD!$H$7,A706GR60,IF(_xlpm.GR=SD!$H$8,A706GR80)))))), MATCH(1, (BSize=CR55)*(BCName=SD!$C$8), 0))),""))</f>
        <v/>
      </c>
      <c r="CT55" t="str">
        <f>IF(A56=A55,"",IF(SD!$C$23="Match Vertical Bars ",X55,SD!$C$23))</f>
        <v/>
      </c>
      <c r="CU55" t="str" cm="1">
        <f t="array" ref="CU55">IF(A56=A55,"",IF(SD!$C$20="Top dowels",IF(SD!$E$25="No T-Head",IF(SD!$C$24=SD!$Q$3,VLOOKUP(CR55,S90Range,3,FALSE),LEFT(SD!$C$24,FIND("-",SD!$C$24)-1)+(RIGHT(SD!$C$24,LEN(SD!$C$24)-FIND("-",SD!$C$24))/12)),IF(SD!$E$25="T-Head",_xlfn._xlws.FILTER(THead,(TCName=SD!$C$8)*(TSize=CR55)),IF(SD!$E$25="Level Wise",_xlfn.LET(_xlpm.result,_xlfn.XLOOKUP(B55,TDLevel,TDLevelStatus,"No"),IF(_xlpm.result="Yes",_xlfn._xlws.FILTER(THead,(TCName=SD!$C$8)*(TSize=CR55)),IF(SD!$C$24=SD!$Q$3,VLOOKUP(CR55,S90Range,3,FALSE),LEFT(SD!$C$24,FIND("-",SD!$C$24)-1)+(RIGHT(SD!$C$24,LEN(SD!$C$24)-FIND("-", SD!$C$24))/12)))),IF(SD!$E$25="BarSize Wise",_xlfn.LET(_xlpm.result,_xlfn.XLOOKUP(CR55,TDBarSize,TDBarSizeStatus,"No"),IF(_xlpm.result="Yes",_xlfn._xlws.FILTER(THead,(TCName=SD!$C$8)*(TSize=CR55)),IF(SD!$C$24=SD!$Q$3,VLOOKUP(CR55,S90Range,3,FALSE),LEFT(SD!$C$24,FIND("-",SD!$C$24)-1)+(RIGHT(SD!$C$24,LEN(SD!$C$24)-FIND("-",SD!$C$24))/12)))), "")))),""))</f>
        <v/>
      </c>
      <c r="CV55" t="str">
        <f>_xlfn.LET(_xlpm.GRR,IF(AND(SD!$C$19=SD!$H$2,Grade!$G$1="Per level"),VLOOKUP(B55,Grade!$E$1:$F$200,2,FALSE),IF(AND(SD!$C$19=SD!$H$2,Grade!$G$1="Per Bar Size"),VLOOKUP(CR55,Grade!$B$1:$C$12,2,0),SD!$C$19)),IF(SD!$C$25=SD!$W$2,IF(Data!$J55="",IFERROR(INDEX(IF(SD!$C$11="Create",Lap!$A$3:$BF$14,IF(SD!$C$11="Per Uploaded File",Lap!$A$19:$BF$30,"")),MATCH(CR55,Lap!$A$3:$A$14,0),MATCH(VALUE(D55),Lap!$A$3:$BF$3,0)+IF(IFERROR(FIND("Grade 60",_xlpm.GRR),0)&gt;0,0,IF(IFERROR(FIND("Grade 80",_xlpm.GRR),0),1,IF(IFERROR(FIND("Grade 75",_xlpm.GRR),0),2,"")))),""),Data!J55),SD!$C$43))</f>
        <v>Match Lap</v>
      </c>
      <c r="CW55">
        <f t="shared" si="15"/>
        <v>0</v>
      </c>
      <c r="CX55">
        <f t="shared" si="16"/>
        <v>0</v>
      </c>
      <c r="CY55" t="str">
        <f t="shared" si="17"/>
        <v/>
      </c>
      <c r="DA55" t="str">
        <f t="shared" si="18"/>
        <v/>
      </c>
      <c r="DB55" t="str">
        <f t="shared" si="19"/>
        <v/>
      </c>
      <c r="DC55" s="24" t="str">
        <f t="shared" si="20"/>
        <v/>
      </c>
      <c r="DD55">
        <f t="shared" si="21"/>
        <v>10.583333333333334</v>
      </c>
      <c r="DE55" t="s">
        <v>785</v>
      </c>
      <c r="DF55" t="s">
        <v>67</v>
      </c>
      <c r="DG55" t="str">
        <f>VLOOKUP(W55,'Level Wise PSI'!$F$2:$G$12,2,FALSE)</f>
        <v>Double Lift</v>
      </c>
      <c r="DI55" t="str" cm="1">
        <f t="array" ref="DI55">_xlfn.LET(_xlpm.Coup,IFERROR(IF(BY55="","",IF(K55="Coupler",_xlfn._xlws.FILTER(CCFCoupler,(CCName=SD!$C$8)*(CBSize=IF(A54=A55,W54&amp;W55,BX55&amp;W55))),"")),"N/A"),IF(_xlpm.Coup=0,"",_xlpm.Coup))</f>
        <v/>
      </c>
      <c r="DJ55" t="str" cm="1">
        <f t="array" ref="DJ55">_xlfn.LET(_xlpm.Coup3,IFERROR(IF(CG55="","",IF(K56="Coupler",_xlfn._xlws.FILTER(CCFCoupler,(CCName=SD!$C$8)*(CBSize=IF(A55=A56,W55&amp;W56,""))),"")),"N/A"),IF(_xlpm.Coup3=0,"",_xlpm.Coup3))</f>
        <v/>
      </c>
      <c r="DK55" t="str" cm="1">
        <f t="array" ref="DK55">_xlfn.LET(_xlpm.Coup2,IFERROR(IF(A55&lt;&gt;A56,"",IF(DF55="No Lap","",IF(K56="Coupler",_xlfn._xlws.FILTER(CCFCoupler,(CCName=SD!$C$8)*(CBSize=IF(A54=A55,W55&amp;W56,W55&amp;W55))),""))),"N/A"),IF(_xlpm.Coup2=0,"",_xlpm.Coup2))</f>
        <v/>
      </c>
      <c r="DM55" t="str">
        <f>IF(AM55="Spiral","",IF(SD!$C$31=SD!$Y$3,SD!$E$32*2,""))</f>
        <v/>
      </c>
      <c r="DO55" s="24">
        <f t="shared" si="22"/>
        <v>2.5</v>
      </c>
      <c r="DQ55" t="str">
        <f t="shared" si="23"/>
        <v>Lig</v>
      </c>
      <c r="DR55" t="str">
        <f>IF(AM55="Spiral",((Y55-(SD!$E$12*2))/12),"")</f>
        <v/>
      </c>
      <c r="DS55" t="str">
        <f t="shared" si="24"/>
        <v/>
      </c>
      <c r="DT55" t="str">
        <f t="shared" si="25"/>
        <v/>
      </c>
      <c r="DU55" t="str">
        <f t="shared" si="26"/>
        <v/>
      </c>
    </row>
    <row r="56" spans="1:125" x14ac:dyDescent="0.25">
      <c r="A56">
        <v>29</v>
      </c>
      <c r="B56" t="s">
        <v>688</v>
      </c>
      <c r="C56" s="15">
        <v>2429</v>
      </c>
      <c r="D56" s="15">
        <v>10000</v>
      </c>
      <c r="E56" t="str">
        <f>IF(B56=Level!$A$2,SD!$C$14,SD!$C$13)</f>
        <v>0-8</v>
      </c>
      <c r="F56" s="15" t="s">
        <v>787</v>
      </c>
      <c r="G56" t="s">
        <v>742</v>
      </c>
      <c r="H56" t="str">
        <f>RIGHT(VLOOKUP(B56,Level!A:C,3,FALSE),LEN(VLOOKUP(B56,Level!A:C,3,FALSE))-1)</f>
        <v>10-7</v>
      </c>
      <c r="I56" t="s">
        <v>744</v>
      </c>
      <c r="J56" t="str">
        <f>IF(AND(SD!$C$19=SD!$H$2,Grade!$G$1="Per level"),VLOOKUP(B56,Grade!$E$1:$F$200,2,FALSE),IF(AND(SD!$C$19=SD!$H$2,Grade!$G$1="Per Bar Size"),VLOOKUP(W56,Grade!$B$1:$C$12,2,0),SD!$C$19))</f>
        <v>A615 Grade 60</v>
      </c>
      <c r="K56" t="s">
        <v>67</v>
      </c>
      <c r="L56" t="str">
        <f>IFERROR(IF(A56&lt;&gt;A57,"",IF(DF56="No Lap","",IF(K57="Lap",U56,IF(K57="Coupler",_xlfn._xlws.FILTER(CCoupler,(CCName=SD!$C$8)*(CBSize=IF(A55=A56,W56&amp;W57,W56&amp;W56))*(CCMFM="Male")),"")))),"N/A")</f>
        <v/>
      </c>
      <c r="M56" t="str">
        <f t="shared" si="0"/>
        <v/>
      </c>
      <c r="N56" t="s">
        <v>719</v>
      </c>
      <c r="O56" t="s">
        <v>720</v>
      </c>
      <c r="P56" t="s">
        <v>719</v>
      </c>
      <c r="Q56" t="str">
        <f>IF(AND(SD!$C$29=SD!$P$2,Grade!$O$1="Per level"),VLOOKUP(B56,Grade!$M$1:$N$200,2,FALSE),IF(AND(SD!$C$29=SD!$P$2,Grade!$O$1="Per Bar Size"),VLOOKUP(LEFT(N56,FIND("@",N56)-2),Grade!$J$1:$K$12,2,0),SD!$C$29))</f>
        <v>A615 Grade 60</v>
      </c>
      <c r="R56" t="s">
        <v>742</v>
      </c>
      <c r="S56" s="57">
        <v>56</v>
      </c>
      <c r="U56" t="str">
        <f>IF(Data!$J56="",IFERROR(INDEX(IF(SD!$C$11="Create",Lap!$A$3:$BF$14,IF(SD!$C$11="Per Uploaded File",Lap!$A$19:$BF$30,"")),MATCH(W56,Lap!$A$3:$A$14,0),MATCH(VALUE(D56),Lap!$A$3:$BF$3,0)+IF(IFERROR(FIND("Grade 60",J56),0)&gt;0,0,IF(IFERROR(FIND("Grade 80",J56),0),1,IF(IFERROR(FIND("Grade 75",J56),0),2,"")))),""),Data!J56)</f>
        <v>4-0</v>
      </c>
      <c r="W56" t="s">
        <v>151</v>
      </c>
      <c r="X56">
        <v>10</v>
      </c>
      <c r="Y56" t="str">
        <f t="shared" si="1"/>
        <v>30</v>
      </c>
      <c r="Z56">
        <f t="shared" si="2"/>
        <v>0</v>
      </c>
      <c r="AA56" s="24">
        <f t="shared" si="3"/>
        <v>10.583333333333334</v>
      </c>
      <c r="BB56" t="e" cm="1">
        <f t="array" ref="BB56">_xlfn.LET(_xlpm.PartF,(_xlfn.LET(_xlpm.grade, Q56,_xlpm.gradeRange, IF(_xlpm.grade=SD!$H$3, A615GR60, IF(_xlpm.grade=SD!$H$4, A615GR75, IF(_xlpm.grade=SD!$H$5, A615GR80, IF(_xlpm.grade=SD!$H$6, A615GR100, IF(_xlpm.grade=SD!$H$7, A706GR60, IF(_xlpm.grade=SD!$H$8, A706GR80)))))),_xlpm.matchValue, MATCH(1, (SD!$AW:$AW=AS56)*(SD!$AX:$AX=SD!$C$8), 0),INDEX(_xlpm.gradeRange, _xlpm.matchValue))),IF(AM56="Spiral",CONCATENATE("SP",_xlpm.PartF),_xlpm.PartF))</f>
        <v>#N/A</v>
      </c>
      <c r="BC56" cm="1">
        <f t="array" ref="BC56">_xlfn.LET(_xlpm.leftPart, LEFT(O56, FIND("@", O56) - 2),_xlpm.grade,Q56,_xlpm.gradeRange,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6" cm="1">
        <f t="array" ref="BD56">_xlfn.LET(_xlpm.leftPart, LEFT(P56, FIND("@", P56) - 2),_xlpm.grade, Q56,_xlpm.gradeRange,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6">
        <f t="shared" si="4"/>
        <v>2.5</v>
      </c>
      <c r="BF56">
        <f>IF(SD!$C$32=SD!$I$2,BE56,IF(SD!$C$32=SD!$I$3,DO56,IF(SD!$C$32=SD!$I$5,BA56,IF(SD!$C$32=SD!$I$6,(LEFT(SD!$C$35,FIND("-",SD!$C$35)-1)+RIGHT(SD!$C$35,LEN(SD!$C$35)-FIND("-",SD!$C$35))/12),IF(SD!$C$32=SD!$I$4,(AU56-(BG56+BH56)))))))</f>
        <v>0</v>
      </c>
      <c r="BG56">
        <f>IF(SD!$C$33=SD!$I$2,BE56,IF(SD!$C$33=SD!$I$3,DO56,IF(SD!$C$33=SD!$I$5,BA56,IF(SD!$C$33=SD!$I$6,(LEFT(SD!$C$35,FIND("-",SD!$C$35)-1)+RIGHT(SD!$C$35,LEN(SD!$C$35)-FIND("-",SD!$C$35))/12),IF(SD!$C$33=SD!$I$4,(AU56-(BF56+BH56)))))))</f>
        <v>-1</v>
      </c>
      <c r="BH56">
        <f>IF(SD!$C$34=SD!$I$2,BE56,IF(SD!$C$34=SD!$I$3,DO56,IF(SD!$C$34=SD!$I$5,BA56,IF(SD!$C$34=SD!$I$6,(LEFT(SD!$C$35,FIND("-",SD!$C$35)-1)+RIGHT(SD!$C$35,LEN(SD!$C$35)-FIND("-",SD!$C$35))/12),IF(SD!$C$34=SD!$I$4,(AU56-(BF56+BG56)))))))</f>
        <v>1</v>
      </c>
      <c r="BJ56">
        <f>IF(AM56="Spiral","1",MAX(ROUNDUP(IF(SD!$C$32="",AT56,BF56/(LEFT(RIGHT(N56,LEN(N56)-FIND("@",N56)),LEN(RIGHT(N56,LEN(N56)-FIND("@",N56)))-1)/12)+1),0),0))</f>
        <v>1</v>
      </c>
      <c r="BK56">
        <f>MAX(ROUNDUP(IF(SD!$C$33="","",BG56/(LEFT(RIGHT(O56,LEN(O56)-FIND("@",O56)),LEN(RIGHT(O56,LEN(O56)-FIND("@",O56)))-1)/12)+1),0),0)</f>
        <v>0</v>
      </c>
      <c r="BL56">
        <f>MAX(ROUNDUP(IF(SD!$C$34="","",BH56/(LEFT(RIGHT(P56,LEN(P56)-FIND("@",P56)),LEN(RIGHT(P56,LEN(P56)-FIND("@",P56)))-1)/12)+1),0),0)</f>
        <v>3</v>
      </c>
      <c r="BN56" t="e">
        <f t="shared" si="5"/>
        <v>#N/A</v>
      </c>
      <c r="BO56" t="e">
        <f t="shared" si="6"/>
        <v>#N/A</v>
      </c>
      <c r="BP56" t="e">
        <f t="shared" si="7"/>
        <v>#N/A</v>
      </c>
      <c r="BQ56" s="24" t="e">
        <f>IF(AM56=TRUE,(((Y56-(SD!$E$12*2))*3.14159265359)+BN56+BO56+BP56)/12+AL56,SUM(AF56:AG56,BN56,BO56,BP56,AO56,AQ56)/12)</f>
        <v>#N/A</v>
      </c>
      <c r="BR56" t="e">
        <f t="shared" si="8"/>
        <v>#N/A</v>
      </c>
      <c r="BS56" t="e">
        <f t="shared" si="9"/>
        <v>#N/A</v>
      </c>
      <c r="BT56" t="e">
        <f t="shared" si="10"/>
        <v>#N/A</v>
      </c>
      <c r="BU56" s="24" t="e">
        <f>IF(AM56=TRUE,(((Y56-(SD!$E$12*2))*3.14159265359)+BR56+BS56+BT56)/12+AL56,SUM(AF56:AG56,BR56,BS56,BT56,AO56,AQ56)/12)</f>
        <v>#N/A</v>
      </c>
      <c r="BW56" t="str">
        <f>IFERROR(LEFT(Data!L56,FIND(" -",Data!L56)-1),"")</f>
        <v/>
      </c>
      <c r="BX56" t="str">
        <f>IFERROR(IF(SD!$C$40=SD!$U$2,W56,IF(SD!$C$40=SD!$U$3,RIGHT(Data!L56,LEN(Data!L56)-(FIND("-",Data!L56)+1)),SD!$C$40)),"")</f>
        <v>#8</v>
      </c>
      <c r="BY56" t="str" cm="1">
        <f t="array" ref="BY56">IFERROR(_xlfn.LET(_xlpm.GRR,IF(AND(SD!$C$19=SD!$H$2,Grade!$G$1="Per level"),VLOOKUP(B56,Grade!$E$1:$F$200,2,FALSE),IF(AND(SD!$C$19=SD!$H$2,Grade!$G$1="Per Bar Size"),VLOOKUP(BX56,Grade!$B$1:$C$12,2,0),SD!$C$19)),_xlpm.is_equal, A55=A56,_xlpm.grade_range, IF(_xlpm.GRR=SD!$H$3, A615GR60,IF(_xlpm.GRR=SD!$H$4, A615GR75,IF(_xlpm.GRR=SD!$H$5, A615GR80,IF(_xlpm.GRR=SD!H60, A615GR100,IF(_xlpm.GRR=SD!$H$7, A706GR60,IF(_xlpm.GRR=SD!$H$8, A706GR80)))))),_xlpm.match_result, MATCH(1, (BSize=BX56)*(BCName=SD!$C$8), 0),_xlpm.final_result, INDEX(_xlpm.grade_range, _xlpm.match_result),IF(_xlpm.is_equal, "", _xlpm.final_result)),"")</f>
        <v/>
      </c>
      <c r="BZ56" t="str">
        <f>IF(A55=A56,"",IF(SD!$C$41="Match Vertical Bars ",X56,IF(SD!$C$41=SD!$V$3,BW56,SD!$C$41)))</f>
        <v/>
      </c>
      <c r="CA56" t="str" cm="1">
        <f t="array" ref="CA56">IF(A55=A56,"",IF(SD!$C$44="No T-Head",IF(SD!$C$42=SD!$Q$3,VLOOKUP(BX56,S90Range,3,FALSE),LEFT(SD!$C$42,FIND("-",SD!$C$42)-1)+(RIGHT(SD!$C$42,LEN(SD!$C$42)-FIND("-",SD!$C$42))/12)),IF(SD!$C$44="T-Head",_xlfn._xlws.FILTER(THead,(TCName=SD!$C$8)*(TSize=BX56)),IF(SD!$C$44="Level Wise",_xlfn.LET(_xlpm.result,_xlfn.XLOOKUP(B56,VDLevel,VDLevelStatus,"No"),IF(_xlpm.result="Yes",_xlfn._xlws.FILTER(THead,(TCName=SD!$C$8)*(TSize=BX56)),IF(SD!$C$42=SD!$Q$3,VLOOKUP(BX56,S90Range,3,FALSE),LEFT(SD!$C$42,FIND("-",SD!$C$42)-1)+(RIGHT(SD!$C$42,LEN(SD!$C$42)-FIND("-", SD!$C$42))/12)))),IF(SD!$C$44="BarSize Wise",_xlfn.LET(_xlpm.result,_xlfn.XLOOKUP(BX56,VDBarSize,VDBarSizeStatus,"No"),IF(_xlpm.result="Yes",_xlfn._xlws.FILTER(THead,(TCName=SD!$C$8)*(TSize=BX56)),IF(SD!$C$42=SD!$Q$3,VLOOKUP(BX56,S90Range,3,FALSE),LEFT(SD!$C$42,FIND("-",SD!$C$42)-1)+(RIGHT(SD!$C$42,LEN(SD!$C$42)-FIND("-",SD!$C$42))/12)))), "")))))</f>
        <v/>
      </c>
      <c r="CB56" t="str" cm="1">
        <f t="array" ref="CB56">_xlfn.LET(_xlpm.GRR,IF(AND(SD!$C$19=SD!$H$2,Grade!$G$1="Per level"),VLOOKUP(B56,Grade!$E$1:$F$200,2,FALSE),IF(AND(SD!$C$19=SD!$H$2,Grade!$G$1="Per Bar Size"),VLOOKUP(BX56,Grade!$B$1:$C$12,2,0),SD!$C$19)),_xlpm.is_coupler, K56="Coupler",_xlpm.condition1, SD!$C$43=SD!$W$2,_xlpm.data_j2_empty, Data!$J56="",_xlpm.lookup_table, IF(SD!$C$11="Create", Lap!$A$3:$BF$14, IF(SD!$C$11="Per Uploaded File", Lap!$A$19:$BF$30, "")),_xlpm.row_match, MATCH(BX56, Lap!$A$3:$A$14, 0),_xlpm.grade_offset, IF(IFERROR(FIND("Grade 60",_xlpm.GRR), 0) &gt; 0, 0, IF(IFERROR(FIND("Grade 80",_xlpm.GRR), 0), 1, IF(IFERROR(FIND("Grade 75",_xlpm.GRR), 0), 2, ""))),_xlpm.col_match, MATCH(VALUE(D56), Lap!$A$3:$BF$3, 0) + _xlpm.grade_offset,_xlpm.index_result, IFERROR(INDEX(_xlpm.lookup_table, _xlpm.row_match, _xlpm.col_match), Data!$J56),_xlpm.result_if_condition1, IF(_xlpm.data_j2_empty, _xlpm.index_result, Data!$J56),IF(_xlpm.is_coupler, 0, IF(_xlpm.condition1, _xlpm.result_if_condition1, SD!$C$43)))</f>
        <v>4-0</v>
      </c>
      <c r="CC56" s="24">
        <f t="shared" si="11"/>
        <v>4</v>
      </c>
      <c r="CD56">
        <f t="shared" si="12"/>
        <v>4.666666666666667</v>
      </c>
      <c r="CE56" t="str" cm="1">
        <f t="array" ref="CE56">IF(BY56="","",_xlfn._xlws.FILTER(SAC,(CName=SD!$C$8)*(EName="Vert Dowels")))</f>
        <v/>
      </c>
      <c r="CF56" t="str" cm="1">
        <f t="array" ref="CF56">IFERROR(IF(BY56="","",IF(K56="Coupler",_xlfn._xlws.FILTER(CCoupler,(CCName=SD!$C$8)*(CBSize=IF(A55=A56,W55&amp;W56,BX56&amp;W56))*(CCMFM="Male")),"")),"N/A")</f>
        <v/>
      </c>
      <c r="CG56" t="str">
        <f t="shared" si="13"/>
        <v/>
      </c>
      <c r="CH56" t="str">
        <f t="shared" si="14"/>
        <v/>
      </c>
      <c r="CI56" t="str">
        <f>_xlfn.LET(_xlpm.u3_value, U57,_xlpm.hyphen_pos,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K57="Coupler",_xlpm.coupler_value, IF(_xlpm.is_coupler, 0, _xlpm.calculated_value),_xlpm.final_value, _xlpm.calculated_value + SD!$E$13 + _xlpm.coupler_value,IF(CG56="", "", _xlpm.final_value))</f>
        <v/>
      </c>
      <c r="CJ56" t="str" cm="1">
        <f t="array" ref="CJ56">IF(CG56="","",_xlfn._xlws.FILTER(SAC,(CName=SD!$C$8)*(EName="Loose Dowels")))</f>
        <v/>
      </c>
      <c r="CK56" t="str" cm="1">
        <f t="array" ref="CK56">IFERROR(IF(CG56="","",IF(K57="Coupler",_xlfn._xlws.FILTER(CCoupler,(CCName=SD!$C$8)*(CBSize=IF(A56=A57,W56&amp;W57,""))*(CCMFM="Male")),"")),"N/A")</f>
        <v/>
      </c>
      <c r="CL56" t="str">
        <f>IFERROR(IF(AM56="Spiral","",IF(A55=A56,"",IF(SD!$C$37=0,"",SD!$C$37))),"")</f>
        <v/>
      </c>
      <c r="CN56">
        <f>IF(AM56="Spiral","",IFERROR(IF(SD!$C$36=0,"",SD!$C$36),""))</f>
        <v>5</v>
      </c>
      <c r="CP56" t="str">
        <f>IFERROR(IF(SD!$C$42=SD!$Q$3,'Take-off'!CA56,""),"")</f>
        <v/>
      </c>
      <c r="CR56">
        <f>IFERROR(IF(SD!$C$22=SD!$U$2,W56,SD!$C$22),"")</f>
        <v>0</v>
      </c>
      <c r="CS56" t="str" cm="1">
        <f t="array" ref="CS56">_xlfn.LET(_xlpm.GR,IF(AND(SD!$C$19=SD!$H$2,Grade!$G$1="Per level"),VLOOKUP(B56,Grade!$E$1:$F$200,2,FALSE),IF(AND(SD!$C$19=SD!$H$2,Grade!$G$1="Per Bar Size"),VLOOKUP(CR56,Grade!$B$1:$C$12,2,0),SD!$C$19)),IF(SD!$C$20=SD!$R$4,IF(A57=A56,"",INDEX(IF(_xlpm.GR=SD!$H$3,A615GR60,IF(_xlpm.GR=SD!$H$4,A615GR75,IF(_xlpm.GR=SD!$H$5,A615GR80,IF(_xlpm.GR=SD!H60,A615GR100,IF(_xlpm.GR=SD!$H$7,A706GR60,IF(_xlpm.GR=SD!$H$8,A706GR80)))))), MATCH(1, (BSize=CR56)*(BCName=SD!$C$8), 0))),""))</f>
        <v/>
      </c>
      <c r="CT56">
        <f>IF(A57=A56,"",IF(SD!$C$23="Match Vertical Bars ",X56,SD!$C$23))</f>
        <v>0</v>
      </c>
      <c r="CU56" t="str" cm="1">
        <f t="array" ref="CU56">IF(A57=A56,"",IF(SD!$C$20="Top dowels",IF(SD!$E$25="No T-Head",IF(SD!$C$24=SD!$Q$3,VLOOKUP(CR56,S90Range,3,FALSE),LEFT(SD!$C$24,FIND("-",SD!$C$24)-1)+(RIGHT(SD!$C$24,LEN(SD!$C$24)-FIND("-",SD!$C$24))/12)),IF(SD!$E$25="T-Head",_xlfn._xlws.FILTER(THead,(TCName=SD!$C$8)*(TSize=CR56)),IF(SD!$E$25="Level Wise",_xlfn.LET(_xlpm.result,_xlfn.XLOOKUP(B56,TDLevel,TDLevelStatus,"No"),IF(_xlpm.result="Yes",_xlfn._xlws.FILTER(THead,(TCName=SD!$C$8)*(TSize=CR56)),IF(SD!$C$24=SD!$Q$3,VLOOKUP(CR56,S90Range,3,FALSE),LEFT(SD!$C$24,FIND("-",SD!$C$24)-1)+(RIGHT(SD!$C$24,LEN(SD!$C$24)-FIND("-", SD!$C$24))/12)))),IF(SD!$E$25="BarSize Wise",_xlfn.LET(_xlpm.result,_xlfn.XLOOKUP(CR56,TDBarSize,TDBarSizeStatus,"No"),IF(_xlpm.result="Yes",_xlfn._xlws.FILTER(THead,(TCName=SD!$C$8)*(TSize=CR56)),IF(SD!$C$24=SD!$Q$3,VLOOKUP(CR56,S90Range,3,FALSE),LEFT(SD!$C$24,FIND("-",SD!$C$24)-1)+(RIGHT(SD!$C$24,LEN(SD!$C$24)-FIND("-",SD!$C$24))/12)))), "")))),""))</f>
        <v/>
      </c>
      <c r="CV56" t="str">
        <f>_xlfn.LET(_xlpm.GRR,IF(AND(SD!$C$19=SD!$H$2,Grade!$G$1="Per level"),VLOOKUP(B56,Grade!$E$1:$F$200,2,FALSE),IF(AND(SD!$C$19=SD!$H$2,Grade!$G$1="Per Bar Size"),VLOOKUP(CR56,Grade!$B$1:$C$12,2,0),SD!$C$19)),IF(SD!$C$25=SD!$W$2,IF(Data!$J56="",IFERROR(INDEX(IF(SD!$C$11="Create",Lap!$A$3:$BF$14,IF(SD!$C$11="Per Uploaded File",Lap!$A$19:$BF$30,"")),MATCH(CR56,Lap!$A$3:$A$14,0),MATCH(VALUE(D56),Lap!$A$3:$BF$3,0)+IF(IFERROR(FIND("Grade 60",_xlpm.GRR),0)&gt;0,0,IF(IFERROR(FIND("Grade 80",_xlpm.GRR),0),1,IF(IFERROR(FIND("Grade 75",_xlpm.GRR),0),2,"")))),""),Data!J56),SD!$C$43))</f>
        <v>Match Lap</v>
      </c>
      <c r="CW56">
        <f t="shared" si="15"/>
        <v>0</v>
      </c>
      <c r="CX56">
        <f t="shared" si="16"/>
        <v>0</v>
      </c>
      <c r="CY56" t="str">
        <f t="shared" si="17"/>
        <v/>
      </c>
      <c r="DA56" t="str">
        <f t="shared" si="18"/>
        <v/>
      </c>
      <c r="DB56" t="str">
        <f t="shared" si="19"/>
        <v/>
      </c>
      <c r="DC56" s="24" t="str">
        <f t="shared" si="20"/>
        <v/>
      </c>
      <c r="DD56">
        <f t="shared" si="21"/>
        <v>10.583333333333334</v>
      </c>
      <c r="DE56" t="s">
        <v>785</v>
      </c>
      <c r="DF56" t="s">
        <v>67</v>
      </c>
      <c r="DG56" t="str">
        <f>VLOOKUP(W56,'Level Wise PSI'!$F$2:$G$12,2,FALSE)</f>
        <v>Double Lift</v>
      </c>
      <c r="DI56" t="str" cm="1">
        <f t="array" ref="DI56">_xlfn.LET(_xlpm.Coup,IFERROR(IF(BY56="","",IF(K56="Coupler",_xlfn._xlws.FILTER(CCFCoupler,(CCName=SD!$C$8)*(CBSize=IF(A55=A56,W55&amp;W56,BX56&amp;W56))),"")),"N/A"),IF(_xlpm.Coup=0,"",_xlpm.Coup))</f>
        <v/>
      </c>
      <c r="DJ56" t="str" cm="1">
        <f t="array" ref="DJ56">_xlfn.LET(_xlpm.Coup3,IFERROR(IF(CG56="","",IF(K57="Coupler",_xlfn._xlws.FILTER(CCFCoupler,(CCName=SD!$C$8)*(CBSize=IF(A56=A57,W56&amp;W57,""))),"")),"N/A"),IF(_xlpm.Coup3=0,"",_xlpm.Coup3))</f>
        <v/>
      </c>
      <c r="DK56" t="str" cm="1">
        <f t="array" ref="DK56">_xlfn.LET(_xlpm.Coup2,IFERROR(IF(A56&lt;&gt;A57,"",IF(DF56="No Lap","",IF(K57="Coupler",_xlfn._xlws.FILTER(CCFCoupler,(CCName=SD!$C$8)*(CBSize=IF(A55=A56,W56&amp;W57,W56&amp;W56))),""))),"N/A"),IF(_xlpm.Coup2=0,"",_xlpm.Coup2))</f>
        <v/>
      </c>
      <c r="DM56" t="str">
        <f>IF(AM56="Spiral","",IF(SD!$C$31=SD!$Y$3,SD!$E$32*2,""))</f>
        <v/>
      </c>
      <c r="DO56" s="24">
        <f t="shared" si="22"/>
        <v>2.5</v>
      </c>
      <c r="DQ56" t="str">
        <f t="shared" si="23"/>
        <v>Lig</v>
      </c>
      <c r="DR56" t="str">
        <f>IF(AM56="Spiral",((Y56-(SD!$E$12*2))/12),"")</f>
        <v/>
      </c>
      <c r="DS56" t="str">
        <f t="shared" si="24"/>
        <v/>
      </c>
      <c r="DT56" t="str">
        <f t="shared" si="25"/>
        <v/>
      </c>
      <c r="DU56" t="str">
        <f t="shared" si="26"/>
        <v/>
      </c>
    </row>
    <row r="57" spans="1:125" x14ac:dyDescent="0.25">
      <c r="A57">
        <v>3</v>
      </c>
      <c r="B57" t="s">
        <v>664</v>
      </c>
      <c r="C57" s="15">
        <v>2429</v>
      </c>
      <c r="D57" s="15">
        <v>10000</v>
      </c>
      <c r="E57" t="str">
        <f>IF(B57=Level!$A$2,SD!$C$14,SD!$C$13)</f>
        <v>3-0</v>
      </c>
      <c r="F57" s="15" t="s">
        <v>787</v>
      </c>
      <c r="G57" t="s">
        <v>722</v>
      </c>
      <c r="H57" s="15" t="s">
        <v>788</v>
      </c>
      <c r="I57" t="s">
        <v>723</v>
      </c>
      <c r="J57" t="str">
        <f>IF(AND(SD!$C$19=SD!$H$2,Grade!$G$1="Per level"),VLOOKUP(B57,Grade!$E$1:$F$200,2,FALSE),IF(AND(SD!$C$19=SD!$H$2,Grade!$G$1="Per Bar Size"),VLOOKUP(W57,Grade!$B$1:$C$12,2,0),SD!$C$19))</f>
        <v>A615 Grade 60</v>
      </c>
      <c r="K57" t="s">
        <v>67</v>
      </c>
      <c r="L57" t="str">
        <f>IFERROR(IF(A57&lt;&gt;A58,"",IF(DF57="No Lap","",IF(K58="Lap",U57,IF(K58="Coupler",_xlfn._xlws.FILTER(CCoupler,(CCName=SD!$C$8)*(CBSize=IF(A56=A57,W57&amp;W58,W57&amp;W57))*(CCMFM="Male")),"")))),"N/A")</f>
        <v/>
      </c>
      <c r="M57" t="str">
        <f t="shared" si="0"/>
        <v/>
      </c>
      <c r="N57" t="s">
        <v>719</v>
      </c>
      <c r="O57" t="s">
        <v>724</v>
      </c>
      <c r="P57" t="s">
        <v>719</v>
      </c>
      <c r="Q57" t="str">
        <f>IF(AND(SD!$C$29=SD!$P$2,Grade!$O$1="Per level"),VLOOKUP(B57,Grade!$M$1:$N$200,2,FALSE),IF(AND(SD!$C$29=SD!$P$2,Grade!$O$1="Per Bar Size"),VLOOKUP(LEFT(N57,FIND("@",N57)-2),Grade!$J$1:$K$12,2,0),SD!$C$29))</f>
        <v>A615 Grade 60</v>
      </c>
      <c r="R57" t="s">
        <v>725</v>
      </c>
      <c r="S57" s="57">
        <v>57</v>
      </c>
      <c r="U57" t="str">
        <f>IF(Data!$J57="",IFERROR(INDEX(IF(SD!$C$11="Create",Lap!$A$3:$BF$14,IF(SD!$C$11="Per Uploaded File",Lap!$A$19:$BF$30,"")),MATCH(W57,Lap!$A$3:$A$14,0),MATCH(VALUE(D57),Lap!$A$3:$BF$3,0)+IF(IFERROR(FIND("Grade 60",J57),0)&gt;0,0,IF(IFERROR(FIND("Grade 80",J57),0),1,IF(IFERROR(FIND("Grade 75",J57),0),2,"")))),""),Data!J57)</f>
        <v>3-6</v>
      </c>
      <c r="W57" t="s">
        <v>139</v>
      </c>
      <c r="X57">
        <v>6</v>
      </c>
      <c r="Y57" t="str">
        <f t="shared" si="1"/>
        <v xml:space="preserve">8 </v>
      </c>
      <c r="Z57" t="str">
        <f t="shared" si="2"/>
        <v xml:space="preserve"> 36</v>
      </c>
      <c r="AA57" s="24">
        <f t="shared" si="3"/>
        <v>19.583333333333332</v>
      </c>
      <c r="BB57" t="e" cm="1">
        <f t="array" ref="BB57">_xlfn.LET(_xlpm.PartF,(_xlfn.LET(_xlpm.grade, Q57,_xlpm.gradeRange, IF(_xlpm.grade=SD!$H$3, A615GR60, IF(_xlpm.grade=SD!$H$4, A615GR75, IF(_xlpm.grade=SD!$H$5, A615GR80, IF(_xlpm.grade=SD!$H$6, A615GR100, IF(_xlpm.grade=SD!$H$7, A706GR60, IF(_xlpm.grade=SD!$H$8, A706GR80)))))),_xlpm.matchValue, MATCH(1, (SD!$AW:$AW=AS57)*(SD!$AX:$AX=SD!$C$8), 0),INDEX(_xlpm.gradeRange, _xlpm.matchValue))),IF(AM57="Spiral",CONCATENATE("SP",_xlpm.PartF),_xlpm.PartF))</f>
        <v>#N/A</v>
      </c>
      <c r="BC57" cm="1">
        <f t="array" ref="BC57">_xlfn.LET(_xlpm.leftPart, LEFT(O57, FIND("@", O57) - 2),_xlpm.grade,Q57,_xlpm.gradeRange,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7" cm="1">
        <f t="array" ref="BD57">_xlfn.LET(_xlpm.leftPart, LEFT(P57, FIND("@", P57) - 2),_xlpm.grade, Q57,_xlpm.gradeRange,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7">
        <f t="shared" si="4"/>
        <v>3</v>
      </c>
      <c r="BF57">
        <f>IF(SD!$C$32=SD!$I$2,BE57,IF(SD!$C$32=SD!$I$3,DO57,IF(SD!$C$32=SD!$I$5,BA57,IF(SD!$C$32=SD!$I$6,(LEFT(SD!$C$35,FIND("-",SD!$C$35)-1)+RIGHT(SD!$C$35,LEN(SD!$C$35)-FIND("-",SD!$C$35))/12),IF(SD!$C$32=SD!$I$4,(AU57-(BG57+BH57)))))))</f>
        <v>0</v>
      </c>
      <c r="BG57">
        <f>IF(SD!$C$33=SD!$I$2,BE57,IF(SD!$C$33=SD!$I$3,DO57,IF(SD!$C$33=SD!$I$5,BA57,IF(SD!$C$33=SD!$I$6,(LEFT(SD!$C$35,FIND("-",SD!$C$35)-1)+RIGHT(SD!$C$35,LEN(SD!$C$35)-FIND("-",SD!$C$35))/12),IF(SD!$C$33=SD!$I$4,(AU57-(BF57+BH57)))))))</f>
        <v>-1</v>
      </c>
      <c r="BH57">
        <f>IF(SD!$C$34=SD!$I$2,BE57,IF(SD!$C$34=SD!$I$3,DO57,IF(SD!$C$34=SD!$I$5,BA57,IF(SD!$C$34=SD!$I$6,(LEFT(SD!$C$35,FIND("-",SD!$C$35)-1)+RIGHT(SD!$C$35,LEN(SD!$C$35)-FIND("-",SD!$C$35))/12),IF(SD!$C$34=SD!$I$4,(AU57-(BF57+BG57)))))))</f>
        <v>1</v>
      </c>
      <c r="BJ57">
        <f>IF(AM57="Spiral","1",MAX(ROUNDUP(IF(SD!$C$32="",AT57,BF57/(LEFT(RIGHT(N57,LEN(N57)-FIND("@",N57)),LEN(RIGHT(N57,LEN(N57)-FIND("@",N57)))-1)/12)+1),0),0))</f>
        <v>1</v>
      </c>
      <c r="BK57">
        <f>MAX(ROUNDUP(IF(SD!$C$33="","",BG57/(LEFT(RIGHT(O57,LEN(O57)-FIND("@",O57)),LEN(RIGHT(O57,LEN(O57)-FIND("@",O57)))-1)/12)+1),0),0)</f>
        <v>0</v>
      </c>
      <c r="BL57">
        <f>MAX(ROUNDUP(IF(SD!$C$34="","",BH57/(LEFT(RIGHT(P57,LEN(P57)-FIND("@",P57)),LEN(RIGHT(P57,LEN(P57)-FIND("@",P57)))-1)/12)+1),0),0)</f>
        <v>3</v>
      </c>
      <c r="BN57" t="e">
        <f t="shared" si="5"/>
        <v>#N/A</v>
      </c>
      <c r="BO57" t="e">
        <f t="shared" si="6"/>
        <v>#N/A</v>
      </c>
      <c r="BP57" t="e">
        <f t="shared" si="7"/>
        <v>#N/A</v>
      </c>
      <c r="BQ57" s="24" t="e">
        <f>IF(AM57=TRUE,(((Y57-(SD!$E$12*2))*3.14159265359)+BN57+BO57+BP57)/12+AL57,SUM(AF57:AG57,BN57,BO57,BP57,AO57,AQ57)/12)</f>
        <v>#N/A</v>
      </c>
      <c r="BR57" t="e">
        <f t="shared" si="8"/>
        <v>#N/A</v>
      </c>
      <c r="BS57" t="e">
        <f t="shared" si="9"/>
        <v>#N/A</v>
      </c>
      <c r="BT57" t="e">
        <f t="shared" si="10"/>
        <v>#N/A</v>
      </c>
      <c r="BU57" s="24" t="e">
        <f>IF(AM57=TRUE,(((Y57-(SD!$E$12*2))*3.14159265359)+BR57+BS57+BT57)/12+AL57,SUM(AF57:AG57,BR57,BS57,BT57,AO57,AQ57)/12)</f>
        <v>#N/A</v>
      </c>
      <c r="BW57" t="str">
        <f>IFERROR(LEFT(Data!L57,FIND(" -",Data!L57)-1),"")</f>
        <v/>
      </c>
      <c r="BX57" t="str">
        <f>IFERROR(IF(SD!$C$40=SD!$U$2,W57,IF(SD!$C$40=SD!$U$3,RIGHT(Data!L57,LEN(Data!L57)-(FIND("-",Data!L57)+1)),SD!$C$40)),"")</f>
        <v>#7</v>
      </c>
      <c r="BY57" cm="1">
        <f t="array" ref="BY57">IFERROR(_xlfn.LET(_xlpm.GRR,IF(AND(SD!$C$19=SD!$H$2,Grade!$G$1="Per level"),VLOOKUP(B57,Grade!$E$1:$F$200,2,FALSE),IF(AND(SD!$C$19=SD!$H$2,Grade!$G$1="Per Bar Size"),VLOOKUP(BX57,Grade!$B$1:$C$12,2,0),SD!$C$19)),_xlpm.is_equal, A56=A57,_xlpm.grade_range, IF(_xlpm.GRR=SD!$H$3, A615GR60,IF(_xlpm.GRR=SD!$H$4, A615GR75,IF(_xlpm.GRR=SD!$H$5, A615GR80,IF(_xlpm.GRR=SD!H61, A615GR100,IF(_xlpm.GRR=SD!$H$7, A706GR60,IF(_xlpm.GRR=SD!$H$8, A706GR80)))))),_xlpm.match_result, MATCH(1, (BSize=BX57)*(BCName=SD!$C$8), 0),_xlpm.final_result, INDEX(_xlpm.grade_range, _xlpm.match_result),IF(_xlpm.is_equal, "", _xlpm.final_result)),"")</f>
        <v>7</v>
      </c>
      <c r="BZ57">
        <f>IF(A56=A57,"",IF(SD!$C$41="Match Vertical Bars ",X57,IF(SD!$C$41=SD!$V$3,BW57,SD!$C$41)))</f>
        <v>6</v>
      </c>
      <c r="CA57" cm="1">
        <f t="array" ref="CA57">IF(A56=A57,"",IF(SD!$C$44="No T-Head",IF(SD!$C$42=SD!$Q$3,VLOOKUP(BX57,S90Range,3,FALSE),LEFT(SD!$C$42,FIND("-",SD!$C$42)-1)+(RIGHT(SD!$C$42,LEN(SD!$C$42)-FIND("-",SD!$C$42))/12)),IF(SD!$C$44="T-Head",_xlfn._xlws.FILTER(THead,(TCName=SD!$C$8)*(TSize=BX57)),IF(SD!$C$44="Level Wise",_xlfn.LET(_xlpm.result,_xlfn.XLOOKUP(B57,VDLevel,VDLevelStatus,"No"),IF(_xlpm.result="Yes",_xlfn._xlws.FILTER(THead,(TCName=SD!$C$8)*(TSize=BX57)),IF(SD!$C$42=SD!$Q$3,VLOOKUP(BX57,S90Range,3,FALSE),LEFT(SD!$C$42,FIND("-",SD!$C$42)-1)+(RIGHT(SD!$C$42,LEN(SD!$C$42)-FIND("-", SD!$C$42))/12)))),IF(SD!$C$44="BarSize Wise",_xlfn.LET(_xlpm.result,_xlfn.XLOOKUP(BX57,VDBarSize,VDBarSizeStatus,"No"),IF(_xlpm.result="Yes",_xlfn._xlws.FILTER(THead,(TCName=SD!$C$8)*(TSize=BX57)),IF(SD!$C$42=SD!$Q$3,VLOOKUP(BX57,S90Range,3,FALSE),LEFT(SD!$C$42,FIND("-",SD!$C$42)-1)+(RIGHT(SD!$C$42,LEN(SD!$C$42)-FIND("-",SD!$C$42))/12)))), "")))))</f>
        <v>1.1666666666666667</v>
      </c>
      <c r="CB57" t="str" cm="1">
        <f t="array" ref="CB57">_xlfn.LET(_xlpm.GRR,IF(AND(SD!$C$19=SD!$H$2,Grade!$G$1="Per level"),VLOOKUP(B57,Grade!$E$1:$F$200,2,FALSE),IF(AND(SD!$C$19=SD!$H$2,Grade!$G$1="Per Bar Size"),VLOOKUP(BX57,Grade!$B$1:$C$12,2,0),SD!$C$19)),_xlpm.is_coupler, K57="Coupler",_xlpm.condition1, SD!$C$43=SD!$W$2,_xlpm.data_j2_empty, Data!$J57="",_xlpm.lookup_table, IF(SD!$C$11="Create", Lap!$A$3:$BF$14, IF(SD!$C$11="Per Uploaded File", Lap!$A$19:$BF$30, "")),_xlpm.row_match, MATCH(BX57, Lap!$A$3:$A$14, 0),_xlpm.grade_offset, IF(IFERROR(FIND("Grade 60",_xlpm.GRR), 0) &gt; 0, 0, IF(IFERROR(FIND("Grade 80",_xlpm.GRR), 0), 1, IF(IFERROR(FIND("Grade 75",_xlpm.GRR), 0), 2, ""))),_xlpm.col_match, MATCH(VALUE(D57), Lap!$A$3:$BF$3, 0) + _xlpm.grade_offset,_xlpm.index_result, IFERROR(INDEX(_xlpm.lookup_table, _xlpm.row_match, _xlpm.col_match), Data!$J57),_xlpm.result_if_condition1, IF(_xlpm.data_j2_empty, _xlpm.index_result, Data!$J57),IF(_xlpm.is_coupler, 0, IF(_xlpm.condition1, _xlpm.result_if_condition1, SD!$C$43)))</f>
        <v>3-6</v>
      </c>
      <c r="CC57" s="24">
        <f t="shared" si="11"/>
        <v>3.5</v>
      </c>
      <c r="CD57">
        <f t="shared" si="12"/>
        <v>7.666666666666667</v>
      </c>
      <c r="CE57" t="str" cm="1">
        <f t="array" ref="CE57">IF(BY57="","",_xlfn._xlws.FILTER(SAC,(CName=SD!$C$8)*(EName="Vert Dowels")))</f>
        <v>2200 CD</v>
      </c>
      <c r="CF57" t="str" cm="1">
        <f t="array" ref="CF57">IFERROR(IF(BY57="","",IF(K57="Coupler",_xlfn._xlws.FILTER(CCoupler,(CCName=SD!$C$8)*(CBSize=IF(A56=A57,W56&amp;W57,BX57&amp;W57))*(CCMFM="Male")),"")),"N/A")</f>
        <v/>
      </c>
      <c r="CG57" t="str">
        <f t="shared" si="13"/>
        <v/>
      </c>
      <c r="CH57" t="str">
        <f t="shared" si="14"/>
        <v/>
      </c>
      <c r="CI57" t="str">
        <f>_xlfn.LET(_xlpm.u3_value, U58,_xlpm.hyphen_pos,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K58="Coupler",_xlpm.coupler_value, IF(_xlpm.is_coupler, 0, _xlpm.calculated_value),_xlpm.final_value, _xlpm.calculated_value + SD!$E$13 + _xlpm.coupler_value,IF(CG57="", "", _xlpm.final_value))</f>
        <v/>
      </c>
      <c r="CJ57" t="str" cm="1">
        <f t="array" ref="CJ57">IF(CG57="","",_xlfn._xlws.FILTER(SAC,(CName=SD!$C$8)*(EName="Loose Dowels")))</f>
        <v/>
      </c>
      <c r="CK57" t="str" cm="1">
        <f t="array" ref="CK57">IFERROR(IF(CG57="","",IF(K58="Coupler",_xlfn._xlws.FILTER(CCoupler,(CCName=SD!$C$8)*(CBSize=IF(A57=A58,W57&amp;W58,""))*(CCMFM="Male")),"")),"N/A")</f>
        <v/>
      </c>
      <c r="CL57">
        <f>IFERROR(IF(AM57="Spiral","",IF(A56=A57,"",IF(SD!$C$37=0,"",SD!$C$37))),"")</f>
        <v>3</v>
      </c>
      <c r="CN57">
        <f>IF(AM57="Spiral","",IFERROR(IF(SD!$C$36=0,"",SD!$C$36),""))</f>
        <v>5</v>
      </c>
      <c r="CP57">
        <f>IFERROR(IF(SD!$C$42=SD!$Q$3,'Take-off'!CA57,""),"")</f>
        <v>1.1666666666666667</v>
      </c>
      <c r="CR57">
        <f>IFERROR(IF(SD!$C$22=SD!$U$2,W57,SD!$C$22),"")</f>
        <v>0</v>
      </c>
      <c r="CS57" t="str" cm="1">
        <f t="array" ref="CS57">_xlfn.LET(_xlpm.GR,IF(AND(SD!$C$19=SD!$H$2,Grade!$G$1="Per level"),VLOOKUP(B57,Grade!$E$1:$F$200,2,FALSE),IF(AND(SD!$C$19=SD!$H$2,Grade!$G$1="Per Bar Size"),VLOOKUP(CR57,Grade!$B$1:$C$12,2,0),SD!$C$19)),IF(SD!$C$20=SD!$R$4,IF(A58=A57,"",INDEX(IF(_xlpm.GR=SD!$H$3,A615GR60,IF(_xlpm.GR=SD!$H$4,A615GR75,IF(_xlpm.GR=SD!$H$5,A615GR80,IF(_xlpm.GR=SD!H61,A615GR100,IF(_xlpm.GR=SD!$H$7,A706GR60,IF(_xlpm.GR=SD!$H$8,A706GR80)))))), MATCH(1, (BSize=CR57)*(BCName=SD!$C$8), 0))),""))</f>
        <v/>
      </c>
      <c r="CT57">
        <f>IF(A58=A57,"",IF(SD!$C$23="Match Vertical Bars ",X57,SD!$C$23))</f>
        <v>0</v>
      </c>
      <c r="CU57" t="str" cm="1">
        <f t="array" ref="CU57">IF(A58=A57,"",IF(SD!$C$20="Top dowels",IF(SD!$E$25="No T-Head",IF(SD!$C$24=SD!$Q$3,VLOOKUP(CR57,S90Range,3,FALSE),LEFT(SD!$C$24,FIND("-",SD!$C$24)-1)+(RIGHT(SD!$C$24,LEN(SD!$C$24)-FIND("-",SD!$C$24))/12)),IF(SD!$E$25="T-Head",_xlfn._xlws.FILTER(THead,(TCName=SD!$C$8)*(TSize=CR57)),IF(SD!$E$25="Level Wise",_xlfn.LET(_xlpm.result,_xlfn.XLOOKUP(B57,TDLevel,TDLevelStatus,"No"),IF(_xlpm.result="Yes",_xlfn._xlws.FILTER(THead,(TCName=SD!$C$8)*(TSize=CR57)),IF(SD!$C$24=SD!$Q$3,VLOOKUP(CR57,S90Range,3,FALSE),LEFT(SD!$C$24,FIND("-",SD!$C$24)-1)+(RIGHT(SD!$C$24,LEN(SD!$C$24)-FIND("-", SD!$C$24))/12)))),IF(SD!$E$25="BarSize Wise",_xlfn.LET(_xlpm.result,_xlfn.XLOOKUP(CR57,TDBarSize,TDBarSizeStatus,"No"),IF(_xlpm.result="Yes",_xlfn._xlws.FILTER(THead,(TCName=SD!$C$8)*(TSize=CR57)),IF(SD!$C$24=SD!$Q$3,VLOOKUP(CR57,S90Range,3,FALSE),LEFT(SD!$C$24,FIND("-",SD!$C$24)-1)+(RIGHT(SD!$C$24,LEN(SD!$C$24)-FIND("-",SD!$C$24))/12)))), "")))),""))</f>
        <v/>
      </c>
      <c r="CV57" t="str">
        <f>_xlfn.LET(_xlpm.GRR,IF(AND(SD!$C$19=SD!$H$2,Grade!$G$1="Per level"),VLOOKUP(B57,Grade!$E$1:$F$200,2,FALSE),IF(AND(SD!$C$19=SD!$H$2,Grade!$G$1="Per Bar Size"),VLOOKUP(CR57,Grade!$B$1:$C$12,2,0),SD!$C$19)),IF(SD!$C$25=SD!$W$2,IF(Data!$J57="",IFERROR(INDEX(IF(SD!$C$11="Create",Lap!$A$3:$BF$14,IF(SD!$C$11="Per Uploaded File",Lap!$A$19:$BF$30,"")),MATCH(CR57,Lap!$A$3:$A$14,0),MATCH(VALUE(D57),Lap!$A$3:$BF$3,0)+IF(IFERROR(FIND("Grade 60",_xlpm.GRR),0)&gt;0,0,IF(IFERROR(FIND("Grade 80",_xlpm.GRR),0),1,IF(IFERROR(FIND("Grade 75",_xlpm.GRR),0),2,"")))),""),Data!J57),SD!$C$43))</f>
        <v>Match Lap</v>
      </c>
      <c r="CW57">
        <f t="shared" si="15"/>
        <v>0</v>
      </c>
      <c r="CX57">
        <f t="shared" si="16"/>
        <v>0</v>
      </c>
      <c r="CY57" t="str">
        <f t="shared" si="17"/>
        <v/>
      </c>
      <c r="DA57">
        <f t="shared" si="18"/>
        <v>3</v>
      </c>
      <c r="DB57" t="str">
        <f t="shared" si="19"/>
        <v>19-7</v>
      </c>
      <c r="DC57" s="24">
        <f t="shared" si="20"/>
        <v>19.583333333333332</v>
      </c>
      <c r="DD57">
        <f t="shared" si="21"/>
        <v>19.583333333333332</v>
      </c>
      <c r="DE57" t="s">
        <v>722</v>
      </c>
      <c r="DF57" t="s">
        <v>67</v>
      </c>
      <c r="DG57" t="str">
        <f>VLOOKUP(W57,'Level Wise PSI'!$F$2:$G$12,2,FALSE)</f>
        <v>Double Lift</v>
      </c>
      <c r="DI57" t="str" cm="1">
        <f t="array" ref="DI57">_xlfn.LET(_xlpm.Coup,IFERROR(IF(BY57="","",IF(K57="Coupler",_xlfn._xlws.FILTER(CCFCoupler,(CCName=SD!$C$8)*(CBSize=IF(A56=A57,W56&amp;W57,BX57&amp;W57))),"")),"N/A"),IF(_xlpm.Coup=0,"",_xlpm.Coup))</f>
        <v/>
      </c>
      <c r="DJ57" t="str" cm="1">
        <f t="array" ref="DJ57">_xlfn.LET(_xlpm.Coup3,IFERROR(IF(CG57="","",IF(K58="Coupler",_xlfn._xlws.FILTER(CCFCoupler,(CCName=SD!$C$8)*(CBSize=IF(A57=A58,W57&amp;W58,""))),"")),"N/A"),IF(_xlpm.Coup3=0,"",_xlpm.Coup3))</f>
        <v/>
      </c>
      <c r="DK57" t="str" cm="1">
        <f t="array" ref="DK57">_xlfn.LET(_xlpm.Coup2,IFERROR(IF(A57&lt;&gt;A58,"",IF(DF57="No Lap","",IF(K58="Coupler",_xlfn._xlws.FILTER(CCFCoupler,(CCName=SD!$C$8)*(CBSize=IF(A56=A57,W57&amp;W58,W57&amp;W57))),""))),"N/A"),IF(_xlpm.Coup2=0,"",_xlpm.Coup2))</f>
        <v/>
      </c>
      <c r="DM57" t="str">
        <f>IF(AM57="Spiral","",IF(SD!$C$31=SD!$Y$3,SD!$E$32*2,""))</f>
        <v/>
      </c>
      <c r="DO57" s="24">
        <f t="shared" si="22"/>
        <v>3</v>
      </c>
      <c r="DQ57" t="str">
        <f t="shared" si="23"/>
        <v>Lig</v>
      </c>
      <c r="DR57" t="str">
        <f>IF(AM57="Spiral",((Y57-(SD!$E$12*2))/12),"")</f>
        <v/>
      </c>
      <c r="DS57" t="str">
        <f t="shared" si="24"/>
        <v/>
      </c>
      <c r="DT57" t="str">
        <f t="shared" si="25"/>
        <v/>
      </c>
      <c r="DU57" t="str">
        <f t="shared" si="26"/>
        <v/>
      </c>
    </row>
    <row r="58" spans="1:125" x14ac:dyDescent="0.25">
      <c r="A58">
        <v>30</v>
      </c>
      <c r="B58" t="s">
        <v>664</v>
      </c>
      <c r="C58" s="15">
        <v>2429</v>
      </c>
      <c r="D58" s="15">
        <v>10000</v>
      </c>
      <c r="E58" s="15" t="s">
        <v>702</v>
      </c>
      <c r="F58" s="15" t="s">
        <v>787</v>
      </c>
      <c r="G58" t="s">
        <v>726</v>
      </c>
      <c r="H58" s="15" t="s">
        <v>789</v>
      </c>
      <c r="I58" t="s">
        <v>739</v>
      </c>
      <c r="J58" t="str">
        <f>IF(AND(SD!$C$19=SD!$H$2,Grade!$G$1="Per level"),VLOOKUP(B58,Grade!$E$1:$F$200,2,FALSE),IF(AND(SD!$C$19=SD!$H$2,Grade!$G$1="Per Bar Size"),VLOOKUP(W58,Grade!$B$1:$C$12,2,0),SD!$C$19))</f>
        <v>A615 Grade 60</v>
      </c>
      <c r="K58" t="s">
        <v>67</v>
      </c>
      <c r="L58" t="str">
        <f>IFERROR(IF(A58&lt;&gt;A59,"",IF(DF58="No Lap","",IF(K59="Lap",U58,IF(K59="Coupler",_xlfn._xlws.FILTER(CCoupler,(CCName=SD!$C$8)*(CBSize=IF(A57=A58,W58&amp;W59,W58&amp;W58))*(CCMFM="Male")),"")))),"N/A")</f>
        <v>5-1</v>
      </c>
      <c r="M58" t="str">
        <f t="shared" si="0"/>
        <v/>
      </c>
      <c r="N58" t="s">
        <v>719</v>
      </c>
      <c r="O58" t="s">
        <v>720</v>
      </c>
      <c r="P58" t="s">
        <v>719</v>
      </c>
      <c r="Q58" t="str">
        <f>IF(AND(SD!$C$29=SD!$P$2,Grade!$O$1="Per level"),VLOOKUP(B58,Grade!$M$1:$N$200,2,FALSE),IF(AND(SD!$C$29=SD!$P$2,Grade!$O$1="Per Bar Size"),VLOOKUP(LEFT(N58,FIND("@",N58)-2),Grade!$J$1:$K$12,2,0),SD!$C$29))</f>
        <v>A615 Grade 60</v>
      </c>
      <c r="R58" t="s">
        <v>736</v>
      </c>
      <c r="S58" s="57">
        <v>58</v>
      </c>
      <c r="U58" t="str">
        <f>IF(Data!$J58="",IFERROR(INDEX(IF(SD!$C$11="Create",Lap!$A$3:$BF$14,IF(SD!$C$11="Per Uploaded File",Lap!$A$19:$BF$30,"")),MATCH(W58,Lap!$A$3:$A$14,0),MATCH(VALUE(D58),Lap!$A$3:$BF$3,0)+IF(IFERROR(FIND("Grade 60",J58),0)&gt;0,0,IF(IFERROR(FIND("Grade 80",J58),0),1,IF(IFERROR(FIND("Grade 75",J58),0),2,"")))),""),Data!J58)</f>
        <v>5-1</v>
      </c>
      <c r="W58" t="s">
        <v>176</v>
      </c>
      <c r="X58">
        <v>8</v>
      </c>
      <c r="Y58" t="str">
        <f t="shared" si="1"/>
        <v xml:space="preserve">24 </v>
      </c>
      <c r="Z58" t="str">
        <f t="shared" si="2"/>
        <v xml:space="preserve"> 36</v>
      </c>
      <c r="AA58" s="24">
        <f t="shared" si="3"/>
        <v>26.666666666666668</v>
      </c>
      <c r="BB58" t="e" cm="1">
        <f t="array" ref="BB58">_xlfn.LET(_xlpm.PartF,(_xlfn.LET(_xlpm.grade, Q58,_xlpm.gradeRange, IF(_xlpm.grade=SD!$H$3, A615GR60, IF(_xlpm.grade=SD!$H$4, A615GR75, IF(_xlpm.grade=SD!$H$5, A615GR80, IF(_xlpm.grade=SD!$H$6, A615GR100, IF(_xlpm.grade=SD!$H$7, A706GR60, IF(_xlpm.grade=SD!$H$8, A706GR80)))))),_xlpm.matchValue, MATCH(1, (SD!$AW:$AW=AS58)*(SD!$AX:$AX=SD!$C$8), 0),INDEX(_xlpm.gradeRange, _xlpm.matchValue))),IF(AM58="Spiral",CONCATENATE("SP",_xlpm.PartF),_xlpm.PartF))</f>
        <v>#N/A</v>
      </c>
      <c r="BC58" cm="1">
        <f t="array" ref="BC58">_xlfn.LET(_xlpm.leftPart, LEFT(O58, FIND("@", O58) - 2),_xlpm.grade,Q58,_xlpm.gradeRange,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8" cm="1">
        <f t="array" ref="BD58">_xlfn.LET(_xlpm.leftPart, LEFT(P58, FIND("@", P58) - 2),_xlpm.grade, Q58,_xlpm.gradeRange,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8">
        <f t="shared" si="4"/>
        <v>3</v>
      </c>
      <c r="BF58">
        <f>IF(SD!$C$32=SD!$I$2,BE58,IF(SD!$C$32=SD!$I$3,DO58,IF(SD!$C$32=SD!$I$5,BA58,IF(SD!$C$32=SD!$I$6,(LEFT(SD!$C$35,FIND("-",SD!$C$35)-1)+RIGHT(SD!$C$35,LEN(SD!$C$35)-FIND("-",SD!$C$35))/12),IF(SD!$C$32=SD!$I$4,(AU58-(BG58+BH58)))))))</f>
        <v>0</v>
      </c>
      <c r="BG58">
        <f>IF(SD!$C$33=SD!$I$2,BE58,IF(SD!$C$33=SD!$I$3,DO58,IF(SD!$C$33=SD!$I$5,BA58,IF(SD!$C$33=SD!$I$6,(LEFT(SD!$C$35,FIND("-",SD!$C$35)-1)+RIGHT(SD!$C$35,LEN(SD!$C$35)-FIND("-",SD!$C$35))/12),IF(SD!$C$33=SD!$I$4,(AU58-(BF58+BH58)))))))</f>
        <v>-1</v>
      </c>
      <c r="BH58">
        <f>IF(SD!$C$34=SD!$I$2,BE58,IF(SD!$C$34=SD!$I$3,DO58,IF(SD!$C$34=SD!$I$5,BA58,IF(SD!$C$34=SD!$I$6,(LEFT(SD!$C$35,FIND("-",SD!$C$35)-1)+RIGHT(SD!$C$35,LEN(SD!$C$35)-FIND("-",SD!$C$35))/12),IF(SD!$C$34=SD!$I$4,(AU58-(BF58+BG58)))))))</f>
        <v>1</v>
      </c>
      <c r="BJ58">
        <f>IF(AM58="Spiral","1",MAX(ROUNDUP(IF(SD!$C$32="",AT58,BF58/(LEFT(RIGHT(N58,LEN(N58)-FIND("@",N58)),LEN(RIGHT(N58,LEN(N58)-FIND("@",N58)))-1)/12)+1),0),0))</f>
        <v>1</v>
      </c>
      <c r="BK58">
        <f>MAX(ROUNDUP(IF(SD!$C$33="","",BG58/(LEFT(RIGHT(O58,LEN(O58)-FIND("@",O58)),LEN(RIGHT(O58,LEN(O58)-FIND("@",O58)))-1)/12)+1),0),0)</f>
        <v>0</v>
      </c>
      <c r="BL58">
        <f>MAX(ROUNDUP(IF(SD!$C$34="","",BH58/(LEFT(RIGHT(P58,LEN(P58)-FIND("@",P58)),LEN(RIGHT(P58,LEN(P58)-FIND("@",P58)))-1)/12)+1),0),0)</f>
        <v>3</v>
      </c>
      <c r="BN58" t="e">
        <f t="shared" si="5"/>
        <v>#N/A</v>
      </c>
      <c r="BO58" t="e">
        <f t="shared" si="6"/>
        <v>#N/A</v>
      </c>
      <c r="BP58" t="e">
        <f t="shared" si="7"/>
        <v>#N/A</v>
      </c>
      <c r="BQ58" s="24" t="e">
        <f>IF(AM58=TRUE,(((Y58-(SD!$E$12*2))*3.14159265359)+BN58+BO58+BP58)/12+AL58,SUM(AF58:AG58,BN58,BO58,BP58,AO58,AQ58)/12)</f>
        <v>#N/A</v>
      </c>
      <c r="BR58" t="e">
        <f t="shared" si="8"/>
        <v>#N/A</v>
      </c>
      <c r="BS58" t="e">
        <f t="shared" si="9"/>
        <v>#N/A</v>
      </c>
      <c r="BT58" t="e">
        <f t="shared" si="10"/>
        <v>#N/A</v>
      </c>
      <c r="BU58" s="24" t="e">
        <f>IF(AM58=TRUE,(((Y58-(SD!$E$12*2))*3.14159265359)+BR58+BS58+BT58)/12+AL58,SUM(AF58:AG58,BR58,BS58,BT58,AO58,AQ58)/12)</f>
        <v>#N/A</v>
      </c>
      <c r="BW58" t="str">
        <f>IFERROR(LEFT(Data!L58,FIND(" -",Data!L58)-1),"")</f>
        <v/>
      </c>
      <c r="BX58" t="str">
        <f>IFERROR(IF(SD!$C$40=SD!$U$2,W58,IF(SD!$C$40=SD!$U$3,RIGHT(Data!L58,LEN(Data!L58)-(FIND("-",Data!L58)+1)),SD!$C$40)),"")</f>
        <v>#10</v>
      </c>
      <c r="BY58" cm="1">
        <f t="array" ref="BY58">IFERROR(_xlfn.LET(_xlpm.GRR,IF(AND(SD!$C$19=SD!$H$2,Grade!$G$1="Per level"),VLOOKUP(B58,Grade!$E$1:$F$200,2,FALSE),IF(AND(SD!$C$19=SD!$H$2,Grade!$G$1="Per Bar Size"),VLOOKUP(BX58,Grade!$B$1:$C$12,2,0),SD!$C$19)),_xlpm.is_equal, A57=A58,_xlpm.grade_range, IF(_xlpm.GRR=SD!$H$3, A615GR60,IF(_xlpm.GRR=SD!$H$4, A615GR75,IF(_xlpm.GRR=SD!$H$5, A615GR80,IF(_xlpm.GRR=SD!H62, A615GR100,IF(_xlpm.GRR=SD!$H$7, A706GR60,IF(_xlpm.GRR=SD!$H$8, A706GR80)))))),_xlpm.match_result, MATCH(1, (BSize=BX58)*(BCName=SD!$C$8), 0),_xlpm.final_result, INDEX(_xlpm.grade_range, _xlpm.match_result),IF(_xlpm.is_equal, "", _xlpm.final_result)),"")</f>
        <v>10</v>
      </c>
      <c r="BZ58">
        <f>IF(A57=A58,"",IF(SD!$C$41="Match Vertical Bars ",X58,IF(SD!$C$41=SD!$V$3,BW58,SD!$C$41)))</f>
        <v>8</v>
      </c>
      <c r="CA58" cm="1">
        <f t="array" ref="CA58">IF(A57=A58,"",IF(SD!$C$44="No T-Head",IF(SD!$C$42=SD!$Q$3,VLOOKUP(BX58,S90Range,3,FALSE),LEFT(SD!$C$42,FIND("-",SD!$C$42)-1)+(RIGHT(SD!$C$42,LEN(SD!$C$42)-FIND("-",SD!$C$42))/12)),IF(SD!$C$44="T-Head",_xlfn._xlws.FILTER(THead,(TCName=SD!$C$8)*(TSize=BX58)),IF(SD!$C$44="Level Wise",_xlfn.LET(_xlpm.result,_xlfn.XLOOKUP(B58,VDLevel,VDLevelStatus,"No"),IF(_xlpm.result="Yes",_xlfn._xlws.FILTER(THead,(TCName=SD!$C$8)*(TSize=BX58)),IF(SD!$C$42=SD!$Q$3,VLOOKUP(BX58,S90Range,3,FALSE),LEFT(SD!$C$42,FIND("-",SD!$C$42)-1)+(RIGHT(SD!$C$42,LEN(SD!$C$42)-FIND("-", SD!$C$42))/12)))),IF(SD!$C$44="BarSize Wise",_xlfn.LET(_xlpm.result,_xlfn.XLOOKUP(BX58,VDBarSize,VDBarSizeStatus,"No"),IF(_xlpm.result="Yes",_xlfn._xlws.FILTER(THead,(TCName=SD!$C$8)*(TSize=BX58)),IF(SD!$C$42=SD!$Q$3,VLOOKUP(BX58,S90Range,3,FALSE),LEFT(SD!$C$42,FIND("-",SD!$C$42)-1)+(RIGHT(SD!$C$42,LEN(SD!$C$42)-FIND("-",SD!$C$42))/12)))), "")))))</f>
        <v>1.8333333333333335</v>
      </c>
      <c r="CB58" t="str" cm="1">
        <f t="array" ref="CB58">_xlfn.LET(_xlpm.GRR,IF(AND(SD!$C$19=SD!$H$2,Grade!$G$1="Per level"),VLOOKUP(B58,Grade!$E$1:$F$200,2,FALSE),IF(AND(SD!$C$19=SD!$H$2,Grade!$G$1="Per Bar Size"),VLOOKUP(BX58,Grade!$B$1:$C$12,2,0),SD!$C$19)),_xlpm.is_coupler, K58="Coupler",_xlpm.condition1, SD!$C$43=SD!$W$2,_xlpm.data_j2_empty, Data!$J58="",_xlpm.lookup_table, IF(SD!$C$11="Create", Lap!$A$3:$BF$14, IF(SD!$C$11="Per Uploaded File", Lap!$A$19:$BF$30, "")),_xlpm.row_match, MATCH(BX58, Lap!$A$3:$A$14, 0),_xlpm.grade_offset, IF(IFERROR(FIND("Grade 60",_xlpm.GRR), 0) &gt; 0, 0, IF(IFERROR(FIND("Grade 80",_xlpm.GRR), 0), 1, IF(IFERROR(FIND("Grade 75",_xlpm.GRR), 0), 2, ""))),_xlpm.col_match, MATCH(VALUE(D58), Lap!$A$3:$BF$3, 0) + _xlpm.grade_offset,_xlpm.index_result, IFERROR(INDEX(_xlpm.lookup_table, _xlpm.row_match, _xlpm.col_match), Data!$J58),_xlpm.result_if_condition1, IF(_xlpm.data_j2_empty, _xlpm.index_result, Data!$J58),IF(_xlpm.is_coupler, 0, IF(_xlpm.condition1, _xlpm.result_if_condition1, SD!$C$43)))</f>
        <v>5-1</v>
      </c>
      <c r="CC58" s="24">
        <f t="shared" si="11"/>
        <v>5.083333333333333</v>
      </c>
      <c r="CD58">
        <f t="shared" si="12"/>
        <v>10.916666666666666</v>
      </c>
      <c r="CE58" t="str" cm="1">
        <f t="array" ref="CE58">IF(BY58="","",_xlfn._xlws.FILTER(SAC,(CName=SD!$C$8)*(EName="Vert Dowels")))</f>
        <v>2200 CD</v>
      </c>
      <c r="CF58" t="str" cm="1">
        <f t="array" ref="CF58">IFERROR(IF(BY58="","",IF(K58="Coupler",_xlfn._xlws.FILTER(CCoupler,(CCName=SD!$C$8)*(CBSize=IF(A57=A58,W57&amp;W58,BX58&amp;W58))*(CCMFM="Male")),"")),"N/A")</f>
        <v/>
      </c>
      <c r="CG58" t="str">
        <f t="shared" si="13"/>
        <v/>
      </c>
      <c r="CH58" t="str">
        <f t="shared" si="14"/>
        <v/>
      </c>
      <c r="CI58" t="str">
        <f>_xlfn.LET(_xlpm.u3_value, U59,_xlpm.hyphen_pos,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K59="Coupler",_xlpm.coupler_value, IF(_xlpm.is_coupler, 0, _xlpm.calculated_value),_xlpm.final_value, _xlpm.calculated_value + SD!$E$13 + _xlpm.coupler_value,IF(CG58="", "", _xlpm.final_value))</f>
        <v/>
      </c>
      <c r="CJ58" t="str" cm="1">
        <f t="array" ref="CJ58">IF(CG58="","",_xlfn._xlws.FILTER(SAC,(CName=SD!$C$8)*(EName="Loose Dowels")))</f>
        <v/>
      </c>
      <c r="CK58" t="str" cm="1">
        <f t="array" ref="CK58">IFERROR(IF(CG58="","",IF(K59="Coupler",_xlfn._xlws.FILTER(CCoupler,(CCName=SD!$C$8)*(CBSize=IF(A58=A59,W58&amp;W59,""))*(CCMFM="Male")),"")),"N/A")</f>
        <v/>
      </c>
      <c r="CL58">
        <f>IFERROR(IF(AM58="Spiral","",IF(A57=A58,"",IF(SD!$C$37=0,"",SD!$C$37))),"")</f>
        <v>3</v>
      </c>
      <c r="CN58">
        <f>IF(AM58="Spiral","",IFERROR(IF(SD!$C$36=0,"",SD!$C$36),""))</f>
        <v>5</v>
      </c>
      <c r="CP58">
        <f>IFERROR(IF(SD!$C$42=SD!$Q$3,'Take-off'!CA58,""),"")</f>
        <v>1.8333333333333335</v>
      </c>
      <c r="CR58">
        <f>IFERROR(IF(SD!$C$22=SD!$U$2,W58,SD!$C$22),"")</f>
        <v>0</v>
      </c>
      <c r="CS58" t="str" cm="1">
        <f t="array" ref="CS58">_xlfn.LET(_xlpm.GR,IF(AND(SD!$C$19=SD!$H$2,Grade!$G$1="Per level"),VLOOKUP(B58,Grade!$E$1:$F$200,2,FALSE),IF(AND(SD!$C$19=SD!$H$2,Grade!$G$1="Per Bar Size"),VLOOKUP(CR58,Grade!$B$1:$C$12,2,0),SD!$C$19)),IF(SD!$C$20=SD!$R$4,IF(A59=A58,"",INDEX(IF(_xlpm.GR=SD!$H$3,A615GR60,IF(_xlpm.GR=SD!$H$4,A615GR75,IF(_xlpm.GR=SD!$H$5,A615GR80,IF(_xlpm.GR=SD!H62,A615GR100,IF(_xlpm.GR=SD!$H$7,A706GR60,IF(_xlpm.GR=SD!$H$8,A706GR80)))))), MATCH(1, (BSize=CR58)*(BCName=SD!$C$8), 0))),""))</f>
        <v/>
      </c>
      <c r="CT58" t="str">
        <f>IF(A59=A58,"",IF(SD!$C$23="Match Vertical Bars ",X58,SD!$C$23))</f>
        <v/>
      </c>
      <c r="CU58" t="str" cm="1">
        <f t="array" ref="CU58">IF(A59=A58,"",IF(SD!$C$20="Top dowels",IF(SD!$E$25="No T-Head",IF(SD!$C$24=SD!$Q$3,VLOOKUP(CR58,S90Range,3,FALSE),LEFT(SD!$C$24,FIND("-",SD!$C$24)-1)+(RIGHT(SD!$C$24,LEN(SD!$C$24)-FIND("-",SD!$C$24))/12)),IF(SD!$E$25="T-Head",_xlfn._xlws.FILTER(THead,(TCName=SD!$C$8)*(TSize=CR58)),IF(SD!$E$25="Level Wise",_xlfn.LET(_xlpm.result,_xlfn.XLOOKUP(B58,TDLevel,TDLevelStatus,"No"),IF(_xlpm.result="Yes",_xlfn._xlws.FILTER(THead,(TCName=SD!$C$8)*(TSize=CR58)),IF(SD!$C$24=SD!$Q$3,VLOOKUP(CR58,S90Range,3,FALSE),LEFT(SD!$C$24,FIND("-",SD!$C$24)-1)+(RIGHT(SD!$C$24,LEN(SD!$C$24)-FIND("-", SD!$C$24))/12)))),IF(SD!$E$25="BarSize Wise",_xlfn.LET(_xlpm.result,_xlfn.XLOOKUP(CR58,TDBarSize,TDBarSizeStatus,"No"),IF(_xlpm.result="Yes",_xlfn._xlws.FILTER(THead,(TCName=SD!$C$8)*(TSize=CR58)),IF(SD!$C$24=SD!$Q$3,VLOOKUP(CR58,S90Range,3,FALSE),LEFT(SD!$C$24,FIND("-",SD!$C$24)-1)+(RIGHT(SD!$C$24,LEN(SD!$C$24)-FIND("-",SD!$C$24))/12)))), "")))),""))</f>
        <v/>
      </c>
      <c r="CV58" t="str">
        <f>_xlfn.LET(_xlpm.GRR,IF(AND(SD!$C$19=SD!$H$2,Grade!$G$1="Per level"),VLOOKUP(B58,Grade!$E$1:$F$200,2,FALSE),IF(AND(SD!$C$19=SD!$H$2,Grade!$G$1="Per Bar Size"),VLOOKUP(CR58,Grade!$B$1:$C$12,2,0),SD!$C$19)),IF(SD!$C$25=SD!$W$2,IF(Data!$J58="",IFERROR(INDEX(IF(SD!$C$11="Create",Lap!$A$3:$BF$14,IF(SD!$C$11="Per Uploaded File",Lap!$A$19:$BF$30,"")),MATCH(CR58,Lap!$A$3:$A$14,0),MATCH(VALUE(D58),Lap!$A$3:$BF$3,0)+IF(IFERROR(FIND("Grade 60",_xlpm.GRR),0)&gt;0,0,IF(IFERROR(FIND("Grade 80",_xlpm.GRR),0),1,IF(IFERROR(FIND("Grade 75",_xlpm.GRR),0),2,"")))),""),Data!J58),SD!$C$43))</f>
        <v>Match Lap</v>
      </c>
      <c r="CW58">
        <f t="shared" si="15"/>
        <v>0</v>
      </c>
      <c r="CX58">
        <f t="shared" si="16"/>
        <v>0</v>
      </c>
      <c r="CY58" t="str">
        <f t="shared" si="17"/>
        <v/>
      </c>
      <c r="DA58">
        <f t="shared" si="18"/>
        <v>30</v>
      </c>
      <c r="DB58" t="str">
        <f t="shared" si="19"/>
        <v>138-0</v>
      </c>
      <c r="DC58" s="24">
        <f t="shared" si="20"/>
        <v>137.99999999999997</v>
      </c>
      <c r="DD58">
        <f t="shared" si="21"/>
        <v>21.583333333333332</v>
      </c>
      <c r="DE58" t="s">
        <v>785</v>
      </c>
      <c r="DF58" t="s">
        <v>67</v>
      </c>
      <c r="DG58" t="str">
        <f>VLOOKUP(W58,'Level Wise PSI'!$F$2:$G$12,2,FALSE)</f>
        <v>Double Lift</v>
      </c>
      <c r="DI58" t="str" cm="1">
        <f t="array" ref="DI58">_xlfn.LET(_xlpm.Coup,IFERROR(IF(BY58="","",IF(K58="Coupler",_xlfn._xlws.FILTER(CCFCoupler,(CCName=SD!$C$8)*(CBSize=IF(A57=A58,W57&amp;W58,BX58&amp;W58))),"")),"N/A"),IF(_xlpm.Coup=0,"",_xlpm.Coup))</f>
        <v/>
      </c>
      <c r="DJ58" t="str" cm="1">
        <f t="array" ref="DJ58">_xlfn.LET(_xlpm.Coup3,IFERROR(IF(CG58="","",IF(K59="Coupler",_xlfn._xlws.FILTER(CCFCoupler,(CCName=SD!$C$8)*(CBSize=IF(A58=A59,W58&amp;W59,""))),"")),"N/A"),IF(_xlpm.Coup3=0,"",_xlpm.Coup3))</f>
        <v/>
      </c>
      <c r="DK58" t="str" cm="1">
        <f t="array" ref="DK58">_xlfn.LET(_xlpm.Coup2,IFERROR(IF(A58&lt;&gt;A59,"",IF(DF58="No Lap","",IF(K59="Coupler",_xlfn._xlws.FILTER(CCFCoupler,(CCName=SD!$C$8)*(CBSize=IF(A57=A58,W58&amp;W59,W58&amp;W58))),""))),"N/A"),IF(_xlpm.Coup2=0,"",_xlpm.Coup2))</f>
        <v/>
      </c>
      <c r="DM58" t="str">
        <f>IF(AM58="Spiral","",IF(SD!$C$31=SD!$Y$3,SD!$E$32*2,""))</f>
        <v/>
      </c>
      <c r="DO58" s="24">
        <f t="shared" si="22"/>
        <v>3</v>
      </c>
      <c r="DQ58" t="str">
        <f t="shared" si="23"/>
        <v>Lig</v>
      </c>
      <c r="DR58" t="str">
        <f>IF(AM58="Spiral",((Y58-(SD!$E$12*2))/12),"")</f>
        <v/>
      </c>
      <c r="DS58" t="str">
        <f t="shared" si="24"/>
        <v/>
      </c>
      <c r="DT58" t="str">
        <f t="shared" si="25"/>
        <v/>
      </c>
      <c r="DU58" t="str">
        <f t="shared" si="26"/>
        <v/>
      </c>
    </row>
    <row r="59" spans="1:125" x14ac:dyDescent="0.25">
      <c r="A59">
        <v>30</v>
      </c>
      <c r="B59" t="s">
        <v>667</v>
      </c>
      <c r="C59" s="15">
        <v>2429</v>
      </c>
      <c r="D59" s="15">
        <v>10000</v>
      </c>
      <c r="E59" t="str">
        <f>IF(B59=Level!$A$2,SD!$C$14,SD!$C$13)</f>
        <v>0-8</v>
      </c>
      <c r="F59" s="15" t="s">
        <v>787</v>
      </c>
      <c r="G59" t="s">
        <v>748</v>
      </c>
      <c r="H59" t="str">
        <f>RIGHT(VLOOKUP(B59,Level!A:C,3,FALSE),LEN(VLOOKUP(B59,Level!A:C,3,FALSE))-1)</f>
        <v>10-7</v>
      </c>
      <c r="I59" t="s">
        <v>739</v>
      </c>
      <c r="J59" t="str">
        <f>IF(AND(SD!$C$19=SD!$H$2,Grade!$G$1="Per level"),VLOOKUP(B59,Grade!$E$1:$F$200,2,FALSE),IF(AND(SD!$C$19=SD!$H$2,Grade!$G$1="Per Bar Size"),VLOOKUP(W59,Grade!$B$1:$C$12,2,0),SD!$C$19))</f>
        <v>A615 Grade 60</v>
      </c>
      <c r="K59" t="s">
        <v>67</v>
      </c>
      <c r="L59" t="str">
        <f>IFERROR(IF(A59&lt;&gt;A60,"",IF(DF59="No Lap","",IF(K60="Lap",U59,IF(K60="Coupler",_xlfn._xlws.FILTER(CCoupler,(CCName=SD!$C$8)*(CBSize=IF(A58=A59,W59&amp;W60,W59&amp;W59))*(CCMFM="Male")),"")))),"N/A")</f>
        <v>5-1</v>
      </c>
      <c r="M59" t="str">
        <f t="shared" si="0"/>
        <v/>
      </c>
      <c r="N59" t="s">
        <v>719</v>
      </c>
      <c r="O59" t="s">
        <v>720</v>
      </c>
      <c r="P59" t="s">
        <v>719</v>
      </c>
      <c r="Q59" t="str">
        <f>IF(AND(SD!$C$29=SD!$P$2,Grade!$O$1="Per level"),VLOOKUP(B59,Grade!$M$1:$N$200,2,FALSE),IF(AND(SD!$C$29=SD!$P$2,Grade!$O$1="Per Bar Size"),VLOOKUP(LEFT(N59,FIND("@",N59)-2),Grade!$J$1:$K$12,2,0),SD!$C$29))</f>
        <v>A615 Grade 60</v>
      </c>
      <c r="R59" t="s">
        <v>736</v>
      </c>
      <c r="S59" s="57">
        <v>59</v>
      </c>
      <c r="U59" t="str">
        <f>IF(Data!$J59="",IFERROR(INDEX(IF(SD!$C$11="Create",Lap!$A$3:$BF$14,IF(SD!$C$11="Per Uploaded File",Lap!$A$19:$BF$30,"")),MATCH(W59,Lap!$A$3:$A$14,0),MATCH(VALUE(D59),Lap!$A$3:$BF$3,0)+IF(IFERROR(FIND("Grade 60",J59),0)&gt;0,0,IF(IFERROR(FIND("Grade 80",J59),0),1,IF(IFERROR(FIND("Grade 75",J59),0),2,"")))),""),Data!J59)</f>
        <v>5-1</v>
      </c>
      <c r="W59" t="s">
        <v>176</v>
      </c>
      <c r="X59">
        <v>8</v>
      </c>
      <c r="Y59" t="str">
        <f t="shared" si="1"/>
        <v xml:space="preserve">20 </v>
      </c>
      <c r="Z59" t="str">
        <f t="shared" si="2"/>
        <v xml:space="preserve"> 36</v>
      </c>
      <c r="AA59" s="24">
        <f t="shared" si="3"/>
        <v>15.666666666666666</v>
      </c>
      <c r="BB59" t="e" cm="1">
        <f t="array" ref="BB59">_xlfn.LET(_xlpm.PartF,(_xlfn.LET(_xlpm.grade, Q59,_xlpm.gradeRange, IF(_xlpm.grade=SD!$H$3, A615GR60, IF(_xlpm.grade=SD!$H$4, A615GR75, IF(_xlpm.grade=SD!$H$5, A615GR80, IF(_xlpm.grade=SD!$H$6, A615GR100, IF(_xlpm.grade=SD!$H$7, A706GR60, IF(_xlpm.grade=SD!$H$8, A706GR80)))))),_xlpm.matchValue, MATCH(1, (SD!$AW:$AW=AS59)*(SD!$AX:$AX=SD!$C$8), 0),INDEX(_xlpm.gradeRange, _xlpm.matchValue))),IF(AM59="Spiral",CONCATENATE("SP",_xlpm.PartF),_xlpm.PartF))</f>
        <v>#N/A</v>
      </c>
      <c r="BC59" cm="1">
        <f t="array" ref="BC59">_xlfn.LET(_xlpm.leftPart, LEFT(O59, FIND("@", O59) - 2),_xlpm.grade,Q59,_xlpm.gradeRange,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59" cm="1">
        <f t="array" ref="BD59">_xlfn.LET(_xlpm.leftPart, LEFT(P59, FIND("@", P59) - 2),_xlpm.grade, Q59,_xlpm.gradeRange,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59">
        <f t="shared" si="4"/>
        <v>3</v>
      </c>
      <c r="BF59">
        <f>IF(SD!$C$32=SD!$I$2,BE59,IF(SD!$C$32=SD!$I$3,DO59,IF(SD!$C$32=SD!$I$5,BA59,IF(SD!$C$32=SD!$I$6,(LEFT(SD!$C$35,FIND("-",SD!$C$35)-1)+RIGHT(SD!$C$35,LEN(SD!$C$35)-FIND("-",SD!$C$35))/12),IF(SD!$C$32=SD!$I$4,(AU59-(BG59+BH59)))))))</f>
        <v>0</v>
      </c>
      <c r="BG59">
        <f>IF(SD!$C$33=SD!$I$2,BE59,IF(SD!$C$33=SD!$I$3,DO59,IF(SD!$C$33=SD!$I$5,BA59,IF(SD!$C$33=SD!$I$6,(LEFT(SD!$C$35,FIND("-",SD!$C$35)-1)+RIGHT(SD!$C$35,LEN(SD!$C$35)-FIND("-",SD!$C$35))/12),IF(SD!$C$33=SD!$I$4,(AU59-(BF59+BH59)))))))</f>
        <v>-1</v>
      </c>
      <c r="BH59">
        <f>IF(SD!$C$34=SD!$I$2,BE59,IF(SD!$C$34=SD!$I$3,DO59,IF(SD!$C$34=SD!$I$5,BA59,IF(SD!$C$34=SD!$I$6,(LEFT(SD!$C$35,FIND("-",SD!$C$35)-1)+RIGHT(SD!$C$35,LEN(SD!$C$35)-FIND("-",SD!$C$35))/12),IF(SD!$C$34=SD!$I$4,(AU59-(BF59+BG59)))))))</f>
        <v>1</v>
      </c>
      <c r="BJ59">
        <f>IF(AM59="Spiral","1",MAX(ROUNDUP(IF(SD!$C$32="",AT59,BF59/(LEFT(RIGHT(N59,LEN(N59)-FIND("@",N59)),LEN(RIGHT(N59,LEN(N59)-FIND("@",N59)))-1)/12)+1),0),0))</f>
        <v>1</v>
      </c>
      <c r="BK59">
        <f>MAX(ROUNDUP(IF(SD!$C$33="","",BG59/(LEFT(RIGHT(O59,LEN(O59)-FIND("@",O59)),LEN(RIGHT(O59,LEN(O59)-FIND("@",O59)))-1)/12)+1),0),0)</f>
        <v>0</v>
      </c>
      <c r="BL59">
        <f>MAX(ROUNDUP(IF(SD!$C$34="","",BH59/(LEFT(RIGHT(P59,LEN(P59)-FIND("@",P59)),LEN(RIGHT(P59,LEN(P59)-FIND("@",P59)))-1)/12)+1),0),0)</f>
        <v>3</v>
      </c>
      <c r="BN59" t="e">
        <f t="shared" si="5"/>
        <v>#N/A</v>
      </c>
      <c r="BO59" t="e">
        <f t="shared" si="6"/>
        <v>#N/A</v>
      </c>
      <c r="BP59" t="e">
        <f t="shared" si="7"/>
        <v>#N/A</v>
      </c>
      <c r="BQ59" s="24" t="e">
        <f>IF(AM59=TRUE,(((Y59-(SD!$E$12*2))*3.14159265359)+BN59+BO59+BP59)/12+AL59,SUM(AF59:AG59,BN59,BO59,BP59,AO59,AQ59)/12)</f>
        <v>#N/A</v>
      </c>
      <c r="BR59" t="e">
        <f t="shared" si="8"/>
        <v>#N/A</v>
      </c>
      <c r="BS59" t="e">
        <f t="shared" si="9"/>
        <v>#N/A</v>
      </c>
      <c r="BT59" t="e">
        <f t="shared" si="10"/>
        <v>#N/A</v>
      </c>
      <c r="BU59" s="24" t="e">
        <f>IF(AM59=TRUE,(((Y59-(SD!$E$12*2))*3.14159265359)+BR59+BS59+BT59)/12+AL59,SUM(AF59:AG59,BR59,BS59,BT59,AO59,AQ59)/12)</f>
        <v>#N/A</v>
      </c>
      <c r="BW59" t="str">
        <f>IFERROR(LEFT(Data!L59,FIND(" -",Data!L59)-1),"")</f>
        <v/>
      </c>
      <c r="BX59" t="str">
        <f>IFERROR(IF(SD!$C$40=SD!$U$2,W59,IF(SD!$C$40=SD!$U$3,RIGHT(Data!L59,LEN(Data!L59)-(FIND("-",Data!L59)+1)),SD!$C$40)),"")</f>
        <v>#10</v>
      </c>
      <c r="BY59" t="str" cm="1">
        <f t="array" ref="BY59">IFERROR(_xlfn.LET(_xlpm.GRR,IF(AND(SD!$C$19=SD!$H$2,Grade!$G$1="Per level"),VLOOKUP(B59,Grade!$E$1:$F$200,2,FALSE),IF(AND(SD!$C$19=SD!$H$2,Grade!$G$1="Per Bar Size"),VLOOKUP(BX59,Grade!$B$1:$C$12,2,0),SD!$C$19)),_xlpm.is_equal, A58=A59,_xlpm.grade_range, IF(_xlpm.GRR=SD!$H$3, A615GR60,IF(_xlpm.GRR=SD!$H$4, A615GR75,IF(_xlpm.GRR=SD!$H$5, A615GR80,IF(_xlpm.GRR=SD!H63, A615GR100,IF(_xlpm.GRR=SD!$H$7, A706GR60,IF(_xlpm.GRR=SD!$H$8, A706GR80)))))),_xlpm.match_result, MATCH(1, (BSize=BX59)*(BCName=SD!$C$8), 0),_xlpm.final_result, INDEX(_xlpm.grade_range, _xlpm.match_result),IF(_xlpm.is_equal, "", _xlpm.final_result)),"")</f>
        <v/>
      </c>
      <c r="BZ59" t="str">
        <f>IF(A58=A59,"",IF(SD!$C$41="Match Vertical Bars ",X59,IF(SD!$C$41=SD!$V$3,BW59,SD!$C$41)))</f>
        <v/>
      </c>
      <c r="CA59" t="str" cm="1">
        <f t="array" ref="CA59">IF(A58=A59,"",IF(SD!$C$44="No T-Head",IF(SD!$C$42=SD!$Q$3,VLOOKUP(BX59,S90Range,3,FALSE),LEFT(SD!$C$42,FIND("-",SD!$C$42)-1)+(RIGHT(SD!$C$42,LEN(SD!$C$42)-FIND("-",SD!$C$42))/12)),IF(SD!$C$44="T-Head",_xlfn._xlws.FILTER(THead,(TCName=SD!$C$8)*(TSize=BX59)),IF(SD!$C$44="Level Wise",_xlfn.LET(_xlpm.result,_xlfn.XLOOKUP(B59,VDLevel,VDLevelStatus,"No"),IF(_xlpm.result="Yes",_xlfn._xlws.FILTER(THead,(TCName=SD!$C$8)*(TSize=BX59)),IF(SD!$C$42=SD!$Q$3,VLOOKUP(BX59,S90Range,3,FALSE),LEFT(SD!$C$42,FIND("-",SD!$C$42)-1)+(RIGHT(SD!$C$42,LEN(SD!$C$42)-FIND("-", SD!$C$42))/12)))),IF(SD!$C$44="BarSize Wise",_xlfn.LET(_xlpm.result,_xlfn.XLOOKUP(BX59,VDBarSize,VDBarSizeStatus,"No"),IF(_xlpm.result="Yes",_xlfn._xlws.FILTER(THead,(TCName=SD!$C$8)*(TSize=BX59)),IF(SD!$C$42=SD!$Q$3,VLOOKUP(BX59,S90Range,3,FALSE),LEFT(SD!$C$42,FIND("-",SD!$C$42)-1)+(RIGHT(SD!$C$42,LEN(SD!$C$42)-FIND("-",SD!$C$42))/12)))), "")))))</f>
        <v/>
      </c>
      <c r="CB59" t="str" cm="1">
        <f t="array" ref="CB59">_xlfn.LET(_xlpm.GRR,IF(AND(SD!$C$19=SD!$H$2,Grade!$G$1="Per level"),VLOOKUP(B59,Grade!$E$1:$F$200,2,FALSE),IF(AND(SD!$C$19=SD!$H$2,Grade!$G$1="Per Bar Size"),VLOOKUP(BX59,Grade!$B$1:$C$12,2,0),SD!$C$19)),_xlpm.is_coupler, K59="Coupler",_xlpm.condition1, SD!$C$43=SD!$W$2,_xlpm.data_j2_empty, Data!$J59="",_xlpm.lookup_table, IF(SD!$C$11="Create", Lap!$A$3:$BF$14, IF(SD!$C$11="Per Uploaded File", Lap!$A$19:$BF$30, "")),_xlpm.row_match, MATCH(BX59, Lap!$A$3:$A$14, 0),_xlpm.grade_offset, IF(IFERROR(FIND("Grade 60",_xlpm.GRR), 0) &gt; 0, 0, IF(IFERROR(FIND("Grade 80",_xlpm.GRR), 0), 1, IF(IFERROR(FIND("Grade 75",_xlpm.GRR), 0), 2, ""))),_xlpm.col_match, MATCH(VALUE(D59), Lap!$A$3:$BF$3, 0) + _xlpm.grade_offset,_xlpm.index_result, IFERROR(INDEX(_xlpm.lookup_table, _xlpm.row_match, _xlpm.col_match), Data!$J59),_xlpm.result_if_condition1, IF(_xlpm.data_j2_empty, _xlpm.index_result, Data!$J59),IF(_xlpm.is_coupler, 0, IF(_xlpm.condition1, _xlpm.result_if_condition1, SD!$C$43)))</f>
        <v>5-1</v>
      </c>
      <c r="CC59" s="24">
        <f t="shared" si="11"/>
        <v>5.083333333333333</v>
      </c>
      <c r="CD59">
        <f t="shared" si="12"/>
        <v>5.75</v>
      </c>
      <c r="CE59" t="str" cm="1">
        <f t="array" ref="CE59">IF(BY59="","",_xlfn._xlws.FILTER(SAC,(CName=SD!$C$8)*(EName="Vert Dowels")))</f>
        <v/>
      </c>
      <c r="CF59" t="str" cm="1">
        <f t="array" ref="CF59">IFERROR(IF(BY59="","",IF(K59="Coupler",_xlfn._xlws.FILTER(CCoupler,(CCName=SD!$C$8)*(CBSize=IF(A58=A59,W58&amp;W59,BX59&amp;W59))*(CCMFM="Male")),"")),"N/A")</f>
        <v/>
      </c>
      <c r="CG59" t="str">
        <f t="shared" si="13"/>
        <v/>
      </c>
      <c r="CH59" t="str">
        <f t="shared" si="14"/>
        <v/>
      </c>
      <c r="CI59" t="str">
        <f>_xlfn.LET(_xlpm.u3_value, U60,_xlpm.hyphen_pos,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K60="Coupler",_xlpm.coupler_value, IF(_xlpm.is_coupler, 0, _xlpm.calculated_value),_xlpm.final_value, _xlpm.calculated_value + SD!$E$13 + _xlpm.coupler_value,IF(CG59="", "", _xlpm.final_value))</f>
        <v/>
      </c>
      <c r="CJ59" t="str" cm="1">
        <f t="array" ref="CJ59">IF(CG59="","",_xlfn._xlws.FILTER(SAC,(CName=SD!$C$8)*(EName="Loose Dowels")))</f>
        <v/>
      </c>
      <c r="CK59" t="str" cm="1">
        <f t="array" ref="CK59">IFERROR(IF(CG59="","",IF(K60="Coupler",_xlfn._xlws.FILTER(CCoupler,(CCName=SD!$C$8)*(CBSize=IF(A59=A60,W59&amp;W60,""))*(CCMFM="Male")),"")),"N/A")</f>
        <v/>
      </c>
      <c r="CL59" t="str">
        <f>IFERROR(IF(AM59="Spiral","",IF(A58=A59,"",IF(SD!$C$37=0,"",SD!$C$37))),"")</f>
        <v/>
      </c>
      <c r="CN59">
        <f>IF(AM59="Spiral","",IFERROR(IF(SD!$C$36=0,"",SD!$C$36),""))</f>
        <v>5</v>
      </c>
      <c r="CP59" t="str">
        <f>IFERROR(IF(SD!$C$42=SD!$Q$3,'Take-off'!CA59,""),"")</f>
        <v/>
      </c>
      <c r="CR59">
        <f>IFERROR(IF(SD!$C$22=SD!$U$2,W59,SD!$C$22),"")</f>
        <v>0</v>
      </c>
      <c r="CS59" t="str" cm="1">
        <f t="array" ref="CS59">_xlfn.LET(_xlpm.GR,IF(AND(SD!$C$19=SD!$H$2,Grade!$G$1="Per level"),VLOOKUP(B59,Grade!$E$1:$F$200,2,FALSE),IF(AND(SD!$C$19=SD!$H$2,Grade!$G$1="Per Bar Size"),VLOOKUP(CR59,Grade!$B$1:$C$12,2,0),SD!$C$19)),IF(SD!$C$20=SD!$R$4,IF(A60=A59,"",INDEX(IF(_xlpm.GR=SD!$H$3,A615GR60,IF(_xlpm.GR=SD!$H$4,A615GR75,IF(_xlpm.GR=SD!$H$5,A615GR80,IF(_xlpm.GR=SD!H63,A615GR100,IF(_xlpm.GR=SD!$H$7,A706GR60,IF(_xlpm.GR=SD!$H$8,A706GR80)))))), MATCH(1, (BSize=CR59)*(BCName=SD!$C$8), 0))),""))</f>
        <v/>
      </c>
      <c r="CT59" t="str">
        <f>IF(A60=A59,"",IF(SD!$C$23="Match Vertical Bars ",X59,SD!$C$23))</f>
        <v/>
      </c>
      <c r="CU59" t="str" cm="1">
        <f t="array" ref="CU59">IF(A60=A59,"",IF(SD!$C$20="Top dowels",IF(SD!$E$25="No T-Head",IF(SD!$C$24=SD!$Q$3,VLOOKUP(CR59,S90Range,3,FALSE),LEFT(SD!$C$24,FIND("-",SD!$C$24)-1)+(RIGHT(SD!$C$24,LEN(SD!$C$24)-FIND("-",SD!$C$24))/12)),IF(SD!$E$25="T-Head",_xlfn._xlws.FILTER(THead,(TCName=SD!$C$8)*(TSize=CR59)),IF(SD!$E$25="Level Wise",_xlfn.LET(_xlpm.result,_xlfn.XLOOKUP(B59,TDLevel,TDLevelStatus,"No"),IF(_xlpm.result="Yes",_xlfn._xlws.FILTER(THead,(TCName=SD!$C$8)*(TSize=CR59)),IF(SD!$C$24=SD!$Q$3,VLOOKUP(CR59,S90Range,3,FALSE),LEFT(SD!$C$24,FIND("-",SD!$C$24)-1)+(RIGHT(SD!$C$24,LEN(SD!$C$24)-FIND("-", SD!$C$24))/12)))),IF(SD!$E$25="BarSize Wise",_xlfn.LET(_xlpm.result,_xlfn.XLOOKUP(CR59,TDBarSize,TDBarSizeStatus,"No"),IF(_xlpm.result="Yes",_xlfn._xlws.FILTER(THead,(TCName=SD!$C$8)*(TSize=CR59)),IF(SD!$C$24=SD!$Q$3,VLOOKUP(CR59,S90Range,3,FALSE),LEFT(SD!$C$24,FIND("-",SD!$C$24)-1)+(RIGHT(SD!$C$24,LEN(SD!$C$24)-FIND("-",SD!$C$24))/12)))), "")))),""))</f>
        <v/>
      </c>
      <c r="CV59" t="str">
        <f>_xlfn.LET(_xlpm.GRR,IF(AND(SD!$C$19=SD!$H$2,Grade!$G$1="Per level"),VLOOKUP(B59,Grade!$E$1:$F$200,2,FALSE),IF(AND(SD!$C$19=SD!$H$2,Grade!$G$1="Per Bar Size"),VLOOKUP(CR59,Grade!$B$1:$C$12,2,0),SD!$C$19)),IF(SD!$C$25=SD!$W$2,IF(Data!$J59="",IFERROR(INDEX(IF(SD!$C$11="Create",Lap!$A$3:$BF$14,IF(SD!$C$11="Per Uploaded File",Lap!$A$19:$BF$30,"")),MATCH(CR59,Lap!$A$3:$A$14,0),MATCH(VALUE(D59),Lap!$A$3:$BF$3,0)+IF(IFERROR(FIND("Grade 60",_xlpm.GRR),0)&gt;0,0,IF(IFERROR(FIND("Grade 80",_xlpm.GRR),0),1,IF(IFERROR(FIND("Grade 75",_xlpm.GRR),0),2,"")))),""),Data!J59),SD!$C$43))</f>
        <v>Match Lap</v>
      </c>
      <c r="CW59">
        <f t="shared" si="15"/>
        <v>0</v>
      </c>
      <c r="CX59">
        <f t="shared" si="16"/>
        <v>0</v>
      </c>
      <c r="CY59" t="str">
        <f t="shared" si="17"/>
        <v/>
      </c>
      <c r="DA59" t="str">
        <f t="shared" si="18"/>
        <v/>
      </c>
      <c r="DB59" t="str">
        <f t="shared" si="19"/>
        <v/>
      </c>
      <c r="DC59" s="24" t="str">
        <f t="shared" si="20"/>
        <v/>
      </c>
      <c r="DD59">
        <f t="shared" si="21"/>
        <v>10.583333333333334</v>
      </c>
      <c r="DE59" t="s">
        <v>785</v>
      </c>
      <c r="DF59" t="s">
        <v>67</v>
      </c>
      <c r="DG59" t="str">
        <f>VLOOKUP(W59,'Level Wise PSI'!$F$2:$G$12,2,FALSE)</f>
        <v>Double Lift</v>
      </c>
      <c r="DI59" t="str" cm="1">
        <f t="array" ref="DI59">_xlfn.LET(_xlpm.Coup,IFERROR(IF(BY59="","",IF(K59="Coupler",_xlfn._xlws.FILTER(CCFCoupler,(CCName=SD!$C$8)*(CBSize=IF(A58=A59,W58&amp;W59,BX59&amp;W59))),"")),"N/A"),IF(_xlpm.Coup=0,"",_xlpm.Coup))</f>
        <v/>
      </c>
      <c r="DJ59" t="str" cm="1">
        <f t="array" ref="DJ59">_xlfn.LET(_xlpm.Coup3,IFERROR(IF(CG59="","",IF(K60="Coupler",_xlfn._xlws.FILTER(CCFCoupler,(CCName=SD!$C$8)*(CBSize=IF(A59=A60,W59&amp;W60,""))),"")),"N/A"),IF(_xlpm.Coup3=0,"",_xlpm.Coup3))</f>
        <v/>
      </c>
      <c r="DK59" t="str" cm="1">
        <f t="array" ref="DK59">_xlfn.LET(_xlpm.Coup2,IFERROR(IF(A59&lt;&gt;A60,"",IF(DF59="No Lap","",IF(K60="Coupler",_xlfn._xlws.FILTER(CCFCoupler,(CCName=SD!$C$8)*(CBSize=IF(A58=A59,W59&amp;W60,W59&amp;W59))),""))),"N/A"),IF(_xlpm.Coup2=0,"",_xlpm.Coup2))</f>
        <v/>
      </c>
      <c r="DM59" t="str">
        <f>IF(AM59="Spiral","",IF(SD!$C$31=SD!$Y$3,SD!$E$32*2,""))</f>
        <v/>
      </c>
      <c r="DO59" s="24">
        <f t="shared" si="22"/>
        <v>3</v>
      </c>
      <c r="DQ59" t="str">
        <f t="shared" si="23"/>
        <v>Lig</v>
      </c>
      <c r="DR59" t="str">
        <f>IF(AM59="Spiral",((Y59-(SD!$E$12*2))/12),"")</f>
        <v/>
      </c>
      <c r="DS59" t="str">
        <f t="shared" si="24"/>
        <v/>
      </c>
      <c r="DT59" t="str">
        <f t="shared" si="25"/>
        <v/>
      </c>
      <c r="DU59" t="str">
        <f t="shared" si="26"/>
        <v/>
      </c>
    </row>
    <row r="60" spans="1:125" x14ac:dyDescent="0.25">
      <c r="A60">
        <v>30</v>
      </c>
      <c r="B60" t="s">
        <v>670</v>
      </c>
      <c r="C60" s="15">
        <v>2429</v>
      </c>
      <c r="D60" s="15">
        <v>10000</v>
      </c>
      <c r="E60" t="str">
        <f>IF(B60=Level!$A$2,SD!$C$14,SD!$C$13)</f>
        <v>0-8</v>
      </c>
      <c r="F60" s="15" t="s">
        <v>787</v>
      </c>
      <c r="G60" t="s">
        <v>748</v>
      </c>
      <c r="H60" t="str">
        <f>RIGHT(VLOOKUP(B60,Level!A:C,3,FALSE),LEN(VLOOKUP(B60,Level!A:C,3,FALSE))-1)</f>
        <v>10-7</v>
      </c>
      <c r="I60" t="s">
        <v>739</v>
      </c>
      <c r="J60" t="str">
        <f>IF(AND(SD!$C$19=SD!$H$2,Grade!$G$1="Per level"),VLOOKUP(B60,Grade!$E$1:$F$200,2,FALSE),IF(AND(SD!$C$19=SD!$H$2,Grade!$G$1="Per Bar Size"),VLOOKUP(W60,Grade!$B$1:$C$12,2,0),SD!$C$19))</f>
        <v>A615 Grade 60</v>
      </c>
      <c r="K60" t="s">
        <v>67</v>
      </c>
      <c r="L60" t="str">
        <f>IFERROR(IF(A60&lt;&gt;A61,"",IF(DF60="No Lap","",IF(K61="Lap",U60,IF(K61="Coupler",_xlfn._xlws.FILTER(CCoupler,(CCName=SD!$C$8)*(CBSize=IF(A59=A60,W60&amp;W61,W60&amp;W60))*(CCMFM="Male")),"")))),"N/A")</f>
        <v>5-1</v>
      </c>
      <c r="M60" t="str">
        <f t="shared" si="0"/>
        <v/>
      </c>
      <c r="N60" t="s">
        <v>719</v>
      </c>
      <c r="O60" t="s">
        <v>720</v>
      </c>
      <c r="P60" t="s">
        <v>719</v>
      </c>
      <c r="Q60" t="str">
        <f>IF(AND(SD!$C$29=SD!$P$2,Grade!$O$1="Per level"),VLOOKUP(B60,Grade!$M$1:$N$200,2,FALSE),IF(AND(SD!$C$29=SD!$P$2,Grade!$O$1="Per Bar Size"),VLOOKUP(LEFT(N60,FIND("@",N60)-2),Grade!$J$1:$K$12,2,0),SD!$C$29))</f>
        <v>A615 Grade 60</v>
      </c>
      <c r="R60" t="s">
        <v>736</v>
      </c>
      <c r="S60" s="57">
        <v>60</v>
      </c>
      <c r="U60" t="str">
        <f>IF(Data!$J60="",IFERROR(INDEX(IF(SD!$C$11="Create",Lap!$A$3:$BF$14,IF(SD!$C$11="Per Uploaded File",Lap!$A$19:$BF$30,"")),MATCH(W60,Lap!$A$3:$A$14,0),MATCH(VALUE(D60),Lap!$A$3:$BF$3,0)+IF(IFERROR(FIND("Grade 60",J60),0)&gt;0,0,IF(IFERROR(FIND("Grade 80",J60),0),1,IF(IFERROR(FIND("Grade 75",J60),0),2,"")))),""),Data!J60)</f>
        <v>5-1</v>
      </c>
      <c r="W60" t="s">
        <v>176</v>
      </c>
      <c r="X60">
        <v>8</v>
      </c>
      <c r="Y60" t="str">
        <f t="shared" si="1"/>
        <v xml:space="preserve">20 </v>
      </c>
      <c r="Z60" t="str">
        <f t="shared" si="2"/>
        <v xml:space="preserve"> 36</v>
      </c>
      <c r="AA60" s="24">
        <f t="shared" si="3"/>
        <v>15.666666666666666</v>
      </c>
      <c r="BB60" t="e" cm="1">
        <f t="array" ref="BB60">_xlfn.LET(_xlpm.PartF,(_xlfn.LET(_xlpm.grade, Q60,_xlpm.gradeRange, IF(_xlpm.grade=SD!$H$3, A615GR60, IF(_xlpm.grade=SD!$H$4, A615GR75, IF(_xlpm.grade=SD!$H$5, A615GR80, IF(_xlpm.grade=SD!$H$6, A615GR100, IF(_xlpm.grade=SD!$H$7, A706GR60, IF(_xlpm.grade=SD!$H$8, A706GR80)))))),_xlpm.matchValue, MATCH(1, (SD!$AW:$AW=AS60)*(SD!$AX:$AX=SD!$C$8), 0),INDEX(_xlpm.gradeRange, _xlpm.matchValue))),IF(AM60="Spiral",CONCATENATE("SP",_xlpm.PartF),_xlpm.PartF))</f>
        <v>#N/A</v>
      </c>
      <c r="BC60" cm="1">
        <f t="array" ref="BC60">_xlfn.LET(_xlpm.leftPart, LEFT(O60, FIND("@", O60) - 2),_xlpm.grade,Q60,_xlpm.gradeRange,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0" cm="1">
        <f t="array" ref="BD60">_xlfn.LET(_xlpm.leftPart, LEFT(P60, FIND("@", P60) - 2),_xlpm.grade, Q60,_xlpm.gradeRange,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0">
        <f t="shared" si="4"/>
        <v>3</v>
      </c>
      <c r="BF60">
        <f>IF(SD!$C$32=SD!$I$2,BE60,IF(SD!$C$32=SD!$I$3,DO60,IF(SD!$C$32=SD!$I$5,BA60,IF(SD!$C$32=SD!$I$6,(LEFT(SD!$C$35,FIND("-",SD!$C$35)-1)+RIGHT(SD!$C$35,LEN(SD!$C$35)-FIND("-",SD!$C$35))/12),IF(SD!$C$32=SD!$I$4,(AU60-(BG60+BH60)))))))</f>
        <v>0</v>
      </c>
      <c r="BG60">
        <f>IF(SD!$C$33=SD!$I$2,BE60,IF(SD!$C$33=SD!$I$3,DO60,IF(SD!$C$33=SD!$I$5,BA60,IF(SD!$C$33=SD!$I$6,(LEFT(SD!$C$35,FIND("-",SD!$C$35)-1)+RIGHT(SD!$C$35,LEN(SD!$C$35)-FIND("-",SD!$C$35))/12),IF(SD!$C$33=SD!$I$4,(AU60-(BF60+BH60)))))))</f>
        <v>-1</v>
      </c>
      <c r="BH60">
        <f>IF(SD!$C$34=SD!$I$2,BE60,IF(SD!$C$34=SD!$I$3,DO60,IF(SD!$C$34=SD!$I$5,BA60,IF(SD!$C$34=SD!$I$6,(LEFT(SD!$C$35,FIND("-",SD!$C$35)-1)+RIGHT(SD!$C$35,LEN(SD!$C$35)-FIND("-",SD!$C$35))/12),IF(SD!$C$34=SD!$I$4,(AU60-(BF60+BG60)))))))</f>
        <v>1</v>
      </c>
      <c r="BJ60">
        <f>IF(AM60="Spiral","1",MAX(ROUNDUP(IF(SD!$C$32="",AT60,BF60/(LEFT(RIGHT(N60,LEN(N60)-FIND("@",N60)),LEN(RIGHT(N60,LEN(N60)-FIND("@",N60)))-1)/12)+1),0),0))</f>
        <v>1</v>
      </c>
      <c r="BK60">
        <f>MAX(ROUNDUP(IF(SD!$C$33="","",BG60/(LEFT(RIGHT(O60,LEN(O60)-FIND("@",O60)),LEN(RIGHT(O60,LEN(O60)-FIND("@",O60)))-1)/12)+1),0),0)</f>
        <v>0</v>
      </c>
      <c r="BL60">
        <f>MAX(ROUNDUP(IF(SD!$C$34="","",BH60/(LEFT(RIGHT(P60,LEN(P60)-FIND("@",P60)),LEN(RIGHT(P60,LEN(P60)-FIND("@",P60)))-1)/12)+1),0),0)</f>
        <v>3</v>
      </c>
      <c r="BN60" t="e">
        <f t="shared" si="5"/>
        <v>#N/A</v>
      </c>
      <c r="BO60" t="e">
        <f t="shared" si="6"/>
        <v>#N/A</v>
      </c>
      <c r="BP60" t="e">
        <f t="shared" si="7"/>
        <v>#N/A</v>
      </c>
      <c r="BQ60" s="24" t="e">
        <f>IF(AM60=TRUE,(((Y60-(SD!$E$12*2))*3.14159265359)+BN60+BO60+BP60)/12+AL60,SUM(AF60:AG60,BN60,BO60,BP60,AO60,AQ60)/12)</f>
        <v>#N/A</v>
      </c>
      <c r="BR60" t="e">
        <f t="shared" si="8"/>
        <v>#N/A</v>
      </c>
      <c r="BS60" t="e">
        <f t="shared" si="9"/>
        <v>#N/A</v>
      </c>
      <c r="BT60" t="e">
        <f t="shared" si="10"/>
        <v>#N/A</v>
      </c>
      <c r="BU60" s="24" t="e">
        <f>IF(AM60=TRUE,(((Y60-(SD!$E$12*2))*3.14159265359)+BR60+BS60+BT60)/12+AL60,SUM(AF60:AG60,BR60,BS60,BT60,AO60,AQ60)/12)</f>
        <v>#N/A</v>
      </c>
      <c r="BW60" t="str">
        <f>IFERROR(LEFT(Data!L60,FIND(" -",Data!L60)-1),"")</f>
        <v/>
      </c>
      <c r="BX60" t="str">
        <f>IFERROR(IF(SD!$C$40=SD!$U$2,W60,IF(SD!$C$40=SD!$U$3,RIGHT(Data!L60,LEN(Data!L60)-(FIND("-",Data!L60)+1)),SD!$C$40)),"")</f>
        <v>#10</v>
      </c>
      <c r="BY60" t="str" cm="1">
        <f t="array" ref="BY60">IFERROR(_xlfn.LET(_xlpm.GRR,IF(AND(SD!$C$19=SD!$H$2,Grade!$G$1="Per level"),VLOOKUP(B60,Grade!$E$1:$F$200,2,FALSE),IF(AND(SD!$C$19=SD!$H$2,Grade!$G$1="Per Bar Size"),VLOOKUP(BX60,Grade!$B$1:$C$12,2,0),SD!$C$19)),_xlpm.is_equal, A59=A60,_xlpm.grade_range, IF(_xlpm.GRR=SD!$H$3, A615GR60,IF(_xlpm.GRR=SD!$H$4, A615GR75,IF(_xlpm.GRR=SD!$H$5, A615GR80,IF(_xlpm.GRR=SD!H64, A615GR100,IF(_xlpm.GRR=SD!$H$7, A706GR60,IF(_xlpm.GRR=SD!$H$8, A706GR80)))))),_xlpm.match_result, MATCH(1, (BSize=BX60)*(BCName=SD!$C$8), 0),_xlpm.final_result, INDEX(_xlpm.grade_range, _xlpm.match_result),IF(_xlpm.is_equal, "", _xlpm.final_result)),"")</f>
        <v/>
      </c>
      <c r="BZ60" t="str">
        <f>IF(A59=A60,"",IF(SD!$C$41="Match Vertical Bars ",X60,IF(SD!$C$41=SD!$V$3,BW60,SD!$C$41)))</f>
        <v/>
      </c>
      <c r="CA60" t="str" cm="1">
        <f t="array" ref="CA60">IF(A59=A60,"",IF(SD!$C$44="No T-Head",IF(SD!$C$42=SD!$Q$3,VLOOKUP(BX60,S90Range,3,FALSE),LEFT(SD!$C$42,FIND("-",SD!$C$42)-1)+(RIGHT(SD!$C$42,LEN(SD!$C$42)-FIND("-",SD!$C$42))/12)),IF(SD!$C$44="T-Head",_xlfn._xlws.FILTER(THead,(TCName=SD!$C$8)*(TSize=BX60)),IF(SD!$C$44="Level Wise",_xlfn.LET(_xlpm.result,_xlfn.XLOOKUP(B60,VDLevel,VDLevelStatus,"No"),IF(_xlpm.result="Yes",_xlfn._xlws.FILTER(THead,(TCName=SD!$C$8)*(TSize=BX60)),IF(SD!$C$42=SD!$Q$3,VLOOKUP(BX60,S90Range,3,FALSE),LEFT(SD!$C$42,FIND("-",SD!$C$42)-1)+(RIGHT(SD!$C$42,LEN(SD!$C$42)-FIND("-", SD!$C$42))/12)))),IF(SD!$C$44="BarSize Wise",_xlfn.LET(_xlpm.result,_xlfn.XLOOKUP(BX60,VDBarSize,VDBarSizeStatus,"No"),IF(_xlpm.result="Yes",_xlfn._xlws.FILTER(THead,(TCName=SD!$C$8)*(TSize=BX60)),IF(SD!$C$42=SD!$Q$3,VLOOKUP(BX60,S90Range,3,FALSE),LEFT(SD!$C$42,FIND("-",SD!$C$42)-1)+(RIGHT(SD!$C$42,LEN(SD!$C$42)-FIND("-",SD!$C$42))/12)))), "")))))</f>
        <v/>
      </c>
      <c r="CB60" t="str" cm="1">
        <f t="array" ref="CB60">_xlfn.LET(_xlpm.GRR,IF(AND(SD!$C$19=SD!$H$2,Grade!$G$1="Per level"),VLOOKUP(B60,Grade!$E$1:$F$200,2,FALSE),IF(AND(SD!$C$19=SD!$H$2,Grade!$G$1="Per Bar Size"),VLOOKUP(BX60,Grade!$B$1:$C$12,2,0),SD!$C$19)),_xlpm.is_coupler, K60="Coupler",_xlpm.condition1, SD!$C$43=SD!$W$2,_xlpm.data_j2_empty, Data!$J60="",_xlpm.lookup_table, IF(SD!$C$11="Create", Lap!$A$3:$BF$14, IF(SD!$C$11="Per Uploaded File", Lap!$A$19:$BF$30, "")),_xlpm.row_match, MATCH(BX60, Lap!$A$3:$A$14, 0),_xlpm.grade_offset, IF(IFERROR(FIND("Grade 60",_xlpm.GRR), 0) &gt; 0, 0, IF(IFERROR(FIND("Grade 80",_xlpm.GRR), 0), 1, IF(IFERROR(FIND("Grade 75",_xlpm.GRR), 0), 2, ""))),_xlpm.col_match, MATCH(VALUE(D60), Lap!$A$3:$BF$3, 0) + _xlpm.grade_offset,_xlpm.index_result, IFERROR(INDEX(_xlpm.lookup_table, _xlpm.row_match, _xlpm.col_match), Data!$J60),_xlpm.result_if_condition1, IF(_xlpm.data_j2_empty, _xlpm.index_result, Data!$J60),IF(_xlpm.is_coupler, 0, IF(_xlpm.condition1, _xlpm.result_if_condition1, SD!$C$43)))</f>
        <v>5-1</v>
      </c>
      <c r="CC60" s="24">
        <f t="shared" si="11"/>
        <v>5.083333333333333</v>
      </c>
      <c r="CD60">
        <f t="shared" si="12"/>
        <v>5.75</v>
      </c>
      <c r="CE60" t="str" cm="1">
        <f t="array" ref="CE60">IF(BY60="","",_xlfn._xlws.FILTER(SAC,(CName=SD!$C$8)*(EName="Vert Dowels")))</f>
        <v/>
      </c>
      <c r="CF60" t="str" cm="1">
        <f t="array" ref="CF60">IFERROR(IF(BY60="","",IF(K60="Coupler",_xlfn._xlws.FILTER(CCoupler,(CCName=SD!$C$8)*(CBSize=IF(A59=A60,W59&amp;W60,BX60&amp;W60))*(CCMFM="Male")),"")),"N/A")</f>
        <v/>
      </c>
      <c r="CG60" t="str">
        <f t="shared" si="13"/>
        <v/>
      </c>
      <c r="CH60" t="str">
        <f t="shared" si="14"/>
        <v/>
      </c>
      <c r="CI60" t="str">
        <f>_xlfn.LET(_xlpm.u3_value, U61,_xlpm.hyphen_pos,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K61="Coupler",_xlpm.coupler_value, IF(_xlpm.is_coupler, 0, _xlpm.calculated_value),_xlpm.final_value, _xlpm.calculated_value + SD!$E$13 + _xlpm.coupler_value,IF(CG60="", "", _xlpm.final_value))</f>
        <v/>
      </c>
      <c r="CJ60" t="str" cm="1">
        <f t="array" ref="CJ60">IF(CG60="","",_xlfn._xlws.FILTER(SAC,(CName=SD!$C$8)*(EName="Loose Dowels")))</f>
        <v/>
      </c>
      <c r="CK60" t="str" cm="1">
        <f t="array" ref="CK60">IFERROR(IF(CG60="","",IF(K61="Coupler",_xlfn._xlws.FILTER(CCoupler,(CCName=SD!$C$8)*(CBSize=IF(A60=A61,W60&amp;W61,""))*(CCMFM="Male")),"")),"N/A")</f>
        <v/>
      </c>
      <c r="CL60" t="str">
        <f>IFERROR(IF(AM60="Spiral","",IF(A59=A60,"",IF(SD!$C$37=0,"",SD!$C$37))),"")</f>
        <v/>
      </c>
      <c r="CN60">
        <f>IF(AM60="Spiral","",IFERROR(IF(SD!$C$36=0,"",SD!$C$36),""))</f>
        <v>5</v>
      </c>
      <c r="CP60" t="str">
        <f>IFERROR(IF(SD!$C$42=SD!$Q$3,'Take-off'!CA60,""),"")</f>
        <v/>
      </c>
      <c r="CR60">
        <f>IFERROR(IF(SD!$C$22=SD!$U$2,W60,SD!$C$22),"")</f>
        <v>0</v>
      </c>
      <c r="CS60" t="str" cm="1">
        <f t="array" ref="CS60">_xlfn.LET(_xlpm.GR,IF(AND(SD!$C$19=SD!$H$2,Grade!$G$1="Per level"),VLOOKUP(B60,Grade!$E$1:$F$200,2,FALSE),IF(AND(SD!$C$19=SD!$H$2,Grade!$G$1="Per Bar Size"),VLOOKUP(CR60,Grade!$B$1:$C$12,2,0),SD!$C$19)),IF(SD!$C$20=SD!$R$4,IF(A61=A60,"",INDEX(IF(_xlpm.GR=SD!$H$3,A615GR60,IF(_xlpm.GR=SD!$H$4,A615GR75,IF(_xlpm.GR=SD!$H$5,A615GR80,IF(_xlpm.GR=SD!H64,A615GR100,IF(_xlpm.GR=SD!$H$7,A706GR60,IF(_xlpm.GR=SD!$H$8,A706GR80)))))), MATCH(1, (BSize=CR60)*(BCName=SD!$C$8), 0))),""))</f>
        <v/>
      </c>
      <c r="CT60" t="str">
        <f>IF(A61=A60,"",IF(SD!$C$23="Match Vertical Bars ",X60,SD!$C$23))</f>
        <v/>
      </c>
      <c r="CU60" t="str" cm="1">
        <f t="array" ref="CU60">IF(A61=A60,"",IF(SD!$C$20="Top dowels",IF(SD!$E$25="No T-Head",IF(SD!$C$24=SD!$Q$3,VLOOKUP(CR60,S90Range,3,FALSE),LEFT(SD!$C$24,FIND("-",SD!$C$24)-1)+(RIGHT(SD!$C$24,LEN(SD!$C$24)-FIND("-",SD!$C$24))/12)),IF(SD!$E$25="T-Head",_xlfn._xlws.FILTER(THead,(TCName=SD!$C$8)*(TSize=CR60)),IF(SD!$E$25="Level Wise",_xlfn.LET(_xlpm.result,_xlfn.XLOOKUP(B60,TDLevel,TDLevelStatus,"No"),IF(_xlpm.result="Yes",_xlfn._xlws.FILTER(THead,(TCName=SD!$C$8)*(TSize=CR60)),IF(SD!$C$24=SD!$Q$3,VLOOKUP(CR60,S90Range,3,FALSE),LEFT(SD!$C$24,FIND("-",SD!$C$24)-1)+(RIGHT(SD!$C$24,LEN(SD!$C$24)-FIND("-", SD!$C$24))/12)))),IF(SD!$E$25="BarSize Wise",_xlfn.LET(_xlpm.result,_xlfn.XLOOKUP(CR60,TDBarSize,TDBarSizeStatus,"No"),IF(_xlpm.result="Yes",_xlfn._xlws.FILTER(THead,(TCName=SD!$C$8)*(TSize=CR60)),IF(SD!$C$24=SD!$Q$3,VLOOKUP(CR60,S90Range,3,FALSE),LEFT(SD!$C$24,FIND("-",SD!$C$24)-1)+(RIGHT(SD!$C$24,LEN(SD!$C$24)-FIND("-",SD!$C$24))/12)))), "")))),""))</f>
        <v/>
      </c>
      <c r="CV60" t="str">
        <f>_xlfn.LET(_xlpm.GRR,IF(AND(SD!$C$19=SD!$H$2,Grade!$G$1="Per level"),VLOOKUP(B60,Grade!$E$1:$F$200,2,FALSE),IF(AND(SD!$C$19=SD!$H$2,Grade!$G$1="Per Bar Size"),VLOOKUP(CR60,Grade!$B$1:$C$12,2,0),SD!$C$19)),IF(SD!$C$25=SD!$W$2,IF(Data!$J60="",IFERROR(INDEX(IF(SD!$C$11="Create",Lap!$A$3:$BF$14,IF(SD!$C$11="Per Uploaded File",Lap!$A$19:$BF$30,"")),MATCH(CR60,Lap!$A$3:$A$14,0),MATCH(VALUE(D60),Lap!$A$3:$BF$3,0)+IF(IFERROR(FIND("Grade 60",_xlpm.GRR),0)&gt;0,0,IF(IFERROR(FIND("Grade 80",_xlpm.GRR),0),1,IF(IFERROR(FIND("Grade 75",_xlpm.GRR),0),2,"")))),""),Data!J60),SD!$C$43))</f>
        <v>Match Lap</v>
      </c>
      <c r="CW60">
        <f t="shared" si="15"/>
        <v>0</v>
      </c>
      <c r="CX60">
        <f t="shared" si="16"/>
        <v>0</v>
      </c>
      <c r="CY60" t="str">
        <f t="shared" si="17"/>
        <v/>
      </c>
      <c r="DA60" t="str">
        <f t="shared" si="18"/>
        <v/>
      </c>
      <c r="DB60" t="str">
        <f t="shared" si="19"/>
        <v/>
      </c>
      <c r="DC60" s="24" t="str">
        <f t="shared" si="20"/>
        <v/>
      </c>
      <c r="DD60">
        <f t="shared" si="21"/>
        <v>10.583333333333334</v>
      </c>
      <c r="DE60" t="s">
        <v>785</v>
      </c>
      <c r="DF60" t="s">
        <v>67</v>
      </c>
      <c r="DG60" t="str">
        <f>VLOOKUP(W60,'Level Wise PSI'!$F$2:$G$12,2,FALSE)</f>
        <v>Double Lift</v>
      </c>
      <c r="DI60" t="str" cm="1">
        <f t="array" ref="DI60">_xlfn.LET(_xlpm.Coup,IFERROR(IF(BY60="","",IF(K60="Coupler",_xlfn._xlws.FILTER(CCFCoupler,(CCName=SD!$C$8)*(CBSize=IF(A59=A60,W59&amp;W60,BX60&amp;W60))),"")),"N/A"),IF(_xlpm.Coup=0,"",_xlpm.Coup))</f>
        <v/>
      </c>
      <c r="DJ60" t="str" cm="1">
        <f t="array" ref="DJ60">_xlfn.LET(_xlpm.Coup3,IFERROR(IF(CG60="","",IF(K61="Coupler",_xlfn._xlws.FILTER(CCFCoupler,(CCName=SD!$C$8)*(CBSize=IF(A60=A61,W60&amp;W61,""))),"")),"N/A"),IF(_xlpm.Coup3=0,"",_xlpm.Coup3))</f>
        <v/>
      </c>
      <c r="DK60" t="str" cm="1">
        <f t="array" ref="DK60">_xlfn.LET(_xlpm.Coup2,IFERROR(IF(A60&lt;&gt;A61,"",IF(DF60="No Lap","",IF(K61="Coupler",_xlfn._xlws.FILTER(CCFCoupler,(CCName=SD!$C$8)*(CBSize=IF(A59=A60,W60&amp;W61,W60&amp;W60))),""))),"N/A"),IF(_xlpm.Coup2=0,"",_xlpm.Coup2))</f>
        <v/>
      </c>
      <c r="DM60" t="str">
        <f>IF(AM60="Spiral","",IF(SD!$C$31=SD!$Y$3,SD!$E$32*2,""))</f>
        <v/>
      </c>
      <c r="DO60" s="24">
        <f t="shared" si="22"/>
        <v>3</v>
      </c>
      <c r="DQ60" t="str">
        <f t="shared" si="23"/>
        <v>Lig</v>
      </c>
      <c r="DR60" t="str">
        <f>IF(AM60="Spiral",((Y60-(SD!$E$12*2))/12),"")</f>
        <v/>
      </c>
      <c r="DS60" t="str">
        <f t="shared" si="24"/>
        <v/>
      </c>
      <c r="DT60" t="str">
        <f t="shared" si="25"/>
        <v/>
      </c>
      <c r="DU60" t="str">
        <f t="shared" si="26"/>
        <v/>
      </c>
    </row>
    <row r="61" spans="1:125" x14ac:dyDescent="0.25">
      <c r="A61">
        <v>30</v>
      </c>
      <c r="B61" t="s">
        <v>672</v>
      </c>
      <c r="C61" s="15">
        <v>2429</v>
      </c>
      <c r="D61" s="15">
        <v>10000</v>
      </c>
      <c r="E61" t="str">
        <f>IF(B61=Level!$A$2,SD!$C$14,SD!$C$13)</f>
        <v>0-8</v>
      </c>
      <c r="F61" s="15" t="s">
        <v>787</v>
      </c>
      <c r="G61" t="s">
        <v>748</v>
      </c>
      <c r="H61" t="str">
        <f>RIGHT(VLOOKUP(B61,Level!A:C,3,FALSE),LEN(VLOOKUP(B61,Level!A:C,3,FALSE))-1)</f>
        <v>10-7</v>
      </c>
      <c r="I61" t="s">
        <v>739</v>
      </c>
      <c r="J61" t="str">
        <f>IF(AND(SD!$C$19=SD!$H$2,Grade!$G$1="Per level"),VLOOKUP(B61,Grade!$E$1:$F$200,2,FALSE),IF(AND(SD!$C$19=SD!$H$2,Grade!$G$1="Per Bar Size"),VLOOKUP(W61,Grade!$B$1:$C$12,2,0),SD!$C$19))</f>
        <v>A615 Grade 60</v>
      </c>
      <c r="K61" t="s">
        <v>67</v>
      </c>
      <c r="L61" t="str">
        <f>IFERROR(IF(A61&lt;&gt;A62,"",IF(DF61="No Lap","",IF(K62="Lap",U61,IF(K62="Coupler",_xlfn._xlws.FILTER(CCoupler,(CCName=SD!$C$8)*(CBSize=IF(A60=A61,W61&amp;W62,W61&amp;W61))*(CCMFM="Male")),"")))),"N/A")</f>
        <v>5-1</v>
      </c>
      <c r="M61" t="str">
        <f t="shared" si="0"/>
        <v/>
      </c>
      <c r="N61" t="s">
        <v>719</v>
      </c>
      <c r="O61" t="s">
        <v>720</v>
      </c>
      <c r="P61" t="s">
        <v>719</v>
      </c>
      <c r="Q61" t="str">
        <f>IF(AND(SD!$C$29=SD!$P$2,Grade!$O$1="Per level"),VLOOKUP(B61,Grade!$M$1:$N$200,2,FALSE),IF(AND(SD!$C$29=SD!$P$2,Grade!$O$1="Per Bar Size"),VLOOKUP(LEFT(N61,FIND("@",N61)-2),Grade!$J$1:$K$12,2,0),SD!$C$29))</f>
        <v>A615 Grade 60</v>
      </c>
      <c r="R61" t="s">
        <v>736</v>
      </c>
      <c r="S61" s="57">
        <v>61</v>
      </c>
      <c r="U61" t="str">
        <f>IF(Data!$J61="",IFERROR(INDEX(IF(SD!$C$11="Create",Lap!$A$3:$BF$14,IF(SD!$C$11="Per Uploaded File",Lap!$A$19:$BF$30,"")),MATCH(W61,Lap!$A$3:$A$14,0),MATCH(VALUE(D61),Lap!$A$3:$BF$3,0)+IF(IFERROR(FIND("Grade 60",J61),0)&gt;0,0,IF(IFERROR(FIND("Grade 80",J61),0),1,IF(IFERROR(FIND("Grade 75",J61),0),2,"")))),""),Data!J61)</f>
        <v>5-1</v>
      </c>
      <c r="W61" t="s">
        <v>176</v>
      </c>
      <c r="X61">
        <v>8</v>
      </c>
      <c r="Y61" t="str">
        <f t="shared" si="1"/>
        <v xml:space="preserve">20 </v>
      </c>
      <c r="Z61" t="str">
        <f t="shared" si="2"/>
        <v xml:space="preserve"> 36</v>
      </c>
      <c r="AA61" s="24">
        <f t="shared" si="3"/>
        <v>15.666666666666666</v>
      </c>
      <c r="BB61" t="e" cm="1">
        <f t="array" ref="BB61">_xlfn.LET(_xlpm.PartF,(_xlfn.LET(_xlpm.grade, Q61,_xlpm.gradeRange, IF(_xlpm.grade=SD!$H$3, A615GR60, IF(_xlpm.grade=SD!$H$4, A615GR75, IF(_xlpm.grade=SD!$H$5, A615GR80, IF(_xlpm.grade=SD!$H$6, A615GR100, IF(_xlpm.grade=SD!$H$7, A706GR60, IF(_xlpm.grade=SD!$H$8, A706GR80)))))),_xlpm.matchValue, MATCH(1, (SD!$AW:$AW=AS61)*(SD!$AX:$AX=SD!$C$8), 0),INDEX(_xlpm.gradeRange, _xlpm.matchValue))),IF(AM61="Spiral",CONCATENATE("SP",_xlpm.PartF),_xlpm.PartF))</f>
        <v>#N/A</v>
      </c>
      <c r="BC61" cm="1">
        <f t="array" ref="BC61">_xlfn.LET(_xlpm.leftPart, LEFT(O61, FIND("@", O61) - 2),_xlpm.grade,Q61,_xlpm.gradeRange,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1" cm="1">
        <f t="array" ref="BD61">_xlfn.LET(_xlpm.leftPart, LEFT(P61, FIND("@", P61) - 2),_xlpm.grade, Q61,_xlpm.gradeRange,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1">
        <f t="shared" si="4"/>
        <v>3</v>
      </c>
      <c r="BF61">
        <f>IF(SD!$C$32=SD!$I$2,BE61,IF(SD!$C$32=SD!$I$3,DO61,IF(SD!$C$32=SD!$I$5,BA61,IF(SD!$C$32=SD!$I$6,(LEFT(SD!$C$35,FIND("-",SD!$C$35)-1)+RIGHT(SD!$C$35,LEN(SD!$C$35)-FIND("-",SD!$C$35))/12),IF(SD!$C$32=SD!$I$4,(AU61-(BG61+BH61)))))))</f>
        <v>0</v>
      </c>
      <c r="BG61">
        <f>IF(SD!$C$33=SD!$I$2,BE61,IF(SD!$C$33=SD!$I$3,DO61,IF(SD!$C$33=SD!$I$5,BA61,IF(SD!$C$33=SD!$I$6,(LEFT(SD!$C$35,FIND("-",SD!$C$35)-1)+RIGHT(SD!$C$35,LEN(SD!$C$35)-FIND("-",SD!$C$35))/12),IF(SD!$C$33=SD!$I$4,(AU61-(BF61+BH61)))))))</f>
        <v>-1</v>
      </c>
      <c r="BH61">
        <f>IF(SD!$C$34=SD!$I$2,BE61,IF(SD!$C$34=SD!$I$3,DO61,IF(SD!$C$34=SD!$I$5,BA61,IF(SD!$C$34=SD!$I$6,(LEFT(SD!$C$35,FIND("-",SD!$C$35)-1)+RIGHT(SD!$C$35,LEN(SD!$C$35)-FIND("-",SD!$C$35))/12),IF(SD!$C$34=SD!$I$4,(AU61-(BF61+BG61)))))))</f>
        <v>1</v>
      </c>
      <c r="BJ61">
        <f>IF(AM61="Spiral","1",MAX(ROUNDUP(IF(SD!$C$32="",AT61,BF61/(LEFT(RIGHT(N61,LEN(N61)-FIND("@",N61)),LEN(RIGHT(N61,LEN(N61)-FIND("@",N61)))-1)/12)+1),0),0))</f>
        <v>1</v>
      </c>
      <c r="BK61">
        <f>MAX(ROUNDUP(IF(SD!$C$33="","",BG61/(LEFT(RIGHT(O61,LEN(O61)-FIND("@",O61)),LEN(RIGHT(O61,LEN(O61)-FIND("@",O61)))-1)/12)+1),0),0)</f>
        <v>0</v>
      </c>
      <c r="BL61">
        <f>MAX(ROUNDUP(IF(SD!$C$34="","",BH61/(LEFT(RIGHT(P61,LEN(P61)-FIND("@",P61)),LEN(RIGHT(P61,LEN(P61)-FIND("@",P61)))-1)/12)+1),0),0)</f>
        <v>3</v>
      </c>
      <c r="BN61" t="e">
        <f t="shared" si="5"/>
        <v>#N/A</v>
      </c>
      <c r="BO61" t="e">
        <f t="shared" si="6"/>
        <v>#N/A</v>
      </c>
      <c r="BP61" t="e">
        <f t="shared" si="7"/>
        <v>#N/A</v>
      </c>
      <c r="BQ61" s="24" t="e">
        <f>IF(AM61=TRUE,(((Y61-(SD!$E$12*2))*3.14159265359)+BN61+BO61+BP61)/12+AL61,SUM(AF61:AG61,BN61,BO61,BP61,AO61,AQ61)/12)</f>
        <v>#N/A</v>
      </c>
      <c r="BR61" t="e">
        <f t="shared" si="8"/>
        <v>#N/A</v>
      </c>
      <c r="BS61" t="e">
        <f t="shared" si="9"/>
        <v>#N/A</v>
      </c>
      <c r="BT61" t="e">
        <f t="shared" si="10"/>
        <v>#N/A</v>
      </c>
      <c r="BU61" s="24" t="e">
        <f>IF(AM61=TRUE,(((Y61-(SD!$E$12*2))*3.14159265359)+BR61+BS61+BT61)/12+AL61,SUM(AF61:AG61,BR61,BS61,BT61,AO61,AQ61)/12)</f>
        <v>#N/A</v>
      </c>
      <c r="BW61" t="str">
        <f>IFERROR(LEFT(Data!L61,FIND(" -",Data!L61)-1),"")</f>
        <v/>
      </c>
      <c r="BX61" t="str">
        <f>IFERROR(IF(SD!$C$40=SD!$U$2,W61,IF(SD!$C$40=SD!$U$3,RIGHT(Data!L61,LEN(Data!L61)-(FIND("-",Data!L61)+1)),SD!$C$40)),"")</f>
        <v>#10</v>
      </c>
      <c r="BY61" t="str" cm="1">
        <f t="array" ref="BY61">IFERROR(_xlfn.LET(_xlpm.GRR,IF(AND(SD!$C$19=SD!$H$2,Grade!$G$1="Per level"),VLOOKUP(B61,Grade!$E$1:$F$200,2,FALSE),IF(AND(SD!$C$19=SD!$H$2,Grade!$G$1="Per Bar Size"),VLOOKUP(BX61,Grade!$B$1:$C$12,2,0),SD!$C$19)),_xlpm.is_equal, A60=A61,_xlpm.grade_range, IF(_xlpm.GRR=SD!$H$3, A615GR60,IF(_xlpm.GRR=SD!$H$4, A615GR75,IF(_xlpm.GRR=SD!$H$5, A615GR80,IF(_xlpm.GRR=SD!H65, A615GR100,IF(_xlpm.GRR=SD!$H$7, A706GR60,IF(_xlpm.GRR=SD!$H$8, A706GR80)))))),_xlpm.match_result, MATCH(1, (BSize=BX61)*(BCName=SD!$C$8), 0),_xlpm.final_result, INDEX(_xlpm.grade_range, _xlpm.match_result),IF(_xlpm.is_equal, "", _xlpm.final_result)),"")</f>
        <v/>
      </c>
      <c r="BZ61" t="str">
        <f>IF(A60=A61,"",IF(SD!$C$41="Match Vertical Bars ",X61,IF(SD!$C$41=SD!$V$3,BW61,SD!$C$41)))</f>
        <v/>
      </c>
      <c r="CA61" t="str" cm="1">
        <f t="array" ref="CA61">IF(A60=A61,"",IF(SD!$C$44="No T-Head",IF(SD!$C$42=SD!$Q$3,VLOOKUP(BX61,S90Range,3,FALSE),LEFT(SD!$C$42,FIND("-",SD!$C$42)-1)+(RIGHT(SD!$C$42,LEN(SD!$C$42)-FIND("-",SD!$C$42))/12)),IF(SD!$C$44="T-Head",_xlfn._xlws.FILTER(THead,(TCName=SD!$C$8)*(TSize=BX61)),IF(SD!$C$44="Level Wise",_xlfn.LET(_xlpm.result,_xlfn.XLOOKUP(B61,VDLevel,VDLevelStatus,"No"),IF(_xlpm.result="Yes",_xlfn._xlws.FILTER(THead,(TCName=SD!$C$8)*(TSize=BX61)),IF(SD!$C$42=SD!$Q$3,VLOOKUP(BX61,S90Range,3,FALSE),LEFT(SD!$C$42,FIND("-",SD!$C$42)-1)+(RIGHT(SD!$C$42,LEN(SD!$C$42)-FIND("-", SD!$C$42))/12)))),IF(SD!$C$44="BarSize Wise",_xlfn.LET(_xlpm.result,_xlfn.XLOOKUP(BX61,VDBarSize,VDBarSizeStatus,"No"),IF(_xlpm.result="Yes",_xlfn._xlws.FILTER(THead,(TCName=SD!$C$8)*(TSize=BX61)),IF(SD!$C$42=SD!$Q$3,VLOOKUP(BX61,S90Range,3,FALSE),LEFT(SD!$C$42,FIND("-",SD!$C$42)-1)+(RIGHT(SD!$C$42,LEN(SD!$C$42)-FIND("-",SD!$C$42))/12)))), "")))))</f>
        <v/>
      </c>
      <c r="CB61" t="str" cm="1">
        <f t="array" ref="CB61">_xlfn.LET(_xlpm.GRR,IF(AND(SD!$C$19=SD!$H$2,Grade!$G$1="Per level"),VLOOKUP(B61,Grade!$E$1:$F$200,2,FALSE),IF(AND(SD!$C$19=SD!$H$2,Grade!$G$1="Per Bar Size"),VLOOKUP(BX61,Grade!$B$1:$C$12,2,0),SD!$C$19)),_xlpm.is_coupler, K61="Coupler",_xlpm.condition1, SD!$C$43=SD!$W$2,_xlpm.data_j2_empty, Data!$J61="",_xlpm.lookup_table, IF(SD!$C$11="Create", Lap!$A$3:$BF$14, IF(SD!$C$11="Per Uploaded File", Lap!$A$19:$BF$30, "")),_xlpm.row_match, MATCH(BX61, Lap!$A$3:$A$14, 0),_xlpm.grade_offset, IF(IFERROR(FIND("Grade 60",_xlpm.GRR), 0) &gt; 0, 0, IF(IFERROR(FIND("Grade 80",_xlpm.GRR), 0), 1, IF(IFERROR(FIND("Grade 75",_xlpm.GRR), 0), 2, ""))),_xlpm.col_match, MATCH(VALUE(D61), Lap!$A$3:$BF$3, 0) + _xlpm.grade_offset,_xlpm.index_result, IFERROR(INDEX(_xlpm.lookup_table, _xlpm.row_match, _xlpm.col_match), Data!$J61),_xlpm.result_if_condition1, IF(_xlpm.data_j2_empty, _xlpm.index_result, Data!$J61),IF(_xlpm.is_coupler, 0, IF(_xlpm.condition1, _xlpm.result_if_condition1, SD!$C$43)))</f>
        <v>5-1</v>
      </c>
      <c r="CC61" s="24">
        <f t="shared" si="11"/>
        <v>5.083333333333333</v>
      </c>
      <c r="CD61">
        <f t="shared" si="12"/>
        <v>5.75</v>
      </c>
      <c r="CE61" t="str" cm="1">
        <f t="array" ref="CE61">IF(BY61="","",_xlfn._xlws.FILTER(SAC,(CName=SD!$C$8)*(EName="Vert Dowels")))</f>
        <v/>
      </c>
      <c r="CF61" t="str" cm="1">
        <f t="array" ref="CF61">IFERROR(IF(BY61="","",IF(K61="Coupler",_xlfn._xlws.FILTER(CCoupler,(CCName=SD!$C$8)*(CBSize=IF(A60=A61,W60&amp;W61,BX61&amp;W61))*(CCMFM="Male")),"")),"N/A")</f>
        <v/>
      </c>
      <c r="CG61" t="str">
        <f t="shared" si="13"/>
        <v/>
      </c>
      <c r="CH61" t="str">
        <f t="shared" si="14"/>
        <v/>
      </c>
      <c r="CI61" t="str">
        <f>_xlfn.LET(_xlpm.u3_value, U62,_xlpm.hyphen_pos,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K62="Coupler",_xlpm.coupler_value, IF(_xlpm.is_coupler, 0, _xlpm.calculated_value),_xlpm.final_value, _xlpm.calculated_value + SD!$E$13 + _xlpm.coupler_value,IF(CG61="", "", _xlpm.final_value))</f>
        <v/>
      </c>
      <c r="CJ61" t="str" cm="1">
        <f t="array" ref="CJ61">IF(CG61="","",_xlfn._xlws.FILTER(SAC,(CName=SD!$C$8)*(EName="Loose Dowels")))</f>
        <v/>
      </c>
      <c r="CK61" t="str" cm="1">
        <f t="array" ref="CK61">IFERROR(IF(CG61="","",IF(K62="Coupler",_xlfn._xlws.FILTER(CCoupler,(CCName=SD!$C$8)*(CBSize=IF(A61=A62,W61&amp;W62,""))*(CCMFM="Male")),"")),"N/A")</f>
        <v/>
      </c>
      <c r="CL61" t="str">
        <f>IFERROR(IF(AM61="Spiral","",IF(A60=A61,"",IF(SD!$C$37=0,"",SD!$C$37))),"")</f>
        <v/>
      </c>
      <c r="CN61">
        <f>IF(AM61="Spiral","",IFERROR(IF(SD!$C$36=0,"",SD!$C$36),""))</f>
        <v>5</v>
      </c>
      <c r="CP61" t="str">
        <f>IFERROR(IF(SD!$C$42=SD!$Q$3,'Take-off'!CA61,""),"")</f>
        <v/>
      </c>
      <c r="CR61">
        <f>IFERROR(IF(SD!$C$22=SD!$U$2,W61,SD!$C$22),"")</f>
        <v>0</v>
      </c>
      <c r="CS61" t="str" cm="1">
        <f t="array" ref="CS61">_xlfn.LET(_xlpm.GR,IF(AND(SD!$C$19=SD!$H$2,Grade!$G$1="Per level"),VLOOKUP(B61,Grade!$E$1:$F$200,2,FALSE),IF(AND(SD!$C$19=SD!$H$2,Grade!$G$1="Per Bar Size"),VLOOKUP(CR61,Grade!$B$1:$C$12,2,0),SD!$C$19)),IF(SD!$C$20=SD!$R$4,IF(A62=A61,"",INDEX(IF(_xlpm.GR=SD!$H$3,A615GR60,IF(_xlpm.GR=SD!$H$4,A615GR75,IF(_xlpm.GR=SD!$H$5,A615GR80,IF(_xlpm.GR=SD!H65,A615GR100,IF(_xlpm.GR=SD!$H$7,A706GR60,IF(_xlpm.GR=SD!$H$8,A706GR80)))))), MATCH(1, (BSize=CR61)*(BCName=SD!$C$8), 0))),""))</f>
        <v/>
      </c>
      <c r="CT61" t="str">
        <f>IF(A62=A61,"",IF(SD!$C$23="Match Vertical Bars ",X61,SD!$C$23))</f>
        <v/>
      </c>
      <c r="CU61" t="str" cm="1">
        <f t="array" ref="CU61">IF(A62=A61,"",IF(SD!$C$20="Top dowels",IF(SD!$E$25="No T-Head",IF(SD!$C$24=SD!$Q$3,VLOOKUP(CR61,S90Range,3,FALSE),LEFT(SD!$C$24,FIND("-",SD!$C$24)-1)+(RIGHT(SD!$C$24,LEN(SD!$C$24)-FIND("-",SD!$C$24))/12)),IF(SD!$E$25="T-Head",_xlfn._xlws.FILTER(THead,(TCName=SD!$C$8)*(TSize=CR61)),IF(SD!$E$25="Level Wise",_xlfn.LET(_xlpm.result,_xlfn.XLOOKUP(B61,TDLevel,TDLevelStatus,"No"),IF(_xlpm.result="Yes",_xlfn._xlws.FILTER(THead,(TCName=SD!$C$8)*(TSize=CR61)),IF(SD!$C$24=SD!$Q$3,VLOOKUP(CR61,S90Range,3,FALSE),LEFT(SD!$C$24,FIND("-",SD!$C$24)-1)+(RIGHT(SD!$C$24,LEN(SD!$C$24)-FIND("-", SD!$C$24))/12)))),IF(SD!$E$25="BarSize Wise",_xlfn.LET(_xlpm.result,_xlfn.XLOOKUP(CR61,TDBarSize,TDBarSizeStatus,"No"),IF(_xlpm.result="Yes",_xlfn._xlws.FILTER(THead,(TCName=SD!$C$8)*(TSize=CR61)),IF(SD!$C$24=SD!$Q$3,VLOOKUP(CR61,S90Range,3,FALSE),LEFT(SD!$C$24,FIND("-",SD!$C$24)-1)+(RIGHT(SD!$C$24,LEN(SD!$C$24)-FIND("-",SD!$C$24))/12)))), "")))),""))</f>
        <v/>
      </c>
      <c r="CV61" t="str">
        <f>_xlfn.LET(_xlpm.GRR,IF(AND(SD!$C$19=SD!$H$2,Grade!$G$1="Per level"),VLOOKUP(B61,Grade!$E$1:$F$200,2,FALSE),IF(AND(SD!$C$19=SD!$H$2,Grade!$G$1="Per Bar Size"),VLOOKUP(CR61,Grade!$B$1:$C$12,2,0),SD!$C$19)),IF(SD!$C$25=SD!$W$2,IF(Data!$J61="",IFERROR(INDEX(IF(SD!$C$11="Create",Lap!$A$3:$BF$14,IF(SD!$C$11="Per Uploaded File",Lap!$A$19:$BF$30,"")),MATCH(CR61,Lap!$A$3:$A$14,0),MATCH(VALUE(D61),Lap!$A$3:$BF$3,0)+IF(IFERROR(FIND("Grade 60",_xlpm.GRR),0)&gt;0,0,IF(IFERROR(FIND("Grade 80",_xlpm.GRR),0),1,IF(IFERROR(FIND("Grade 75",_xlpm.GRR),0),2,"")))),""),Data!J61),SD!$C$43))</f>
        <v>Match Lap</v>
      </c>
      <c r="CW61">
        <f t="shared" si="15"/>
        <v>0</v>
      </c>
      <c r="CX61">
        <f t="shared" si="16"/>
        <v>0</v>
      </c>
      <c r="CY61" t="str">
        <f t="shared" si="17"/>
        <v/>
      </c>
      <c r="DA61" t="str">
        <f t="shared" si="18"/>
        <v/>
      </c>
      <c r="DB61" t="str">
        <f t="shared" si="19"/>
        <v/>
      </c>
      <c r="DC61" s="24" t="str">
        <f t="shared" si="20"/>
        <v/>
      </c>
      <c r="DD61">
        <f t="shared" si="21"/>
        <v>10.583333333333334</v>
      </c>
      <c r="DE61" t="s">
        <v>785</v>
      </c>
      <c r="DF61" t="s">
        <v>67</v>
      </c>
      <c r="DG61" t="str">
        <f>VLOOKUP(W61,'Level Wise PSI'!$F$2:$G$12,2,FALSE)</f>
        <v>Double Lift</v>
      </c>
      <c r="DI61" t="str" cm="1">
        <f t="array" ref="DI61">_xlfn.LET(_xlpm.Coup,IFERROR(IF(BY61="","",IF(K61="Coupler",_xlfn._xlws.FILTER(CCFCoupler,(CCName=SD!$C$8)*(CBSize=IF(A60=A61,W60&amp;W61,BX61&amp;W61))),"")),"N/A"),IF(_xlpm.Coup=0,"",_xlpm.Coup))</f>
        <v/>
      </c>
      <c r="DJ61" t="str" cm="1">
        <f t="array" ref="DJ61">_xlfn.LET(_xlpm.Coup3,IFERROR(IF(CG61="","",IF(K62="Coupler",_xlfn._xlws.FILTER(CCFCoupler,(CCName=SD!$C$8)*(CBSize=IF(A61=A62,W61&amp;W62,""))),"")),"N/A"),IF(_xlpm.Coup3=0,"",_xlpm.Coup3))</f>
        <v/>
      </c>
      <c r="DK61" t="str" cm="1">
        <f t="array" ref="DK61">_xlfn.LET(_xlpm.Coup2,IFERROR(IF(A61&lt;&gt;A62,"",IF(DF61="No Lap","",IF(K62="Coupler",_xlfn._xlws.FILTER(CCFCoupler,(CCName=SD!$C$8)*(CBSize=IF(A60=A61,W61&amp;W62,W61&amp;W61))),""))),"N/A"),IF(_xlpm.Coup2=0,"",_xlpm.Coup2))</f>
        <v/>
      </c>
      <c r="DM61" t="str">
        <f>IF(AM61="Spiral","",IF(SD!$C$31=SD!$Y$3,SD!$E$32*2,""))</f>
        <v/>
      </c>
      <c r="DO61" s="24">
        <f t="shared" si="22"/>
        <v>3</v>
      </c>
      <c r="DQ61" t="str">
        <f t="shared" si="23"/>
        <v>Lig</v>
      </c>
      <c r="DR61" t="str">
        <f>IF(AM61="Spiral",((Y61-(SD!$E$12*2))/12),"")</f>
        <v/>
      </c>
      <c r="DS61" t="str">
        <f t="shared" si="24"/>
        <v/>
      </c>
      <c r="DT61" t="str">
        <f t="shared" si="25"/>
        <v/>
      </c>
      <c r="DU61" t="str">
        <f t="shared" si="26"/>
        <v/>
      </c>
    </row>
    <row r="62" spans="1:125" x14ac:dyDescent="0.25">
      <c r="A62">
        <v>30</v>
      </c>
      <c r="B62" t="s">
        <v>674</v>
      </c>
      <c r="C62" s="15">
        <v>2429</v>
      </c>
      <c r="D62" s="15">
        <v>10000</v>
      </c>
      <c r="E62" t="str">
        <f>IF(B62=Level!$A$2,SD!$C$14,SD!$C$13)</f>
        <v>0-8</v>
      </c>
      <c r="F62" s="15" t="s">
        <v>787</v>
      </c>
      <c r="G62" t="s">
        <v>748</v>
      </c>
      <c r="H62" t="str">
        <f>RIGHT(VLOOKUP(B62,Level!A:C,3,FALSE),LEN(VLOOKUP(B62,Level!A:C,3,FALSE))-1)</f>
        <v>10-7</v>
      </c>
      <c r="I62" t="s">
        <v>739</v>
      </c>
      <c r="J62" t="str">
        <f>IF(AND(SD!$C$19=SD!$H$2,Grade!$G$1="Per level"),VLOOKUP(B62,Grade!$E$1:$F$200,2,FALSE),IF(AND(SD!$C$19=SD!$H$2,Grade!$G$1="Per Bar Size"),VLOOKUP(W62,Grade!$B$1:$C$12,2,0),SD!$C$19))</f>
        <v>A615 Grade 60</v>
      </c>
      <c r="K62" t="s">
        <v>67</v>
      </c>
      <c r="L62" t="str">
        <f>IFERROR(IF(A62&lt;&gt;A63,"",IF(DF62="No Lap","",IF(K63="Lap",U62,IF(K63="Coupler",_xlfn._xlws.FILTER(CCoupler,(CCName=SD!$C$8)*(CBSize=IF(A61=A62,W62&amp;W63,W62&amp;W62))*(CCMFM="Male")),"")))),"N/A")</f>
        <v>5-1</v>
      </c>
      <c r="M62" t="str">
        <f t="shared" si="0"/>
        <v/>
      </c>
      <c r="N62" t="s">
        <v>719</v>
      </c>
      <c r="O62" t="s">
        <v>720</v>
      </c>
      <c r="P62" t="s">
        <v>719</v>
      </c>
      <c r="Q62" t="str">
        <f>IF(AND(SD!$C$29=SD!$P$2,Grade!$O$1="Per level"),VLOOKUP(B62,Grade!$M$1:$N$200,2,FALSE),IF(AND(SD!$C$29=SD!$P$2,Grade!$O$1="Per Bar Size"),VLOOKUP(LEFT(N62,FIND("@",N62)-2),Grade!$J$1:$K$12,2,0),SD!$C$29))</f>
        <v>A615 Grade 60</v>
      </c>
      <c r="R62" t="s">
        <v>736</v>
      </c>
      <c r="S62" s="57">
        <v>62</v>
      </c>
      <c r="U62" t="str">
        <f>IF(Data!$J62="",IFERROR(INDEX(IF(SD!$C$11="Create",Lap!$A$3:$BF$14,IF(SD!$C$11="Per Uploaded File",Lap!$A$19:$BF$30,"")),MATCH(W62,Lap!$A$3:$A$14,0),MATCH(VALUE(D62),Lap!$A$3:$BF$3,0)+IF(IFERROR(FIND("Grade 60",J62),0)&gt;0,0,IF(IFERROR(FIND("Grade 80",J62),0),1,IF(IFERROR(FIND("Grade 75",J62),0),2,"")))),""),Data!J62)</f>
        <v>5-1</v>
      </c>
      <c r="W62" t="s">
        <v>176</v>
      </c>
      <c r="X62">
        <v>8</v>
      </c>
      <c r="Y62" t="str">
        <f t="shared" si="1"/>
        <v xml:space="preserve">20 </v>
      </c>
      <c r="Z62" t="str">
        <f t="shared" si="2"/>
        <v xml:space="preserve"> 36</v>
      </c>
      <c r="AA62" s="24">
        <f t="shared" si="3"/>
        <v>15.666666666666666</v>
      </c>
      <c r="BB62" t="e" cm="1">
        <f t="array" ref="BB62">_xlfn.LET(_xlpm.PartF,(_xlfn.LET(_xlpm.grade, Q62,_xlpm.gradeRange, IF(_xlpm.grade=SD!$H$3, A615GR60, IF(_xlpm.grade=SD!$H$4, A615GR75, IF(_xlpm.grade=SD!$H$5, A615GR80, IF(_xlpm.grade=SD!$H$6, A615GR100, IF(_xlpm.grade=SD!$H$7, A706GR60, IF(_xlpm.grade=SD!$H$8, A706GR80)))))),_xlpm.matchValue, MATCH(1, (SD!$AW:$AW=AS62)*(SD!$AX:$AX=SD!$C$8), 0),INDEX(_xlpm.gradeRange, _xlpm.matchValue))),IF(AM62="Spiral",CONCATENATE("SP",_xlpm.PartF),_xlpm.PartF))</f>
        <v>#N/A</v>
      </c>
      <c r="BC62" cm="1">
        <f t="array" ref="BC62">_xlfn.LET(_xlpm.leftPart, LEFT(O62, FIND("@", O62) - 2),_xlpm.grade,Q62,_xlpm.gradeRange,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2" cm="1">
        <f t="array" ref="BD62">_xlfn.LET(_xlpm.leftPart, LEFT(P62, FIND("@", P62) - 2),_xlpm.grade, Q62,_xlpm.gradeRange,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2">
        <f t="shared" si="4"/>
        <v>3</v>
      </c>
      <c r="BF62">
        <f>IF(SD!$C$32=SD!$I$2,BE62,IF(SD!$C$32=SD!$I$3,DO62,IF(SD!$C$32=SD!$I$5,BA62,IF(SD!$C$32=SD!$I$6,(LEFT(SD!$C$35,FIND("-",SD!$C$35)-1)+RIGHT(SD!$C$35,LEN(SD!$C$35)-FIND("-",SD!$C$35))/12),IF(SD!$C$32=SD!$I$4,(AU62-(BG62+BH62)))))))</f>
        <v>0</v>
      </c>
      <c r="BG62">
        <f>IF(SD!$C$33=SD!$I$2,BE62,IF(SD!$C$33=SD!$I$3,DO62,IF(SD!$C$33=SD!$I$5,BA62,IF(SD!$C$33=SD!$I$6,(LEFT(SD!$C$35,FIND("-",SD!$C$35)-1)+RIGHT(SD!$C$35,LEN(SD!$C$35)-FIND("-",SD!$C$35))/12),IF(SD!$C$33=SD!$I$4,(AU62-(BF62+BH62)))))))</f>
        <v>-1</v>
      </c>
      <c r="BH62">
        <f>IF(SD!$C$34=SD!$I$2,BE62,IF(SD!$C$34=SD!$I$3,DO62,IF(SD!$C$34=SD!$I$5,BA62,IF(SD!$C$34=SD!$I$6,(LEFT(SD!$C$35,FIND("-",SD!$C$35)-1)+RIGHT(SD!$C$35,LEN(SD!$C$35)-FIND("-",SD!$C$35))/12),IF(SD!$C$34=SD!$I$4,(AU62-(BF62+BG62)))))))</f>
        <v>1</v>
      </c>
      <c r="BJ62">
        <f>IF(AM62="Spiral","1",MAX(ROUNDUP(IF(SD!$C$32="",AT62,BF62/(LEFT(RIGHT(N62,LEN(N62)-FIND("@",N62)),LEN(RIGHT(N62,LEN(N62)-FIND("@",N62)))-1)/12)+1),0),0))</f>
        <v>1</v>
      </c>
      <c r="BK62">
        <f>MAX(ROUNDUP(IF(SD!$C$33="","",BG62/(LEFT(RIGHT(O62,LEN(O62)-FIND("@",O62)),LEN(RIGHT(O62,LEN(O62)-FIND("@",O62)))-1)/12)+1),0),0)</f>
        <v>0</v>
      </c>
      <c r="BL62">
        <f>MAX(ROUNDUP(IF(SD!$C$34="","",BH62/(LEFT(RIGHT(P62,LEN(P62)-FIND("@",P62)),LEN(RIGHT(P62,LEN(P62)-FIND("@",P62)))-1)/12)+1),0),0)</f>
        <v>3</v>
      </c>
      <c r="BN62" t="e">
        <f t="shared" si="5"/>
        <v>#N/A</v>
      </c>
      <c r="BO62" t="e">
        <f t="shared" si="6"/>
        <v>#N/A</v>
      </c>
      <c r="BP62" t="e">
        <f t="shared" si="7"/>
        <v>#N/A</v>
      </c>
      <c r="BQ62" s="24" t="e">
        <f>IF(AM62=TRUE,(((Y62-(SD!$E$12*2))*3.14159265359)+BN62+BO62+BP62)/12+AL62,SUM(AF62:AG62,BN62,BO62,BP62,AO62,AQ62)/12)</f>
        <v>#N/A</v>
      </c>
      <c r="BR62" t="e">
        <f t="shared" si="8"/>
        <v>#N/A</v>
      </c>
      <c r="BS62" t="e">
        <f t="shared" si="9"/>
        <v>#N/A</v>
      </c>
      <c r="BT62" t="e">
        <f t="shared" si="10"/>
        <v>#N/A</v>
      </c>
      <c r="BU62" s="24" t="e">
        <f>IF(AM62=TRUE,(((Y62-(SD!$E$12*2))*3.14159265359)+BR62+BS62+BT62)/12+AL62,SUM(AF62:AG62,BR62,BS62,BT62,AO62,AQ62)/12)</f>
        <v>#N/A</v>
      </c>
      <c r="BW62" t="str">
        <f>IFERROR(LEFT(Data!L62,FIND(" -",Data!L62)-1),"")</f>
        <v/>
      </c>
      <c r="BX62" t="str">
        <f>IFERROR(IF(SD!$C$40=SD!$U$2,W62,IF(SD!$C$40=SD!$U$3,RIGHT(Data!L62,LEN(Data!L62)-(FIND("-",Data!L62)+1)),SD!$C$40)),"")</f>
        <v>#10</v>
      </c>
      <c r="BY62" t="str" cm="1">
        <f t="array" ref="BY62">IFERROR(_xlfn.LET(_xlpm.GRR,IF(AND(SD!$C$19=SD!$H$2,Grade!$G$1="Per level"),VLOOKUP(B62,Grade!$E$1:$F$200,2,FALSE),IF(AND(SD!$C$19=SD!$H$2,Grade!$G$1="Per Bar Size"),VLOOKUP(BX62,Grade!$B$1:$C$12,2,0),SD!$C$19)),_xlpm.is_equal, A61=A62,_xlpm.grade_range, IF(_xlpm.GRR=SD!$H$3, A615GR60,IF(_xlpm.GRR=SD!$H$4, A615GR75,IF(_xlpm.GRR=SD!$H$5, A615GR80,IF(_xlpm.GRR=SD!H66, A615GR100,IF(_xlpm.GRR=SD!$H$7, A706GR60,IF(_xlpm.GRR=SD!$H$8, A706GR80)))))),_xlpm.match_result, MATCH(1, (BSize=BX62)*(BCName=SD!$C$8), 0),_xlpm.final_result, INDEX(_xlpm.grade_range, _xlpm.match_result),IF(_xlpm.is_equal, "", _xlpm.final_result)),"")</f>
        <v/>
      </c>
      <c r="BZ62" t="str">
        <f>IF(A61=A62,"",IF(SD!$C$41="Match Vertical Bars ",X62,IF(SD!$C$41=SD!$V$3,BW62,SD!$C$41)))</f>
        <v/>
      </c>
      <c r="CA62" t="str" cm="1">
        <f t="array" ref="CA62">IF(A61=A62,"",IF(SD!$C$44="No T-Head",IF(SD!$C$42=SD!$Q$3,VLOOKUP(BX62,S90Range,3,FALSE),LEFT(SD!$C$42,FIND("-",SD!$C$42)-1)+(RIGHT(SD!$C$42,LEN(SD!$C$42)-FIND("-",SD!$C$42))/12)),IF(SD!$C$44="T-Head",_xlfn._xlws.FILTER(THead,(TCName=SD!$C$8)*(TSize=BX62)),IF(SD!$C$44="Level Wise",_xlfn.LET(_xlpm.result,_xlfn.XLOOKUP(B62,VDLevel,VDLevelStatus,"No"),IF(_xlpm.result="Yes",_xlfn._xlws.FILTER(THead,(TCName=SD!$C$8)*(TSize=BX62)),IF(SD!$C$42=SD!$Q$3,VLOOKUP(BX62,S90Range,3,FALSE),LEFT(SD!$C$42,FIND("-",SD!$C$42)-1)+(RIGHT(SD!$C$42,LEN(SD!$C$42)-FIND("-", SD!$C$42))/12)))),IF(SD!$C$44="BarSize Wise",_xlfn.LET(_xlpm.result,_xlfn.XLOOKUP(BX62,VDBarSize,VDBarSizeStatus,"No"),IF(_xlpm.result="Yes",_xlfn._xlws.FILTER(THead,(TCName=SD!$C$8)*(TSize=BX62)),IF(SD!$C$42=SD!$Q$3,VLOOKUP(BX62,S90Range,3,FALSE),LEFT(SD!$C$42,FIND("-",SD!$C$42)-1)+(RIGHT(SD!$C$42,LEN(SD!$C$42)-FIND("-",SD!$C$42))/12)))), "")))))</f>
        <v/>
      </c>
      <c r="CB62" t="str" cm="1">
        <f t="array" ref="CB62">_xlfn.LET(_xlpm.GRR,IF(AND(SD!$C$19=SD!$H$2,Grade!$G$1="Per level"),VLOOKUP(B62,Grade!$E$1:$F$200,2,FALSE),IF(AND(SD!$C$19=SD!$H$2,Grade!$G$1="Per Bar Size"),VLOOKUP(BX62,Grade!$B$1:$C$12,2,0),SD!$C$19)),_xlpm.is_coupler, K62="Coupler",_xlpm.condition1, SD!$C$43=SD!$W$2,_xlpm.data_j2_empty, Data!$J62="",_xlpm.lookup_table, IF(SD!$C$11="Create", Lap!$A$3:$BF$14, IF(SD!$C$11="Per Uploaded File", Lap!$A$19:$BF$30, "")),_xlpm.row_match, MATCH(BX62, Lap!$A$3:$A$14, 0),_xlpm.grade_offset, IF(IFERROR(FIND("Grade 60",_xlpm.GRR), 0) &gt; 0, 0, IF(IFERROR(FIND("Grade 80",_xlpm.GRR), 0), 1, IF(IFERROR(FIND("Grade 75",_xlpm.GRR), 0), 2, ""))),_xlpm.col_match, MATCH(VALUE(D62), Lap!$A$3:$BF$3, 0) + _xlpm.grade_offset,_xlpm.index_result, IFERROR(INDEX(_xlpm.lookup_table, _xlpm.row_match, _xlpm.col_match), Data!$J62),_xlpm.result_if_condition1, IF(_xlpm.data_j2_empty, _xlpm.index_result, Data!$J62),IF(_xlpm.is_coupler, 0, IF(_xlpm.condition1, _xlpm.result_if_condition1, SD!$C$43)))</f>
        <v>5-1</v>
      </c>
      <c r="CC62" s="24">
        <f t="shared" si="11"/>
        <v>5.083333333333333</v>
      </c>
      <c r="CD62">
        <f t="shared" si="12"/>
        <v>5.75</v>
      </c>
      <c r="CE62" t="str" cm="1">
        <f t="array" ref="CE62">IF(BY62="","",_xlfn._xlws.FILTER(SAC,(CName=SD!$C$8)*(EName="Vert Dowels")))</f>
        <v/>
      </c>
      <c r="CF62" t="str" cm="1">
        <f t="array" ref="CF62">IFERROR(IF(BY62="","",IF(K62="Coupler",_xlfn._xlws.FILTER(CCoupler,(CCName=SD!$C$8)*(CBSize=IF(A61=A62,W61&amp;W62,BX62&amp;W62))*(CCMFM="Male")),"")),"N/A")</f>
        <v/>
      </c>
      <c r="CG62" t="str">
        <f t="shared" si="13"/>
        <v/>
      </c>
      <c r="CH62" t="str">
        <f t="shared" si="14"/>
        <v/>
      </c>
      <c r="CI62" t="str">
        <f>_xlfn.LET(_xlpm.u3_value, U63,_xlpm.hyphen_pos,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K63="Coupler",_xlpm.coupler_value, IF(_xlpm.is_coupler, 0, _xlpm.calculated_value),_xlpm.final_value, _xlpm.calculated_value + SD!$E$13 + _xlpm.coupler_value,IF(CG62="", "", _xlpm.final_value))</f>
        <v/>
      </c>
      <c r="CJ62" t="str" cm="1">
        <f t="array" ref="CJ62">IF(CG62="","",_xlfn._xlws.FILTER(SAC,(CName=SD!$C$8)*(EName="Loose Dowels")))</f>
        <v/>
      </c>
      <c r="CK62" t="str" cm="1">
        <f t="array" ref="CK62">IFERROR(IF(CG62="","",IF(K63="Coupler",_xlfn._xlws.FILTER(CCoupler,(CCName=SD!$C$8)*(CBSize=IF(A62=A63,W62&amp;W63,""))*(CCMFM="Male")),"")),"N/A")</f>
        <v/>
      </c>
      <c r="CL62" t="str">
        <f>IFERROR(IF(AM62="Spiral","",IF(A61=A62,"",IF(SD!$C$37=0,"",SD!$C$37))),"")</f>
        <v/>
      </c>
      <c r="CN62">
        <f>IF(AM62="Spiral","",IFERROR(IF(SD!$C$36=0,"",SD!$C$36),""))</f>
        <v>5</v>
      </c>
      <c r="CP62" t="str">
        <f>IFERROR(IF(SD!$C$42=SD!$Q$3,'Take-off'!CA62,""),"")</f>
        <v/>
      </c>
      <c r="CR62">
        <f>IFERROR(IF(SD!$C$22=SD!$U$2,W62,SD!$C$22),"")</f>
        <v>0</v>
      </c>
      <c r="CS62" t="str" cm="1">
        <f t="array" ref="CS62">_xlfn.LET(_xlpm.GR,IF(AND(SD!$C$19=SD!$H$2,Grade!$G$1="Per level"),VLOOKUP(B62,Grade!$E$1:$F$200,2,FALSE),IF(AND(SD!$C$19=SD!$H$2,Grade!$G$1="Per Bar Size"),VLOOKUP(CR62,Grade!$B$1:$C$12,2,0),SD!$C$19)),IF(SD!$C$20=SD!$R$4,IF(A63=A62,"",INDEX(IF(_xlpm.GR=SD!$H$3,A615GR60,IF(_xlpm.GR=SD!$H$4,A615GR75,IF(_xlpm.GR=SD!$H$5,A615GR80,IF(_xlpm.GR=SD!H66,A615GR100,IF(_xlpm.GR=SD!$H$7,A706GR60,IF(_xlpm.GR=SD!$H$8,A706GR80)))))), MATCH(1, (BSize=CR62)*(BCName=SD!$C$8), 0))),""))</f>
        <v/>
      </c>
      <c r="CT62" t="str">
        <f>IF(A63=A62,"",IF(SD!$C$23="Match Vertical Bars ",X62,SD!$C$23))</f>
        <v/>
      </c>
      <c r="CU62" t="str" cm="1">
        <f t="array" ref="CU62">IF(A63=A62,"",IF(SD!$C$20="Top dowels",IF(SD!$E$25="No T-Head",IF(SD!$C$24=SD!$Q$3,VLOOKUP(CR62,S90Range,3,FALSE),LEFT(SD!$C$24,FIND("-",SD!$C$24)-1)+(RIGHT(SD!$C$24,LEN(SD!$C$24)-FIND("-",SD!$C$24))/12)),IF(SD!$E$25="T-Head",_xlfn._xlws.FILTER(THead,(TCName=SD!$C$8)*(TSize=CR62)),IF(SD!$E$25="Level Wise",_xlfn.LET(_xlpm.result,_xlfn.XLOOKUP(B62,TDLevel,TDLevelStatus,"No"),IF(_xlpm.result="Yes",_xlfn._xlws.FILTER(THead,(TCName=SD!$C$8)*(TSize=CR62)),IF(SD!$C$24=SD!$Q$3,VLOOKUP(CR62,S90Range,3,FALSE),LEFT(SD!$C$24,FIND("-",SD!$C$24)-1)+(RIGHT(SD!$C$24,LEN(SD!$C$24)-FIND("-", SD!$C$24))/12)))),IF(SD!$E$25="BarSize Wise",_xlfn.LET(_xlpm.result,_xlfn.XLOOKUP(CR62,TDBarSize,TDBarSizeStatus,"No"),IF(_xlpm.result="Yes",_xlfn._xlws.FILTER(THead,(TCName=SD!$C$8)*(TSize=CR62)),IF(SD!$C$24=SD!$Q$3,VLOOKUP(CR62,S90Range,3,FALSE),LEFT(SD!$C$24,FIND("-",SD!$C$24)-1)+(RIGHT(SD!$C$24,LEN(SD!$C$24)-FIND("-",SD!$C$24))/12)))), "")))),""))</f>
        <v/>
      </c>
      <c r="CV62" t="str">
        <f>_xlfn.LET(_xlpm.GRR,IF(AND(SD!$C$19=SD!$H$2,Grade!$G$1="Per level"),VLOOKUP(B62,Grade!$E$1:$F$200,2,FALSE),IF(AND(SD!$C$19=SD!$H$2,Grade!$G$1="Per Bar Size"),VLOOKUP(CR62,Grade!$B$1:$C$12,2,0),SD!$C$19)),IF(SD!$C$25=SD!$W$2,IF(Data!$J62="",IFERROR(INDEX(IF(SD!$C$11="Create",Lap!$A$3:$BF$14,IF(SD!$C$11="Per Uploaded File",Lap!$A$19:$BF$30,"")),MATCH(CR62,Lap!$A$3:$A$14,0),MATCH(VALUE(D62),Lap!$A$3:$BF$3,0)+IF(IFERROR(FIND("Grade 60",_xlpm.GRR),0)&gt;0,0,IF(IFERROR(FIND("Grade 80",_xlpm.GRR),0),1,IF(IFERROR(FIND("Grade 75",_xlpm.GRR),0),2,"")))),""),Data!J62),SD!$C$43))</f>
        <v>Match Lap</v>
      </c>
      <c r="CW62">
        <f t="shared" si="15"/>
        <v>0</v>
      </c>
      <c r="CX62">
        <f t="shared" si="16"/>
        <v>0</v>
      </c>
      <c r="CY62" t="str">
        <f t="shared" si="17"/>
        <v/>
      </c>
      <c r="DA62" t="str">
        <f t="shared" si="18"/>
        <v/>
      </c>
      <c r="DB62" t="str">
        <f t="shared" si="19"/>
        <v/>
      </c>
      <c r="DC62" s="24" t="str">
        <f t="shared" si="20"/>
        <v/>
      </c>
      <c r="DD62">
        <f t="shared" si="21"/>
        <v>10.583333333333334</v>
      </c>
      <c r="DE62" t="s">
        <v>785</v>
      </c>
      <c r="DF62" t="s">
        <v>67</v>
      </c>
      <c r="DG62" t="str">
        <f>VLOOKUP(W62,'Level Wise PSI'!$F$2:$G$12,2,FALSE)</f>
        <v>Double Lift</v>
      </c>
      <c r="DI62" t="str" cm="1">
        <f t="array" ref="DI62">_xlfn.LET(_xlpm.Coup,IFERROR(IF(BY62="","",IF(K62="Coupler",_xlfn._xlws.FILTER(CCFCoupler,(CCName=SD!$C$8)*(CBSize=IF(A61=A62,W61&amp;W62,BX62&amp;W62))),"")),"N/A"),IF(_xlpm.Coup=0,"",_xlpm.Coup))</f>
        <v/>
      </c>
      <c r="DJ62" t="str" cm="1">
        <f t="array" ref="DJ62">_xlfn.LET(_xlpm.Coup3,IFERROR(IF(CG62="","",IF(K63="Coupler",_xlfn._xlws.FILTER(CCFCoupler,(CCName=SD!$C$8)*(CBSize=IF(A62=A63,W62&amp;W63,""))),"")),"N/A"),IF(_xlpm.Coup3=0,"",_xlpm.Coup3))</f>
        <v/>
      </c>
      <c r="DK62" t="str" cm="1">
        <f t="array" ref="DK62">_xlfn.LET(_xlpm.Coup2,IFERROR(IF(A62&lt;&gt;A63,"",IF(DF62="No Lap","",IF(K63="Coupler",_xlfn._xlws.FILTER(CCFCoupler,(CCName=SD!$C$8)*(CBSize=IF(A61=A62,W62&amp;W63,W62&amp;W62))),""))),"N/A"),IF(_xlpm.Coup2=0,"",_xlpm.Coup2))</f>
        <v/>
      </c>
      <c r="DM62" t="str">
        <f>IF(AM62="Spiral","",IF(SD!$C$31=SD!$Y$3,SD!$E$32*2,""))</f>
        <v/>
      </c>
      <c r="DO62" s="24">
        <f t="shared" si="22"/>
        <v>3</v>
      </c>
      <c r="DQ62" t="str">
        <f t="shared" si="23"/>
        <v>Lig</v>
      </c>
      <c r="DR62" t="str">
        <f>IF(AM62="Spiral",((Y62-(SD!$E$12*2))/12),"")</f>
        <v/>
      </c>
      <c r="DS62" t="str">
        <f t="shared" si="24"/>
        <v/>
      </c>
      <c r="DT62" t="str">
        <f t="shared" si="25"/>
        <v/>
      </c>
      <c r="DU62" t="str">
        <f t="shared" si="26"/>
        <v/>
      </c>
    </row>
    <row r="63" spans="1:125" x14ac:dyDescent="0.25">
      <c r="A63">
        <v>30</v>
      </c>
      <c r="B63" t="s">
        <v>676</v>
      </c>
      <c r="C63" s="15">
        <v>2429</v>
      </c>
      <c r="D63" s="15">
        <v>10000</v>
      </c>
      <c r="E63" t="str">
        <f>IF(B63=Level!$A$2,SD!$C$14,SD!$C$13)</f>
        <v>0-8</v>
      </c>
      <c r="F63" s="15" t="s">
        <v>787</v>
      </c>
      <c r="G63" t="s">
        <v>748</v>
      </c>
      <c r="H63" t="str">
        <f>RIGHT(VLOOKUP(B63,Level!A:C,3,FALSE),LEN(VLOOKUP(B63,Level!A:C,3,FALSE))-1)</f>
        <v>10-7</v>
      </c>
      <c r="I63" t="s">
        <v>739</v>
      </c>
      <c r="J63" t="str">
        <f>IF(AND(SD!$C$19=SD!$H$2,Grade!$G$1="Per level"),VLOOKUP(B63,Grade!$E$1:$F$200,2,FALSE),IF(AND(SD!$C$19=SD!$H$2,Grade!$G$1="Per Bar Size"),VLOOKUP(W63,Grade!$B$1:$C$12,2,0),SD!$C$19))</f>
        <v>A615 Grade 60</v>
      </c>
      <c r="K63" t="s">
        <v>67</v>
      </c>
      <c r="L63" t="str">
        <f>IFERROR(IF(A63&lt;&gt;A64,"",IF(DF63="No Lap","",IF(K64="Lap",U63,IF(K64="Coupler",_xlfn._xlws.FILTER(CCoupler,(CCName=SD!$C$8)*(CBSize=IF(A62=A63,W63&amp;W64,W63&amp;W63))*(CCMFM="Male")),"")))),"N/A")</f>
        <v>5-1</v>
      </c>
      <c r="M63" t="str">
        <f t="shared" si="0"/>
        <v/>
      </c>
      <c r="N63" t="s">
        <v>719</v>
      </c>
      <c r="O63" t="s">
        <v>720</v>
      </c>
      <c r="P63" t="s">
        <v>719</v>
      </c>
      <c r="Q63" t="str">
        <f>IF(AND(SD!$C$29=SD!$P$2,Grade!$O$1="Per level"),VLOOKUP(B63,Grade!$M$1:$N$200,2,FALSE),IF(AND(SD!$C$29=SD!$P$2,Grade!$O$1="Per Bar Size"),VLOOKUP(LEFT(N63,FIND("@",N63)-2),Grade!$J$1:$K$12,2,0),SD!$C$29))</f>
        <v>A615 Grade 60</v>
      </c>
      <c r="R63" t="s">
        <v>736</v>
      </c>
      <c r="S63" s="57">
        <v>63</v>
      </c>
      <c r="U63" t="str">
        <f>IF(Data!$J63="",IFERROR(INDEX(IF(SD!$C$11="Create",Lap!$A$3:$BF$14,IF(SD!$C$11="Per Uploaded File",Lap!$A$19:$BF$30,"")),MATCH(W63,Lap!$A$3:$A$14,0),MATCH(VALUE(D63),Lap!$A$3:$BF$3,0)+IF(IFERROR(FIND("Grade 60",J63),0)&gt;0,0,IF(IFERROR(FIND("Grade 80",J63),0),1,IF(IFERROR(FIND("Grade 75",J63),0),2,"")))),""),Data!J63)</f>
        <v>5-1</v>
      </c>
      <c r="W63" t="s">
        <v>176</v>
      </c>
      <c r="X63">
        <v>8</v>
      </c>
      <c r="Y63" t="str">
        <f t="shared" si="1"/>
        <v xml:space="preserve">20 </v>
      </c>
      <c r="Z63" t="str">
        <f t="shared" si="2"/>
        <v xml:space="preserve"> 36</v>
      </c>
      <c r="AA63" s="24">
        <f t="shared" si="3"/>
        <v>15.666666666666666</v>
      </c>
      <c r="BB63" t="e" cm="1">
        <f t="array" ref="BB63">_xlfn.LET(_xlpm.PartF,(_xlfn.LET(_xlpm.grade, Q63,_xlpm.gradeRange, IF(_xlpm.grade=SD!$H$3, A615GR60, IF(_xlpm.grade=SD!$H$4, A615GR75, IF(_xlpm.grade=SD!$H$5, A615GR80, IF(_xlpm.grade=SD!$H$6, A615GR100, IF(_xlpm.grade=SD!$H$7, A706GR60, IF(_xlpm.grade=SD!$H$8, A706GR80)))))),_xlpm.matchValue, MATCH(1, (SD!$AW:$AW=AS63)*(SD!$AX:$AX=SD!$C$8), 0),INDEX(_xlpm.gradeRange, _xlpm.matchValue))),IF(AM63="Spiral",CONCATENATE("SP",_xlpm.PartF),_xlpm.PartF))</f>
        <v>#N/A</v>
      </c>
      <c r="BC63" cm="1">
        <f t="array" ref="BC63">_xlfn.LET(_xlpm.leftPart, LEFT(O63, FIND("@", O63) - 2),_xlpm.grade,Q63,_xlpm.gradeRange,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3" cm="1">
        <f t="array" ref="BD63">_xlfn.LET(_xlpm.leftPart, LEFT(P63, FIND("@", P63) - 2),_xlpm.grade, Q63,_xlpm.gradeRange,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3">
        <f t="shared" si="4"/>
        <v>3</v>
      </c>
      <c r="BF63">
        <f>IF(SD!$C$32=SD!$I$2,BE63,IF(SD!$C$32=SD!$I$3,DO63,IF(SD!$C$32=SD!$I$5,BA63,IF(SD!$C$32=SD!$I$6,(LEFT(SD!$C$35,FIND("-",SD!$C$35)-1)+RIGHT(SD!$C$35,LEN(SD!$C$35)-FIND("-",SD!$C$35))/12),IF(SD!$C$32=SD!$I$4,(AU63-(BG63+BH63)))))))</f>
        <v>0</v>
      </c>
      <c r="BG63">
        <f>IF(SD!$C$33=SD!$I$2,BE63,IF(SD!$C$33=SD!$I$3,DO63,IF(SD!$C$33=SD!$I$5,BA63,IF(SD!$C$33=SD!$I$6,(LEFT(SD!$C$35,FIND("-",SD!$C$35)-1)+RIGHT(SD!$C$35,LEN(SD!$C$35)-FIND("-",SD!$C$35))/12),IF(SD!$C$33=SD!$I$4,(AU63-(BF63+BH63)))))))</f>
        <v>-1</v>
      </c>
      <c r="BH63">
        <f>IF(SD!$C$34=SD!$I$2,BE63,IF(SD!$C$34=SD!$I$3,DO63,IF(SD!$C$34=SD!$I$5,BA63,IF(SD!$C$34=SD!$I$6,(LEFT(SD!$C$35,FIND("-",SD!$C$35)-1)+RIGHT(SD!$C$35,LEN(SD!$C$35)-FIND("-",SD!$C$35))/12),IF(SD!$C$34=SD!$I$4,(AU63-(BF63+BG63)))))))</f>
        <v>1</v>
      </c>
      <c r="BJ63">
        <f>IF(AM63="Spiral","1",MAX(ROUNDUP(IF(SD!$C$32="",AT63,BF63/(LEFT(RIGHT(N63,LEN(N63)-FIND("@",N63)),LEN(RIGHT(N63,LEN(N63)-FIND("@",N63)))-1)/12)+1),0),0))</f>
        <v>1</v>
      </c>
      <c r="BK63">
        <f>MAX(ROUNDUP(IF(SD!$C$33="","",BG63/(LEFT(RIGHT(O63,LEN(O63)-FIND("@",O63)),LEN(RIGHT(O63,LEN(O63)-FIND("@",O63)))-1)/12)+1),0),0)</f>
        <v>0</v>
      </c>
      <c r="BL63">
        <f>MAX(ROUNDUP(IF(SD!$C$34="","",BH63/(LEFT(RIGHT(P63,LEN(P63)-FIND("@",P63)),LEN(RIGHT(P63,LEN(P63)-FIND("@",P63)))-1)/12)+1),0),0)</f>
        <v>3</v>
      </c>
      <c r="BN63" t="e">
        <f t="shared" si="5"/>
        <v>#N/A</v>
      </c>
      <c r="BO63" t="e">
        <f t="shared" si="6"/>
        <v>#N/A</v>
      </c>
      <c r="BP63" t="e">
        <f t="shared" si="7"/>
        <v>#N/A</v>
      </c>
      <c r="BQ63" s="24" t="e">
        <f>IF(AM63=TRUE,(((Y63-(SD!$E$12*2))*3.14159265359)+BN63+BO63+BP63)/12+AL63,SUM(AF63:AG63,BN63,BO63,BP63,AO63,AQ63)/12)</f>
        <v>#N/A</v>
      </c>
      <c r="BR63" t="e">
        <f t="shared" si="8"/>
        <v>#N/A</v>
      </c>
      <c r="BS63" t="e">
        <f t="shared" si="9"/>
        <v>#N/A</v>
      </c>
      <c r="BT63" t="e">
        <f t="shared" si="10"/>
        <v>#N/A</v>
      </c>
      <c r="BU63" s="24" t="e">
        <f>IF(AM63=TRUE,(((Y63-(SD!$E$12*2))*3.14159265359)+BR63+BS63+BT63)/12+AL63,SUM(AF63:AG63,BR63,BS63,BT63,AO63,AQ63)/12)</f>
        <v>#N/A</v>
      </c>
      <c r="BW63" t="str">
        <f>IFERROR(LEFT(Data!L63,FIND(" -",Data!L63)-1),"")</f>
        <v/>
      </c>
      <c r="BX63" t="str">
        <f>IFERROR(IF(SD!$C$40=SD!$U$2,W63,IF(SD!$C$40=SD!$U$3,RIGHT(Data!L63,LEN(Data!L63)-(FIND("-",Data!L63)+1)),SD!$C$40)),"")</f>
        <v>#10</v>
      </c>
      <c r="BY63" t="str" cm="1">
        <f t="array" ref="BY63">IFERROR(_xlfn.LET(_xlpm.GRR,IF(AND(SD!$C$19=SD!$H$2,Grade!$G$1="Per level"),VLOOKUP(B63,Grade!$E$1:$F$200,2,FALSE),IF(AND(SD!$C$19=SD!$H$2,Grade!$G$1="Per Bar Size"),VLOOKUP(BX63,Grade!$B$1:$C$12,2,0),SD!$C$19)),_xlpm.is_equal, A62=A63,_xlpm.grade_range, IF(_xlpm.GRR=SD!$H$3, A615GR60,IF(_xlpm.GRR=SD!$H$4, A615GR75,IF(_xlpm.GRR=SD!$H$5, A615GR80,IF(_xlpm.GRR=SD!H67, A615GR100,IF(_xlpm.GRR=SD!$H$7, A706GR60,IF(_xlpm.GRR=SD!$H$8, A706GR80)))))),_xlpm.match_result, MATCH(1, (BSize=BX63)*(BCName=SD!$C$8), 0),_xlpm.final_result, INDEX(_xlpm.grade_range, _xlpm.match_result),IF(_xlpm.is_equal, "", _xlpm.final_result)),"")</f>
        <v/>
      </c>
      <c r="BZ63" t="str">
        <f>IF(A62=A63,"",IF(SD!$C$41="Match Vertical Bars ",X63,IF(SD!$C$41=SD!$V$3,BW63,SD!$C$41)))</f>
        <v/>
      </c>
      <c r="CA63" t="str" cm="1">
        <f t="array" ref="CA63">IF(A62=A63,"",IF(SD!$C$44="No T-Head",IF(SD!$C$42=SD!$Q$3,VLOOKUP(BX63,S90Range,3,FALSE),LEFT(SD!$C$42,FIND("-",SD!$C$42)-1)+(RIGHT(SD!$C$42,LEN(SD!$C$42)-FIND("-",SD!$C$42))/12)),IF(SD!$C$44="T-Head",_xlfn._xlws.FILTER(THead,(TCName=SD!$C$8)*(TSize=BX63)),IF(SD!$C$44="Level Wise",_xlfn.LET(_xlpm.result,_xlfn.XLOOKUP(B63,VDLevel,VDLevelStatus,"No"),IF(_xlpm.result="Yes",_xlfn._xlws.FILTER(THead,(TCName=SD!$C$8)*(TSize=BX63)),IF(SD!$C$42=SD!$Q$3,VLOOKUP(BX63,S90Range,3,FALSE),LEFT(SD!$C$42,FIND("-",SD!$C$42)-1)+(RIGHT(SD!$C$42,LEN(SD!$C$42)-FIND("-", SD!$C$42))/12)))),IF(SD!$C$44="BarSize Wise",_xlfn.LET(_xlpm.result,_xlfn.XLOOKUP(BX63,VDBarSize,VDBarSizeStatus,"No"),IF(_xlpm.result="Yes",_xlfn._xlws.FILTER(THead,(TCName=SD!$C$8)*(TSize=BX63)),IF(SD!$C$42=SD!$Q$3,VLOOKUP(BX63,S90Range,3,FALSE),LEFT(SD!$C$42,FIND("-",SD!$C$42)-1)+(RIGHT(SD!$C$42,LEN(SD!$C$42)-FIND("-",SD!$C$42))/12)))), "")))))</f>
        <v/>
      </c>
      <c r="CB63" t="str" cm="1">
        <f t="array" ref="CB63">_xlfn.LET(_xlpm.GRR,IF(AND(SD!$C$19=SD!$H$2,Grade!$G$1="Per level"),VLOOKUP(B63,Grade!$E$1:$F$200,2,FALSE),IF(AND(SD!$C$19=SD!$H$2,Grade!$G$1="Per Bar Size"),VLOOKUP(BX63,Grade!$B$1:$C$12,2,0),SD!$C$19)),_xlpm.is_coupler, K63="Coupler",_xlpm.condition1, SD!$C$43=SD!$W$2,_xlpm.data_j2_empty, Data!$J63="",_xlpm.lookup_table, IF(SD!$C$11="Create", Lap!$A$3:$BF$14, IF(SD!$C$11="Per Uploaded File", Lap!$A$19:$BF$30, "")),_xlpm.row_match, MATCH(BX63, Lap!$A$3:$A$14, 0),_xlpm.grade_offset, IF(IFERROR(FIND("Grade 60",_xlpm.GRR), 0) &gt; 0, 0, IF(IFERROR(FIND("Grade 80",_xlpm.GRR), 0), 1, IF(IFERROR(FIND("Grade 75",_xlpm.GRR), 0), 2, ""))),_xlpm.col_match, MATCH(VALUE(D63), Lap!$A$3:$BF$3, 0) + _xlpm.grade_offset,_xlpm.index_result, IFERROR(INDEX(_xlpm.lookup_table, _xlpm.row_match, _xlpm.col_match), Data!$J63),_xlpm.result_if_condition1, IF(_xlpm.data_j2_empty, _xlpm.index_result, Data!$J63),IF(_xlpm.is_coupler, 0, IF(_xlpm.condition1, _xlpm.result_if_condition1, SD!$C$43)))</f>
        <v>5-1</v>
      </c>
      <c r="CC63" s="24">
        <f t="shared" si="11"/>
        <v>5.083333333333333</v>
      </c>
      <c r="CD63">
        <f t="shared" si="12"/>
        <v>5.75</v>
      </c>
      <c r="CE63" t="str" cm="1">
        <f t="array" ref="CE63">IF(BY63="","",_xlfn._xlws.FILTER(SAC,(CName=SD!$C$8)*(EName="Vert Dowels")))</f>
        <v/>
      </c>
      <c r="CF63" t="str" cm="1">
        <f t="array" ref="CF63">IFERROR(IF(BY63="","",IF(K63="Coupler",_xlfn._xlws.FILTER(CCoupler,(CCName=SD!$C$8)*(CBSize=IF(A62=A63,W62&amp;W63,BX63&amp;W63))*(CCMFM="Male")),"")),"N/A")</f>
        <v/>
      </c>
      <c r="CG63" t="str">
        <f t="shared" si="13"/>
        <v/>
      </c>
      <c r="CH63" t="str">
        <f t="shared" si="14"/>
        <v/>
      </c>
      <c r="CI63" t="str">
        <f>_xlfn.LET(_xlpm.u3_value, U64,_xlpm.hyphen_pos,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K64="Coupler",_xlpm.coupler_value, IF(_xlpm.is_coupler, 0, _xlpm.calculated_value),_xlpm.final_value, _xlpm.calculated_value + SD!$E$13 + _xlpm.coupler_value,IF(CG63="", "", _xlpm.final_value))</f>
        <v/>
      </c>
      <c r="CJ63" t="str" cm="1">
        <f t="array" ref="CJ63">IF(CG63="","",_xlfn._xlws.FILTER(SAC,(CName=SD!$C$8)*(EName="Loose Dowels")))</f>
        <v/>
      </c>
      <c r="CK63" t="str" cm="1">
        <f t="array" ref="CK63">IFERROR(IF(CG63="","",IF(K64="Coupler",_xlfn._xlws.FILTER(CCoupler,(CCName=SD!$C$8)*(CBSize=IF(A63=A64,W63&amp;W64,""))*(CCMFM="Male")),"")),"N/A")</f>
        <v/>
      </c>
      <c r="CL63" t="str">
        <f>IFERROR(IF(AM63="Spiral","",IF(A62=A63,"",IF(SD!$C$37=0,"",SD!$C$37))),"")</f>
        <v/>
      </c>
      <c r="CN63">
        <f>IF(AM63="Spiral","",IFERROR(IF(SD!$C$36=0,"",SD!$C$36),""))</f>
        <v>5</v>
      </c>
      <c r="CP63" t="str">
        <f>IFERROR(IF(SD!$C$42=SD!$Q$3,'Take-off'!CA63,""),"")</f>
        <v/>
      </c>
      <c r="CR63">
        <f>IFERROR(IF(SD!$C$22=SD!$U$2,W63,SD!$C$22),"")</f>
        <v>0</v>
      </c>
      <c r="CS63" t="str" cm="1">
        <f t="array" ref="CS63">_xlfn.LET(_xlpm.GR,IF(AND(SD!$C$19=SD!$H$2,Grade!$G$1="Per level"),VLOOKUP(B63,Grade!$E$1:$F$200,2,FALSE),IF(AND(SD!$C$19=SD!$H$2,Grade!$G$1="Per Bar Size"),VLOOKUP(CR63,Grade!$B$1:$C$12,2,0),SD!$C$19)),IF(SD!$C$20=SD!$R$4,IF(A64=A63,"",INDEX(IF(_xlpm.GR=SD!$H$3,A615GR60,IF(_xlpm.GR=SD!$H$4,A615GR75,IF(_xlpm.GR=SD!$H$5,A615GR80,IF(_xlpm.GR=SD!H67,A615GR100,IF(_xlpm.GR=SD!$H$7,A706GR60,IF(_xlpm.GR=SD!$H$8,A706GR80)))))), MATCH(1, (BSize=CR63)*(BCName=SD!$C$8), 0))),""))</f>
        <v/>
      </c>
      <c r="CT63" t="str">
        <f>IF(A64=A63,"",IF(SD!$C$23="Match Vertical Bars ",X63,SD!$C$23))</f>
        <v/>
      </c>
      <c r="CU63" t="str" cm="1">
        <f t="array" ref="CU63">IF(A64=A63,"",IF(SD!$C$20="Top dowels",IF(SD!$E$25="No T-Head",IF(SD!$C$24=SD!$Q$3,VLOOKUP(CR63,S90Range,3,FALSE),LEFT(SD!$C$24,FIND("-",SD!$C$24)-1)+(RIGHT(SD!$C$24,LEN(SD!$C$24)-FIND("-",SD!$C$24))/12)),IF(SD!$E$25="T-Head",_xlfn._xlws.FILTER(THead,(TCName=SD!$C$8)*(TSize=CR63)),IF(SD!$E$25="Level Wise",_xlfn.LET(_xlpm.result,_xlfn.XLOOKUP(B63,TDLevel,TDLevelStatus,"No"),IF(_xlpm.result="Yes",_xlfn._xlws.FILTER(THead,(TCName=SD!$C$8)*(TSize=CR63)),IF(SD!$C$24=SD!$Q$3,VLOOKUP(CR63,S90Range,3,FALSE),LEFT(SD!$C$24,FIND("-",SD!$C$24)-1)+(RIGHT(SD!$C$24,LEN(SD!$C$24)-FIND("-", SD!$C$24))/12)))),IF(SD!$E$25="BarSize Wise",_xlfn.LET(_xlpm.result,_xlfn.XLOOKUP(CR63,TDBarSize,TDBarSizeStatus,"No"),IF(_xlpm.result="Yes",_xlfn._xlws.FILTER(THead,(TCName=SD!$C$8)*(TSize=CR63)),IF(SD!$C$24=SD!$Q$3,VLOOKUP(CR63,S90Range,3,FALSE),LEFT(SD!$C$24,FIND("-",SD!$C$24)-1)+(RIGHT(SD!$C$24,LEN(SD!$C$24)-FIND("-",SD!$C$24))/12)))), "")))),""))</f>
        <v/>
      </c>
      <c r="CV63" t="str">
        <f>_xlfn.LET(_xlpm.GRR,IF(AND(SD!$C$19=SD!$H$2,Grade!$G$1="Per level"),VLOOKUP(B63,Grade!$E$1:$F$200,2,FALSE),IF(AND(SD!$C$19=SD!$H$2,Grade!$G$1="Per Bar Size"),VLOOKUP(CR63,Grade!$B$1:$C$12,2,0),SD!$C$19)),IF(SD!$C$25=SD!$W$2,IF(Data!$J63="",IFERROR(INDEX(IF(SD!$C$11="Create",Lap!$A$3:$BF$14,IF(SD!$C$11="Per Uploaded File",Lap!$A$19:$BF$30,"")),MATCH(CR63,Lap!$A$3:$A$14,0),MATCH(VALUE(D63),Lap!$A$3:$BF$3,0)+IF(IFERROR(FIND("Grade 60",_xlpm.GRR),0)&gt;0,0,IF(IFERROR(FIND("Grade 80",_xlpm.GRR),0),1,IF(IFERROR(FIND("Grade 75",_xlpm.GRR),0),2,"")))),""),Data!J63),SD!$C$43))</f>
        <v>Match Lap</v>
      </c>
      <c r="CW63">
        <f t="shared" si="15"/>
        <v>0</v>
      </c>
      <c r="CX63">
        <f t="shared" si="16"/>
        <v>0</v>
      </c>
      <c r="CY63" t="str">
        <f t="shared" si="17"/>
        <v/>
      </c>
      <c r="DA63" t="str">
        <f t="shared" si="18"/>
        <v/>
      </c>
      <c r="DB63" t="str">
        <f t="shared" si="19"/>
        <v/>
      </c>
      <c r="DC63" s="24" t="str">
        <f t="shared" si="20"/>
        <v/>
      </c>
      <c r="DD63">
        <f t="shared" si="21"/>
        <v>10.583333333333334</v>
      </c>
      <c r="DE63" t="s">
        <v>785</v>
      </c>
      <c r="DF63" t="s">
        <v>67</v>
      </c>
      <c r="DG63" t="str">
        <f>VLOOKUP(W63,'Level Wise PSI'!$F$2:$G$12,2,FALSE)</f>
        <v>Double Lift</v>
      </c>
      <c r="DI63" t="str" cm="1">
        <f t="array" ref="DI63">_xlfn.LET(_xlpm.Coup,IFERROR(IF(BY63="","",IF(K63="Coupler",_xlfn._xlws.FILTER(CCFCoupler,(CCName=SD!$C$8)*(CBSize=IF(A62=A63,W62&amp;W63,BX63&amp;W63))),"")),"N/A"),IF(_xlpm.Coup=0,"",_xlpm.Coup))</f>
        <v/>
      </c>
      <c r="DJ63" t="str" cm="1">
        <f t="array" ref="DJ63">_xlfn.LET(_xlpm.Coup3,IFERROR(IF(CG63="","",IF(K64="Coupler",_xlfn._xlws.FILTER(CCFCoupler,(CCName=SD!$C$8)*(CBSize=IF(A63=A64,W63&amp;W64,""))),"")),"N/A"),IF(_xlpm.Coup3=0,"",_xlpm.Coup3))</f>
        <v/>
      </c>
      <c r="DK63" t="str" cm="1">
        <f t="array" ref="DK63">_xlfn.LET(_xlpm.Coup2,IFERROR(IF(A63&lt;&gt;A64,"",IF(DF63="No Lap","",IF(K64="Coupler",_xlfn._xlws.FILTER(CCFCoupler,(CCName=SD!$C$8)*(CBSize=IF(A62=A63,W63&amp;W64,W63&amp;W63))),""))),"N/A"),IF(_xlpm.Coup2=0,"",_xlpm.Coup2))</f>
        <v/>
      </c>
      <c r="DM63" t="str">
        <f>IF(AM63="Spiral","",IF(SD!$C$31=SD!$Y$3,SD!$E$32*2,""))</f>
        <v/>
      </c>
      <c r="DO63" s="24">
        <f t="shared" si="22"/>
        <v>3</v>
      </c>
      <c r="DQ63" t="str">
        <f t="shared" si="23"/>
        <v>Lig</v>
      </c>
      <c r="DR63" t="str">
        <f>IF(AM63="Spiral",((Y63-(SD!$E$12*2))/12),"")</f>
        <v/>
      </c>
      <c r="DS63" t="str">
        <f t="shared" si="24"/>
        <v/>
      </c>
      <c r="DT63" t="str">
        <f t="shared" si="25"/>
        <v/>
      </c>
      <c r="DU63" t="str">
        <f t="shared" si="26"/>
        <v/>
      </c>
    </row>
    <row r="64" spans="1:125" x14ac:dyDescent="0.25">
      <c r="A64">
        <v>30</v>
      </c>
      <c r="B64" t="s">
        <v>678</v>
      </c>
      <c r="C64" s="15">
        <v>2429</v>
      </c>
      <c r="D64" s="15">
        <v>10000</v>
      </c>
      <c r="E64" t="str">
        <f>IF(B64=Level!$A$2,SD!$C$14,SD!$C$13)</f>
        <v>0-8</v>
      </c>
      <c r="F64" s="15" t="s">
        <v>787</v>
      </c>
      <c r="G64" t="s">
        <v>748</v>
      </c>
      <c r="H64" t="str">
        <f>RIGHT(VLOOKUP(B64,Level!A:C,3,FALSE),LEN(VLOOKUP(B64,Level!A:C,3,FALSE))-1)</f>
        <v>10-7</v>
      </c>
      <c r="I64" t="s">
        <v>739</v>
      </c>
      <c r="J64" t="str">
        <f>IF(AND(SD!$C$19=SD!$H$2,Grade!$G$1="Per level"),VLOOKUP(B64,Grade!$E$1:$F$200,2,FALSE),IF(AND(SD!$C$19=SD!$H$2,Grade!$G$1="Per Bar Size"),VLOOKUP(W64,Grade!$B$1:$C$12,2,0),SD!$C$19))</f>
        <v>A615 Grade 60</v>
      </c>
      <c r="K64" t="s">
        <v>67</v>
      </c>
      <c r="L64" t="str">
        <f>IFERROR(IF(A64&lt;&gt;A65,"",IF(DF64="No Lap","",IF(K65="Lap",U64,IF(K65="Coupler",_xlfn._xlws.FILTER(CCoupler,(CCName=SD!$C$8)*(CBSize=IF(A63=A64,W64&amp;W65,W64&amp;W64))*(CCMFM="Male")),"")))),"N/A")</f>
        <v>5-1</v>
      </c>
      <c r="M64" t="str">
        <f t="shared" si="0"/>
        <v/>
      </c>
      <c r="N64" t="s">
        <v>719</v>
      </c>
      <c r="O64" t="s">
        <v>720</v>
      </c>
      <c r="P64" t="s">
        <v>719</v>
      </c>
      <c r="Q64" t="str">
        <f>IF(AND(SD!$C$29=SD!$P$2,Grade!$O$1="Per level"),VLOOKUP(B64,Grade!$M$1:$N$200,2,FALSE),IF(AND(SD!$C$29=SD!$P$2,Grade!$O$1="Per Bar Size"),VLOOKUP(LEFT(N64,FIND("@",N64)-2),Grade!$J$1:$K$12,2,0),SD!$C$29))</f>
        <v>A615 Grade 60</v>
      </c>
      <c r="R64" t="s">
        <v>736</v>
      </c>
      <c r="S64" s="57">
        <v>64</v>
      </c>
      <c r="U64" t="str">
        <f>IF(Data!$J64="",IFERROR(INDEX(IF(SD!$C$11="Create",Lap!$A$3:$BF$14,IF(SD!$C$11="Per Uploaded File",Lap!$A$19:$BF$30,"")),MATCH(W64,Lap!$A$3:$A$14,0),MATCH(VALUE(D64),Lap!$A$3:$BF$3,0)+IF(IFERROR(FIND("Grade 60",J64),0)&gt;0,0,IF(IFERROR(FIND("Grade 80",J64),0),1,IF(IFERROR(FIND("Grade 75",J64),0),2,"")))),""),Data!J64)</f>
        <v>5-1</v>
      </c>
      <c r="W64" t="s">
        <v>176</v>
      </c>
      <c r="X64">
        <v>8</v>
      </c>
      <c r="Y64" t="str">
        <f t="shared" si="1"/>
        <v xml:space="preserve">20 </v>
      </c>
      <c r="Z64" t="str">
        <f t="shared" si="2"/>
        <v xml:space="preserve"> 36</v>
      </c>
      <c r="AA64" s="24">
        <f t="shared" si="3"/>
        <v>15.666666666666666</v>
      </c>
      <c r="BB64" t="e" cm="1">
        <f t="array" ref="BB64">_xlfn.LET(_xlpm.PartF,(_xlfn.LET(_xlpm.grade, Q64,_xlpm.gradeRange, IF(_xlpm.grade=SD!$H$3, A615GR60, IF(_xlpm.grade=SD!$H$4, A615GR75, IF(_xlpm.grade=SD!$H$5, A615GR80, IF(_xlpm.grade=SD!$H$6, A615GR100, IF(_xlpm.grade=SD!$H$7, A706GR60, IF(_xlpm.grade=SD!$H$8, A706GR80)))))),_xlpm.matchValue, MATCH(1, (SD!$AW:$AW=AS64)*(SD!$AX:$AX=SD!$C$8), 0),INDEX(_xlpm.gradeRange, _xlpm.matchValue))),IF(AM64="Spiral",CONCATENATE("SP",_xlpm.PartF),_xlpm.PartF))</f>
        <v>#N/A</v>
      </c>
      <c r="BC64" cm="1">
        <f t="array" ref="BC64">_xlfn.LET(_xlpm.leftPart, LEFT(O64, FIND("@", O64) - 2),_xlpm.grade,Q64,_xlpm.gradeRange,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4" cm="1">
        <f t="array" ref="BD64">_xlfn.LET(_xlpm.leftPart, LEFT(P64, FIND("@", P64) - 2),_xlpm.grade, Q64,_xlpm.gradeRange,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4">
        <f t="shared" si="4"/>
        <v>3</v>
      </c>
      <c r="BF64">
        <f>IF(SD!$C$32=SD!$I$2,BE64,IF(SD!$C$32=SD!$I$3,DO64,IF(SD!$C$32=SD!$I$5,BA64,IF(SD!$C$32=SD!$I$6,(LEFT(SD!$C$35,FIND("-",SD!$C$35)-1)+RIGHT(SD!$C$35,LEN(SD!$C$35)-FIND("-",SD!$C$35))/12),IF(SD!$C$32=SD!$I$4,(AU64-(BG64+BH64)))))))</f>
        <v>0</v>
      </c>
      <c r="BG64">
        <f>IF(SD!$C$33=SD!$I$2,BE64,IF(SD!$C$33=SD!$I$3,DO64,IF(SD!$C$33=SD!$I$5,BA64,IF(SD!$C$33=SD!$I$6,(LEFT(SD!$C$35,FIND("-",SD!$C$35)-1)+RIGHT(SD!$C$35,LEN(SD!$C$35)-FIND("-",SD!$C$35))/12),IF(SD!$C$33=SD!$I$4,(AU64-(BF64+BH64)))))))</f>
        <v>-1</v>
      </c>
      <c r="BH64">
        <f>IF(SD!$C$34=SD!$I$2,BE64,IF(SD!$C$34=SD!$I$3,DO64,IF(SD!$C$34=SD!$I$5,BA64,IF(SD!$C$34=SD!$I$6,(LEFT(SD!$C$35,FIND("-",SD!$C$35)-1)+RIGHT(SD!$C$35,LEN(SD!$C$35)-FIND("-",SD!$C$35))/12),IF(SD!$C$34=SD!$I$4,(AU64-(BF64+BG64)))))))</f>
        <v>1</v>
      </c>
      <c r="BJ64">
        <f>IF(AM64="Spiral","1",MAX(ROUNDUP(IF(SD!$C$32="",AT64,BF64/(LEFT(RIGHT(N64,LEN(N64)-FIND("@",N64)),LEN(RIGHT(N64,LEN(N64)-FIND("@",N64)))-1)/12)+1),0),0))</f>
        <v>1</v>
      </c>
      <c r="BK64">
        <f>MAX(ROUNDUP(IF(SD!$C$33="","",BG64/(LEFT(RIGHT(O64,LEN(O64)-FIND("@",O64)),LEN(RIGHT(O64,LEN(O64)-FIND("@",O64)))-1)/12)+1),0),0)</f>
        <v>0</v>
      </c>
      <c r="BL64">
        <f>MAX(ROUNDUP(IF(SD!$C$34="","",BH64/(LEFT(RIGHT(P64,LEN(P64)-FIND("@",P64)),LEN(RIGHT(P64,LEN(P64)-FIND("@",P64)))-1)/12)+1),0),0)</f>
        <v>3</v>
      </c>
      <c r="BN64" t="e">
        <f t="shared" si="5"/>
        <v>#N/A</v>
      </c>
      <c r="BO64" t="e">
        <f t="shared" si="6"/>
        <v>#N/A</v>
      </c>
      <c r="BP64" t="e">
        <f t="shared" si="7"/>
        <v>#N/A</v>
      </c>
      <c r="BQ64" s="24" t="e">
        <f>IF(AM64=TRUE,(((Y64-(SD!$E$12*2))*3.14159265359)+BN64+BO64+BP64)/12+AL64,SUM(AF64:AG64,BN64,BO64,BP64,AO64,AQ64)/12)</f>
        <v>#N/A</v>
      </c>
      <c r="BR64" t="e">
        <f t="shared" si="8"/>
        <v>#N/A</v>
      </c>
      <c r="BS64" t="e">
        <f t="shared" si="9"/>
        <v>#N/A</v>
      </c>
      <c r="BT64" t="e">
        <f t="shared" si="10"/>
        <v>#N/A</v>
      </c>
      <c r="BU64" s="24" t="e">
        <f>IF(AM64=TRUE,(((Y64-(SD!$E$12*2))*3.14159265359)+BR64+BS64+BT64)/12+AL64,SUM(AF64:AG64,BR64,BS64,BT64,AO64,AQ64)/12)</f>
        <v>#N/A</v>
      </c>
      <c r="BW64" t="str">
        <f>IFERROR(LEFT(Data!L64,FIND(" -",Data!L64)-1),"")</f>
        <v/>
      </c>
      <c r="BX64" t="str">
        <f>IFERROR(IF(SD!$C$40=SD!$U$2,W64,IF(SD!$C$40=SD!$U$3,RIGHT(Data!L64,LEN(Data!L64)-(FIND("-",Data!L64)+1)),SD!$C$40)),"")</f>
        <v>#10</v>
      </c>
      <c r="BY64" t="str" cm="1">
        <f t="array" ref="BY64">IFERROR(_xlfn.LET(_xlpm.GRR,IF(AND(SD!$C$19=SD!$H$2,Grade!$G$1="Per level"),VLOOKUP(B64,Grade!$E$1:$F$200,2,FALSE),IF(AND(SD!$C$19=SD!$H$2,Grade!$G$1="Per Bar Size"),VLOOKUP(BX64,Grade!$B$1:$C$12,2,0),SD!$C$19)),_xlpm.is_equal, A63=A64,_xlpm.grade_range, IF(_xlpm.GRR=SD!$H$3, A615GR60,IF(_xlpm.GRR=SD!$H$4, A615GR75,IF(_xlpm.GRR=SD!$H$5, A615GR80,IF(_xlpm.GRR=SD!H68, A615GR100,IF(_xlpm.GRR=SD!$H$7, A706GR60,IF(_xlpm.GRR=SD!$H$8, A706GR80)))))),_xlpm.match_result, MATCH(1, (BSize=BX64)*(BCName=SD!$C$8), 0),_xlpm.final_result, INDEX(_xlpm.grade_range, _xlpm.match_result),IF(_xlpm.is_equal, "", _xlpm.final_result)),"")</f>
        <v/>
      </c>
      <c r="BZ64" t="str">
        <f>IF(A63=A64,"",IF(SD!$C$41="Match Vertical Bars ",X64,IF(SD!$C$41=SD!$V$3,BW64,SD!$C$41)))</f>
        <v/>
      </c>
      <c r="CA64" t="str" cm="1">
        <f t="array" ref="CA64">IF(A63=A64,"",IF(SD!$C$44="No T-Head",IF(SD!$C$42=SD!$Q$3,VLOOKUP(BX64,S90Range,3,FALSE),LEFT(SD!$C$42,FIND("-",SD!$C$42)-1)+(RIGHT(SD!$C$42,LEN(SD!$C$42)-FIND("-",SD!$C$42))/12)),IF(SD!$C$44="T-Head",_xlfn._xlws.FILTER(THead,(TCName=SD!$C$8)*(TSize=BX64)),IF(SD!$C$44="Level Wise",_xlfn.LET(_xlpm.result,_xlfn.XLOOKUP(B64,VDLevel,VDLevelStatus,"No"),IF(_xlpm.result="Yes",_xlfn._xlws.FILTER(THead,(TCName=SD!$C$8)*(TSize=BX64)),IF(SD!$C$42=SD!$Q$3,VLOOKUP(BX64,S90Range,3,FALSE),LEFT(SD!$C$42,FIND("-",SD!$C$42)-1)+(RIGHT(SD!$C$42,LEN(SD!$C$42)-FIND("-", SD!$C$42))/12)))),IF(SD!$C$44="BarSize Wise",_xlfn.LET(_xlpm.result,_xlfn.XLOOKUP(BX64,VDBarSize,VDBarSizeStatus,"No"),IF(_xlpm.result="Yes",_xlfn._xlws.FILTER(THead,(TCName=SD!$C$8)*(TSize=BX64)),IF(SD!$C$42=SD!$Q$3,VLOOKUP(BX64,S90Range,3,FALSE),LEFT(SD!$C$42,FIND("-",SD!$C$42)-1)+(RIGHT(SD!$C$42,LEN(SD!$C$42)-FIND("-",SD!$C$42))/12)))), "")))))</f>
        <v/>
      </c>
      <c r="CB64" t="str" cm="1">
        <f t="array" ref="CB64">_xlfn.LET(_xlpm.GRR,IF(AND(SD!$C$19=SD!$H$2,Grade!$G$1="Per level"),VLOOKUP(B64,Grade!$E$1:$F$200,2,FALSE),IF(AND(SD!$C$19=SD!$H$2,Grade!$G$1="Per Bar Size"),VLOOKUP(BX64,Grade!$B$1:$C$12,2,0),SD!$C$19)),_xlpm.is_coupler, K64="Coupler",_xlpm.condition1, SD!$C$43=SD!$W$2,_xlpm.data_j2_empty, Data!$J64="",_xlpm.lookup_table, IF(SD!$C$11="Create", Lap!$A$3:$BF$14, IF(SD!$C$11="Per Uploaded File", Lap!$A$19:$BF$30, "")),_xlpm.row_match, MATCH(BX64, Lap!$A$3:$A$14, 0),_xlpm.grade_offset, IF(IFERROR(FIND("Grade 60",_xlpm.GRR), 0) &gt; 0, 0, IF(IFERROR(FIND("Grade 80",_xlpm.GRR), 0), 1, IF(IFERROR(FIND("Grade 75",_xlpm.GRR), 0), 2, ""))),_xlpm.col_match, MATCH(VALUE(D64), Lap!$A$3:$BF$3, 0) + _xlpm.grade_offset,_xlpm.index_result, IFERROR(INDEX(_xlpm.lookup_table, _xlpm.row_match, _xlpm.col_match), Data!$J64),_xlpm.result_if_condition1, IF(_xlpm.data_j2_empty, _xlpm.index_result, Data!$J64),IF(_xlpm.is_coupler, 0, IF(_xlpm.condition1, _xlpm.result_if_condition1, SD!$C$43)))</f>
        <v>5-1</v>
      </c>
      <c r="CC64" s="24">
        <f t="shared" si="11"/>
        <v>5.083333333333333</v>
      </c>
      <c r="CD64">
        <f t="shared" si="12"/>
        <v>5.75</v>
      </c>
      <c r="CE64" t="str" cm="1">
        <f t="array" ref="CE64">IF(BY64="","",_xlfn._xlws.FILTER(SAC,(CName=SD!$C$8)*(EName="Vert Dowels")))</f>
        <v/>
      </c>
      <c r="CF64" t="str" cm="1">
        <f t="array" ref="CF64">IFERROR(IF(BY64="","",IF(K64="Coupler",_xlfn._xlws.FILTER(CCoupler,(CCName=SD!$C$8)*(CBSize=IF(A63=A64,W63&amp;W64,BX64&amp;W64))*(CCMFM="Male")),"")),"N/A")</f>
        <v/>
      </c>
      <c r="CG64" t="str">
        <f t="shared" si="13"/>
        <v/>
      </c>
      <c r="CH64" t="str">
        <f t="shared" si="14"/>
        <v/>
      </c>
      <c r="CI64" t="str">
        <f>_xlfn.LET(_xlpm.u3_value, U65,_xlpm.hyphen_pos,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K65="Coupler",_xlpm.coupler_value, IF(_xlpm.is_coupler, 0, _xlpm.calculated_value),_xlpm.final_value, _xlpm.calculated_value + SD!$E$13 + _xlpm.coupler_value,IF(CG64="", "", _xlpm.final_value))</f>
        <v/>
      </c>
      <c r="CJ64" t="str" cm="1">
        <f t="array" ref="CJ64">IF(CG64="","",_xlfn._xlws.FILTER(SAC,(CName=SD!$C$8)*(EName="Loose Dowels")))</f>
        <v/>
      </c>
      <c r="CK64" t="str" cm="1">
        <f t="array" ref="CK64">IFERROR(IF(CG64="","",IF(K65="Coupler",_xlfn._xlws.FILTER(CCoupler,(CCName=SD!$C$8)*(CBSize=IF(A64=A65,W64&amp;W65,""))*(CCMFM="Male")),"")),"N/A")</f>
        <v/>
      </c>
      <c r="CL64" t="str">
        <f>IFERROR(IF(AM64="Spiral","",IF(A63=A64,"",IF(SD!$C$37=0,"",SD!$C$37))),"")</f>
        <v/>
      </c>
      <c r="CN64">
        <f>IF(AM64="Spiral","",IFERROR(IF(SD!$C$36=0,"",SD!$C$36),""))</f>
        <v>5</v>
      </c>
      <c r="CP64" t="str">
        <f>IFERROR(IF(SD!$C$42=SD!$Q$3,'Take-off'!CA64,""),"")</f>
        <v/>
      </c>
      <c r="CR64">
        <f>IFERROR(IF(SD!$C$22=SD!$U$2,W64,SD!$C$22),"")</f>
        <v>0</v>
      </c>
      <c r="CS64" t="str" cm="1">
        <f t="array" ref="CS64">_xlfn.LET(_xlpm.GR,IF(AND(SD!$C$19=SD!$H$2,Grade!$G$1="Per level"),VLOOKUP(B64,Grade!$E$1:$F$200,2,FALSE),IF(AND(SD!$C$19=SD!$H$2,Grade!$G$1="Per Bar Size"),VLOOKUP(CR64,Grade!$B$1:$C$12,2,0),SD!$C$19)),IF(SD!$C$20=SD!$R$4,IF(A65=A64,"",INDEX(IF(_xlpm.GR=SD!$H$3,A615GR60,IF(_xlpm.GR=SD!$H$4,A615GR75,IF(_xlpm.GR=SD!$H$5,A615GR80,IF(_xlpm.GR=SD!H68,A615GR100,IF(_xlpm.GR=SD!$H$7,A706GR60,IF(_xlpm.GR=SD!$H$8,A706GR80)))))), MATCH(1, (BSize=CR64)*(BCName=SD!$C$8), 0))),""))</f>
        <v/>
      </c>
      <c r="CT64" t="str">
        <f>IF(A65=A64,"",IF(SD!$C$23="Match Vertical Bars ",X64,SD!$C$23))</f>
        <v/>
      </c>
      <c r="CU64" t="str" cm="1">
        <f t="array" ref="CU64">IF(A65=A64,"",IF(SD!$C$20="Top dowels",IF(SD!$E$25="No T-Head",IF(SD!$C$24=SD!$Q$3,VLOOKUP(CR64,S90Range,3,FALSE),LEFT(SD!$C$24,FIND("-",SD!$C$24)-1)+(RIGHT(SD!$C$24,LEN(SD!$C$24)-FIND("-",SD!$C$24))/12)),IF(SD!$E$25="T-Head",_xlfn._xlws.FILTER(THead,(TCName=SD!$C$8)*(TSize=CR64)),IF(SD!$E$25="Level Wise",_xlfn.LET(_xlpm.result,_xlfn.XLOOKUP(B64,TDLevel,TDLevelStatus,"No"),IF(_xlpm.result="Yes",_xlfn._xlws.FILTER(THead,(TCName=SD!$C$8)*(TSize=CR64)),IF(SD!$C$24=SD!$Q$3,VLOOKUP(CR64,S90Range,3,FALSE),LEFT(SD!$C$24,FIND("-",SD!$C$24)-1)+(RIGHT(SD!$C$24,LEN(SD!$C$24)-FIND("-", SD!$C$24))/12)))),IF(SD!$E$25="BarSize Wise",_xlfn.LET(_xlpm.result,_xlfn.XLOOKUP(CR64,TDBarSize,TDBarSizeStatus,"No"),IF(_xlpm.result="Yes",_xlfn._xlws.FILTER(THead,(TCName=SD!$C$8)*(TSize=CR64)),IF(SD!$C$24=SD!$Q$3,VLOOKUP(CR64,S90Range,3,FALSE),LEFT(SD!$C$24,FIND("-",SD!$C$24)-1)+(RIGHT(SD!$C$24,LEN(SD!$C$24)-FIND("-",SD!$C$24))/12)))), "")))),""))</f>
        <v/>
      </c>
      <c r="CV64" t="str">
        <f>_xlfn.LET(_xlpm.GRR,IF(AND(SD!$C$19=SD!$H$2,Grade!$G$1="Per level"),VLOOKUP(B64,Grade!$E$1:$F$200,2,FALSE),IF(AND(SD!$C$19=SD!$H$2,Grade!$G$1="Per Bar Size"),VLOOKUP(CR64,Grade!$B$1:$C$12,2,0),SD!$C$19)),IF(SD!$C$25=SD!$W$2,IF(Data!$J64="",IFERROR(INDEX(IF(SD!$C$11="Create",Lap!$A$3:$BF$14,IF(SD!$C$11="Per Uploaded File",Lap!$A$19:$BF$30,"")),MATCH(CR64,Lap!$A$3:$A$14,0),MATCH(VALUE(D64),Lap!$A$3:$BF$3,0)+IF(IFERROR(FIND("Grade 60",_xlpm.GRR),0)&gt;0,0,IF(IFERROR(FIND("Grade 80",_xlpm.GRR),0),1,IF(IFERROR(FIND("Grade 75",_xlpm.GRR),0),2,"")))),""),Data!J64),SD!$C$43))</f>
        <v>Match Lap</v>
      </c>
      <c r="CW64">
        <f t="shared" si="15"/>
        <v>0</v>
      </c>
      <c r="CX64">
        <f t="shared" si="16"/>
        <v>0</v>
      </c>
      <c r="CY64" t="str">
        <f t="shared" si="17"/>
        <v/>
      </c>
      <c r="DA64" t="str">
        <f t="shared" si="18"/>
        <v/>
      </c>
      <c r="DB64" t="str">
        <f t="shared" si="19"/>
        <v/>
      </c>
      <c r="DC64" s="24" t="str">
        <f t="shared" si="20"/>
        <v/>
      </c>
      <c r="DD64">
        <f t="shared" si="21"/>
        <v>10.583333333333334</v>
      </c>
      <c r="DE64" t="s">
        <v>785</v>
      </c>
      <c r="DF64" t="s">
        <v>67</v>
      </c>
      <c r="DG64" t="str">
        <f>VLOOKUP(W64,'Level Wise PSI'!$F$2:$G$12,2,FALSE)</f>
        <v>Double Lift</v>
      </c>
      <c r="DI64" t="str" cm="1">
        <f t="array" ref="DI64">_xlfn.LET(_xlpm.Coup,IFERROR(IF(BY64="","",IF(K64="Coupler",_xlfn._xlws.FILTER(CCFCoupler,(CCName=SD!$C$8)*(CBSize=IF(A63=A64,W63&amp;W64,BX64&amp;W64))),"")),"N/A"),IF(_xlpm.Coup=0,"",_xlpm.Coup))</f>
        <v/>
      </c>
      <c r="DJ64" t="str" cm="1">
        <f t="array" ref="DJ64">_xlfn.LET(_xlpm.Coup3,IFERROR(IF(CG64="","",IF(K65="Coupler",_xlfn._xlws.FILTER(CCFCoupler,(CCName=SD!$C$8)*(CBSize=IF(A64=A65,W64&amp;W65,""))),"")),"N/A"),IF(_xlpm.Coup3=0,"",_xlpm.Coup3))</f>
        <v/>
      </c>
      <c r="DK64" t="str" cm="1">
        <f t="array" ref="DK64">_xlfn.LET(_xlpm.Coup2,IFERROR(IF(A64&lt;&gt;A65,"",IF(DF64="No Lap","",IF(K65="Coupler",_xlfn._xlws.FILTER(CCFCoupler,(CCName=SD!$C$8)*(CBSize=IF(A63=A64,W64&amp;W65,W64&amp;W64))),""))),"N/A"),IF(_xlpm.Coup2=0,"",_xlpm.Coup2))</f>
        <v/>
      </c>
      <c r="DM64" t="str">
        <f>IF(AM64="Spiral","",IF(SD!$C$31=SD!$Y$3,SD!$E$32*2,""))</f>
        <v/>
      </c>
      <c r="DO64" s="24">
        <f t="shared" si="22"/>
        <v>3</v>
      </c>
      <c r="DQ64" t="str">
        <f t="shared" si="23"/>
        <v>Lig</v>
      </c>
      <c r="DR64" t="str">
        <f>IF(AM64="Spiral",((Y64-(SD!$E$12*2))/12),"")</f>
        <v/>
      </c>
      <c r="DS64" t="str">
        <f t="shared" si="24"/>
        <v/>
      </c>
      <c r="DT64" t="str">
        <f t="shared" si="25"/>
        <v/>
      </c>
      <c r="DU64" t="str">
        <f t="shared" si="26"/>
        <v/>
      </c>
    </row>
    <row r="65" spans="1:125" x14ac:dyDescent="0.25">
      <c r="A65">
        <v>30</v>
      </c>
      <c r="B65" t="s">
        <v>680</v>
      </c>
      <c r="C65" s="15">
        <v>2429</v>
      </c>
      <c r="D65" s="15">
        <v>10000</v>
      </c>
      <c r="E65" t="str">
        <f>IF(B65=Level!$A$2,SD!$C$14,SD!$C$13)</f>
        <v>0-8</v>
      </c>
      <c r="F65" s="15" t="s">
        <v>787</v>
      </c>
      <c r="G65" t="s">
        <v>748</v>
      </c>
      <c r="H65" t="str">
        <f>RIGHT(VLOOKUP(B65,Level!A:C,3,FALSE),LEN(VLOOKUP(B65,Level!A:C,3,FALSE))-1)</f>
        <v>10-7</v>
      </c>
      <c r="I65" t="s">
        <v>739</v>
      </c>
      <c r="J65" t="str">
        <f>IF(AND(SD!$C$19=SD!$H$2,Grade!$G$1="Per level"),VLOOKUP(B65,Grade!$E$1:$F$200,2,FALSE),IF(AND(SD!$C$19=SD!$H$2,Grade!$G$1="Per Bar Size"),VLOOKUP(W65,Grade!$B$1:$C$12,2,0),SD!$C$19))</f>
        <v>A615 Grade 60</v>
      </c>
      <c r="K65" t="s">
        <v>67</v>
      </c>
      <c r="L65" t="str">
        <f>IFERROR(IF(A65&lt;&gt;A66,"",IF(DF65="No Lap","",IF(K66="Lap",U65,IF(K66="Coupler",_xlfn._xlws.FILTER(CCoupler,(CCName=SD!$C$8)*(CBSize=IF(A64=A65,W65&amp;W66,W65&amp;W65))*(CCMFM="Male")),"")))),"N/A")</f>
        <v>5-1</v>
      </c>
      <c r="M65" t="str">
        <f t="shared" si="0"/>
        <v/>
      </c>
      <c r="N65" t="s">
        <v>719</v>
      </c>
      <c r="O65" t="s">
        <v>720</v>
      </c>
      <c r="P65" t="s">
        <v>719</v>
      </c>
      <c r="Q65" t="str">
        <f>IF(AND(SD!$C$29=SD!$P$2,Grade!$O$1="Per level"),VLOOKUP(B65,Grade!$M$1:$N$200,2,FALSE),IF(AND(SD!$C$29=SD!$P$2,Grade!$O$1="Per Bar Size"),VLOOKUP(LEFT(N65,FIND("@",N65)-2),Grade!$J$1:$K$12,2,0),SD!$C$29))</f>
        <v>A615 Grade 60</v>
      </c>
      <c r="R65" t="s">
        <v>736</v>
      </c>
      <c r="S65" s="57">
        <v>65</v>
      </c>
      <c r="U65" t="str">
        <f>IF(Data!$J65="",IFERROR(INDEX(IF(SD!$C$11="Create",Lap!$A$3:$BF$14,IF(SD!$C$11="Per Uploaded File",Lap!$A$19:$BF$30,"")),MATCH(W65,Lap!$A$3:$A$14,0),MATCH(VALUE(D65),Lap!$A$3:$BF$3,0)+IF(IFERROR(FIND("Grade 60",J65),0)&gt;0,0,IF(IFERROR(FIND("Grade 80",J65),0),1,IF(IFERROR(FIND("Grade 75",J65),0),2,"")))),""),Data!J65)</f>
        <v>5-1</v>
      </c>
      <c r="W65" t="s">
        <v>176</v>
      </c>
      <c r="X65">
        <v>8</v>
      </c>
      <c r="Y65" t="str">
        <f t="shared" si="1"/>
        <v xml:space="preserve">20 </v>
      </c>
      <c r="Z65" t="str">
        <f t="shared" si="2"/>
        <v xml:space="preserve"> 36</v>
      </c>
      <c r="AA65" s="24">
        <f t="shared" si="3"/>
        <v>15.666666666666666</v>
      </c>
      <c r="BB65" t="e" cm="1">
        <f t="array" ref="BB65">_xlfn.LET(_xlpm.PartF,(_xlfn.LET(_xlpm.grade, Q65,_xlpm.gradeRange, IF(_xlpm.grade=SD!$H$3, A615GR60, IF(_xlpm.grade=SD!$H$4, A615GR75, IF(_xlpm.grade=SD!$H$5, A615GR80, IF(_xlpm.grade=SD!$H$6, A615GR100, IF(_xlpm.grade=SD!$H$7, A706GR60, IF(_xlpm.grade=SD!$H$8, A706GR80)))))),_xlpm.matchValue, MATCH(1, (SD!$AW:$AW=AS65)*(SD!$AX:$AX=SD!$C$8), 0),INDEX(_xlpm.gradeRange, _xlpm.matchValue))),IF(AM65="Spiral",CONCATENATE("SP",_xlpm.PartF),_xlpm.PartF))</f>
        <v>#N/A</v>
      </c>
      <c r="BC65" cm="1">
        <f t="array" ref="BC65">_xlfn.LET(_xlpm.leftPart, LEFT(O65, FIND("@", O65) - 2),_xlpm.grade,Q65,_xlpm.gradeRange,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5" cm="1">
        <f t="array" ref="BD65">_xlfn.LET(_xlpm.leftPart, LEFT(P65, FIND("@", P65) - 2),_xlpm.grade, Q65,_xlpm.gradeRange,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5">
        <f t="shared" si="4"/>
        <v>3</v>
      </c>
      <c r="BF65">
        <f>IF(SD!$C$32=SD!$I$2,BE65,IF(SD!$C$32=SD!$I$3,DO65,IF(SD!$C$32=SD!$I$5,BA65,IF(SD!$C$32=SD!$I$6,(LEFT(SD!$C$35,FIND("-",SD!$C$35)-1)+RIGHT(SD!$C$35,LEN(SD!$C$35)-FIND("-",SD!$C$35))/12),IF(SD!$C$32=SD!$I$4,(AU65-(BG65+BH65)))))))</f>
        <v>0</v>
      </c>
      <c r="BG65">
        <f>IF(SD!$C$33=SD!$I$2,BE65,IF(SD!$C$33=SD!$I$3,DO65,IF(SD!$C$33=SD!$I$5,BA65,IF(SD!$C$33=SD!$I$6,(LEFT(SD!$C$35,FIND("-",SD!$C$35)-1)+RIGHT(SD!$C$35,LEN(SD!$C$35)-FIND("-",SD!$C$35))/12),IF(SD!$C$33=SD!$I$4,(AU65-(BF65+BH65)))))))</f>
        <v>-1</v>
      </c>
      <c r="BH65">
        <f>IF(SD!$C$34=SD!$I$2,BE65,IF(SD!$C$34=SD!$I$3,DO65,IF(SD!$C$34=SD!$I$5,BA65,IF(SD!$C$34=SD!$I$6,(LEFT(SD!$C$35,FIND("-",SD!$C$35)-1)+RIGHT(SD!$C$35,LEN(SD!$C$35)-FIND("-",SD!$C$35))/12),IF(SD!$C$34=SD!$I$4,(AU65-(BF65+BG65)))))))</f>
        <v>1</v>
      </c>
      <c r="BJ65">
        <f>IF(AM65="Spiral","1",MAX(ROUNDUP(IF(SD!$C$32="",AT65,BF65/(LEFT(RIGHT(N65,LEN(N65)-FIND("@",N65)),LEN(RIGHT(N65,LEN(N65)-FIND("@",N65)))-1)/12)+1),0),0))</f>
        <v>1</v>
      </c>
      <c r="BK65">
        <f>MAX(ROUNDUP(IF(SD!$C$33="","",BG65/(LEFT(RIGHT(O65,LEN(O65)-FIND("@",O65)),LEN(RIGHT(O65,LEN(O65)-FIND("@",O65)))-1)/12)+1),0),0)</f>
        <v>0</v>
      </c>
      <c r="BL65">
        <f>MAX(ROUNDUP(IF(SD!$C$34="","",BH65/(LEFT(RIGHT(P65,LEN(P65)-FIND("@",P65)),LEN(RIGHT(P65,LEN(P65)-FIND("@",P65)))-1)/12)+1),0),0)</f>
        <v>3</v>
      </c>
      <c r="BN65" t="e">
        <f t="shared" si="5"/>
        <v>#N/A</v>
      </c>
      <c r="BO65" t="e">
        <f t="shared" si="6"/>
        <v>#N/A</v>
      </c>
      <c r="BP65" t="e">
        <f t="shared" si="7"/>
        <v>#N/A</v>
      </c>
      <c r="BQ65" s="24" t="e">
        <f>IF(AM65=TRUE,(((Y65-(SD!$E$12*2))*3.14159265359)+BN65+BO65+BP65)/12+AL65,SUM(AF65:AG65,BN65,BO65,BP65,AO65,AQ65)/12)</f>
        <v>#N/A</v>
      </c>
      <c r="BR65" t="e">
        <f t="shared" si="8"/>
        <v>#N/A</v>
      </c>
      <c r="BS65" t="e">
        <f t="shared" si="9"/>
        <v>#N/A</v>
      </c>
      <c r="BT65" t="e">
        <f t="shared" si="10"/>
        <v>#N/A</v>
      </c>
      <c r="BU65" s="24" t="e">
        <f>IF(AM65=TRUE,(((Y65-(SD!$E$12*2))*3.14159265359)+BR65+BS65+BT65)/12+AL65,SUM(AF65:AG65,BR65,BS65,BT65,AO65,AQ65)/12)</f>
        <v>#N/A</v>
      </c>
      <c r="BW65" t="str">
        <f>IFERROR(LEFT(Data!L65,FIND(" -",Data!L65)-1),"")</f>
        <v/>
      </c>
      <c r="BX65" t="str">
        <f>IFERROR(IF(SD!$C$40=SD!$U$2,W65,IF(SD!$C$40=SD!$U$3,RIGHT(Data!L65,LEN(Data!L65)-(FIND("-",Data!L65)+1)),SD!$C$40)),"")</f>
        <v>#10</v>
      </c>
      <c r="BY65" t="str" cm="1">
        <f t="array" ref="BY65">IFERROR(_xlfn.LET(_xlpm.GRR,IF(AND(SD!$C$19=SD!$H$2,Grade!$G$1="Per level"),VLOOKUP(B65,Grade!$E$1:$F$200,2,FALSE),IF(AND(SD!$C$19=SD!$H$2,Grade!$G$1="Per Bar Size"),VLOOKUP(BX65,Grade!$B$1:$C$12,2,0),SD!$C$19)),_xlpm.is_equal, A64=A65,_xlpm.grade_range, IF(_xlpm.GRR=SD!$H$3, A615GR60,IF(_xlpm.GRR=SD!$H$4, A615GR75,IF(_xlpm.GRR=SD!$H$5, A615GR80,IF(_xlpm.GRR=SD!H69, A615GR100,IF(_xlpm.GRR=SD!$H$7, A706GR60,IF(_xlpm.GRR=SD!$H$8, A706GR80)))))),_xlpm.match_result, MATCH(1, (BSize=BX65)*(BCName=SD!$C$8), 0),_xlpm.final_result, INDEX(_xlpm.grade_range, _xlpm.match_result),IF(_xlpm.is_equal, "", _xlpm.final_result)),"")</f>
        <v/>
      </c>
      <c r="BZ65" t="str">
        <f>IF(A64=A65,"",IF(SD!$C$41="Match Vertical Bars ",X65,IF(SD!$C$41=SD!$V$3,BW65,SD!$C$41)))</f>
        <v/>
      </c>
      <c r="CA65" t="str" cm="1">
        <f t="array" ref="CA65">IF(A64=A65,"",IF(SD!$C$44="No T-Head",IF(SD!$C$42=SD!$Q$3,VLOOKUP(BX65,S90Range,3,FALSE),LEFT(SD!$C$42,FIND("-",SD!$C$42)-1)+(RIGHT(SD!$C$42,LEN(SD!$C$42)-FIND("-",SD!$C$42))/12)),IF(SD!$C$44="T-Head",_xlfn._xlws.FILTER(THead,(TCName=SD!$C$8)*(TSize=BX65)),IF(SD!$C$44="Level Wise",_xlfn.LET(_xlpm.result,_xlfn.XLOOKUP(B65,VDLevel,VDLevelStatus,"No"),IF(_xlpm.result="Yes",_xlfn._xlws.FILTER(THead,(TCName=SD!$C$8)*(TSize=BX65)),IF(SD!$C$42=SD!$Q$3,VLOOKUP(BX65,S90Range,3,FALSE),LEFT(SD!$C$42,FIND("-",SD!$C$42)-1)+(RIGHT(SD!$C$42,LEN(SD!$C$42)-FIND("-", SD!$C$42))/12)))),IF(SD!$C$44="BarSize Wise",_xlfn.LET(_xlpm.result,_xlfn.XLOOKUP(BX65,VDBarSize,VDBarSizeStatus,"No"),IF(_xlpm.result="Yes",_xlfn._xlws.FILTER(THead,(TCName=SD!$C$8)*(TSize=BX65)),IF(SD!$C$42=SD!$Q$3,VLOOKUP(BX65,S90Range,3,FALSE),LEFT(SD!$C$42,FIND("-",SD!$C$42)-1)+(RIGHT(SD!$C$42,LEN(SD!$C$42)-FIND("-",SD!$C$42))/12)))), "")))))</f>
        <v/>
      </c>
      <c r="CB65" t="str" cm="1">
        <f t="array" ref="CB65">_xlfn.LET(_xlpm.GRR,IF(AND(SD!$C$19=SD!$H$2,Grade!$G$1="Per level"),VLOOKUP(B65,Grade!$E$1:$F$200,2,FALSE),IF(AND(SD!$C$19=SD!$H$2,Grade!$G$1="Per Bar Size"),VLOOKUP(BX65,Grade!$B$1:$C$12,2,0),SD!$C$19)),_xlpm.is_coupler, K65="Coupler",_xlpm.condition1, SD!$C$43=SD!$W$2,_xlpm.data_j2_empty, Data!$J65="",_xlpm.lookup_table, IF(SD!$C$11="Create", Lap!$A$3:$BF$14, IF(SD!$C$11="Per Uploaded File", Lap!$A$19:$BF$30, "")),_xlpm.row_match, MATCH(BX65, Lap!$A$3:$A$14, 0),_xlpm.grade_offset, IF(IFERROR(FIND("Grade 60",_xlpm.GRR), 0) &gt; 0, 0, IF(IFERROR(FIND("Grade 80",_xlpm.GRR), 0), 1, IF(IFERROR(FIND("Grade 75",_xlpm.GRR), 0), 2, ""))),_xlpm.col_match, MATCH(VALUE(D65), Lap!$A$3:$BF$3, 0) + _xlpm.grade_offset,_xlpm.index_result, IFERROR(INDEX(_xlpm.lookup_table, _xlpm.row_match, _xlpm.col_match), Data!$J65),_xlpm.result_if_condition1, IF(_xlpm.data_j2_empty, _xlpm.index_result, Data!$J65),IF(_xlpm.is_coupler, 0, IF(_xlpm.condition1, _xlpm.result_if_condition1, SD!$C$43)))</f>
        <v>5-1</v>
      </c>
      <c r="CC65" s="24">
        <f t="shared" si="11"/>
        <v>5.083333333333333</v>
      </c>
      <c r="CD65">
        <f t="shared" si="12"/>
        <v>5.75</v>
      </c>
      <c r="CE65" t="str" cm="1">
        <f t="array" ref="CE65">IF(BY65="","",_xlfn._xlws.FILTER(SAC,(CName=SD!$C$8)*(EName="Vert Dowels")))</f>
        <v/>
      </c>
      <c r="CF65" t="str" cm="1">
        <f t="array" ref="CF65">IFERROR(IF(BY65="","",IF(K65="Coupler",_xlfn._xlws.FILTER(CCoupler,(CCName=SD!$C$8)*(CBSize=IF(A64=A65,W64&amp;W65,BX65&amp;W65))*(CCMFM="Male")),"")),"N/A")</f>
        <v/>
      </c>
      <c r="CG65" t="str">
        <f t="shared" si="13"/>
        <v/>
      </c>
      <c r="CH65" t="str">
        <f t="shared" si="14"/>
        <v/>
      </c>
      <c r="CI65" t="str">
        <f>_xlfn.LET(_xlpm.u3_value, U66,_xlpm.hyphen_pos,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K66="Coupler",_xlpm.coupler_value, IF(_xlpm.is_coupler, 0, _xlpm.calculated_value),_xlpm.final_value, _xlpm.calculated_value + SD!$E$13 + _xlpm.coupler_value,IF(CG65="", "", _xlpm.final_value))</f>
        <v/>
      </c>
      <c r="CJ65" t="str" cm="1">
        <f t="array" ref="CJ65">IF(CG65="","",_xlfn._xlws.FILTER(SAC,(CName=SD!$C$8)*(EName="Loose Dowels")))</f>
        <v/>
      </c>
      <c r="CK65" t="str" cm="1">
        <f t="array" ref="CK65">IFERROR(IF(CG65="","",IF(K66="Coupler",_xlfn._xlws.FILTER(CCoupler,(CCName=SD!$C$8)*(CBSize=IF(A65=A66,W65&amp;W66,""))*(CCMFM="Male")),"")),"N/A")</f>
        <v/>
      </c>
      <c r="CL65" t="str">
        <f>IFERROR(IF(AM65="Spiral","",IF(A64=A65,"",IF(SD!$C$37=0,"",SD!$C$37))),"")</f>
        <v/>
      </c>
      <c r="CN65">
        <f>IF(AM65="Spiral","",IFERROR(IF(SD!$C$36=0,"",SD!$C$36),""))</f>
        <v>5</v>
      </c>
      <c r="CP65" t="str">
        <f>IFERROR(IF(SD!$C$42=SD!$Q$3,'Take-off'!CA65,""),"")</f>
        <v/>
      </c>
      <c r="CR65">
        <f>IFERROR(IF(SD!$C$22=SD!$U$2,W65,SD!$C$22),"")</f>
        <v>0</v>
      </c>
      <c r="CS65" t="str" cm="1">
        <f t="array" ref="CS65">_xlfn.LET(_xlpm.GR,IF(AND(SD!$C$19=SD!$H$2,Grade!$G$1="Per level"),VLOOKUP(B65,Grade!$E$1:$F$200,2,FALSE),IF(AND(SD!$C$19=SD!$H$2,Grade!$G$1="Per Bar Size"),VLOOKUP(CR65,Grade!$B$1:$C$12,2,0),SD!$C$19)),IF(SD!$C$20=SD!$R$4,IF(A66=A65,"",INDEX(IF(_xlpm.GR=SD!$H$3,A615GR60,IF(_xlpm.GR=SD!$H$4,A615GR75,IF(_xlpm.GR=SD!$H$5,A615GR80,IF(_xlpm.GR=SD!H69,A615GR100,IF(_xlpm.GR=SD!$H$7,A706GR60,IF(_xlpm.GR=SD!$H$8,A706GR80)))))), MATCH(1, (BSize=CR65)*(BCName=SD!$C$8), 0))),""))</f>
        <v/>
      </c>
      <c r="CT65" t="str">
        <f>IF(A66=A65,"",IF(SD!$C$23="Match Vertical Bars ",X65,SD!$C$23))</f>
        <v/>
      </c>
      <c r="CU65" t="str" cm="1">
        <f t="array" ref="CU65">IF(A66=A65,"",IF(SD!$C$20="Top dowels",IF(SD!$E$25="No T-Head",IF(SD!$C$24=SD!$Q$3,VLOOKUP(CR65,S90Range,3,FALSE),LEFT(SD!$C$24,FIND("-",SD!$C$24)-1)+(RIGHT(SD!$C$24,LEN(SD!$C$24)-FIND("-",SD!$C$24))/12)),IF(SD!$E$25="T-Head",_xlfn._xlws.FILTER(THead,(TCName=SD!$C$8)*(TSize=CR65)),IF(SD!$E$25="Level Wise",_xlfn.LET(_xlpm.result,_xlfn.XLOOKUP(B65,TDLevel,TDLevelStatus,"No"),IF(_xlpm.result="Yes",_xlfn._xlws.FILTER(THead,(TCName=SD!$C$8)*(TSize=CR65)),IF(SD!$C$24=SD!$Q$3,VLOOKUP(CR65,S90Range,3,FALSE),LEFT(SD!$C$24,FIND("-",SD!$C$24)-1)+(RIGHT(SD!$C$24,LEN(SD!$C$24)-FIND("-", SD!$C$24))/12)))),IF(SD!$E$25="BarSize Wise",_xlfn.LET(_xlpm.result,_xlfn.XLOOKUP(CR65,TDBarSize,TDBarSizeStatus,"No"),IF(_xlpm.result="Yes",_xlfn._xlws.FILTER(THead,(TCName=SD!$C$8)*(TSize=CR65)),IF(SD!$C$24=SD!$Q$3,VLOOKUP(CR65,S90Range,3,FALSE),LEFT(SD!$C$24,FIND("-",SD!$C$24)-1)+(RIGHT(SD!$C$24,LEN(SD!$C$24)-FIND("-",SD!$C$24))/12)))), "")))),""))</f>
        <v/>
      </c>
      <c r="CV65" t="str">
        <f>_xlfn.LET(_xlpm.GRR,IF(AND(SD!$C$19=SD!$H$2,Grade!$G$1="Per level"),VLOOKUP(B65,Grade!$E$1:$F$200,2,FALSE),IF(AND(SD!$C$19=SD!$H$2,Grade!$G$1="Per Bar Size"),VLOOKUP(CR65,Grade!$B$1:$C$12,2,0),SD!$C$19)),IF(SD!$C$25=SD!$W$2,IF(Data!$J65="",IFERROR(INDEX(IF(SD!$C$11="Create",Lap!$A$3:$BF$14,IF(SD!$C$11="Per Uploaded File",Lap!$A$19:$BF$30,"")),MATCH(CR65,Lap!$A$3:$A$14,0),MATCH(VALUE(D65),Lap!$A$3:$BF$3,0)+IF(IFERROR(FIND("Grade 60",_xlpm.GRR),0)&gt;0,0,IF(IFERROR(FIND("Grade 80",_xlpm.GRR),0),1,IF(IFERROR(FIND("Grade 75",_xlpm.GRR),0),2,"")))),""),Data!J65),SD!$C$43))</f>
        <v>Match Lap</v>
      </c>
      <c r="CW65">
        <f t="shared" si="15"/>
        <v>0</v>
      </c>
      <c r="CX65">
        <f t="shared" si="16"/>
        <v>0</v>
      </c>
      <c r="CY65" t="str">
        <f t="shared" si="17"/>
        <v/>
      </c>
      <c r="DA65" t="str">
        <f t="shared" si="18"/>
        <v/>
      </c>
      <c r="DB65" t="str">
        <f t="shared" si="19"/>
        <v/>
      </c>
      <c r="DC65" s="24" t="str">
        <f t="shared" si="20"/>
        <v/>
      </c>
      <c r="DD65">
        <f t="shared" si="21"/>
        <v>10.583333333333334</v>
      </c>
      <c r="DE65" t="s">
        <v>785</v>
      </c>
      <c r="DF65" t="s">
        <v>67</v>
      </c>
      <c r="DG65" t="str">
        <f>VLOOKUP(W65,'Level Wise PSI'!$F$2:$G$12,2,FALSE)</f>
        <v>Double Lift</v>
      </c>
      <c r="DI65" t="str" cm="1">
        <f t="array" ref="DI65">_xlfn.LET(_xlpm.Coup,IFERROR(IF(BY65="","",IF(K65="Coupler",_xlfn._xlws.FILTER(CCFCoupler,(CCName=SD!$C$8)*(CBSize=IF(A64=A65,W64&amp;W65,BX65&amp;W65))),"")),"N/A"),IF(_xlpm.Coup=0,"",_xlpm.Coup))</f>
        <v/>
      </c>
      <c r="DJ65" t="str" cm="1">
        <f t="array" ref="DJ65">_xlfn.LET(_xlpm.Coup3,IFERROR(IF(CG65="","",IF(K66="Coupler",_xlfn._xlws.FILTER(CCFCoupler,(CCName=SD!$C$8)*(CBSize=IF(A65=A66,W65&amp;W66,""))),"")),"N/A"),IF(_xlpm.Coup3=0,"",_xlpm.Coup3))</f>
        <v/>
      </c>
      <c r="DK65" t="str" cm="1">
        <f t="array" ref="DK65">_xlfn.LET(_xlpm.Coup2,IFERROR(IF(A65&lt;&gt;A66,"",IF(DF65="No Lap","",IF(K66="Coupler",_xlfn._xlws.FILTER(CCFCoupler,(CCName=SD!$C$8)*(CBSize=IF(A64=A65,W65&amp;W66,W65&amp;W65))),""))),"N/A"),IF(_xlpm.Coup2=0,"",_xlpm.Coup2))</f>
        <v/>
      </c>
      <c r="DM65" t="str">
        <f>IF(AM65="Spiral","",IF(SD!$C$31=SD!$Y$3,SD!$E$32*2,""))</f>
        <v/>
      </c>
      <c r="DO65" s="24">
        <f t="shared" si="22"/>
        <v>3</v>
      </c>
      <c r="DQ65" t="str">
        <f t="shared" si="23"/>
        <v>Lig</v>
      </c>
      <c r="DR65" t="str">
        <f>IF(AM65="Spiral",((Y65-(SD!$E$12*2))/12),"")</f>
        <v/>
      </c>
      <c r="DS65" t="str">
        <f t="shared" si="24"/>
        <v/>
      </c>
      <c r="DT65" t="str">
        <f t="shared" si="25"/>
        <v/>
      </c>
      <c r="DU65" t="str">
        <f t="shared" si="26"/>
        <v/>
      </c>
    </row>
    <row r="66" spans="1:125" x14ac:dyDescent="0.25">
      <c r="A66">
        <v>30</v>
      </c>
      <c r="B66" t="s">
        <v>682</v>
      </c>
      <c r="C66" s="15">
        <v>2429</v>
      </c>
      <c r="D66" s="15">
        <v>10000</v>
      </c>
      <c r="E66" t="str">
        <f>IF(B66=Level!$A$2,SD!$C$14,SD!$C$13)</f>
        <v>0-8</v>
      </c>
      <c r="F66" s="15" t="s">
        <v>787</v>
      </c>
      <c r="G66" t="s">
        <v>748</v>
      </c>
      <c r="H66" t="str">
        <f>RIGHT(VLOOKUP(B66,Level!A:C,3,FALSE),LEN(VLOOKUP(B66,Level!A:C,3,FALSE))-1)</f>
        <v>10-7</v>
      </c>
      <c r="I66" t="s">
        <v>739</v>
      </c>
      <c r="J66" t="str">
        <f>IF(AND(SD!$C$19=SD!$H$2,Grade!$G$1="Per level"),VLOOKUP(B66,Grade!$E$1:$F$200,2,FALSE),IF(AND(SD!$C$19=SD!$H$2,Grade!$G$1="Per Bar Size"),VLOOKUP(W66,Grade!$B$1:$C$12,2,0),SD!$C$19))</f>
        <v>A615 Grade 60</v>
      </c>
      <c r="K66" t="s">
        <v>67</v>
      </c>
      <c r="L66" t="str">
        <f>IFERROR(IF(A66&lt;&gt;A67,"",IF(DF66="No Lap","",IF(K67="Lap",U66,IF(K67="Coupler",_xlfn._xlws.FILTER(CCoupler,(CCName=SD!$C$8)*(CBSize=IF(A65=A66,W66&amp;W67,W66&amp;W66))*(CCMFM="Male")),"")))),"N/A")</f>
        <v>5-1</v>
      </c>
      <c r="M66" t="str">
        <f t="shared" ref="M66:M129" si="27">IF(A66=A67,IF(AND(IF(A66=A67,ABS(Y66-Y67),"0")&gt;6,IF(A66=A67,ABS(Z66-Z67),"0")&gt;6),I67,IF(OR(IF(A66=A67,ABS(Y66-Y67),"0")&gt;6,IF(A66=A67,ABS(Z66-Z67),"0")&gt;6),CONCATENATE(ROUNDUP(X67/2,0)," - ",W67),"")),"")</f>
        <v/>
      </c>
      <c r="N66" t="s">
        <v>719</v>
      </c>
      <c r="O66" t="s">
        <v>720</v>
      </c>
      <c r="P66" t="s">
        <v>719</v>
      </c>
      <c r="Q66" t="str">
        <f>IF(AND(SD!$C$29=SD!$P$2,Grade!$O$1="Per level"),VLOOKUP(B66,Grade!$M$1:$N$200,2,FALSE),IF(AND(SD!$C$29=SD!$P$2,Grade!$O$1="Per Bar Size"),VLOOKUP(LEFT(N66,FIND("@",N66)-2),Grade!$J$1:$K$12,2,0),SD!$C$29))</f>
        <v>A615 Grade 60</v>
      </c>
      <c r="R66" t="s">
        <v>736</v>
      </c>
      <c r="S66" s="57">
        <v>66</v>
      </c>
      <c r="U66" t="str">
        <f>IF(Data!$J66="",IFERROR(INDEX(IF(SD!$C$11="Create",Lap!$A$3:$BF$14,IF(SD!$C$11="Per Uploaded File",Lap!$A$19:$BF$30,"")),MATCH(W66,Lap!$A$3:$A$14,0),MATCH(VALUE(D66),Lap!$A$3:$BF$3,0)+IF(IFERROR(FIND("Grade 60",J66),0)&gt;0,0,IF(IFERROR(FIND("Grade 80",J66),0),1,IF(IFERROR(FIND("Grade 75",J66),0),2,"")))),""),Data!J66)</f>
        <v>5-1</v>
      </c>
      <c r="W66" t="s">
        <v>176</v>
      </c>
      <c r="X66">
        <v>8</v>
      </c>
      <c r="Y66" t="str">
        <f t="shared" ref="Y66:Y129" si="28">IFERROR(LEFT(G66,FIND(" dia",G66)-2),LEFT(G66,FIND("x",G66)-1))</f>
        <v xml:space="preserve">20 </v>
      </c>
      <c r="Z66" t="str">
        <f t="shared" ref="Z66:Z129" si="29">IFERROR(IF(FIND("dia",G66)&gt;0,0,ERROR.TYPE(#VALUE!)),RIGHT(G66,LEN(G66)-FIND("x",G66)))</f>
        <v xml:space="preserve"> 36</v>
      </c>
      <c r="AA66" s="24">
        <f t="shared" ref="AA66:AA129" si="30">IF(OR(K67="Coupler",A66&lt;&gt;A67),LEFT(H66,FIND("-",H66)-1)+(RIGHT(H66,LEN(H66)-FIND("-",H66))/12),LEFT(H66,FIND("-",H66)-1)+IFERROR(LEFT(L66,FIND("-",L66)-1),"0")+(RIGHT(H66,LEN(H66)-FIND("-",H66))+IFERROR(RIGHT(L66,LEN(L66)-FIND("-",L66)),"0"))/12)+IFERROR(IF(ISNUMBER(AE66),AE66,0),0)</f>
        <v>15.666666666666666</v>
      </c>
      <c r="BB66" t="e" cm="1">
        <f t="array" ref="BB66">_xlfn.LET(_xlpm.PartF,(_xlfn.LET(_xlpm.grade, Q66,_xlpm.gradeRange, IF(_xlpm.grade=SD!$H$3, A615GR60, IF(_xlpm.grade=SD!$H$4, A615GR75, IF(_xlpm.grade=SD!$H$5, A615GR80, IF(_xlpm.grade=SD!$H$6, A615GR100, IF(_xlpm.grade=SD!$H$7, A706GR60, IF(_xlpm.grade=SD!$H$8, A706GR80)))))),_xlpm.matchValue, MATCH(1, (SD!$AW:$AW=AS66)*(SD!$AX:$AX=SD!$C$8), 0),INDEX(_xlpm.gradeRange, _xlpm.matchValue))),IF(AM66="Spiral",CONCATENATE("SP",_xlpm.PartF),_xlpm.PartF))</f>
        <v>#N/A</v>
      </c>
      <c r="BC66" cm="1">
        <f t="array" ref="BC66">_xlfn.LET(_xlpm.leftPart, LEFT(O66, FIND("@", O66) - 2),_xlpm.grade,Q66,_xlpm.gradeRange,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6" cm="1">
        <f t="array" ref="BD66">_xlfn.LET(_xlpm.leftPart, LEFT(P66, FIND("@", P66) - 2),_xlpm.grade, Q66,_xlpm.gradeRange,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6">
        <f t="shared" ref="BE66:BE129" si="31">_xlfn.LET(_xlpm.auDiv6, AU66 / 6,_xlpm.maxValue, MAX(_xlpm.auDiv6 * 12, _xlfn.NUMBERVALUE(Y66), _xlfn.NUMBERVALUE(Z66), 18),_xlpm.maxValue / 12)</f>
        <v>3</v>
      </c>
      <c r="BF66">
        <f>IF(SD!$C$32=SD!$I$2,BE66,IF(SD!$C$32=SD!$I$3,DO66,IF(SD!$C$32=SD!$I$5,BA66,IF(SD!$C$32=SD!$I$6,(LEFT(SD!$C$35,FIND("-",SD!$C$35)-1)+RIGHT(SD!$C$35,LEN(SD!$C$35)-FIND("-",SD!$C$35))/12),IF(SD!$C$32=SD!$I$4,(AU66-(BG66+BH66)))))))</f>
        <v>0</v>
      </c>
      <c r="BG66">
        <f>IF(SD!$C$33=SD!$I$2,BE66,IF(SD!$C$33=SD!$I$3,DO66,IF(SD!$C$33=SD!$I$5,BA66,IF(SD!$C$33=SD!$I$6,(LEFT(SD!$C$35,FIND("-",SD!$C$35)-1)+RIGHT(SD!$C$35,LEN(SD!$C$35)-FIND("-",SD!$C$35))/12),IF(SD!$C$33=SD!$I$4,(AU66-(BF66+BH66)))))))</f>
        <v>-1</v>
      </c>
      <c r="BH66">
        <f>IF(SD!$C$34=SD!$I$2,BE66,IF(SD!$C$34=SD!$I$3,DO66,IF(SD!$C$34=SD!$I$5,BA66,IF(SD!$C$34=SD!$I$6,(LEFT(SD!$C$35,FIND("-",SD!$C$35)-1)+RIGHT(SD!$C$35,LEN(SD!$C$35)-FIND("-",SD!$C$35))/12),IF(SD!$C$34=SD!$I$4,(AU66-(BF66+BG66)))))))</f>
        <v>1</v>
      </c>
      <c r="BJ66">
        <f>IF(AM66="Spiral","1",MAX(ROUNDUP(IF(SD!$C$32="",AT66,BF66/(LEFT(RIGHT(N66,LEN(N66)-FIND("@",N66)),LEN(RIGHT(N66,LEN(N66)-FIND("@",N66)))-1)/12)+1),0),0))</f>
        <v>1</v>
      </c>
      <c r="BK66">
        <f>MAX(ROUNDUP(IF(SD!$C$33="","",BG66/(LEFT(RIGHT(O66,LEN(O66)-FIND("@",O66)),LEN(RIGHT(O66,LEN(O66)-FIND("@",O66)))-1)/12)+1),0),0)</f>
        <v>0</v>
      </c>
      <c r="BL66">
        <f>MAX(ROUNDUP(IF(SD!$C$34="","",BH66/(LEFT(RIGHT(P66,LEN(P66)-FIND("@",P66)),LEN(RIGHT(P66,LEN(P66)-FIND("@",P66)))-1)/12)+1),0),0)</f>
        <v>3</v>
      </c>
      <c r="BN66" t="e">
        <f t="shared" ref="BN66:BN129" si="32">_xlfn.LET(_xlpm.o_value, LEFT(O66, FIND("@", O66) - 2),_xlpm.vlookup1, INDEX(Ties_Type01, MATCH(AD66, INDEX(Ties_Type01, , 1), 0), 4),_xlpm.vlookup2, INDEX(S90Range, MATCH(_xlpm.o_value, INDEX(S90Range, , 1), 0), 4),_xlpm.result, (_xlpm.vlookup1 * _xlpm.vlookup2) * 12,_xlpm.result)</f>
        <v>#N/A</v>
      </c>
      <c r="BO66" t="e">
        <f t="shared" ref="BO66:BO129" si="33">_xlfn.LET(_xlpm.o_value, LEFT(O66, FIND("@", O66) - 2),_xlpm.index1, INDEX(Ties_Type01, MATCH(AD66, INDEX(Ties_Type01, , 1), 0), 5),_xlpm.index2, INDEX(S135Range, MATCH(_xlpm.o_value, INDEX(S135Range, , 1), 0), 3),_xlpm.result, (_xlpm.index1 * _xlpm.index2) * 12,_xlpm.result)</f>
        <v>#N/A</v>
      </c>
      <c r="BP66" t="e">
        <f t="shared" ref="BP66:BP129" si="34">_xlfn.LET(_xlpm.o_value, LEFT(O66, FIND("@", O66) - 2),_xlpm.index1, INDEX(Ties_Type01, MATCH(AD66, INDEX(Ties_Type01, , 1), 0), 6),_xlpm.index2, INDEX(S180Range, MATCH(_xlpm.o_value, INDEX(S180Range, , 1), 0), 3),_xlpm.result, (_xlpm.index1 * _xlpm.index2) * 12,_xlpm.result)</f>
        <v>#N/A</v>
      </c>
      <c r="BQ66" s="24" t="e">
        <f>IF(AM66=TRUE,(((Y66-(SD!$E$12*2))*3.14159265359)+BN66+BO66+BP66)/12+AL66,SUM(AF66:AG66,BN66,BO66,BP66,AO66,AQ66)/12)</f>
        <v>#N/A</v>
      </c>
      <c r="BR66" t="e">
        <f t="shared" ref="BR66:BR129" si="35">_xlfn.LET(_xlpm.p_value, LEFT(P66, FIND("@", P66) - 2),_xlpm.index1, INDEX(Ties_Type01, MATCH(AD66, INDEX(Ties_Type01, , 1), 0), 4),_xlpm.index2, INDEX(S90Range, MATCH(_xlpm.p_value, INDEX(S90Range, , 1), 0), 4),_xlpm.result, (_xlpm.index1 * _xlpm.index2) * 12,_xlpm.result)</f>
        <v>#N/A</v>
      </c>
      <c r="BS66" t="e">
        <f t="shared" ref="BS66:BS129" si="36">_xlfn.LET(_xlpm.p_value, LEFT(P66, FIND("@", P66) - 2),_xlpm.index1, INDEX(Ties_Type01, MATCH(AD66, INDEX(Ties_Type01, , 1), 0), 5),_xlpm.index2, INDEX(S135Range, MATCH(_xlpm.p_value, INDEX(S135Range, , 1), 0), 3),_xlpm.result, (_xlpm.index1 * _xlpm.index2) * 12,_xlpm.result)</f>
        <v>#N/A</v>
      </c>
      <c r="BT66" t="e">
        <f t="shared" ref="BT66:BT129" si="37">_xlfn.LET(_xlpm.p_value, LEFT(P66, FIND("@", P66) - 2),_xlpm.index1, INDEX(Ties_Type01, MATCH(AD66, INDEX(Ties_Type01, , 1), 0), 6),_xlpm.index2, INDEX(S180Range, MATCH(_xlpm.p_value, INDEX(S180Range, , 1), 0), 3),_xlpm.result, (_xlpm.index1 * _xlpm.index2) * 12,_xlpm.result)</f>
        <v>#N/A</v>
      </c>
      <c r="BU66" s="24" t="e">
        <f>IF(AM66=TRUE,(((Y66-(SD!$E$12*2))*3.14159265359)+BR66+BS66+BT66)/12+AL66,SUM(AF66:AG66,BR66,BS66,BT66,AO66,AQ66)/12)</f>
        <v>#N/A</v>
      </c>
      <c r="BW66" t="str">
        <f>IFERROR(LEFT(Data!L66,FIND(" -",Data!L66)-1),"")</f>
        <v/>
      </c>
      <c r="BX66" t="str">
        <f>IFERROR(IF(SD!$C$40=SD!$U$2,W66,IF(SD!$C$40=SD!$U$3,RIGHT(Data!L66,LEN(Data!L66)-(FIND("-",Data!L66)+1)),SD!$C$40)),"")</f>
        <v>#10</v>
      </c>
      <c r="BY66" t="str" cm="1">
        <f t="array" ref="BY66">IFERROR(_xlfn.LET(_xlpm.GRR,IF(AND(SD!$C$19=SD!$H$2,Grade!$G$1="Per level"),VLOOKUP(B66,Grade!$E$1:$F$200,2,FALSE),IF(AND(SD!$C$19=SD!$H$2,Grade!$G$1="Per Bar Size"),VLOOKUP(BX66,Grade!$B$1:$C$12,2,0),SD!$C$19)),_xlpm.is_equal, A65=A66,_xlpm.grade_range, IF(_xlpm.GRR=SD!$H$3, A615GR60,IF(_xlpm.GRR=SD!$H$4, A615GR75,IF(_xlpm.GRR=SD!$H$5, A615GR80,IF(_xlpm.GRR=SD!H70, A615GR100,IF(_xlpm.GRR=SD!$H$7, A706GR60,IF(_xlpm.GRR=SD!$H$8, A706GR80)))))),_xlpm.match_result, MATCH(1, (BSize=BX66)*(BCName=SD!$C$8), 0),_xlpm.final_result, INDEX(_xlpm.grade_range, _xlpm.match_result),IF(_xlpm.is_equal, "", _xlpm.final_result)),"")</f>
        <v/>
      </c>
      <c r="BZ66" t="str">
        <f>IF(A65=A66,"",IF(SD!$C$41="Match Vertical Bars ",X66,IF(SD!$C$41=SD!$V$3,BW66,SD!$C$41)))</f>
        <v/>
      </c>
      <c r="CA66" t="str" cm="1">
        <f t="array" ref="CA66">IF(A65=A66,"",IF(SD!$C$44="No T-Head",IF(SD!$C$42=SD!$Q$3,VLOOKUP(BX66,S90Range,3,FALSE),LEFT(SD!$C$42,FIND("-",SD!$C$42)-1)+(RIGHT(SD!$C$42,LEN(SD!$C$42)-FIND("-",SD!$C$42))/12)),IF(SD!$C$44="T-Head",_xlfn._xlws.FILTER(THead,(TCName=SD!$C$8)*(TSize=BX66)),IF(SD!$C$44="Level Wise",_xlfn.LET(_xlpm.result,_xlfn.XLOOKUP(B66,VDLevel,VDLevelStatus,"No"),IF(_xlpm.result="Yes",_xlfn._xlws.FILTER(THead,(TCName=SD!$C$8)*(TSize=BX66)),IF(SD!$C$42=SD!$Q$3,VLOOKUP(BX66,S90Range,3,FALSE),LEFT(SD!$C$42,FIND("-",SD!$C$42)-1)+(RIGHT(SD!$C$42,LEN(SD!$C$42)-FIND("-", SD!$C$42))/12)))),IF(SD!$C$44="BarSize Wise",_xlfn.LET(_xlpm.result,_xlfn.XLOOKUP(BX66,VDBarSize,VDBarSizeStatus,"No"),IF(_xlpm.result="Yes",_xlfn._xlws.FILTER(THead,(TCName=SD!$C$8)*(TSize=BX66)),IF(SD!$C$42=SD!$Q$3,VLOOKUP(BX66,S90Range,3,FALSE),LEFT(SD!$C$42,FIND("-",SD!$C$42)-1)+(RIGHT(SD!$C$42,LEN(SD!$C$42)-FIND("-",SD!$C$42))/12)))), "")))))</f>
        <v/>
      </c>
      <c r="CB66" t="str" cm="1">
        <f t="array" ref="CB66">_xlfn.LET(_xlpm.GRR,IF(AND(SD!$C$19=SD!$H$2,Grade!$G$1="Per level"),VLOOKUP(B66,Grade!$E$1:$F$200,2,FALSE),IF(AND(SD!$C$19=SD!$H$2,Grade!$G$1="Per Bar Size"),VLOOKUP(BX66,Grade!$B$1:$C$12,2,0),SD!$C$19)),_xlpm.is_coupler, K66="Coupler",_xlpm.condition1, SD!$C$43=SD!$W$2,_xlpm.data_j2_empty, Data!$J66="",_xlpm.lookup_table, IF(SD!$C$11="Create", Lap!$A$3:$BF$14, IF(SD!$C$11="Per Uploaded File", Lap!$A$19:$BF$30, "")),_xlpm.row_match, MATCH(BX66, Lap!$A$3:$A$14, 0),_xlpm.grade_offset, IF(IFERROR(FIND("Grade 60",_xlpm.GRR), 0) &gt; 0, 0, IF(IFERROR(FIND("Grade 80",_xlpm.GRR), 0), 1, IF(IFERROR(FIND("Grade 75",_xlpm.GRR), 0), 2, ""))),_xlpm.col_match, MATCH(VALUE(D66), Lap!$A$3:$BF$3, 0) + _xlpm.grade_offset,_xlpm.index_result, IFERROR(INDEX(_xlpm.lookup_table, _xlpm.row_match, _xlpm.col_match), Data!$J66),_xlpm.result_if_condition1, IF(_xlpm.data_j2_empty, _xlpm.index_result, Data!$J66),IF(_xlpm.is_coupler, 0, IF(_xlpm.condition1, _xlpm.result_if_condition1, SD!$C$43)))</f>
        <v>5-1</v>
      </c>
      <c r="CC66" s="24">
        <f t="shared" ref="CC66:CC129" si="38">_xlfn.LET(_xlpm.cb_value, CB66,_xlpm.is_number, ISNUMBER(_xlpm.cb_value),_xlpm.hyphen_pos, FIND("-", _xlpm.cb_value),_xlpm.left_part, LEFT(_xlpm.cb_value, _xlpm.hyphen_pos - 1),_xlpm.right_part, RIGHT(_xlpm.cb_value, LEN(_xlpm.cb_value) - _xlpm.hyphen_pos) / 12,_xlpm.calculated_value, _xlpm.left_part + _xlpm.right_part,_xlpm.result, IF(_xlpm.is_number, _xlpm.cb_value, _xlpm.calculated_value),IFERROR(_xlpm.result, 0))</f>
        <v>5.083333333333333</v>
      </c>
      <c r="CD66">
        <f t="shared" ref="CD66:CD129" si="39">_xlfn.LET(_xlpm.dep,(LEFT(E66,FIND("-",E66)-1)+(RIGHT(E66,LEN(E66)-FIND("-",E66))/12)),IF(ISNUMBER(CA66),CA66+CC66+_xlpm.dep,CC66+_xlpm.dep))</f>
        <v>5.75</v>
      </c>
      <c r="CE66" t="str" cm="1">
        <f t="array" ref="CE66">IF(BY66="","",_xlfn._xlws.FILTER(SAC,(CName=SD!$C$8)*(EName="Vert Dowels")))</f>
        <v/>
      </c>
      <c r="CF66" t="str" cm="1">
        <f t="array" ref="CF66">IFERROR(IF(BY66="","",IF(K66="Coupler",_xlfn._xlws.FILTER(CCoupler,(CCName=SD!$C$8)*(CBSize=IF(A65=A66,W65&amp;W66,BX66&amp;W66))*(CCMFM="Male")),"")),"N/A")</f>
        <v/>
      </c>
      <c r="CG66" t="str">
        <f t="shared" ref="CG66:CG129" si="40">IFERROR(LEFT(M66,FIND(" -",M66)-1),"")</f>
        <v/>
      </c>
      <c r="CH66" t="str">
        <f t="shared" ref="CH66:CH129" si="41">IF(CG66="","",AZ67)</f>
        <v/>
      </c>
      <c r="CI66" t="str">
        <f>_xlfn.LET(_xlpm.u3_value, U67,_xlpm.hyphen_pos,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K67="Coupler",_xlpm.coupler_value, IF(_xlpm.is_coupler, 0, _xlpm.calculated_value),_xlpm.final_value, _xlpm.calculated_value + SD!$E$13 + _xlpm.coupler_value,IF(CG66="", "", _xlpm.final_value))</f>
        <v/>
      </c>
      <c r="CJ66" t="str" cm="1">
        <f t="array" ref="CJ66">IF(CG66="","",_xlfn._xlws.FILTER(SAC,(CName=SD!$C$8)*(EName="Loose Dowels")))</f>
        <v/>
      </c>
      <c r="CK66" t="str" cm="1">
        <f t="array" ref="CK66">IFERROR(IF(CG66="","",IF(K67="Coupler",_xlfn._xlws.FILTER(CCoupler,(CCName=SD!$C$8)*(CBSize=IF(A66=A67,W66&amp;W67,""))*(CCMFM="Male")),"")),"N/A")</f>
        <v/>
      </c>
      <c r="CL66" t="str">
        <f>IFERROR(IF(AM66="Spiral","",IF(A65=A66,"",IF(SD!$C$37=0,"",SD!$C$37))),"")</f>
        <v/>
      </c>
      <c r="CN66">
        <f>IF(AM66="Spiral","",IFERROR(IF(SD!$C$36=0,"",SD!$C$36),""))</f>
        <v>5</v>
      </c>
      <c r="CP66" t="str">
        <f>IFERROR(IF(SD!$C$42=SD!$Q$3,'Take-off'!CA66,""),"")</f>
        <v/>
      </c>
      <c r="CR66">
        <f>IFERROR(IF(SD!$C$22=SD!$U$2,W66,SD!$C$22),"")</f>
        <v>0</v>
      </c>
      <c r="CS66" t="str" cm="1">
        <f t="array" ref="CS66">_xlfn.LET(_xlpm.GR,IF(AND(SD!$C$19=SD!$H$2,Grade!$G$1="Per level"),VLOOKUP(B66,Grade!$E$1:$F$200,2,FALSE),IF(AND(SD!$C$19=SD!$H$2,Grade!$G$1="Per Bar Size"),VLOOKUP(CR66,Grade!$B$1:$C$12,2,0),SD!$C$19)),IF(SD!$C$20=SD!$R$4,IF(A67=A66,"",INDEX(IF(_xlpm.GR=SD!$H$3,A615GR60,IF(_xlpm.GR=SD!$H$4,A615GR75,IF(_xlpm.GR=SD!$H$5,A615GR80,IF(_xlpm.GR=SD!H70,A615GR100,IF(_xlpm.GR=SD!$H$7,A706GR60,IF(_xlpm.GR=SD!$H$8,A706GR80)))))), MATCH(1, (BSize=CR66)*(BCName=SD!$C$8), 0))),""))</f>
        <v/>
      </c>
      <c r="CT66" t="str">
        <f>IF(A67=A66,"",IF(SD!$C$23="Match Vertical Bars ",X66,SD!$C$23))</f>
        <v/>
      </c>
      <c r="CU66" t="str" cm="1">
        <f t="array" ref="CU66">IF(A67=A66,"",IF(SD!$C$20="Top dowels",IF(SD!$E$25="No T-Head",IF(SD!$C$24=SD!$Q$3,VLOOKUP(CR66,S90Range,3,FALSE),LEFT(SD!$C$24,FIND("-",SD!$C$24)-1)+(RIGHT(SD!$C$24,LEN(SD!$C$24)-FIND("-",SD!$C$24))/12)),IF(SD!$E$25="T-Head",_xlfn._xlws.FILTER(THead,(TCName=SD!$C$8)*(TSize=CR66)),IF(SD!$E$25="Level Wise",_xlfn.LET(_xlpm.result,_xlfn.XLOOKUP(B66,TDLevel,TDLevelStatus,"No"),IF(_xlpm.result="Yes",_xlfn._xlws.FILTER(THead,(TCName=SD!$C$8)*(TSize=CR66)),IF(SD!$C$24=SD!$Q$3,VLOOKUP(CR66,S90Range,3,FALSE),LEFT(SD!$C$24,FIND("-",SD!$C$24)-1)+(RIGHT(SD!$C$24,LEN(SD!$C$24)-FIND("-", SD!$C$24))/12)))),IF(SD!$E$25="BarSize Wise",_xlfn.LET(_xlpm.result,_xlfn.XLOOKUP(CR66,TDBarSize,TDBarSizeStatus,"No"),IF(_xlpm.result="Yes",_xlfn._xlws.FILTER(THead,(TCName=SD!$C$8)*(TSize=CR66)),IF(SD!$C$24=SD!$Q$3,VLOOKUP(CR66,S90Range,3,FALSE),LEFT(SD!$C$24,FIND("-",SD!$C$24)-1)+(RIGHT(SD!$C$24,LEN(SD!$C$24)-FIND("-",SD!$C$24))/12)))), "")))),""))</f>
        <v/>
      </c>
      <c r="CV66" t="str">
        <f>_xlfn.LET(_xlpm.GRR,IF(AND(SD!$C$19=SD!$H$2,Grade!$G$1="Per level"),VLOOKUP(B66,Grade!$E$1:$F$200,2,FALSE),IF(AND(SD!$C$19=SD!$H$2,Grade!$G$1="Per Bar Size"),VLOOKUP(CR66,Grade!$B$1:$C$12,2,0),SD!$C$19)),IF(SD!$C$25=SD!$W$2,IF(Data!$J66="",IFERROR(INDEX(IF(SD!$C$11="Create",Lap!$A$3:$BF$14,IF(SD!$C$11="Per Uploaded File",Lap!$A$19:$BF$30,"")),MATCH(CR66,Lap!$A$3:$A$14,0),MATCH(VALUE(D66),Lap!$A$3:$BF$3,0)+IF(IFERROR(FIND("Grade 60",_xlpm.GRR),0)&gt;0,0,IF(IFERROR(FIND("Grade 80",_xlpm.GRR),0),1,IF(IFERROR(FIND("Grade 75",_xlpm.GRR),0),2,"")))),""),Data!J66),SD!$C$43))</f>
        <v>Match Lap</v>
      </c>
      <c r="CW66">
        <f t="shared" ref="CW66:CW129" si="42">IFERROR(IF(ISNUMBER(CV66),CV66,LEFT(CV66,FIND("-",CV66)-1)+(RIGHT(CV66,LEN(CV66)-FIND("-",CV66))/12)),0)</f>
        <v>0</v>
      </c>
      <c r="CX66">
        <f t="shared" ref="CX66:CX129" si="43">IF(ISNUMBER(CU66),CU66+CW66,CW66)</f>
        <v>0</v>
      </c>
      <c r="CY66" t="str">
        <f t="shared" ref="CY66:CY129" si="44">IF(NOT(ISNUMBER(CU66)), CU66, "")</f>
        <v/>
      </c>
      <c r="DA66" t="str">
        <f t="shared" ref="DA66:DA129" si="45">IFERROR(IF(A65=A66,"",A66),"")</f>
        <v/>
      </c>
      <c r="DB66" t="str">
        <f t="shared" ref="DB66:DB129" si="46">IFERROR(IF(DA66="","",INT(DC66) &amp; "-" &amp; ROUND((DC66-INT(DC66))*12, 0)),"")</f>
        <v/>
      </c>
      <c r="DC66" s="24" t="str">
        <f t="shared" ref="DC66:DC129" si="47">IF(DA66="","",SUMIF(A:A,DA66,DD:DD))</f>
        <v/>
      </c>
      <c r="DD66">
        <f t="shared" ref="DD66:DD129" si="48">IFERROR(LEFT(H66,FIND("-",H66)-1)+(RIGHT(H66,LEN(H66)-FIND("-",H66)))/12,"")</f>
        <v>10.583333333333334</v>
      </c>
      <c r="DE66" t="s">
        <v>785</v>
      </c>
      <c r="DF66" t="s">
        <v>67</v>
      </c>
      <c r="DG66" t="str">
        <f>VLOOKUP(W66,'Level Wise PSI'!$F$2:$G$12,2,FALSE)</f>
        <v>Double Lift</v>
      </c>
      <c r="DI66" t="str" cm="1">
        <f t="array" ref="DI66">_xlfn.LET(_xlpm.Coup,IFERROR(IF(BY66="","",IF(K66="Coupler",_xlfn._xlws.FILTER(CCFCoupler,(CCName=SD!$C$8)*(CBSize=IF(A65=A66,W65&amp;W66,BX66&amp;W66))),"")),"N/A"),IF(_xlpm.Coup=0,"",_xlpm.Coup))</f>
        <v/>
      </c>
      <c r="DJ66" t="str" cm="1">
        <f t="array" ref="DJ66">_xlfn.LET(_xlpm.Coup3,IFERROR(IF(CG66="","",IF(K67="Coupler",_xlfn._xlws.FILTER(CCFCoupler,(CCName=SD!$C$8)*(CBSize=IF(A66=A67,W66&amp;W67,""))),"")),"N/A"),IF(_xlpm.Coup3=0,"",_xlpm.Coup3))</f>
        <v/>
      </c>
      <c r="DK66" t="str" cm="1">
        <f t="array" ref="DK66">_xlfn.LET(_xlpm.Coup2,IFERROR(IF(A66&lt;&gt;A67,"",IF(DF66="No Lap","",IF(K67="Coupler",_xlfn._xlws.FILTER(CCFCoupler,(CCName=SD!$C$8)*(CBSize=IF(A65=A66,W66&amp;W67,W66&amp;W66))),""))),"N/A"),IF(_xlpm.Coup2=0,"",_xlpm.Coup2))</f>
        <v/>
      </c>
      <c r="DM66" t="str">
        <f>IF(AM66="Spiral","",IF(SD!$C$31=SD!$Y$3,SD!$E$32*2,""))</f>
        <v/>
      </c>
      <c r="DO66" s="24">
        <f t="shared" ref="DO66:DO129" si="49">_xlfn.LET(_xlpm.auDiv6, AU66 / 8,_xlpm.maxValue, MAX(_xlpm.auDiv6 * 12, _xlfn.NUMBERVALUE(Y66), _xlfn.NUMBERVALUE(Z66), 18),_xlpm.maxValue / 12)</f>
        <v>3</v>
      </c>
      <c r="DQ66" t="str">
        <f t="shared" ref="DQ66:DQ129" si="50">IF(AM66="Spiral","Spi","Lig")</f>
        <v>Lig</v>
      </c>
      <c r="DR66" t="str">
        <f>IF(AM66="Spiral",((Y66-(SD!$E$12*2))/12),"")</f>
        <v/>
      </c>
      <c r="DS66" t="str">
        <f t="shared" ref="DS66:DS129" si="51">IF(AM66="Spiral",(LEFT(RIGHT(N66,LEN(N66)-FIND("@",N66)),LEN(RIGHT(N66,LEN(N66)-FIND("@",N66)))-1)/12),"")</f>
        <v/>
      </c>
      <c r="DT66" t="str">
        <f t="shared" ref="DT66:DT129" si="52">IF(AM66="Spiral",AQ66,"")</f>
        <v/>
      </c>
      <c r="DU66" t="str">
        <f t="shared" ref="DU66:DU129" si="53">IF(AM66="Spiral","BT","")</f>
        <v/>
      </c>
    </row>
    <row r="67" spans="1:125" x14ac:dyDescent="0.25">
      <c r="A67">
        <v>30</v>
      </c>
      <c r="B67" t="s">
        <v>684</v>
      </c>
      <c r="C67" s="15">
        <v>2429</v>
      </c>
      <c r="D67" s="15">
        <v>10000</v>
      </c>
      <c r="E67" t="str">
        <f>IF(B67=Level!$A$2,SD!$C$14,SD!$C$13)</f>
        <v>0-8</v>
      </c>
      <c r="F67" s="15" t="s">
        <v>787</v>
      </c>
      <c r="G67" t="s">
        <v>748</v>
      </c>
      <c r="H67" t="str">
        <f>RIGHT(VLOOKUP(B67,Level!A:C,3,FALSE),LEN(VLOOKUP(B67,Level!A:C,3,FALSE))-1)</f>
        <v>10-7</v>
      </c>
      <c r="I67" t="s">
        <v>739</v>
      </c>
      <c r="J67" t="str">
        <f>IF(AND(SD!$C$19=SD!$H$2,Grade!$G$1="Per level"),VLOOKUP(B67,Grade!$E$1:$F$200,2,FALSE),IF(AND(SD!$C$19=SD!$H$2,Grade!$G$1="Per Bar Size"),VLOOKUP(W67,Grade!$B$1:$C$12,2,0),SD!$C$19))</f>
        <v>A615 Grade 60</v>
      </c>
      <c r="K67" t="s">
        <v>67</v>
      </c>
      <c r="L67" t="str">
        <f>IFERROR(IF(A67&lt;&gt;A68,"",IF(DF67="No Lap","",IF(K68="Lap",U67,IF(K68="Coupler",_xlfn._xlws.FILTER(CCoupler,(CCName=SD!$C$8)*(CBSize=IF(A66=A67,W67&amp;W68,W67&amp;W67))*(CCMFM="Male")),"")))),"N/A")</f>
        <v>5-1</v>
      </c>
      <c r="M67" t="str">
        <f t="shared" si="27"/>
        <v/>
      </c>
      <c r="N67" t="s">
        <v>719</v>
      </c>
      <c r="O67" t="s">
        <v>720</v>
      </c>
      <c r="P67" t="s">
        <v>719</v>
      </c>
      <c r="Q67" t="str">
        <f>IF(AND(SD!$C$29=SD!$P$2,Grade!$O$1="Per level"),VLOOKUP(B67,Grade!$M$1:$N$200,2,FALSE),IF(AND(SD!$C$29=SD!$P$2,Grade!$O$1="Per Bar Size"),VLOOKUP(LEFT(N67,FIND("@",N67)-2),Grade!$J$1:$K$12,2,0),SD!$C$29))</f>
        <v>A615 Grade 60</v>
      </c>
      <c r="R67" t="s">
        <v>736</v>
      </c>
      <c r="S67" s="57">
        <v>67</v>
      </c>
      <c r="U67" t="str">
        <f>IF(Data!$J67="",IFERROR(INDEX(IF(SD!$C$11="Create",Lap!$A$3:$BF$14,IF(SD!$C$11="Per Uploaded File",Lap!$A$19:$BF$30,"")),MATCH(W67,Lap!$A$3:$A$14,0),MATCH(VALUE(D67),Lap!$A$3:$BF$3,0)+IF(IFERROR(FIND("Grade 60",J67),0)&gt;0,0,IF(IFERROR(FIND("Grade 80",J67),0),1,IF(IFERROR(FIND("Grade 75",J67),0),2,"")))),""),Data!J67)</f>
        <v>5-1</v>
      </c>
      <c r="W67" t="s">
        <v>176</v>
      </c>
      <c r="X67">
        <v>8</v>
      </c>
      <c r="Y67" t="str">
        <f t="shared" si="28"/>
        <v xml:space="preserve">20 </v>
      </c>
      <c r="Z67" t="str">
        <f t="shared" si="29"/>
        <v xml:space="preserve"> 36</v>
      </c>
      <c r="AA67" s="24">
        <f t="shared" si="30"/>
        <v>15.666666666666666</v>
      </c>
      <c r="BB67" t="e" cm="1">
        <f t="array" ref="BB67">_xlfn.LET(_xlpm.PartF,(_xlfn.LET(_xlpm.grade, Q67,_xlpm.gradeRange, IF(_xlpm.grade=SD!$H$3, A615GR60, IF(_xlpm.grade=SD!$H$4, A615GR75, IF(_xlpm.grade=SD!$H$5, A615GR80, IF(_xlpm.grade=SD!$H$6, A615GR100, IF(_xlpm.grade=SD!$H$7, A706GR60, IF(_xlpm.grade=SD!$H$8, A706GR80)))))),_xlpm.matchValue, MATCH(1, (SD!$AW:$AW=AS67)*(SD!$AX:$AX=SD!$C$8), 0),INDEX(_xlpm.gradeRange, _xlpm.matchValue))),IF(AM67="Spiral",CONCATENATE("SP",_xlpm.PartF),_xlpm.PartF))</f>
        <v>#N/A</v>
      </c>
      <c r="BC67" cm="1">
        <f t="array" ref="BC67">_xlfn.LET(_xlpm.leftPart, LEFT(O67, FIND("@", O67) - 2),_xlpm.grade,Q67,_xlpm.gradeRange,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7" cm="1">
        <f t="array" ref="BD67">_xlfn.LET(_xlpm.leftPart, LEFT(P67, FIND("@", P67) - 2),_xlpm.grade, Q67,_xlpm.gradeRange,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7">
        <f t="shared" si="31"/>
        <v>3</v>
      </c>
      <c r="BF67">
        <f>IF(SD!$C$32=SD!$I$2,BE67,IF(SD!$C$32=SD!$I$3,DO67,IF(SD!$C$32=SD!$I$5,BA67,IF(SD!$C$32=SD!$I$6,(LEFT(SD!$C$35,FIND("-",SD!$C$35)-1)+RIGHT(SD!$C$35,LEN(SD!$C$35)-FIND("-",SD!$C$35))/12),IF(SD!$C$32=SD!$I$4,(AU67-(BG67+BH67)))))))</f>
        <v>0</v>
      </c>
      <c r="BG67">
        <f>IF(SD!$C$33=SD!$I$2,BE67,IF(SD!$C$33=SD!$I$3,DO67,IF(SD!$C$33=SD!$I$5,BA67,IF(SD!$C$33=SD!$I$6,(LEFT(SD!$C$35,FIND("-",SD!$C$35)-1)+RIGHT(SD!$C$35,LEN(SD!$C$35)-FIND("-",SD!$C$35))/12),IF(SD!$C$33=SD!$I$4,(AU67-(BF67+BH67)))))))</f>
        <v>-1</v>
      </c>
      <c r="BH67">
        <f>IF(SD!$C$34=SD!$I$2,BE67,IF(SD!$C$34=SD!$I$3,DO67,IF(SD!$C$34=SD!$I$5,BA67,IF(SD!$C$34=SD!$I$6,(LEFT(SD!$C$35,FIND("-",SD!$C$35)-1)+RIGHT(SD!$C$35,LEN(SD!$C$35)-FIND("-",SD!$C$35))/12),IF(SD!$C$34=SD!$I$4,(AU67-(BF67+BG67)))))))</f>
        <v>1</v>
      </c>
      <c r="BJ67">
        <f>IF(AM67="Spiral","1",MAX(ROUNDUP(IF(SD!$C$32="",AT67,BF67/(LEFT(RIGHT(N67,LEN(N67)-FIND("@",N67)),LEN(RIGHT(N67,LEN(N67)-FIND("@",N67)))-1)/12)+1),0),0))</f>
        <v>1</v>
      </c>
      <c r="BK67">
        <f>MAX(ROUNDUP(IF(SD!$C$33="","",BG67/(LEFT(RIGHT(O67,LEN(O67)-FIND("@",O67)),LEN(RIGHT(O67,LEN(O67)-FIND("@",O67)))-1)/12)+1),0),0)</f>
        <v>0</v>
      </c>
      <c r="BL67">
        <f>MAX(ROUNDUP(IF(SD!$C$34="","",BH67/(LEFT(RIGHT(P67,LEN(P67)-FIND("@",P67)),LEN(RIGHT(P67,LEN(P67)-FIND("@",P67)))-1)/12)+1),0),0)</f>
        <v>3</v>
      </c>
      <c r="BN67" t="e">
        <f t="shared" si="32"/>
        <v>#N/A</v>
      </c>
      <c r="BO67" t="e">
        <f t="shared" si="33"/>
        <v>#N/A</v>
      </c>
      <c r="BP67" t="e">
        <f t="shared" si="34"/>
        <v>#N/A</v>
      </c>
      <c r="BQ67" s="24" t="e">
        <f>IF(AM67=TRUE,(((Y67-(SD!$E$12*2))*3.14159265359)+BN67+BO67+BP67)/12+AL67,SUM(AF67:AG67,BN67,BO67,BP67,AO67,AQ67)/12)</f>
        <v>#N/A</v>
      </c>
      <c r="BR67" t="e">
        <f t="shared" si="35"/>
        <v>#N/A</v>
      </c>
      <c r="BS67" t="e">
        <f t="shared" si="36"/>
        <v>#N/A</v>
      </c>
      <c r="BT67" t="e">
        <f t="shared" si="37"/>
        <v>#N/A</v>
      </c>
      <c r="BU67" s="24" t="e">
        <f>IF(AM67=TRUE,(((Y67-(SD!$E$12*2))*3.14159265359)+BR67+BS67+BT67)/12+AL67,SUM(AF67:AG67,BR67,BS67,BT67,AO67,AQ67)/12)</f>
        <v>#N/A</v>
      </c>
      <c r="BW67" t="str">
        <f>IFERROR(LEFT(Data!L67,FIND(" -",Data!L67)-1),"")</f>
        <v/>
      </c>
      <c r="BX67" t="str">
        <f>IFERROR(IF(SD!$C$40=SD!$U$2,W67,IF(SD!$C$40=SD!$U$3,RIGHT(Data!L67,LEN(Data!L67)-(FIND("-",Data!L67)+1)),SD!$C$40)),"")</f>
        <v>#10</v>
      </c>
      <c r="BY67" t="str" cm="1">
        <f t="array" ref="BY67">IFERROR(_xlfn.LET(_xlpm.GRR,IF(AND(SD!$C$19=SD!$H$2,Grade!$G$1="Per level"),VLOOKUP(B67,Grade!$E$1:$F$200,2,FALSE),IF(AND(SD!$C$19=SD!$H$2,Grade!$G$1="Per Bar Size"),VLOOKUP(BX67,Grade!$B$1:$C$12,2,0),SD!$C$19)),_xlpm.is_equal, A66=A67,_xlpm.grade_range, IF(_xlpm.GRR=SD!$H$3, A615GR60,IF(_xlpm.GRR=SD!$H$4, A615GR75,IF(_xlpm.GRR=SD!$H$5, A615GR80,IF(_xlpm.GRR=SD!H71, A615GR100,IF(_xlpm.GRR=SD!$H$7, A706GR60,IF(_xlpm.GRR=SD!$H$8, A706GR80)))))),_xlpm.match_result, MATCH(1, (BSize=BX67)*(BCName=SD!$C$8), 0),_xlpm.final_result, INDEX(_xlpm.grade_range, _xlpm.match_result),IF(_xlpm.is_equal, "", _xlpm.final_result)),"")</f>
        <v/>
      </c>
      <c r="BZ67" t="str">
        <f>IF(A66=A67,"",IF(SD!$C$41="Match Vertical Bars ",X67,IF(SD!$C$41=SD!$V$3,BW67,SD!$C$41)))</f>
        <v/>
      </c>
      <c r="CA67" t="str" cm="1">
        <f t="array" ref="CA67">IF(A66=A67,"",IF(SD!$C$44="No T-Head",IF(SD!$C$42=SD!$Q$3,VLOOKUP(BX67,S90Range,3,FALSE),LEFT(SD!$C$42,FIND("-",SD!$C$42)-1)+(RIGHT(SD!$C$42,LEN(SD!$C$42)-FIND("-",SD!$C$42))/12)),IF(SD!$C$44="T-Head",_xlfn._xlws.FILTER(THead,(TCName=SD!$C$8)*(TSize=BX67)),IF(SD!$C$44="Level Wise",_xlfn.LET(_xlpm.result,_xlfn.XLOOKUP(B67,VDLevel,VDLevelStatus,"No"),IF(_xlpm.result="Yes",_xlfn._xlws.FILTER(THead,(TCName=SD!$C$8)*(TSize=BX67)),IF(SD!$C$42=SD!$Q$3,VLOOKUP(BX67,S90Range,3,FALSE),LEFT(SD!$C$42,FIND("-",SD!$C$42)-1)+(RIGHT(SD!$C$42,LEN(SD!$C$42)-FIND("-", SD!$C$42))/12)))),IF(SD!$C$44="BarSize Wise",_xlfn.LET(_xlpm.result,_xlfn.XLOOKUP(BX67,VDBarSize,VDBarSizeStatus,"No"),IF(_xlpm.result="Yes",_xlfn._xlws.FILTER(THead,(TCName=SD!$C$8)*(TSize=BX67)),IF(SD!$C$42=SD!$Q$3,VLOOKUP(BX67,S90Range,3,FALSE),LEFT(SD!$C$42,FIND("-",SD!$C$42)-1)+(RIGHT(SD!$C$42,LEN(SD!$C$42)-FIND("-",SD!$C$42))/12)))), "")))))</f>
        <v/>
      </c>
      <c r="CB67" t="str" cm="1">
        <f t="array" ref="CB67">_xlfn.LET(_xlpm.GRR,IF(AND(SD!$C$19=SD!$H$2,Grade!$G$1="Per level"),VLOOKUP(B67,Grade!$E$1:$F$200,2,FALSE),IF(AND(SD!$C$19=SD!$H$2,Grade!$G$1="Per Bar Size"),VLOOKUP(BX67,Grade!$B$1:$C$12,2,0),SD!$C$19)),_xlpm.is_coupler, K67="Coupler",_xlpm.condition1, SD!$C$43=SD!$W$2,_xlpm.data_j2_empty, Data!$J67="",_xlpm.lookup_table, IF(SD!$C$11="Create", Lap!$A$3:$BF$14, IF(SD!$C$11="Per Uploaded File", Lap!$A$19:$BF$30, "")),_xlpm.row_match, MATCH(BX67, Lap!$A$3:$A$14, 0),_xlpm.grade_offset, IF(IFERROR(FIND("Grade 60",_xlpm.GRR), 0) &gt; 0, 0, IF(IFERROR(FIND("Grade 80",_xlpm.GRR), 0), 1, IF(IFERROR(FIND("Grade 75",_xlpm.GRR), 0), 2, ""))),_xlpm.col_match, MATCH(VALUE(D67), Lap!$A$3:$BF$3, 0) + _xlpm.grade_offset,_xlpm.index_result, IFERROR(INDEX(_xlpm.lookup_table, _xlpm.row_match, _xlpm.col_match), Data!$J67),_xlpm.result_if_condition1, IF(_xlpm.data_j2_empty, _xlpm.index_result, Data!$J67),IF(_xlpm.is_coupler, 0, IF(_xlpm.condition1, _xlpm.result_if_condition1, SD!$C$43)))</f>
        <v>5-1</v>
      </c>
      <c r="CC67" s="24">
        <f t="shared" si="38"/>
        <v>5.083333333333333</v>
      </c>
      <c r="CD67">
        <f t="shared" si="39"/>
        <v>5.75</v>
      </c>
      <c r="CE67" t="str" cm="1">
        <f t="array" ref="CE67">IF(BY67="","",_xlfn._xlws.FILTER(SAC,(CName=SD!$C$8)*(EName="Vert Dowels")))</f>
        <v/>
      </c>
      <c r="CF67" t="str" cm="1">
        <f t="array" ref="CF67">IFERROR(IF(BY67="","",IF(K67="Coupler",_xlfn._xlws.FILTER(CCoupler,(CCName=SD!$C$8)*(CBSize=IF(A66=A67,W66&amp;W67,BX67&amp;W67))*(CCMFM="Male")),"")),"N/A")</f>
        <v/>
      </c>
      <c r="CG67" t="str">
        <f t="shared" si="40"/>
        <v/>
      </c>
      <c r="CH67" t="str">
        <f t="shared" si="41"/>
        <v/>
      </c>
      <c r="CI67" t="str">
        <f>_xlfn.LET(_xlpm.u3_value, U68,_xlpm.hyphen_pos,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K68="Coupler",_xlpm.coupler_value, IF(_xlpm.is_coupler, 0, _xlpm.calculated_value),_xlpm.final_value, _xlpm.calculated_value + SD!$E$13 + _xlpm.coupler_value,IF(CG67="", "", _xlpm.final_value))</f>
        <v/>
      </c>
      <c r="CJ67" t="str" cm="1">
        <f t="array" ref="CJ67">IF(CG67="","",_xlfn._xlws.FILTER(SAC,(CName=SD!$C$8)*(EName="Loose Dowels")))</f>
        <v/>
      </c>
      <c r="CK67" t="str" cm="1">
        <f t="array" ref="CK67">IFERROR(IF(CG67="","",IF(K68="Coupler",_xlfn._xlws.FILTER(CCoupler,(CCName=SD!$C$8)*(CBSize=IF(A67=A68,W67&amp;W68,""))*(CCMFM="Male")),"")),"N/A")</f>
        <v/>
      </c>
      <c r="CL67" t="str">
        <f>IFERROR(IF(AM67="Spiral","",IF(A66=A67,"",IF(SD!$C$37=0,"",SD!$C$37))),"")</f>
        <v/>
      </c>
      <c r="CN67">
        <f>IF(AM67="Spiral","",IFERROR(IF(SD!$C$36=0,"",SD!$C$36),""))</f>
        <v>5</v>
      </c>
      <c r="CP67" t="str">
        <f>IFERROR(IF(SD!$C$42=SD!$Q$3,'Take-off'!CA67,""),"")</f>
        <v/>
      </c>
      <c r="CR67">
        <f>IFERROR(IF(SD!$C$22=SD!$U$2,W67,SD!$C$22),"")</f>
        <v>0</v>
      </c>
      <c r="CS67" t="str" cm="1">
        <f t="array" ref="CS67">_xlfn.LET(_xlpm.GR,IF(AND(SD!$C$19=SD!$H$2,Grade!$G$1="Per level"),VLOOKUP(B67,Grade!$E$1:$F$200,2,FALSE),IF(AND(SD!$C$19=SD!$H$2,Grade!$G$1="Per Bar Size"),VLOOKUP(CR67,Grade!$B$1:$C$12,2,0),SD!$C$19)),IF(SD!$C$20=SD!$R$4,IF(A68=A67,"",INDEX(IF(_xlpm.GR=SD!$H$3,A615GR60,IF(_xlpm.GR=SD!$H$4,A615GR75,IF(_xlpm.GR=SD!$H$5,A615GR80,IF(_xlpm.GR=SD!H71,A615GR100,IF(_xlpm.GR=SD!$H$7,A706GR60,IF(_xlpm.GR=SD!$H$8,A706GR80)))))), MATCH(1, (BSize=CR67)*(BCName=SD!$C$8), 0))),""))</f>
        <v/>
      </c>
      <c r="CT67" t="str">
        <f>IF(A68=A67,"",IF(SD!$C$23="Match Vertical Bars ",X67,SD!$C$23))</f>
        <v/>
      </c>
      <c r="CU67" t="str" cm="1">
        <f t="array" ref="CU67">IF(A68=A67,"",IF(SD!$C$20="Top dowels",IF(SD!$E$25="No T-Head",IF(SD!$C$24=SD!$Q$3,VLOOKUP(CR67,S90Range,3,FALSE),LEFT(SD!$C$24,FIND("-",SD!$C$24)-1)+(RIGHT(SD!$C$24,LEN(SD!$C$24)-FIND("-",SD!$C$24))/12)),IF(SD!$E$25="T-Head",_xlfn._xlws.FILTER(THead,(TCName=SD!$C$8)*(TSize=CR67)),IF(SD!$E$25="Level Wise",_xlfn.LET(_xlpm.result,_xlfn.XLOOKUP(B67,TDLevel,TDLevelStatus,"No"),IF(_xlpm.result="Yes",_xlfn._xlws.FILTER(THead,(TCName=SD!$C$8)*(TSize=CR67)),IF(SD!$C$24=SD!$Q$3,VLOOKUP(CR67,S90Range,3,FALSE),LEFT(SD!$C$24,FIND("-",SD!$C$24)-1)+(RIGHT(SD!$C$24,LEN(SD!$C$24)-FIND("-", SD!$C$24))/12)))),IF(SD!$E$25="BarSize Wise",_xlfn.LET(_xlpm.result,_xlfn.XLOOKUP(CR67,TDBarSize,TDBarSizeStatus,"No"),IF(_xlpm.result="Yes",_xlfn._xlws.FILTER(THead,(TCName=SD!$C$8)*(TSize=CR67)),IF(SD!$C$24=SD!$Q$3,VLOOKUP(CR67,S90Range,3,FALSE),LEFT(SD!$C$24,FIND("-",SD!$C$24)-1)+(RIGHT(SD!$C$24,LEN(SD!$C$24)-FIND("-",SD!$C$24))/12)))), "")))),""))</f>
        <v/>
      </c>
      <c r="CV67" t="str">
        <f>_xlfn.LET(_xlpm.GRR,IF(AND(SD!$C$19=SD!$H$2,Grade!$G$1="Per level"),VLOOKUP(B67,Grade!$E$1:$F$200,2,FALSE),IF(AND(SD!$C$19=SD!$H$2,Grade!$G$1="Per Bar Size"),VLOOKUP(CR67,Grade!$B$1:$C$12,2,0),SD!$C$19)),IF(SD!$C$25=SD!$W$2,IF(Data!$J67="",IFERROR(INDEX(IF(SD!$C$11="Create",Lap!$A$3:$BF$14,IF(SD!$C$11="Per Uploaded File",Lap!$A$19:$BF$30,"")),MATCH(CR67,Lap!$A$3:$A$14,0),MATCH(VALUE(D67),Lap!$A$3:$BF$3,0)+IF(IFERROR(FIND("Grade 60",_xlpm.GRR),0)&gt;0,0,IF(IFERROR(FIND("Grade 80",_xlpm.GRR),0),1,IF(IFERROR(FIND("Grade 75",_xlpm.GRR),0),2,"")))),""),Data!J67),SD!$C$43))</f>
        <v>Match Lap</v>
      </c>
      <c r="CW67">
        <f t="shared" si="42"/>
        <v>0</v>
      </c>
      <c r="CX67">
        <f t="shared" si="43"/>
        <v>0</v>
      </c>
      <c r="CY67" t="str">
        <f t="shared" si="44"/>
        <v/>
      </c>
      <c r="DA67" t="str">
        <f t="shared" si="45"/>
        <v/>
      </c>
      <c r="DB67" t="str">
        <f t="shared" si="46"/>
        <v/>
      </c>
      <c r="DC67" s="24" t="str">
        <f t="shared" si="47"/>
        <v/>
      </c>
      <c r="DD67">
        <f t="shared" si="48"/>
        <v>10.583333333333334</v>
      </c>
      <c r="DE67" t="s">
        <v>785</v>
      </c>
      <c r="DF67" t="s">
        <v>67</v>
      </c>
      <c r="DG67" t="str">
        <f>VLOOKUP(W67,'Level Wise PSI'!$F$2:$G$12,2,FALSE)</f>
        <v>Double Lift</v>
      </c>
      <c r="DI67" t="str" cm="1">
        <f t="array" ref="DI67">_xlfn.LET(_xlpm.Coup,IFERROR(IF(BY67="","",IF(K67="Coupler",_xlfn._xlws.FILTER(CCFCoupler,(CCName=SD!$C$8)*(CBSize=IF(A66=A67,W66&amp;W67,BX67&amp;W67))),"")),"N/A"),IF(_xlpm.Coup=0,"",_xlpm.Coup))</f>
        <v/>
      </c>
      <c r="DJ67" t="str" cm="1">
        <f t="array" ref="DJ67">_xlfn.LET(_xlpm.Coup3,IFERROR(IF(CG67="","",IF(K68="Coupler",_xlfn._xlws.FILTER(CCFCoupler,(CCName=SD!$C$8)*(CBSize=IF(A67=A68,W67&amp;W68,""))),"")),"N/A"),IF(_xlpm.Coup3=0,"",_xlpm.Coup3))</f>
        <v/>
      </c>
      <c r="DK67" t="str" cm="1">
        <f t="array" ref="DK67">_xlfn.LET(_xlpm.Coup2,IFERROR(IF(A67&lt;&gt;A68,"",IF(DF67="No Lap","",IF(K68="Coupler",_xlfn._xlws.FILTER(CCFCoupler,(CCName=SD!$C$8)*(CBSize=IF(A66=A67,W67&amp;W68,W67&amp;W67))),""))),"N/A"),IF(_xlpm.Coup2=0,"",_xlpm.Coup2))</f>
        <v/>
      </c>
      <c r="DM67" t="str">
        <f>IF(AM67="Spiral","",IF(SD!$C$31=SD!$Y$3,SD!$E$32*2,""))</f>
        <v/>
      </c>
      <c r="DO67" s="24">
        <f t="shared" si="49"/>
        <v>3</v>
      </c>
      <c r="DQ67" t="str">
        <f t="shared" si="50"/>
        <v>Lig</v>
      </c>
      <c r="DR67" t="str">
        <f>IF(AM67="Spiral",((Y67-(SD!$E$12*2))/12),"")</f>
        <v/>
      </c>
      <c r="DS67" t="str">
        <f t="shared" si="51"/>
        <v/>
      </c>
      <c r="DT67" t="str">
        <f t="shared" si="52"/>
        <v/>
      </c>
      <c r="DU67" t="str">
        <f t="shared" si="53"/>
        <v/>
      </c>
    </row>
    <row r="68" spans="1:125" x14ac:dyDescent="0.25">
      <c r="A68">
        <v>30</v>
      </c>
      <c r="B68" t="s">
        <v>686</v>
      </c>
      <c r="C68" s="15">
        <v>2429</v>
      </c>
      <c r="D68" s="15">
        <v>10000</v>
      </c>
      <c r="E68" t="str">
        <f>IF(B68=Level!$A$2,SD!$C$14,SD!$C$13)</f>
        <v>0-8</v>
      </c>
      <c r="F68" s="15" t="s">
        <v>787</v>
      </c>
      <c r="G68" t="s">
        <v>748</v>
      </c>
      <c r="H68" t="str">
        <f>RIGHT(VLOOKUP(B68,Level!A:C,3,FALSE),LEN(VLOOKUP(B68,Level!A:C,3,FALSE))-1)</f>
        <v>10-7</v>
      </c>
      <c r="I68" t="s">
        <v>739</v>
      </c>
      <c r="J68" t="str">
        <f>IF(AND(SD!$C$19=SD!$H$2,Grade!$G$1="Per level"),VLOOKUP(B68,Grade!$E$1:$F$200,2,FALSE),IF(AND(SD!$C$19=SD!$H$2,Grade!$G$1="Per Bar Size"),VLOOKUP(W68,Grade!$B$1:$C$12,2,0),SD!$C$19))</f>
        <v>A615 Grade 60</v>
      </c>
      <c r="K68" t="s">
        <v>67</v>
      </c>
      <c r="L68" t="str">
        <f>IFERROR(IF(A68&lt;&gt;A69,"",IF(DF68="No Lap","",IF(K69="Lap",U68,IF(K69="Coupler",_xlfn._xlws.FILTER(CCoupler,(CCName=SD!$C$8)*(CBSize=IF(A67=A68,W68&amp;W69,W68&amp;W68))*(CCMFM="Male")),"")))),"N/A")</f>
        <v>5-1</v>
      </c>
      <c r="M68" t="str">
        <f t="shared" si="27"/>
        <v/>
      </c>
      <c r="N68" t="s">
        <v>719</v>
      </c>
      <c r="O68" t="s">
        <v>720</v>
      </c>
      <c r="P68" t="s">
        <v>719</v>
      </c>
      <c r="Q68" t="str">
        <f>IF(AND(SD!$C$29=SD!$P$2,Grade!$O$1="Per level"),VLOOKUP(B68,Grade!$M$1:$N$200,2,FALSE),IF(AND(SD!$C$29=SD!$P$2,Grade!$O$1="Per Bar Size"),VLOOKUP(LEFT(N68,FIND("@",N68)-2),Grade!$J$1:$K$12,2,0),SD!$C$29))</f>
        <v>A615 Grade 60</v>
      </c>
      <c r="R68" t="s">
        <v>736</v>
      </c>
      <c r="S68" s="57">
        <v>68</v>
      </c>
      <c r="U68" t="str">
        <f>IF(Data!$J68="",IFERROR(INDEX(IF(SD!$C$11="Create",Lap!$A$3:$BF$14,IF(SD!$C$11="Per Uploaded File",Lap!$A$19:$BF$30,"")),MATCH(W68,Lap!$A$3:$A$14,0),MATCH(VALUE(D68),Lap!$A$3:$BF$3,0)+IF(IFERROR(FIND("Grade 60",J68),0)&gt;0,0,IF(IFERROR(FIND("Grade 80",J68),0),1,IF(IFERROR(FIND("Grade 75",J68),0),2,"")))),""),Data!J68)</f>
        <v>5-1</v>
      </c>
      <c r="W68" t="s">
        <v>176</v>
      </c>
      <c r="X68">
        <v>8</v>
      </c>
      <c r="Y68" t="str">
        <f t="shared" si="28"/>
        <v xml:space="preserve">20 </v>
      </c>
      <c r="Z68" t="str">
        <f t="shared" si="29"/>
        <v xml:space="preserve"> 36</v>
      </c>
      <c r="AA68" s="24">
        <f t="shared" si="30"/>
        <v>15.666666666666666</v>
      </c>
      <c r="BB68" t="e" cm="1">
        <f t="array" ref="BB68">_xlfn.LET(_xlpm.PartF,(_xlfn.LET(_xlpm.grade, Q68,_xlpm.gradeRange, IF(_xlpm.grade=SD!$H$3, A615GR60, IF(_xlpm.grade=SD!$H$4, A615GR75, IF(_xlpm.grade=SD!$H$5, A615GR80, IF(_xlpm.grade=SD!$H$6, A615GR100, IF(_xlpm.grade=SD!$H$7, A706GR60, IF(_xlpm.grade=SD!$H$8, A706GR80)))))),_xlpm.matchValue, MATCH(1, (SD!$AW:$AW=AS68)*(SD!$AX:$AX=SD!$C$8), 0),INDEX(_xlpm.gradeRange, _xlpm.matchValue))),IF(AM68="Spiral",CONCATENATE("SP",_xlpm.PartF),_xlpm.PartF))</f>
        <v>#N/A</v>
      </c>
      <c r="BC68" cm="1">
        <f t="array" ref="BC68">_xlfn.LET(_xlpm.leftPart, LEFT(O68, FIND("@", O68) - 2),_xlpm.grade,Q68,_xlpm.gradeRange,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8" cm="1">
        <f t="array" ref="BD68">_xlfn.LET(_xlpm.leftPart, LEFT(P68, FIND("@", P68) - 2),_xlpm.grade, Q68,_xlpm.gradeRange,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8">
        <f t="shared" si="31"/>
        <v>3</v>
      </c>
      <c r="BF68">
        <f>IF(SD!$C$32=SD!$I$2,BE68,IF(SD!$C$32=SD!$I$3,DO68,IF(SD!$C$32=SD!$I$5,BA68,IF(SD!$C$32=SD!$I$6,(LEFT(SD!$C$35,FIND("-",SD!$C$35)-1)+RIGHT(SD!$C$35,LEN(SD!$C$35)-FIND("-",SD!$C$35))/12),IF(SD!$C$32=SD!$I$4,(AU68-(BG68+BH68)))))))</f>
        <v>0</v>
      </c>
      <c r="BG68">
        <f>IF(SD!$C$33=SD!$I$2,BE68,IF(SD!$C$33=SD!$I$3,DO68,IF(SD!$C$33=SD!$I$5,BA68,IF(SD!$C$33=SD!$I$6,(LEFT(SD!$C$35,FIND("-",SD!$C$35)-1)+RIGHT(SD!$C$35,LEN(SD!$C$35)-FIND("-",SD!$C$35))/12),IF(SD!$C$33=SD!$I$4,(AU68-(BF68+BH68)))))))</f>
        <v>-1</v>
      </c>
      <c r="BH68">
        <f>IF(SD!$C$34=SD!$I$2,BE68,IF(SD!$C$34=SD!$I$3,DO68,IF(SD!$C$34=SD!$I$5,BA68,IF(SD!$C$34=SD!$I$6,(LEFT(SD!$C$35,FIND("-",SD!$C$35)-1)+RIGHT(SD!$C$35,LEN(SD!$C$35)-FIND("-",SD!$C$35))/12),IF(SD!$C$34=SD!$I$4,(AU68-(BF68+BG68)))))))</f>
        <v>1</v>
      </c>
      <c r="BJ68">
        <f>IF(AM68="Spiral","1",MAX(ROUNDUP(IF(SD!$C$32="",AT68,BF68/(LEFT(RIGHT(N68,LEN(N68)-FIND("@",N68)),LEN(RIGHT(N68,LEN(N68)-FIND("@",N68)))-1)/12)+1),0),0))</f>
        <v>1</v>
      </c>
      <c r="BK68">
        <f>MAX(ROUNDUP(IF(SD!$C$33="","",BG68/(LEFT(RIGHT(O68,LEN(O68)-FIND("@",O68)),LEN(RIGHT(O68,LEN(O68)-FIND("@",O68)))-1)/12)+1),0),0)</f>
        <v>0</v>
      </c>
      <c r="BL68">
        <f>MAX(ROUNDUP(IF(SD!$C$34="","",BH68/(LEFT(RIGHT(P68,LEN(P68)-FIND("@",P68)),LEN(RIGHT(P68,LEN(P68)-FIND("@",P68)))-1)/12)+1),0),0)</f>
        <v>3</v>
      </c>
      <c r="BN68" t="e">
        <f t="shared" si="32"/>
        <v>#N/A</v>
      </c>
      <c r="BO68" t="e">
        <f t="shared" si="33"/>
        <v>#N/A</v>
      </c>
      <c r="BP68" t="e">
        <f t="shared" si="34"/>
        <v>#N/A</v>
      </c>
      <c r="BQ68" s="24" t="e">
        <f>IF(AM68=TRUE,(((Y68-(SD!$E$12*2))*3.14159265359)+BN68+BO68+BP68)/12+AL68,SUM(AF68:AG68,BN68,BO68,BP68,AO68,AQ68)/12)</f>
        <v>#N/A</v>
      </c>
      <c r="BR68" t="e">
        <f t="shared" si="35"/>
        <v>#N/A</v>
      </c>
      <c r="BS68" t="e">
        <f t="shared" si="36"/>
        <v>#N/A</v>
      </c>
      <c r="BT68" t="e">
        <f t="shared" si="37"/>
        <v>#N/A</v>
      </c>
      <c r="BU68" s="24" t="e">
        <f>IF(AM68=TRUE,(((Y68-(SD!$E$12*2))*3.14159265359)+BR68+BS68+BT68)/12+AL68,SUM(AF68:AG68,BR68,BS68,BT68,AO68,AQ68)/12)</f>
        <v>#N/A</v>
      </c>
      <c r="BW68" t="str">
        <f>IFERROR(LEFT(Data!L68,FIND(" -",Data!L68)-1),"")</f>
        <v/>
      </c>
      <c r="BX68" t="str">
        <f>IFERROR(IF(SD!$C$40=SD!$U$2,W68,IF(SD!$C$40=SD!$U$3,RIGHT(Data!L68,LEN(Data!L68)-(FIND("-",Data!L68)+1)),SD!$C$40)),"")</f>
        <v>#10</v>
      </c>
      <c r="BY68" t="str" cm="1">
        <f t="array" ref="BY68">IFERROR(_xlfn.LET(_xlpm.GRR,IF(AND(SD!$C$19=SD!$H$2,Grade!$G$1="Per level"),VLOOKUP(B68,Grade!$E$1:$F$200,2,FALSE),IF(AND(SD!$C$19=SD!$H$2,Grade!$G$1="Per Bar Size"),VLOOKUP(BX68,Grade!$B$1:$C$12,2,0),SD!$C$19)),_xlpm.is_equal, A67=A68,_xlpm.grade_range, IF(_xlpm.GRR=SD!$H$3, A615GR60,IF(_xlpm.GRR=SD!$H$4, A615GR75,IF(_xlpm.GRR=SD!$H$5, A615GR80,IF(_xlpm.GRR=SD!H72, A615GR100,IF(_xlpm.GRR=SD!$H$7, A706GR60,IF(_xlpm.GRR=SD!$H$8, A706GR80)))))),_xlpm.match_result, MATCH(1, (BSize=BX68)*(BCName=SD!$C$8), 0),_xlpm.final_result, INDEX(_xlpm.grade_range, _xlpm.match_result),IF(_xlpm.is_equal, "", _xlpm.final_result)),"")</f>
        <v/>
      </c>
      <c r="BZ68" t="str">
        <f>IF(A67=A68,"",IF(SD!$C$41="Match Vertical Bars ",X68,IF(SD!$C$41=SD!$V$3,BW68,SD!$C$41)))</f>
        <v/>
      </c>
      <c r="CA68" t="str" cm="1">
        <f t="array" ref="CA68">IF(A67=A68,"",IF(SD!$C$44="No T-Head",IF(SD!$C$42=SD!$Q$3,VLOOKUP(BX68,S90Range,3,FALSE),LEFT(SD!$C$42,FIND("-",SD!$C$42)-1)+(RIGHT(SD!$C$42,LEN(SD!$C$42)-FIND("-",SD!$C$42))/12)),IF(SD!$C$44="T-Head",_xlfn._xlws.FILTER(THead,(TCName=SD!$C$8)*(TSize=BX68)),IF(SD!$C$44="Level Wise",_xlfn.LET(_xlpm.result,_xlfn.XLOOKUP(B68,VDLevel,VDLevelStatus,"No"),IF(_xlpm.result="Yes",_xlfn._xlws.FILTER(THead,(TCName=SD!$C$8)*(TSize=BX68)),IF(SD!$C$42=SD!$Q$3,VLOOKUP(BX68,S90Range,3,FALSE),LEFT(SD!$C$42,FIND("-",SD!$C$42)-1)+(RIGHT(SD!$C$42,LEN(SD!$C$42)-FIND("-", SD!$C$42))/12)))),IF(SD!$C$44="BarSize Wise",_xlfn.LET(_xlpm.result,_xlfn.XLOOKUP(BX68,VDBarSize,VDBarSizeStatus,"No"),IF(_xlpm.result="Yes",_xlfn._xlws.FILTER(THead,(TCName=SD!$C$8)*(TSize=BX68)),IF(SD!$C$42=SD!$Q$3,VLOOKUP(BX68,S90Range,3,FALSE),LEFT(SD!$C$42,FIND("-",SD!$C$42)-1)+(RIGHT(SD!$C$42,LEN(SD!$C$42)-FIND("-",SD!$C$42))/12)))), "")))))</f>
        <v/>
      </c>
      <c r="CB68" t="str" cm="1">
        <f t="array" ref="CB68">_xlfn.LET(_xlpm.GRR,IF(AND(SD!$C$19=SD!$H$2,Grade!$G$1="Per level"),VLOOKUP(B68,Grade!$E$1:$F$200,2,FALSE),IF(AND(SD!$C$19=SD!$H$2,Grade!$G$1="Per Bar Size"),VLOOKUP(BX68,Grade!$B$1:$C$12,2,0),SD!$C$19)),_xlpm.is_coupler, K68="Coupler",_xlpm.condition1, SD!$C$43=SD!$W$2,_xlpm.data_j2_empty, Data!$J68="",_xlpm.lookup_table, IF(SD!$C$11="Create", Lap!$A$3:$BF$14, IF(SD!$C$11="Per Uploaded File", Lap!$A$19:$BF$30, "")),_xlpm.row_match, MATCH(BX68, Lap!$A$3:$A$14, 0),_xlpm.grade_offset, IF(IFERROR(FIND("Grade 60",_xlpm.GRR), 0) &gt; 0, 0, IF(IFERROR(FIND("Grade 80",_xlpm.GRR), 0), 1, IF(IFERROR(FIND("Grade 75",_xlpm.GRR), 0), 2, ""))),_xlpm.col_match, MATCH(VALUE(D68), Lap!$A$3:$BF$3, 0) + _xlpm.grade_offset,_xlpm.index_result, IFERROR(INDEX(_xlpm.lookup_table, _xlpm.row_match, _xlpm.col_match), Data!$J68),_xlpm.result_if_condition1, IF(_xlpm.data_j2_empty, _xlpm.index_result, Data!$J68),IF(_xlpm.is_coupler, 0, IF(_xlpm.condition1, _xlpm.result_if_condition1, SD!$C$43)))</f>
        <v>5-1</v>
      </c>
      <c r="CC68" s="24">
        <f t="shared" si="38"/>
        <v>5.083333333333333</v>
      </c>
      <c r="CD68">
        <f t="shared" si="39"/>
        <v>5.75</v>
      </c>
      <c r="CE68" t="str" cm="1">
        <f t="array" ref="CE68">IF(BY68="","",_xlfn._xlws.FILTER(SAC,(CName=SD!$C$8)*(EName="Vert Dowels")))</f>
        <v/>
      </c>
      <c r="CF68" t="str" cm="1">
        <f t="array" ref="CF68">IFERROR(IF(BY68="","",IF(K68="Coupler",_xlfn._xlws.FILTER(CCoupler,(CCName=SD!$C$8)*(CBSize=IF(A67=A68,W67&amp;W68,BX68&amp;W68))*(CCMFM="Male")),"")),"N/A")</f>
        <v/>
      </c>
      <c r="CG68" t="str">
        <f t="shared" si="40"/>
        <v/>
      </c>
      <c r="CH68" t="str">
        <f t="shared" si="41"/>
        <v/>
      </c>
      <c r="CI68" t="str">
        <f>_xlfn.LET(_xlpm.u3_value, U69,_xlpm.hyphen_pos,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K69="Coupler",_xlpm.coupler_value, IF(_xlpm.is_coupler, 0, _xlpm.calculated_value),_xlpm.final_value, _xlpm.calculated_value + SD!$E$13 + _xlpm.coupler_value,IF(CG68="", "", _xlpm.final_value))</f>
        <v/>
      </c>
      <c r="CJ68" t="str" cm="1">
        <f t="array" ref="CJ68">IF(CG68="","",_xlfn._xlws.FILTER(SAC,(CName=SD!$C$8)*(EName="Loose Dowels")))</f>
        <v/>
      </c>
      <c r="CK68" t="str" cm="1">
        <f t="array" ref="CK68">IFERROR(IF(CG68="","",IF(K69="Coupler",_xlfn._xlws.FILTER(CCoupler,(CCName=SD!$C$8)*(CBSize=IF(A68=A69,W68&amp;W69,""))*(CCMFM="Male")),"")),"N/A")</f>
        <v/>
      </c>
      <c r="CL68" t="str">
        <f>IFERROR(IF(AM68="Spiral","",IF(A67=A68,"",IF(SD!$C$37=0,"",SD!$C$37))),"")</f>
        <v/>
      </c>
      <c r="CN68">
        <f>IF(AM68="Spiral","",IFERROR(IF(SD!$C$36=0,"",SD!$C$36),""))</f>
        <v>5</v>
      </c>
      <c r="CP68" t="str">
        <f>IFERROR(IF(SD!$C$42=SD!$Q$3,'Take-off'!CA68,""),"")</f>
        <v/>
      </c>
      <c r="CR68">
        <f>IFERROR(IF(SD!$C$22=SD!$U$2,W68,SD!$C$22),"")</f>
        <v>0</v>
      </c>
      <c r="CS68" t="str" cm="1">
        <f t="array" ref="CS68">_xlfn.LET(_xlpm.GR,IF(AND(SD!$C$19=SD!$H$2,Grade!$G$1="Per level"),VLOOKUP(B68,Grade!$E$1:$F$200,2,FALSE),IF(AND(SD!$C$19=SD!$H$2,Grade!$G$1="Per Bar Size"),VLOOKUP(CR68,Grade!$B$1:$C$12,2,0),SD!$C$19)),IF(SD!$C$20=SD!$R$4,IF(A69=A68,"",INDEX(IF(_xlpm.GR=SD!$H$3,A615GR60,IF(_xlpm.GR=SD!$H$4,A615GR75,IF(_xlpm.GR=SD!$H$5,A615GR80,IF(_xlpm.GR=SD!H72,A615GR100,IF(_xlpm.GR=SD!$H$7,A706GR60,IF(_xlpm.GR=SD!$H$8,A706GR80)))))), MATCH(1, (BSize=CR68)*(BCName=SD!$C$8), 0))),""))</f>
        <v/>
      </c>
      <c r="CT68" t="str">
        <f>IF(A69=A68,"",IF(SD!$C$23="Match Vertical Bars ",X68,SD!$C$23))</f>
        <v/>
      </c>
      <c r="CU68" t="str" cm="1">
        <f t="array" ref="CU68">IF(A69=A68,"",IF(SD!$C$20="Top dowels",IF(SD!$E$25="No T-Head",IF(SD!$C$24=SD!$Q$3,VLOOKUP(CR68,S90Range,3,FALSE),LEFT(SD!$C$24,FIND("-",SD!$C$24)-1)+(RIGHT(SD!$C$24,LEN(SD!$C$24)-FIND("-",SD!$C$24))/12)),IF(SD!$E$25="T-Head",_xlfn._xlws.FILTER(THead,(TCName=SD!$C$8)*(TSize=CR68)),IF(SD!$E$25="Level Wise",_xlfn.LET(_xlpm.result,_xlfn.XLOOKUP(B68,TDLevel,TDLevelStatus,"No"),IF(_xlpm.result="Yes",_xlfn._xlws.FILTER(THead,(TCName=SD!$C$8)*(TSize=CR68)),IF(SD!$C$24=SD!$Q$3,VLOOKUP(CR68,S90Range,3,FALSE),LEFT(SD!$C$24,FIND("-",SD!$C$24)-1)+(RIGHT(SD!$C$24,LEN(SD!$C$24)-FIND("-", SD!$C$24))/12)))),IF(SD!$E$25="BarSize Wise",_xlfn.LET(_xlpm.result,_xlfn.XLOOKUP(CR68,TDBarSize,TDBarSizeStatus,"No"),IF(_xlpm.result="Yes",_xlfn._xlws.FILTER(THead,(TCName=SD!$C$8)*(TSize=CR68)),IF(SD!$C$24=SD!$Q$3,VLOOKUP(CR68,S90Range,3,FALSE),LEFT(SD!$C$24,FIND("-",SD!$C$24)-1)+(RIGHT(SD!$C$24,LEN(SD!$C$24)-FIND("-",SD!$C$24))/12)))), "")))),""))</f>
        <v/>
      </c>
      <c r="CV68" t="str">
        <f>_xlfn.LET(_xlpm.GRR,IF(AND(SD!$C$19=SD!$H$2,Grade!$G$1="Per level"),VLOOKUP(B68,Grade!$E$1:$F$200,2,FALSE),IF(AND(SD!$C$19=SD!$H$2,Grade!$G$1="Per Bar Size"),VLOOKUP(CR68,Grade!$B$1:$C$12,2,0),SD!$C$19)),IF(SD!$C$25=SD!$W$2,IF(Data!$J68="",IFERROR(INDEX(IF(SD!$C$11="Create",Lap!$A$3:$BF$14,IF(SD!$C$11="Per Uploaded File",Lap!$A$19:$BF$30,"")),MATCH(CR68,Lap!$A$3:$A$14,0),MATCH(VALUE(D68),Lap!$A$3:$BF$3,0)+IF(IFERROR(FIND("Grade 60",_xlpm.GRR),0)&gt;0,0,IF(IFERROR(FIND("Grade 80",_xlpm.GRR),0),1,IF(IFERROR(FIND("Grade 75",_xlpm.GRR),0),2,"")))),""),Data!J68),SD!$C$43))</f>
        <v>Match Lap</v>
      </c>
      <c r="CW68">
        <f t="shared" si="42"/>
        <v>0</v>
      </c>
      <c r="CX68">
        <f t="shared" si="43"/>
        <v>0</v>
      </c>
      <c r="CY68" t="str">
        <f t="shared" si="44"/>
        <v/>
      </c>
      <c r="DA68" t="str">
        <f t="shared" si="45"/>
        <v/>
      </c>
      <c r="DB68" t="str">
        <f t="shared" si="46"/>
        <v/>
      </c>
      <c r="DC68" s="24" t="str">
        <f t="shared" si="47"/>
        <v/>
      </c>
      <c r="DD68">
        <f t="shared" si="48"/>
        <v>10.583333333333334</v>
      </c>
      <c r="DE68" t="s">
        <v>785</v>
      </c>
      <c r="DF68" t="s">
        <v>67</v>
      </c>
      <c r="DG68" t="str">
        <f>VLOOKUP(W68,'Level Wise PSI'!$F$2:$G$12,2,FALSE)</f>
        <v>Double Lift</v>
      </c>
      <c r="DI68" t="str" cm="1">
        <f t="array" ref="DI68">_xlfn.LET(_xlpm.Coup,IFERROR(IF(BY68="","",IF(K68="Coupler",_xlfn._xlws.FILTER(CCFCoupler,(CCName=SD!$C$8)*(CBSize=IF(A67=A68,W67&amp;W68,BX68&amp;W68))),"")),"N/A"),IF(_xlpm.Coup=0,"",_xlpm.Coup))</f>
        <v/>
      </c>
      <c r="DJ68" t="str" cm="1">
        <f t="array" ref="DJ68">_xlfn.LET(_xlpm.Coup3,IFERROR(IF(CG68="","",IF(K69="Coupler",_xlfn._xlws.FILTER(CCFCoupler,(CCName=SD!$C$8)*(CBSize=IF(A68=A69,W68&amp;W69,""))),"")),"N/A"),IF(_xlpm.Coup3=0,"",_xlpm.Coup3))</f>
        <v/>
      </c>
      <c r="DK68" t="str" cm="1">
        <f t="array" ref="DK68">_xlfn.LET(_xlpm.Coup2,IFERROR(IF(A68&lt;&gt;A69,"",IF(DF68="No Lap","",IF(K69="Coupler",_xlfn._xlws.FILTER(CCFCoupler,(CCName=SD!$C$8)*(CBSize=IF(A67=A68,W68&amp;W69,W68&amp;W68))),""))),"N/A"),IF(_xlpm.Coup2=0,"",_xlpm.Coup2))</f>
        <v/>
      </c>
      <c r="DM68" t="str">
        <f>IF(AM68="Spiral","",IF(SD!$C$31=SD!$Y$3,SD!$E$32*2,""))</f>
        <v/>
      </c>
      <c r="DO68" s="24">
        <f t="shared" si="49"/>
        <v>3</v>
      </c>
      <c r="DQ68" t="str">
        <f t="shared" si="50"/>
        <v>Lig</v>
      </c>
      <c r="DR68" t="str">
        <f>IF(AM68="Spiral",((Y68-(SD!$E$12*2))/12),"")</f>
        <v/>
      </c>
      <c r="DS68" t="str">
        <f t="shared" si="51"/>
        <v/>
      </c>
      <c r="DT68" t="str">
        <f t="shared" si="52"/>
        <v/>
      </c>
      <c r="DU68" t="str">
        <f t="shared" si="53"/>
        <v/>
      </c>
    </row>
    <row r="69" spans="1:125" x14ac:dyDescent="0.25">
      <c r="A69">
        <v>30</v>
      </c>
      <c r="B69" t="s">
        <v>688</v>
      </c>
      <c r="C69" s="15">
        <v>2429</v>
      </c>
      <c r="D69" s="15">
        <v>10000</v>
      </c>
      <c r="E69" t="str">
        <f>IF(B69=Level!$A$2,SD!$C$14,SD!$C$13)</f>
        <v>0-8</v>
      </c>
      <c r="F69" s="15" t="s">
        <v>787</v>
      </c>
      <c r="G69" t="s">
        <v>748</v>
      </c>
      <c r="H69" t="str">
        <f>RIGHT(VLOOKUP(B69,Level!A:C,3,FALSE),LEN(VLOOKUP(B69,Level!A:C,3,FALSE))-1)</f>
        <v>10-7</v>
      </c>
      <c r="I69" t="s">
        <v>727</v>
      </c>
      <c r="J69" t="str">
        <f>IF(AND(SD!$C$19=SD!$H$2,Grade!$G$1="Per level"),VLOOKUP(B69,Grade!$E$1:$F$200,2,FALSE),IF(AND(SD!$C$19=SD!$H$2,Grade!$G$1="Per Bar Size"),VLOOKUP(W69,Grade!$B$1:$C$12,2,0),SD!$C$19))</f>
        <v>A615 Grade 60</v>
      </c>
      <c r="K69" t="s">
        <v>67</v>
      </c>
      <c r="L69" t="str">
        <f>IFERROR(IF(A69&lt;&gt;A70,"",IF(DF69="No Lap","",IF(K70="Lap",U69,IF(K70="Coupler",_xlfn._xlws.FILTER(CCoupler,(CCName=SD!$C$8)*(CBSize=IF(A68=A69,W69&amp;W70,W69&amp;W69))*(CCMFM="Male")),"")))),"N/A")</f>
        <v/>
      </c>
      <c r="M69" t="str">
        <f t="shared" si="27"/>
        <v/>
      </c>
      <c r="N69" t="s">
        <v>719</v>
      </c>
      <c r="O69" t="s">
        <v>720</v>
      </c>
      <c r="P69" t="s">
        <v>719</v>
      </c>
      <c r="Q69" t="str">
        <f>IF(AND(SD!$C$29=SD!$P$2,Grade!$O$1="Per level"),VLOOKUP(B69,Grade!$M$1:$N$200,2,FALSE),IF(AND(SD!$C$29=SD!$P$2,Grade!$O$1="Per Bar Size"),VLOOKUP(LEFT(N69,FIND("@",N69)-2),Grade!$J$1:$K$12,2,0),SD!$C$29))</f>
        <v>A615 Grade 60</v>
      </c>
      <c r="R69" t="s">
        <v>728</v>
      </c>
      <c r="S69" s="57">
        <v>69</v>
      </c>
      <c r="U69" t="str">
        <f>IF(Data!$J69="",IFERROR(INDEX(IF(SD!$C$11="Create",Lap!$A$3:$BF$14,IF(SD!$C$11="Per Uploaded File",Lap!$A$19:$BF$30,"")),MATCH(W69,Lap!$A$3:$A$14,0),MATCH(VALUE(D69),Lap!$A$3:$BF$3,0)+IF(IFERROR(FIND("Grade 60",J69),0)&gt;0,0,IF(IFERROR(FIND("Grade 80",J69),0),1,IF(IFERROR(FIND("Grade 75",J69),0),2,"")))),""),Data!J69)</f>
        <v>4-6</v>
      </c>
      <c r="W69" t="s">
        <v>164</v>
      </c>
      <c r="X69">
        <v>12</v>
      </c>
      <c r="Y69" t="str">
        <f t="shared" si="28"/>
        <v xml:space="preserve">20 </v>
      </c>
      <c r="Z69" t="str">
        <f t="shared" si="29"/>
        <v xml:space="preserve"> 36</v>
      </c>
      <c r="AA69" s="24">
        <f t="shared" si="30"/>
        <v>10.583333333333334</v>
      </c>
      <c r="BB69" t="e" cm="1">
        <f t="array" ref="BB69">_xlfn.LET(_xlpm.PartF,(_xlfn.LET(_xlpm.grade, Q69,_xlpm.gradeRange, IF(_xlpm.grade=SD!$H$3, A615GR60, IF(_xlpm.grade=SD!$H$4, A615GR75, IF(_xlpm.grade=SD!$H$5, A615GR80, IF(_xlpm.grade=SD!$H$6, A615GR100, IF(_xlpm.grade=SD!$H$7, A706GR60, IF(_xlpm.grade=SD!$H$8, A706GR80)))))),_xlpm.matchValue, MATCH(1, (SD!$AW:$AW=AS69)*(SD!$AX:$AX=SD!$C$8), 0),INDEX(_xlpm.gradeRange, _xlpm.matchValue))),IF(AM69="Spiral",CONCATENATE("SP",_xlpm.PartF),_xlpm.PartF))</f>
        <v>#N/A</v>
      </c>
      <c r="BC69" cm="1">
        <f t="array" ref="BC69">_xlfn.LET(_xlpm.leftPart, LEFT(O69, FIND("@", O69) - 2),_xlpm.grade,Q69,_xlpm.gradeRange,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69" cm="1">
        <f t="array" ref="BD69">_xlfn.LET(_xlpm.leftPart, LEFT(P69, FIND("@", P69) - 2),_xlpm.grade, Q69,_xlpm.gradeRange,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69">
        <f t="shared" si="31"/>
        <v>3</v>
      </c>
      <c r="BF69">
        <f>IF(SD!$C$32=SD!$I$2,BE69,IF(SD!$C$32=SD!$I$3,DO69,IF(SD!$C$32=SD!$I$5,BA69,IF(SD!$C$32=SD!$I$6,(LEFT(SD!$C$35,FIND("-",SD!$C$35)-1)+RIGHT(SD!$C$35,LEN(SD!$C$35)-FIND("-",SD!$C$35))/12),IF(SD!$C$32=SD!$I$4,(AU69-(BG69+BH69)))))))</f>
        <v>0</v>
      </c>
      <c r="BG69">
        <f>IF(SD!$C$33=SD!$I$2,BE69,IF(SD!$C$33=SD!$I$3,DO69,IF(SD!$C$33=SD!$I$5,BA69,IF(SD!$C$33=SD!$I$6,(LEFT(SD!$C$35,FIND("-",SD!$C$35)-1)+RIGHT(SD!$C$35,LEN(SD!$C$35)-FIND("-",SD!$C$35))/12),IF(SD!$C$33=SD!$I$4,(AU69-(BF69+BH69)))))))</f>
        <v>-1</v>
      </c>
      <c r="BH69">
        <f>IF(SD!$C$34=SD!$I$2,BE69,IF(SD!$C$34=SD!$I$3,DO69,IF(SD!$C$34=SD!$I$5,BA69,IF(SD!$C$34=SD!$I$6,(LEFT(SD!$C$35,FIND("-",SD!$C$35)-1)+RIGHT(SD!$C$35,LEN(SD!$C$35)-FIND("-",SD!$C$35))/12),IF(SD!$C$34=SD!$I$4,(AU69-(BF69+BG69)))))))</f>
        <v>1</v>
      </c>
      <c r="BJ69">
        <f>IF(AM69="Spiral","1",MAX(ROUNDUP(IF(SD!$C$32="",AT69,BF69/(LEFT(RIGHT(N69,LEN(N69)-FIND("@",N69)),LEN(RIGHT(N69,LEN(N69)-FIND("@",N69)))-1)/12)+1),0),0))</f>
        <v>1</v>
      </c>
      <c r="BK69">
        <f>MAX(ROUNDUP(IF(SD!$C$33="","",BG69/(LEFT(RIGHT(O69,LEN(O69)-FIND("@",O69)),LEN(RIGHT(O69,LEN(O69)-FIND("@",O69)))-1)/12)+1),0),0)</f>
        <v>0</v>
      </c>
      <c r="BL69">
        <f>MAX(ROUNDUP(IF(SD!$C$34="","",BH69/(LEFT(RIGHT(P69,LEN(P69)-FIND("@",P69)),LEN(RIGHT(P69,LEN(P69)-FIND("@",P69)))-1)/12)+1),0),0)</f>
        <v>3</v>
      </c>
      <c r="BN69" t="e">
        <f t="shared" si="32"/>
        <v>#N/A</v>
      </c>
      <c r="BO69" t="e">
        <f t="shared" si="33"/>
        <v>#N/A</v>
      </c>
      <c r="BP69" t="e">
        <f t="shared" si="34"/>
        <v>#N/A</v>
      </c>
      <c r="BQ69" s="24" t="e">
        <f>IF(AM69=TRUE,(((Y69-(SD!$E$12*2))*3.14159265359)+BN69+BO69+BP69)/12+AL69,SUM(AF69:AG69,BN69,BO69,BP69,AO69,AQ69)/12)</f>
        <v>#N/A</v>
      </c>
      <c r="BR69" t="e">
        <f t="shared" si="35"/>
        <v>#N/A</v>
      </c>
      <c r="BS69" t="e">
        <f t="shared" si="36"/>
        <v>#N/A</v>
      </c>
      <c r="BT69" t="e">
        <f t="shared" si="37"/>
        <v>#N/A</v>
      </c>
      <c r="BU69" s="24" t="e">
        <f>IF(AM69=TRUE,(((Y69-(SD!$E$12*2))*3.14159265359)+BR69+BS69+BT69)/12+AL69,SUM(AF69:AG69,BR69,BS69,BT69,AO69,AQ69)/12)</f>
        <v>#N/A</v>
      </c>
      <c r="BW69" t="str">
        <f>IFERROR(LEFT(Data!L69,FIND(" -",Data!L69)-1),"")</f>
        <v/>
      </c>
      <c r="BX69" t="str">
        <f>IFERROR(IF(SD!$C$40=SD!$U$2,W69,IF(SD!$C$40=SD!$U$3,RIGHT(Data!L69,LEN(Data!L69)-(FIND("-",Data!L69)+1)),SD!$C$40)),"")</f>
        <v>#9</v>
      </c>
      <c r="BY69" t="str" cm="1">
        <f t="array" ref="BY69">IFERROR(_xlfn.LET(_xlpm.GRR,IF(AND(SD!$C$19=SD!$H$2,Grade!$G$1="Per level"),VLOOKUP(B69,Grade!$E$1:$F$200,2,FALSE),IF(AND(SD!$C$19=SD!$H$2,Grade!$G$1="Per Bar Size"),VLOOKUP(BX69,Grade!$B$1:$C$12,2,0),SD!$C$19)),_xlpm.is_equal, A68=A69,_xlpm.grade_range, IF(_xlpm.GRR=SD!$H$3, A615GR60,IF(_xlpm.GRR=SD!$H$4, A615GR75,IF(_xlpm.GRR=SD!$H$5, A615GR80,IF(_xlpm.GRR=SD!H73, A615GR100,IF(_xlpm.GRR=SD!$H$7, A706GR60,IF(_xlpm.GRR=SD!$H$8, A706GR80)))))),_xlpm.match_result, MATCH(1, (BSize=BX69)*(BCName=SD!$C$8), 0),_xlpm.final_result, INDEX(_xlpm.grade_range, _xlpm.match_result),IF(_xlpm.is_equal, "", _xlpm.final_result)),"")</f>
        <v/>
      </c>
      <c r="BZ69" t="str">
        <f>IF(A68=A69,"",IF(SD!$C$41="Match Vertical Bars ",X69,IF(SD!$C$41=SD!$V$3,BW69,SD!$C$41)))</f>
        <v/>
      </c>
      <c r="CA69" t="str" cm="1">
        <f t="array" ref="CA69">IF(A68=A69,"",IF(SD!$C$44="No T-Head",IF(SD!$C$42=SD!$Q$3,VLOOKUP(BX69,S90Range,3,FALSE),LEFT(SD!$C$42,FIND("-",SD!$C$42)-1)+(RIGHT(SD!$C$42,LEN(SD!$C$42)-FIND("-",SD!$C$42))/12)),IF(SD!$C$44="T-Head",_xlfn._xlws.FILTER(THead,(TCName=SD!$C$8)*(TSize=BX69)),IF(SD!$C$44="Level Wise",_xlfn.LET(_xlpm.result,_xlfn.XLOOKUP(B69,VDLevel,VDLevelStatus,"No"),IF(_xlpm.result="Yes",_xlfn._xlws.FILTER(THead,(TCName=SD!$C$8)*(TSize=BX69)),IF(SD!$C$42=SD!$Q$3,VLOOKUP(BX69,S90Range,3,FALSE),LEFT(SD!$C$42,FIND("-",SD!$C$42)-1)+(RIGHT(SD!$C$42,LEN(SD!$C$42)-FIND("-", SD!$C$42))/12)))),IF(SD!$C$44="BarSize Wise",_xlfn.LET(_xlpm.result,_xlfn.XLOOKUP(BX69,VDBarSize,VDBarSizeStatus,"No"),IF(_xlpm.result="Yes",_xlfn._xlws.FILTER(THead,(TCName=SD!$C$8)*(TSize=BX69)),IF(SD!$C$42=SD!$Q$3,VLOOKUP(BX69,S90Range,3,FALSE),LEFT(SD!$C$42,FIND("-",SD!$C$42)-1)+(RIGHT(SD!$C$42,LEN(SD!$C$42)-FIND("-",SD!$C$42))/12)))), "")))))</f>
        <v/>
      </c>
      <c r="CB69" t="str" cm="1">
        <f t="array" ref="CB69">_xlfn.LET(_xlpm.GRR,IF(AND(SD!$C$19=SD!$H$2,Grade!$G$1="Per level"),VLOOKUP(B69,Grade!$E$1:$F$200,2,FALSE),IF(AND(SD!$C$19=SD!$H$2,Grade!$G$1="Per Bar Size"),VLOOKUP(BX69,Grade!$B$1:$C$12,2,0),SD!$C$19)),_xlpm.is_coupler, K69="Coupler",_xlpm.condition1, SD!$C$43=SD!$W$2,_xlpm.data_j2_empty, Data!$J69="",_xlpm.lookup_table, IF(SD!$C$11="Create", Lap!$A$3:$BF$14, IF(SD!$C$11="Per Uploaded File", Lap!$A$19:$BF$30, "")),_xlpm.row_match, MATCH(BX69, Lap!$A$3:$A$14, 0),_xlpm.grade_offset, IF(IFERROR(FIND("Grade 60",_xlpm.GRR), 0) &gt; 0, 0, IF(IFERROR(FIND("Grade 80",_xlpm.GRR), 0), 1, IF(IFERROR(FIND("Grade 75",_xlpm.GRR), 0), 2, ""))),_xlpm.col_match, MATCH(VALUE(D69), Lap!$A$3:$BF$3, 0) + _xlpm.grade_offset,_xlpm.index_result, IFERROR(INDEX(_xlpm.lookup_table, _xlpm.row_match, _xlpm.col_match), Data!$J69),_xlpm.result_if_condition1, IF(_xlpm.data_j2_empty, _xlpm.index_result, Data!$J69),IF(_xlpm.is_coupler, 0, IF(_xlpm.condition1, _xlpm.result_if_condition1, SD!$C$43)))</f>
        <v>4-6</v>
      </c>
      <c r="CC69" s="24">
        <f t="shared" si="38"/>
        <v>4.5</v>
      </c>
      <c r="CD69">
        <f t="shared" si="39"/>
        <v>5.166666666666667</v>
      </c>
      <c r="CE69" t="str" cm="1">
        <f t="array" ref="CE69">IF(BY69="","",_xlfn._xlws.FILTER(SAC,(CName=SD!$C$8)*(EName="Vert Dowels")))</f>
        <v/>
      </c>
      <c r="CF69" t="str" cm="1">
        <f t="array" ref="CF69">IFERROR(IF(BY69="","",IF(K69="Coupler",_xlfn._xlws.FILTER(CCoupler,(CCName=SD!$C$8)*(CBSize=IF(A68=A69,W68&amp;W69,BX69&amp;W69))*(CCMFM="Male")),"")),"N/A")</f>
        <v/>
      </c>
      <c r="CG69" t="str">
        <f t="shared" si="40"/>
        <v/>
      </c>
      <c r="CH69" t="str">
        <f t="shared" si="41"/>
        <v/>
      </c>
      <c r="CI69" t="str">
        <f>_xlfn.LET(_xlpm.u3_value, U70,_xlpm.hyphen_pos,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K70="Coupler",_xlpm.coupler_value, IF(_xlpm.is_coupler, 0, _xlpm.calculated_value),_xlpm.final_value, _xlpm.calculated_value + SD!$E$13 + _xlpm.coupler_value,IF(CG69="", "", _xlpm.final_value))</f>
        <v/>
      </c>
      <c r="CJ69" t="str" cm="1">
        <f t="array" ref="CJ69">IF(CG69="","",_xlfn._xlws.FILTER(SAC,(CName=SD!$C$8)*(EName="Loose Dowels")))</f>
        <v/>
      </c>
      <c r="CK69" t="str" cm="1">
        <f t="array" ref="CK69">IFERROR(IF(CG69="","",IF(K70="Coupler",_xlfn._xlws.FILTER(CCoupler,(CCName=SD!$C$8)*(CBSize=IF(A69=A70,W69&amp;W70,""))*(CCMFM="Male")),"")),"N/A")</f>
        <v/>
      </c>
      <c r="CL69" t="str">
        <f>IFERROR(IF(AM69="Spiral","",IF(A68=A69,"",IF(SD!$C$37=0,"",SD!$C$37))),"")</f>
        <v/>
      </c>
      <c r="CN69">
        <f>IF(AM69="Spiral","",IFERROR(IF(SD!$C$36=0,"",SD!$C$36),""))</f>
        <v>5</v>
      </c>
      <c r="CP69" t="str">
        <f>IFERROR(IF(SD!$C$42=SD!$Q$3,'Take-off'!CA69,""),"")</f>
        <v/>
      </c>
      <c r="CR69">
        <f>IFERROR(IF(SD!$C$22=SD!$U$2,W69,SD!$C$22),"")</f>
        <v>0</v>
      </c>
      <c r="CS69" t="str" cm="1">
        <f t="array" ref="CS69">_xlfn.LET(_xlpm.GR,IF(AND(SD!$C$19=SD!$H$2,Grade!$G$1="Per level"),VLOOKUP(B69,Grade!$E$1:$F$200,2,FALSE),IF(AND(SD!$C$19=SD!$H$2,Grade!$G$1="Per Bar Size"),VLOOKUP(CR69,Grade!$B$1:$C$12,2,0),SD!$C$19)),IF(SD!$C$20=SD!$R$4,IF(A70=A69,"",INDEX(IF(_xlpm.GR=SD!$H$3,A615GR60,IF(_xlpm.GR=SD!$H$4,A615GR75,IF(_xlpm.GR=SD!$H$5,A615GR80,IF(_xlpm.GR=SD!H73,A615GR100,IF(_xlpm.GR=SD!$H$7,A706GR60,IF(_xlpm.GR=SD!$H$8,A706GR80)))))), MATCH(1, (BSize=CR69)*(BCName=SD!$C$8), 0))),""))</f>
        <v/>
      </c>
      <c r="CT69">
        <f>IF(A70=A69,"",IF(SD!$C$23="Match Vertical Bars ",X69,SD!$C$23))</f>
        <v>0</v>
      </c>
      <c r="CU69" t="str" cm="1">
        <f t="array" ref="CU69">IF(A70=A69,"",IF(SD!$C$20="Top dowels",IF(SD!$E$25="No T-Head",IF(SD!$C$24=SD!$Q$3,VLOOKUP(CR69,S90Range,3,FALSE),LEFT(SD!$C$24,FIND("-",SD!$C$24)-1)+(RIGHT(SD!$C$24,LEN(SD!$C$24)-FIND("-",SD!$C$24))/12)),IF(SD!$E$25="T-Head",_xlfn._xlws.FILTER(THead,(TCName=SD!$C$8)*(TSize=CR69)),IF(SD!$E$25="Level Wise",_xlfn.LET(_xlpm.result,_xlfn.XLOOKUP(B69,TDLevel,TDLevelStatus,"No"),IF(_xlpm.result="Yes",_xlfn._xlws.FILTER(THead,(TCName=SD!$C$8)*(TSize=CR69)),IF(SD!$C$24=SD!$Q$3,VLOOKUP(CR69,S90Range,3,FALSE),LEFT(SD!$C$24,FIND("-",SD!$C$24)-1)+(RIGHT(SD!$C$24,LEN(SD!$C$24)-FIND("-", SD!$C$24))/12)))),IF(SD!$E$25="BarSize Wise",_xlfn.LET(_xlpm.result,_xlfn.XLOOKUP(CR69,TDBarSize,TDBarSizeStatus,"No"),IF(_xlpm.result="Yes",_xlfn._xlws.FILTER(THead,(TCName=SD!$C$8)*(TSize=CR69)),IF(SD!$C$24=SD!$Q$3,VLOOKUP(CR69,S90Range,3,FALSE),LEFT(SD!$C$24,FIND("-",SD!$C$24)-1)+(RIGHT(SD!$C$24,LEN(SD!$C$24)-FIND("-",SD!$C$24))/12)))), "")))),""))</f>
        <v/>
      </c>
      <c r="CV69" t="str">
        <f>_xlfn.LET(_xlpm.GRR,IF(AND(SD!$C$19=SD!$H$2,Grade!$G$1="Per level"),VLOOKUP(B69,Grade!$E$1:$F$200,2,FALSE),IF(AND(SD!$C$19=SD!$H$2,Grade!$G$1="Per Bar Size"),VLOOKUP(CR69,Grade!$B$1:$C$12,2,0),SD!$C$19)),IF(SD!$C$25=SD!$W$2,IF(Data!$J69="",IFERROR(INDEX(IF(SD!$C$11="Create",Lap!$A$3:$BF$14,IF(SD!$C$11="Per Uploaded File",Lap!$A$19:$BF$30,"")),MATCH(CR69,Lap!$A$3:$A$14,0),MATCH(VALUE(D69),Lap!$A$3:$BF$3,0)+IF(IFERROR(FIND("Grade 60",_xlpm.GRR),0)&gt;0,0,IF(IFERROR(FIND("Grade 80",_xlpm.GRR),0),1,IF(IFERROR(FIND("Grade 75",_xlpm.GRR),0),2,"")))),""),Data!J69),SD!$C$43))</f>
        <v>Match Lap</v>
      </c>
      <c r="CW69">
        <f t="shared" si="42"/>
        <v>0</v>
      </c>
      <c r="CX69">
        <f t="shared" si="43"/>
        <v>0</v>
      </c>
      <c r="CY69" t="str">
        <f t="shared" si="44"/>
        <v/>
      </c>
      <c r="DA69" t="str">
        <f t="shared" si="45"/>
        <v/>
      </c>
      <c r="DB69" t="str">
        <f t="shared" si="46"/>
        <v/>
      </c>
      <c r="DC69" s="24" t="str">
        <f t="shared" si="47"/>
        <v/>
      </c>
      <c r="DD69">
        <f t="shared" si="48"/>
        <v>10.583333333333334</v>
      </c>
      <c r="DE69" t="s">
        <v>785</v>
      </c>
      <c r="DF69" t="s">
        <v>67</v>
      </c>
      <c r="DG69" t="str">
        <f>VLOOKUP(W69,'Level Wise PSI'!$F$2:$G$12,2,FALSE)</f>
        <v>Double Lift</v>
      </c>
      <c r="DI69" t="str" cm="1">
        <f t="array" ref="DI69">_xlfn.LET(_xlpm.Coup,IFERROR(IF(BY69="","",IF(K69="Coupler",_xlfn._xlws.FILTER(CCFCoupler,(CCName=SD!$C$8)*(CBSize=IF(A68=A69,W68&amp;W69,BX69&amp;W69))),"")),"N/A"),IF(_xlpm.Coup=0,"",_xlpm.Coup))</f>
        <v/>
      </c>
      <c r="DJ69" t="str" cm="1">
        <f t="array" ref="DJ69">_xlfn.LET(_xlpm.Coup3,IFERROR(IF(CG69="","",IF(K70="Coupler",_xlfn._xlws.FILTER(CCFCoupler,(CCName=SD!$C$8)*(CBSize=IF(A69=A70,W69&amp;W70,""))),"")),"N/A"),IF(_xlpm.Coup3=0,"",_xlpm.Coup3))</f>
        <v/>
      </c>
      <c r="DK69" t="str" cm="1">
        <f t="array" ref="DK69">_xlfn.LET(_xlpm.Coup2,IFERROR(IF(A69&lt;&gt;A70,"",IF(DF69="No Lap","",IF(K70="Coupler",_xlfn._xlws.FILTER(CCFCoupler,(CCName=SD!$C$8)*(CBSize=IF(A68=A69,W69&amp;W70,W69&amp;W69))),""))),"N/A"),IF(_xlpm.Coup2=0,"",_xlpm.Coup2))</f>
        <v/>
      </c>
      <c r="DM69" t="str">
        <f>IF(AM69="Spiral","",IF(SD!$C$31=SD!$Y$3,SD!$E$32*2,""))</f>
        <v/>
      </c>
      <c r="DO69" s="24">
        <f t="shared" si="49"/>
        <v>3</v>
      </c>
      <c r="DQ69" t="str">
        <f t="shared" si="50"/>
        <v>Lig</v>
      </c>
      <c r="DR69" t="str">
        <f>IF(AM69="Spiral",((Y69-(SD!$E$12*2))/12),"")</f>
        <v/>
      </c>
      <c r="DS69" t="str">
        <f t="shared" si="51"/>
        <v/>
      </c>
      <c r="DT69" t="str">
        <f t="shared" si="52"/>
        <v/>
      </c>
      <c r="DU69" t="str">
        <f t="shared" si="53"/>
        <v/>
      </c>
    </row>
    <row r="70" spans="1:125" x14ac:dyDescent="0.25">
      <c r="A70">
        <v>31</v>
      </c>
      <c r="B70" t="s">
        <v>664</v>
      </c>
      <c r="C70" s="15">
        <v>2429</v>
      </c>
      <c r="D70" s="15">
        <v>10000</v>
      </c>
      <c r="E70" s="15" t="s">
        <v>708</v>
      </c>
      <c r="F70" s="15" t="s">
        <v>787</v>
      </c>
      <c r="G70" t="s">
        <v>749</v>
      </c>
      <c r="H70" s="15" t="s">
        <v>789</v>
      </c>
      <c r="I70" t="s">
        <v>743</v>
      </c>
      <c r="J70" t="str">
        <f>IF(AND(SD!$C$19=SD!$H$2,Grade!$G$1="Per level"),VLOOKUP(B70,Grade!$E$1:$F$200,2,FALSE),IF(AND(SD!$C$19=SD!$H$2,Grade!$G$1="Per Bar Size"),VLOOKUP(W70,Grade!$B$1:$C$12,2,0),SD!$C$19))</f>
        <v>A615 Grade 60</v>
      </c>
      <c r="K70" t="s">
        <v>67</v>
      </c>
      <c r="L70" t="str">
        <f>IFERROR(IF(A70&lt;&gt;A71,"",IF(DF70="No Lap","",IF(K71="Lap",U70,IF(K71="Coupler",_xlfn._xlws.FILTER(CCoupler,(CCName=SD!$C$8)*(CBSize=IF(A69=A70,W70&amp;W71,W70&amp;W70))*(CCMFM="Male")),"")))),"N/A")</f>
        <v>5-1</v>
      </c>
      <c r="M70" t="str">
        <f t="shared" si="27"/>
        <v>6 - #10</v>
      </c>
      <c r="N70" t="s">
        <v>719</v>
      </c>
      <c r="O70" t="s">
        <v>720</v>
      </c>
      <c r="P70" t="s">
        <v>719</v>
      </c>
      <c r="Q70" t="str">
        <f>IF(AND(SD!$C$29=SD!$P$2,Grade!$O$1="Per level"),VLOOKUP(B70,Grade!$M$1:$N$200,2,FALSE),IF(AND(SD!$C$29=SD!$P$2,Grade!$O$1="Per Bar Size"),VLOOKUP(LEFT(N70,FIND("@",N70)-2),Grade!$J$1:$K$12,2,0),SD!$C$29))</f>
        <v>A615 Grade 60</v>
      </c>
      <c r="R70" t="s">
        <v>725</v>
      </c>
      <c r="S70" s="57">
        <v>70</v>
      </c>
      <c r="U70" t="str">
        <f>IF(Data!$J70="",IFERROR(INDEX(IF(SD!$C$11="Create",Lap!$A$3:$BF$14,IF(SD!$C$11="Per Uploaded File",Lap!$A$19:$BF$30,"")),MATCH(W70,Lap!$A$3:$A$14,0),MATCH(VALUE(D70),Lap!$A$3:$BF$3,0)+IF(IFERROR(FIND("Grade 60",J70),0)&gt;0,0,IF(IFERROR(FIND("Grade 80",J70),0),1,IF(IFERROR(FIND("Grade 75",J70),0),2,"")))),""),Data!J70)</f>
        <v>5-1</v>
      </c>
      <c r="W70" t="s">
        <v>176</v>
      </c>
      <c r="X70">
        <v>6</v>
      </c>
      <c r="Y70" t="str">
        <f t="shared" si="28"/>
        <v xml:space="preserve">24 </v>
      </c>
      <c r="Z70" t="str">
        <f t="shared" si="29"/>
        <v xml:space="preserve"> 30</v>
      </c>
      <c r="AA70" s="24">
        <f t="shared" si="30"/>
        <v>26.666666666666668</v>
      </c>
      <c r="BB70" t="e" cm="1">
        <f t="array" ref="BB70">_xlfn.LET(_xlpm.PartF,(_xlfn.LET(_xlpm.grade, Q70,_xlpm.gradeRange, IF(_xlpm.grade=SD!$H$3, A615GR60, IF(_xlpm.grade=SD!$H$4, A615GR75, IF(_xlpm.grade=SD!$H$5, A615GR80, IF(_xlpm.grade=SD!$H$6, A615GR100, IF(_xlpm.grade=SD!$H$7, A706GR60, IF(_xlpm.grade=SD!$H$8, A706GR80)))))),_xlpm.matchValue, MATCH(1, (SD!$AW:$AW=AS70)*(SD!$AX:$AX=SD!$C$8), 0),INDEX(_xlpm.gradeRange, _xlpm.matchValue))),IF(AM70="Spiral",CONCATENATE("SP",_xlpm.PartF),_xlpm.PartF))</f>
        <v>#N/A</v>
      </c>
      <c r="BC70" cm="1">
        <f t="array" ref="BC70">_xlfn.LET(_xlpm.leftPart, LEFT(O70, FIND("@", O70) - 2),_xlpm.grade,Q70,_xlpm.gradeRange,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0" cm="1">
        <f t="array" ref="BD70">_xlfn.LET(_xlpm.leftPart, LEFT(P70, FIND("@", P70) - 2),_xlpm.grade, Q70,_xlpm.gradeRange,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0">
        <f t="shared" si="31"/>
        <v>2.5</v>
      </c>
      <c r="BF70">
        <f>IF(SD!$C$32=SD!$I$2,BE70,IF(SD!$C$32=SD!$I$3,DO70,IF(SD!$C$32=SD!$I$5,BA70,IF(SD!$C$32=SD!$I$6,(LEFT(SD!$C$35,FIND("-",SD!$C$35)-1)+RIGHT(SD!$C$35,LEN(SD!$C$35)-FIND("-",SD!$C$35))/12),IF(SD!$C$32=SD!$I$4,(AU70-(BG70+BH70)))))))</f>
        <v>0</v>
      </c>
      <c r="BG70">
        <f>IF(SD!$C$33=SD!$I$2,BE70,IF(SD!$C$33=SD!$I$3,DO70,IF(SD!$C$33=SD!$I$5,BA70,IF(SD!$C$33=SD!$I$6,(LEFT(SD!$C$35,FIND("-",SD!$C$35)-1)+RIGHT(SD!$C$35,LEN(SD!$C$35)-FIND("-",SD!$C$35))/12),IF(SD!$C$33=SD!$I$4,(AU70-(BF70+BH70)))))))</f>
        <v>-1</v>
      </c>
      <c r="BH70">
        <f>IF(SD!$C$34=SD!$I$2,BE70,IF(SD!$C$34=SD!$I$3,DO70,IF(SD!$C$34=SD!$I$5,BA70,IF(SD!$C$34=SD!$I$6,(LEFT(SD!$C$35,FIND("-",SD!$C$35)-1)+RIGHT(SD!$C$35,LEN(SD!$C$35)-FIND("-",SD!$C$35))/12),IF(SD!$C$34=SD!$I$4,(AU70-(BF70+BG70)))))))</f>
        <v>1</v>
      </c>
      <c r="BJ70">
        <f>IF(AM70="Spiral","1",MAX(ROUNDUP(IF(SD!$C$32="",AT70,BF70/(LEFT(RIGHT(N70,LEN(N70)-FIND("@",N70)),LEN(RIGHT(N70,LEN(N70)-FIND("@",N70)))-1)/12)+1),0),0))</f>
        <v>1</v>
      </c>
      <c r="BK70">
        <f>MAX(ROUNDUP(IF(SD!$C$33="","",BG70/(LEFT(RIGHT(O70,LEN(O70)-FIND("@",O70)),LEN(RIGHT(O70,LEN(O70)-FIND("@",O70)))-1)/12)+1),0),0)</f>
        <v>0</v>
      </c>
      <c r="BL70">
        <f>MAX(ROUNDUP(IF(SD!$C$34="","",BH70/(LEFT(RIGHT(P70,LEN(P70)-FIND("@",P70)),LEN(RIGHT(P70,LEN(P70)-FIND("@",P70)))-1)/12)+1),0),0)</f>
        <v>3</v>
      </c>
      <c r="BN70" t="e">
        <f t="shared" si="32"/>
        <v>#N/A</v>
      </c>
      <c r="BO70" t="e">
        <f t="shared" si="33"/>
        <v>#N/A</v>
      </c>
      <c r="BP70" t="e">
        <f t="shared" si="34"/>
        <v>#N/A</v>
      </c>
      <c r="BQ70" s="24" t="e">
        <f>IF(AM70=TRUE,(((Y70-(SD!$E$12*2))*3.14159265359)+BN70+BO70+BP70)/12+AL70,SUM(AF70:AG70,BN70,BO70,BP70,AO70,AQ70)/12)</f>
        <v>#N/A</v>
      </c>
      <c r="BR70" t="e">
        <f t="shared" si="35"/>
        <v>#N/A</v>
      </c>
      <c r="BS70" t="e">
        <f t="shared" si="36"/>
        <v>#N/A</v>
      </c>
      <c r="BT70" t="e">
        <f t="shared" si="37"/>
        <v>#N/A</v>
      </c>
      <c r="BU70" s="24" t="e">
        <f>IF(AM70=TRUE,(((Y70-(SD!$E$12*2))*3.14159265359)+BR70+BS70+BT70)/12+AL70,SUM(AF70:AG70,BR70,BS70,BT70,AO70,AQ70)/12)</f>
        <v>#N/A</v>
      </c>
      <c r="BW70" t="str">
        <f>IFERROR(LEFT(Data!L70,FIND(" -",Data!L70)-1),"")</f>
        <v/>
      </c>
      <c r="BX70" t="str">
        <f>IFERROR(IF(SD!$C$40=SD!$U$2,W70,IF(SD!$C$40=SD!$U$3,RIGHT(Data!L70,LEN(Data!L70)-(FIND("-",Data!L70)+1)),SD!$C$40)),"")</f>
        <v>#10</v>
      </c>
      <c r="BY70" cm="1">
        <f t="array" ref="BY70">IFERROR(_xlfn.LET(_xlpm.GRR,IF(AND(SD!$C$19=SD!$H$2,Grade!$G$1="Per level"),VLOOKUP(B70,Grade!$E$1:$F$200,2,FALSE),IF(AND(SD!$C$19=SD!$H$2,Grade!$G$1="Per Bar Size"),VLOOKUP(BX70,Grade!$B$1:$C$12,2,0),SD!$C$19)),_xlpm.is_equal, A69=A70,_xlpm.grade_range, IF(_xlpm.GRR=SD!$H$3, A615GR60,IF(_xlpm.GRR=SD!$H$4, A615GR75,IF(_xlpm.GRR=SD!$H$5, A615GR80,IF(_xlpm.GRR=SD!H74, A615GR100,IF(_xlpm.GRR=SD!$H$7, A706GR60,IF(_xlpm.GRR=SD!$H$8, A706GR80)))))),_xlpm.match_result, MATCH(1, (BSize=BX70)*(BCName=SD!$C$8), 0),_xlpm.final_result, INDEX(_xlpm.grade_range, _xlpm.match_result),IF(_xlpm.is_equal, "", _xlpm.final_result)),"")</f>
        <v>10</v>
      </c>
      <c r="BZ70">
        <f>IF(A69=A70,"",IF(SD!$C$41="Match Vertical Bars ",X70,IF(SD!$C$41=SD!$V$3,BW70,SD!$C$41)))</f>
        <v>6</v>
      </c>
      <c r="CA70" cm="1">
        <f t="array" ref="CA70">IF(A69=A70,"",IF(SD!$C$44="No T-Head",IF(SD!$C$42=SD!$Q$3,VLOOKUP(BX70,S90Range,3,FALSE),LEFT(SD!$C$42,FIND("-",SD!$C$42)-1)+(RIGHT(SD!$C$42,LEN(SD!$C$42)-FIND("-",SD!$C$42))/12)),IF(SD!$C$44="T-Head",_xlfn._xlws.FILTER(THead,(TCName=SD!$C$8)*(TSize=BX70)),IF(SD!$C$44="Level Wise",_xlfn.LET(_xlpm.result,_xlfn.XLOOKUP(B70,VDLevel,VDLevelStatus,"No"),IF(_xlpm.result="Yes",_xlfn._xlws.FILTER(THead,(TCName=SD!$C$8)*(TSize=BX70)),IF(SD!$C$42=SD!$Q$3,VLOOKUP(BX70,S90Range,3,FALSE),LEFT(SD!$C$42,FIND("-",SD!$C$42)-1)+(RIGHT(SD!$C$42,LEN(SD!$C$42)-FIND("-", SD!$C$42))/12)))),IF(SD!$C$44="BarSize Wise",_xlfn.LET(_xlpm.result,_xlfn.XLOOKUP(BX70,VDBarSize,VDBarSizeStatus,"No"),IF(_xlpm.result="Yes",_xlfn._xlws.FILTER(THead,(TCName=SD!$C$8)*(TSize=BX70)),IF(SD!$C$42=SD!$Q$3,VLOOKUP(BX70,S90Range,3,FALSE),LEFT(SD!$C$42,FIND("-",SD!$C$42)-1)+(RIGHT(SD!$C$42,LEN(SD!$C$42)-FIND("-",SD!$C$42))/12)))), "")))))</f>
        <v>1.8333333333333335</v>
      </c>
      <c r="CB70" t="str" cm="1">
        <f t="array" ref="CB70">_xlfn.LET(_xlpm.GRR,IF(AND(SD!$C$19=SD!$H$2,Grade!$G$1="Per level"),VLOOKUP(B70,Grade!$E$1:$F$200,2,FALSE),IF(AND(SD!$C$19=SD!$H$2,Grade!$G$1="Per Bar Size"),VLOOKUP(BX70,Grade!$B$1:$C$12,2,0),SD!$C$19)),_xlpm.is_coupler, K70="Coupler",_xlpm.condition1, SD!$C$43=SD!$W$2,_xlpm.data_j2_empty, Data!$J70="",_xlpm.lookup_table, IF(SD!$C$11="Create", Lap!$A$3:$BF$14, IF(SD!$C$11="Per Uploaded File", Lap!$A$19:$BF$30, "")),_xlpm.row_match, MATCH(BX70, Lap!$A$3:$A$14, 0),_xlpm.grade_offset, IF(IFERROR(FIND("Grade 60",_xlpm.GRR), 0) &gt; 0, 0, IF(IFERROR(FIND("Grade 80",_xlpm.GRR), 0), 1, IF(IFERROR(FIND("Grade 75",_xlpm.GRR), 0), 2, ""))),_xlpm.col_match, MATCH(VALUE(D70), Lap!$A$3:$BF$3, 0) + _xlpm.grade_offset,_xlpm.index_result, IFERROR(INDEX(_xlpm.lookup_table, _xlpm.row_match, _xlpm.col_match), Data!$J70),_xlpm.result_if_condition1, IF(_xlpm.data_j2_empty, _xlpm.index_result, Data!$J70),IF(_xlpm.is_coupler, 0, IF(_xlpm.condition1, _xlpm.result_if_condition1, SD!$C$43)))</f>
        <v>5-1</v>
      </c>
      <c r="CC70" s="24">
        <f t="shared" si="38"/>
        <v>5.083333333333333</v>
      </c>
      <c r="CD70">
        <f t="shared" si="39"/>
        <v>11.916666666666666</v>
      </c>
      <c r="CE70" t="str" cm="1">
        <f t="array" ref="CE70">IF(BY70="","",_xlfn._xlws.FILTER(SAC,(CName=SD!$C$8)*(EName="Vert Dowels")))</f>
        <v>2200 CD</v>
      </c>
      <c r="CF70" t="str" cm="1">
        <f t="array" ref="CF70">IFERROR(IF(BY70="","",IF(K70="Coupler",_xlfn._xlws.FILTER(CCoupler,(CCName=SD!$C$8)*(CBSize=IF(A69=A70,W69&amp;W70,BX70&amp;W70))*(CCMFM="Male")),"")),"N/A")</f>
        <v/>
      </c>
      <c r="CG70" t="str">
        <f t="shared" si="40"/>
        <v>6</v>
      </c>
      <c r="CH70">
        <f t="shared" si="41"/>
        <v>0</v>
      </c>
      <c r="CI70">
        <f>_xlfn.LET(_xlpm.u3_value, U71,_xlpm.hyphen_pos,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K71="Coupler",_xlpm.coupler_value, IF(_xlpm.is_coupler, 0, _xlpm.calculated_value),_xlpm.final_value, _xlpm.calculated_value + SD!$E$13 + _xlpm.coupler_value,IF(CG70="", "", _xlpm.final_value))</f>
        <v>10.833333333333332</v>
      </c>
      <c r="CJ70" cm="1">
        <f t="array" ref="CJ70">IF(CG70="","",_xlfn._xlws.FILTER(SAC,(CName=SD!$C$8)*(EName="Loose Dowels")))</f>
        <v>2429</v>
      </c>
      <c r="CK70" t="str" cm="1">
        <f t="array" ref="CK70">IFERROR(IF(CG70="","",IF(K71="Coupler",_xlfn._xlws.FILTER(CCoupler,(CCName=SD!$C$8)*(CBSize=IF(A70=A71,W70&amp;W71,""))*(CCMFM="Male")),"")),"N/A")</f>
        <v/>
      </c>
      <c r="CL70">
        <f>IFERROR(IF(AM70="Spiral","",IF(A69=A70,"",IF(SD!$C$37=0,"",SD!$C$37))),"")</f>
        <v>3</v>
      </c>
      <c r="CN70">
        <f>IF(AM70="Spiral","",IFERROR(IF(SD!$C$36=0,"",SD!$C$36),""))</f>
        <v>5</v>
      </c>
      <c r="CP70">
        <f>IFERROR(IF(SD!$C$42=SD!$Q$3,'Take-off'!CA70,""),"")</f>
        <v>1.8333333333333335</v>
      </c>
      <c r="CR70">
        <f>IFERROR(IF(SD!$C$22=SD!$U$2,W70,SD!$C$22),"")</f>
        <v>0</v>
      </c>
      <c r="CS70" t="str" cm="1">
        <f t="array" ref="CS70">_xlfn.LET(_xlpm.GR,IF(AND(SD!$C$19=SD!$H$2,Grade!$G$1="Per level"),VLOOKUP(B70,Grade!$E$1:$F$200,2,FALSE),IF(AND(SD!$C$19=SD!$H$2,Grade!$G$1="Per Bar Size"),VLOOKUP(CR70,Grade!$B$1:$C$12,2,0),SD!$C$19)),IF(SD!$C$20=SD!$R$4,IF(A71=A70,"",INDEX(IF(_xlpm.GR=SD!$H$3,A615GR60,IF(_xlpm.GR=SD!$H$4,A615GR75,IF(_xlpm.GR=SD!$H$5,A615GR80,IF(_xlpm.GR=SD!H74,A615GR100,IF(_xlpm.GR=SD!$H$7,A706GR60,IF(_xlpm.GR=SD!$H$8,A706GR80)))))), MATCH(1, (BSize=CR70)*(BCName=SD!$C$8), 0))),""))</f>
        <v/>
      </c>
      <c r="CT70" t="str">
        <f>IF(A71=A70,"",IF(SD!$C$23="Match Vertical Bars ",X70,SD!$C$23))</f>
        <v/>
      </c>
      <c r="CU70" t="str" cm="1">
        <f t="array" ref="CU70">IF(A71=A70,"",IF(SD!$C$20="Top dowels",IF(SD!$E$25="No T-Head",IF(SD!$C$24=SD!$Q$3,VLOOKUP(CR70,S90Range,3,FALSE),LEFT(SD!$C$24,FIND("-",SD!$C$24)-1)+(RIGHT(SD!$C$24,LEN(SD!$C$24)-FIND("-",SD!$C$24))/12)),IF(SD!$E$25="T-Head",_xlfn._xlws.FILTER(THead,(TCName=SD!$C$8)*(TSize=CR70)),IF(SD!$E$25="Level Wise",_xlfn.LET(_xlpm.result,_xlfn.XLOOKUP(B70,TDLevel,TDLevelStatus,"No"),IF(_xlpm.result="Yes",_xlfn._xlws.FILTER(THead,(TCName=SD!$C$8)*(TSize=CR70)),IF(SD!$C$24=SD!$Q$3,VLOOKUP(CR70,S90Range,3,FALSE),LEFT(SD!$C$24,FIND("-",SD!$C$24)-1)+(RIGHT(SD!$C$24,LEN(SD!$C$24)-FIND("-", SD!$C$24))/12)))),IF(SD!$E$25="BarSize Wise",_xlfn.LET(_xlpm.result,_xlfn.XLOOKUP(CR70,TDBarSize,TDBarSizeStatus,"No"),IF(_xlpm.result="Yes",_xlfn._xlws.FILTER(THead,(TCName=SD!$C$8)*(TSize=CR70)),IF(SD!$C$24=SD!$Q$3,VLOOKUP(CR70,S90Range,3,FALSE),LEFT(SD!$C$24,FIND("-",SD!$C$24)-1)+(RIGHT(SD!$C$24,LEN(SD!$C$24)-FIND("-",SD!$C$24))/12)))), "")))),""))</f>
        <v/>
      </c>
      <c r="CV70" t="str">
        <f>_xlfn.LET(_xlpm.GRR,IF(AND(SD!$C$19=SD!$H$2,Grade!$G$1="Per level"),VLOOKUP(B70,Grade!$E$1:$F$200,2,FALSE),IF(AND(SD!$C$19=SD!$H$2,Grade!$G$1="Per Bar Size"),VLOOKUP(CR70,Grade!$B$1:$C$12,2,0),SD!$C$19)),IF(SD!$C$25=SD!$W$2,IF(Data!$J70="",IFERROR(INDEX(IF(SD!$C$11="Create",Lap!$A$3:$BF$14,IF(SD!$C$11="Per Uploaded File",Lap!$A$19:$BF$30,"")),MATCH(CR70,Lap!$A$3:$A$14,0),MATCH(VALUE(D70),Lap!$A$3:$BF$3,0)+IF(IFERROR(FIND("Grade 60",_xlpm.GRR),0)&gt;0,0,IF(IFERROR(FIND("Grade 80",_xlpm.GRR),0),1,IF(IFERROR(FIND("Grade 75",_xlpm.GRR),0),2,"")))),""),Data!J70),SD!$C$43))</f>
        <v>Match Lap</v>
      </c>
      <c r="CW70">
        <f t="shared" si="42"/>
        <v>0</v>
      </c>
      <c r="CX70">
        <f t="shared" si="43"/>
        <v>0</v>
      </c>
      <c r="CY70" t="str">
        <f t="shared" si="44"/>
        <v/>
      </c>
      <c r="DA70">
        <f t="shared" si="45"/>
        <v>31</v>
      </c>
      <c r="DB70" t="str">
        <f t="shared" si="46"/>
        <v>127-5</v>
      </c>
      <c r="DC70" s="24">
        <f t="shared" si="47"/>
        <v>127.41666666666664</v>
      </c>
      <c r="DD70">
        <f t="shared" si="48"/>
        <v>21.583333333333332</v>
      </c>
      <c r="DE70" t="s">
        <v>785</v>
      </c>
      <c r="DF70" t="s">
        <v>67</v>
      </c>
      <c r="DG70" t="str">
        <f>VLOOKUP(W70,'Level Wise PSI'!$F$2:$G$12,2,FALSE)</f>
        <v>Double Lift</v>
      </c>
      <c r="DI70" t="str" cm="1">
        <f t="array" ref="DI70">_xlfn.LET(_xlpm.Coup,IFERROR(IF(BY70="","",IF(K70="Coupler",_xlfn._xlws.FILTER(CCFCoupler,(CCName=SD!$C$8)*(CBSize=IF(A69=A70,W69&amp;W70,BX70&amp;W70))),"")),"N/A"),IF(_xlpm.Coup=0,"",_xlpm.Coup))</f>
        <v/>
      </c>
      <c r="DJ70" t="str" cm="1">
        <f t="array" ref="DJ70">_xlfn.LET(_xlpm.Coup3,IFERROR(IF(CG70="","",IF(K71="Coupler",_xlfn._xlws.FILTER(CCFCoupler,(CCName=SD!$C$8)*(CBSize=IF(A70=A71,W70&amp;W71,""))),"")),"N/A"),IF(_xlpm.Coup3=0,"",_xlpm.Coup3))</f>
        <v/>
      </c>
      <c r="DK70" t="str" cm="1">
        <f t="array" ref="DK70">_xlfn.LET(_xlpm.Coup2,IFERROR(IF(A70&lt;&gt;A71,"",IF(DF70="No Lap","",IF(K71="Coupler",_xlfn._xlws.FILTER(CCFCoupler,(CCName=SD!$C$8)*(CBSize=IF(A69=A70,W70&amp;W71,W70&amp;W70))),""))),"N/A"),IF(_xlpm.Coup2=0,"",_xlpm.Coup2))</f>
        <v/>
      </c>
      <c r="DM70" t="str">
        <f>IF(AM70="Spiral","",IF(SD!$C$31=SD!$Y$3,SD!$E$32*2,""))</f>
        <v/>
      </c>
      <c r="DO70" s="24">
        <f t="shared" si="49"/>
        <v>2.5</v>
      </c>
      <c r="DQ70" t="str">
        <f t="shared" si="50"/>
        <v>Lig</v>
      </c>
      <c r="DR70" t="str">
        <f>IF(AM70="Spiral",((Y70-(SD!$E$12*2))/12),"")</f>
        <v/>
      </c>
      <c r="DS70" t="str">
        <f t="shared" si="51"/>
        <v/>
      </c>
      <c r="DT70" t="str">
        <f t="shared" si="52"/>
        <v/>
      </c>
      <c r="DU70" t="str">
        <f t="shared" si="53"/>
        <v/>
      </c>
    </row>
    <row r="71" spans="1:125" x14ac:dyDescent="0.25">
      <c r="A71">
        <v>31</v>
      </c>
      <c r="B71" t="s">
        <v>667</v>
      </c>
      <c r="C71" s="15">
        <v>2429</v>
      </c>
      <c r="D71" s="15">
        <v>10000</v>
      </c>
      <c r="E71" t="str">
        <f>IF(B71=Level!$A$2,SD!$C$14,SD!$C$13)</f>
        <v>0-8</v>
      </c>
      <c r="F71" s="15" t="s">
        <v>787</v>
      </c>
      <c r="G71" t="s">
        <v>750</v>
      </c>
      <c r="H71" t="str">
        <f>RIGHT(VLOOKUP(B71,Level!A:C,3,FALSE),LEN(VLOOKUP(B71,Level!A:C,3,FALSE))-1)</f>
        <v>10-7</v>
      </c>
      <c r="I71" t="s">
        <v>751</v>
      </c>
      <c r="J71" t="str">
        <f>IF(AND(SD!$C$19=SD!$H$2,Grade!$G$1="Per level"),VLOOKUP(B71,Grade!$E$1:$F$200,2,FALSE),IF(AND(SD!$C$19=SD!$H$2,Grade!$G$1="Per Bar Size"),VLOOKUP(W71,Grade!$B$1:$C$12,2,0),SD!$C$19))</f>
        <v>A615 Grade 60</v>
      </c>
      <c r="K71" t="s">
        <v>67</v>
      </c>
      <c r="L71" t="str">
        <f>IFERROR(IF(A71&lt;&gt;A72,"",IF(DF71="No Lap","",IF(K72="Lap",U71,IF(K72="Coupler",_xlfn._xlws.FILTER(CCoupler,(CCName=SD!$C$8)*(CBSize=IF(A70=A71,W71&amp;W72,W71&amp;W71))*(CCMFM="Male")),"")))),"N/A")</f>
        <v>5-1</v>
      </c>
      <c r="M71" t="str">
        <f t="shared" si="27"/>
        <v/>
      </c>
      <c r="N71" t="s">
        <v>719</v>
      </c>
      <c r="O71" t="s">
        <v>720</v>
      </c>
      <c r="P71" t="s">
        <v>719</v>
      </c>
      <c r="Q71" t="str">
        <f>IF(AND(SD!$C$29=SD!$P$2,Grade!$O$1="Per level"),VLOOKUP(B71,Grade!$M$1:$N$200,2,FALSE),IF(AND(SD!$C$29=SD!$P$2,Grade!$O$1="Per Bar Size"),VLOOKUP(LEFT(N71,FIND("@",N71)-2),Grade!$J$1:$K$12,2,0),SD!$C$29))</f>
        <v>A615 Grade 60</v>
      </c>
      <c r="R71" t="s">
        <v>728</v>
      </c>
      <c r="S71" s="57">
        <v>71</v>
      </c>
      <c r="U71" t="str">
        <f>IF(Data!$J71="",IFERROR(INDEX(IF(SD!$C$11="Create",Lap!$A$3:$BF$14,IF(SD!$C$11="Per Uploaded File",Lap!$A$19:$BF$30,"")),MATCH(W71,Lap!$A$3:$A$14,0),MATCH(VALUE(D71),Lap!$A$3:$BF$3,0)+IF(IFERROR(FIND("Grade 60",J71),0)&gt;0,0,IF(IFERROR(FIND("Grade 80",J71),0),1,IF(IFERROR(FIND("Grade 75",J71),0),2,"")))),""),Data!J71)</f>
        <v>5-1</v>
      </c>
      <c r="W71" t="s">
        <v>176</v>
      </c>
      <c r="X71">
        <v>12</v>
      </c>
      <c r="Y71" t="str">
        <f t="shared" si="28"/>
        <v xml:space="preserve">18 </v>
      </c>
      <c r="Z71" t="str">
        <f t="shared" si="29"/>
        <v xml:space="preserve"> 72</v>
      </c>
      <c r="AA71" s="24">
        <f t="shared" si="30"/>
        <v>15.666666666666666</v>
      </c>
      <c r="BB71" t="e" cm="1">
        <f t="array" ref="BB71">_xlfn.LET(_xlpm.PartF,(_xlfn.LET(_xlpm.grade, Q71,_xlpm.gradeRange, IF(_xlpm.grade=SD!$H$3, A615GR60, IF(_xlpm.grade=SD!$H$4, A615GR75, IF(_xlpm.grade=SD!$H$5, A615GR80, IF(_xlpm.grade=SD!$H$6, A615GR100, IF(_xlpm.grade=SD!$H$7, A706GR60, IF(_xlpm.grade=SD!$H$8, A706GR80)))))),_xlpm.matchValue, MATCH(1, (SD!$AW:$AW=AS71)*(SD!$AX:$AX=SD!$C$8), 0),INDEX(_xlpm.gradeRange, _xlpm.matchValue))),IF(AM71="Spiral",CONCATENATE("SP",_xlpm.PartF),_xlpm.PartF))</f>
        <v>#N/A</v>
      </c>
      <c r="BC71" cm="1">
        <f t="array" ref="BC71">_xlfn.LET(_xlpm.leftPart, LEFT(O71, FIND("@", O71) - 2),_xlpm.grade,Q71,_xlpm.gradeRange,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1" cm="1">
        <f t="array" ref="BD71">_xlfn.LET(_xlpm.leftPart, LEFT(P71, FIND("@", P71) - 2),_xlpm.grade, Q71,_xlpm.gradeRange,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1">
        <f t="shared" si="31"/>
        <v>6</v>
      </c>
      <c r="BF71">
        <f>IF(SD!$C$32=SD!$I$2,BE71,IF(SD!$C$32=SD!$I$3,DO71,IF(SD!$C$32=SD!$I$5,BA71,IF(SD!$C$32=SD!$I$6,(LEFT(SD!$C$35,FIND("-",SD!$C$35)-1)+RIGHT(SD!$C$35,LEN(SD!$C$35)-FIND("-",SD!$C$35))/12),IF(SD!$C$32=SD!$I$4,(AU71-(BG71+BH71)))))))</f>
        <v>0</v>
      </c>
      <c r="BG71">
        <f>IF(SD!$C$33=SD!$I$2,BE71,IF(SD!$C$33=SD!$I$3,DO71,IF(SD!$C$33=SD!$I$5,BA71,IF(SD!$C$33=SD!$I$6,(LEFT(SD!$C$35,FIND("-",SD!$C$35)-1)+RIGHT(SD!$C$35,LEN(SD!$C$35)-FIND("-",SD!$C$35))/12),IF(SD!$C$33=SD!$I$4,(AU71-(BF71+BH71)))))))</f>
        <v>-1</v>
      </c>
      <c r="BH71">
        <f>IF(SD!$C$34=SD!$I$2,BE71,IF(SD!$C$34=SD!$I$3,DO71,IF(SD!$C$34=SD!$I$5,BA71,IF(SD!$C$34=SD!$I$6,(LEFT(SD!$C$35,FIND("-",SD!$C$35)-1)+RIGHT(SD!$C$35,LEN(SD!$C$35)-FIND("-",SD!$C$35))/12),IF(SD!$C$34=SD!$I$4,(AU71-(BF71+BG71)))))))</f>
        <v>1</v>
      </c>
      <c r="BJ71">
        <f>IF(AM71="Spiral","1",MAX(ROUNDUP(IF(SD!$C$32="",AT71,BF71/(LEFT(RIGHT(N71,LEN(N71)-FIND("@",N71)),LEN(RIGHT(N71,LEN(N71)-FIND("@",N71)))-1)/12)+1),0),0))</f>
        <v>1</v>
      </c>
      <c r="BK71">
        <f>MAX(ROUNDUP(IF(SD!$C$33="","",BG71/(LEFT(RIGHT(O71,LEN(O71)-FIND("@",O71)),LEN(RIGHT(O71,LEN(O71)-FIND("@",O71)))-1)/12)+1),0),0)</f>
        <v>0</v>
      </c>
      <c r="BL71">
        <f>MAX(ROUNDUP(IF(SD!$C$34="","",BH71/(LEFT(RIGHT(P71,LEN(P71)-FIND("@",P71)),LEN(RIGHT(P71,LEN(P71)-FIND("@",P71)))-1)/12)+1),0),0)</f>
        <v>3</v>
      </c>
      <c r="BN71" t="e">
        <f t="shared" si="32"/>
        <v>#N/A</v>
      </c>
      <c r="BO71" t="e">
        <f t="shared" si="33"/>
        <v>#N/A</v>
      </c>
      <c r="BP71" t="e">
        <f t="shared" si="34"/>
        <v>#N/A</v>
      </c>
      <c r="BQ71" s="24" t="e">
        <f>IF(AM71=TRUE,(((Y71-(SD!$E$12*2))*3.14159265359)+BN71+BO71+BP71)/12+AL71,SUM(AF71:AG71,BN71,BO71,BP71,AO71,AQ71)/12)</f>
        <v>#N/A</v>
      </c>
      <c r="BR71" t="e">
        <f t="shared" si="35"/>
        <v>#N/A</v>
      </c>
      <c r="BS71" t="e">
        <f t="shared" si="36"/>
        <v>#N/A</v>
      </c>
      <c r="BT71" t="e">
        <f t="shared" si="37"/>
        <v>#N/A</v>
      </c>
      <c r="BU71" s="24" t="e">
        <f>IF(AM71=TRUE,(((Y71-(SD!$E$12*2))*3.14159265359)+BR71+BS71+BT71)/12+AL71,SUM(AF71:AG71,BR71,BS71,BT71,AO71,AQ71)/12)</f>
        <v>#N/A</v>
      </c>
      <c r="BW71" t="str">
        <f>IFERROR(LEFT(Data!L71,FIND(" -",Data!L71)-1),"")</f>
        <v/>
      </c>
      <c r="BX71" t="str">
        <f>IFERROR(IF(SD!$C$40=SD!$U$2,W71,IF(SD!$C$40=SD!$U$3,RIGHT(Data!L71,LEN(Data!L71)-(FIND("-",Data!L71)+1)),SD!$C$40)),"")</f>
        <v>#10</v>
      </c>
      <c r="BY71" t="str" cm="1">
        <f t="array" ref="BY71">IFERROR(_xlfn.LET(_xlpm.GRR,IF(AND(SD!$C$19=SD!$H$2,Grade!$G$1="Per level"),VLOOKUP(B71,Grade!$E$1:$F$200,2,FALSE),IF(AND(SD!$C$19=SD!$H$2,Grade!$G$1="Per Bar Size"),VLOOKUP(BX71,Grade!$B$1:$C$12,2,0),SD!$C$19)),_xlpm.is_equal, A70=A71,_xlpm.grade_range, IF(_xlpm.GRR=SD!$H$3, A615GR60,IF(_xlpm.GRR=SD!$H$4, A615GR75,IF(_xlpm.GRR=SD!$H$5, A615GR80,IF(_xlpm.GRR=SD!H75, A615GR100,IF(_xlpm.GRR=SD!$H$7, A706GR60,IF(_xlpm.GRR=SD!$H$8, A706GR80)))))),_xlpm.match_result, MATCH(1, (BSize=BX71)*(BCName=SD!$C$8), 0),_xlpm.final_result, INDEX(_xlpm.grade_range, _xlpm.match_result),IF(_xlpm.is_equal, "", _xlpm.final_result)),"")</f>
        <v/>
      </c>
      <c r="BZ71" t="str">
        <f>IF(A70=A71,"",IF(SD!$C$41="Match Vertical Bars ",X71,IF(SD!$C$41=SD!$V$3,BW71,SD!$C$41)))</f>
        <v/>
      </c>
      <c r="CA71" t="str" cm="1">
        <f t="array" ref="CA71">IF(A70=A71,"",IF(SD!$C$44="No T-Head",IF(SD!$C$42=SD!$Q$3,VLOOKUP(BX71,S90Range,3,FALSE),LEFT(SD!$C$42,FIND("-",SD!$C$42)-1)+(RIGHT(SD!$C$42,LEN(SD!$C$42)-FIND("-",SD!$C$42))/12)),IF(SD!$C$44="T-Head",_xlfn._xlws.FILTER(THead,(TCName=SD!$C$8)*(TSize=BX71)),IF(SD!$C$44="Level Wise",_xlfn.LET(_xlpm.result,_xlfn.XLOOKUP(B71,VDLevel,VDLevelStatus,"No"),IF(_xlpm.result="Yes",_xlfn._xlws.FILTER(THead,(TCName=SD!$C$8)*(TSize=BX71)),IF(SD!$C$42=SD!$Q$3,VLOOKUP(BX71,S90Range,3,FALSE),LEFT(SD!$C$42,FIND("-",SD!$C$42)-1)+(RIGHT(SD!$C$42,LEN(SD!$C$42)-FIND("-", SD!$C$42))/12)))),IF(SD!$C$44="BarSize Wise",_xlfn.LET(_xlpm.result,_xlfn.XLOOKUP(BX71,VDBarSize,VDBarSizeStatus,"No"),IF(_xlpm.result="Yes",_xlfn._xlws.FILTER(THead,(TCName=SD!$C$8)*(TSize=BX71)),IF(SD!$C$42=SD!$Q$3,VLOOKUP(BX71,S90Range,3,FALSE),LEFT(SD!$C$42,FIND("-",SD!$C$42)-1)+(RIGHT(SD!$C$42,LEN(SD!$C$42)-FIND("-",SD!$C$42))/12)))), "")))))</f>
        <v/>
      </c>
      <c r="CB71" t="str" cm="1">
        <f t="array" ref="CB71">_xlfn.LET(_xlpm.GRR,IF(AND(SD!$C$19=SD!$H$2,Grade!$G$1="Per level"),VLOOKUP(B71,Grade!$E$1:$F$200,2,FALSE),IF(AND(SD!$C$19=SD!$H$2,Grade!$G$1="Per Bar Size"),VLOOKUP(BX71,Grade!$B$1:$C$12,2,0),SD!$C$19)),_xlpm.is_coupler, K71="Coupler",_xlpm.condition1, SD!$C$43=SD!$W$2,_xlpm.data_j2_empty, Data!$J71="",_xlpm.lookup_table, IF(SD!$C$11="Create", Lap!$A$3:$BF$14, IF(SD!$C$11="Per Uploaded File", Lap!$A$19:$BF$30, "")),_xlpm.row_match, MATCH(BX71, Lap!$A$3:$A$14, 0),_xlpm.grade_offset, IF(IFERROR(FIND("Grade 60",_xlpm.GRR), 0) &gt; 0, 0, IF(IFERROR(FIND("Grade 80",_xlpm.GRR), 0), 1, IF(IFERROR(FIND("Grade 75",_xlpm.GRR), 0), 2, ""))),_xlpm.col_match, MATCH(VALUE(D71), Lap!$A$3:$BF$3, 0) + _xlpm.grade_offset,_xlpm.index_result, IFERROR(INDEX(_xlpm.lookup_table, _xlpm.row_match, _xlpm.col_match), Data!$J71),_xlpm.result_if_condition1, IF(_xlpm.data_j2_empty, _xlpm.index_result, Data!$J71),IF(_xlpm.is_coupler, 0, IF(_xlpm.condition1, _xlpm.result_if_condition1, SD!$C$43)))</f>
        <v>5-1</v>
      </c>
      <c r="CC71" s="24">
        <f t="shared" si="38"/>
        <v>5.083333333333333</v>
      </c>
      <c r="CD71">
        <f t="shared" si="39"/>
        <v>5.75</v>
      </c>
      <c r="CE71" t="str" cm="1">
        <f t="array" ref="CE71">IF(BY71="","",_xlfn._xlws.FILTER(SAC,(CName=SD!$C$8)*(EName="Vert Dowels")))</f>
        <v/>
      </c>
      <c r="CF71" t="str" cm="1">
        <f t="array" ref="CF71">IFERROR(IF(BY71="","",IF(K71="Coupler",_xlfn._xlws.FILTER(CCoupler,(CCName=SD!$C$8)*(CBSize=IF(A70=A71,W70&amp;W71,BX71&amp;W71))*(CCMFM="Male")),"")),"N/A")</f>
        <v/>
      </c>
      <c r="CG71" t="str">
        <f t="shared" si="40"/>
        <v/>
      </c>
      <c r="CH71" t="str">
        <f t="shared" si="41"/>
        <v/>
      </c>
      <c r="CI71" t="str">
        <f>_xlfn.LET(_xlpm.u3_value, U72,_xlpm.hyphen_pos,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K72="Coupler",_xlpm.coupler_value, IF(_xlpm.is_coupler, 0, _xlpm.calculated_value),_xlpm.final_value, _xlpm.calculated_value + SD!$E$13 + _xlpm.coupler_value,IF(CG71="", "", _xlpm.final_value))</f>
        <v/>
      </c>
      <c r="CJ71" t="str" cm="1">
        <f t="array" ref="CJ71">IF(CG71="","",_xlfn._xlws.FILTER(SAC,(CName=SD!$C$8)*(EName="Loose Dowels")))</f>
        <v/>
      </c>
      <c r="CK71" t="str" cm="1">
        <f t="array" ref="CK71">IFERROR(IF(CG71="","",IF(K72="Coupler",_xlfn._xlws.FILTER(CCoupler,(CCName=SD!$C$8)*(CBSize=IF(A71=A72,W71&amp;W72,""))*(CCMFM="Male")),"")),"N/A")</f>
        <v/>
      </c>
      <c r="CL71" t="str">
        <f>IFERROR(IF(AM71="Spiral","",IF(A70=A71,"",IF(SD!$C$37=0,"",SD!$C$37))),"")</f>
        <v/>
      </c>
      <c r="CN71">
        <f>IF(AM71="Spiral","",IFERROR(IF(SD!$C$36=0,"",SD!$C$36),""))</f>
        <v>5</v>
      </c>
      <c r="CP71" t="str">
        <f>IFERROR(IF(SD!$C$42=SD!$Q$3,'Take-off'!CA71,""),"")</f>
        <v/>
      </c>
      <c r="CR71">
        <f>IFERROR(IF(SD!$C$22=SD!$U$2,W71,SD!$C$22),"")</f>
        <v>0</v>
      </c>
      <c r="CS71" t="str" cm="1">
        <f t="array" ref="CS71">_xlfn.LET(_xlpm.GR,IF(AND(SD!$C$19=SD!$H$2,Grade!$G$1="Per level"),VLOOKUP(B71,Grade!$E$1:$F$200,2,FALSE),IF(AND(SD!$C$19=SD!$H$2,Grade!$G$1="Per Bar Size"),VLOOKUP(CR71,Grade!$B$1:$C$12,2,0),SD!$C$19)),IF(SD!$C$20=SD!$R$4,IF(A72=A71,"",INDEX(IF(_xlpm.GR=SD!$H$3,A615GR60,IF(_xlpm.GR=SD!$H$4,A615GR75,IF(_xlpm.GR=SD!$H$5,A615GR80,IF(_xlpm.GR=SD!H75,A615GR100,IF(_xlpm.GR=SD!$H$7,A706GR60,IF(_xlpm.GR=SD!$H$8,A706GR80)))))), MATCH(1, (BSize=CR71)*(BCName=SD!$C$8), 0))),""))</f>
        <v/>
      </c>
      <c r="CT71" t="str">
        <f>IF(A72=A71,"",IF(SD!$C$23="Match Vertical Bars ",X71,SD!$C$23))</f>
        <v/>
      </c>
      <c r="CU71" t="str" cm="1">
        <f t="array" ref="CU71">IF(A72=A71,"",IF(SD!$C$20="Top dowels",IF(SD!$E$25="No T-Head",IF(SD!$C$24=SD!$Q$3,VLOOKUP(CR71,S90Range,3,FALSE),LEFT(SD!$C$24,FIND("-",SD!$C$24)-1)+(RIGHT(SD!$C$24,LEN(SD!$C$24)-FIND("-",SD!$C$24))/12)),IF(SD!$E$25="T-Head",_xlfn._xlws.FILTER(THead,(TCName=SD!$C$8)*(TSize=CR71)),IF(SD!$E$25="Level Wise",_xlfn.LET(_xlpm.result,_xlfn.XLOOKUP(B71,TDLevel,TDLevelStatus,"No"),IF(_xlpm.result="Yes",_xlfn._xlws.FILTER(THead,(TCName=SD!$C$8)*(TSize=CR71)),IF(SD!$C$24=SD!$Q$3,VLOOKUP(CR71,S90Range,3,FALSE),LEFT(SD!$C$24,FIND("-",SD!$C$24)-1)+(RIGHT(SD!$C$24,LEN(SD!$C$24)-FIND("-", SD!$C$24))/12)))),IF(SD!$E$25="BarSize Wise",_xlfn.LET(_xlpm.result,_xlfn.XLOOKUP(CR71,TDBarSize,TDBarSizeStatus,"No"),IF(_xlpm.result="Yes",_xlfn._xlws.FILTER(THead,(TCName=SD!$C$8)*(TSize=CR71)),IF(SD!$C$24=SD!$Q$3,VLOOKUP(CR71,S90Range,3,FALSE),LEFT(SD!$C$24,FIND("-",SD!$C$24)-1)+(RIGHT(SD!$C$24,LEN(SD!$C$24)-FIND("-",SD!$C$24))/12)))), "")))),""))</f>
        <v/>
      </c>
      <c r="CV71" t="str">
        <f>_xlfn.LET(_xlpm.GRR,IF(AND(SD!$C$19=SD!$H$2,Grade!$G$1="Per level"),VLOOKUP(B71,Grade!$E$1:$F$200,2,FALSE),IF(AND(SD!$C$19=SD!$H$2,Grade!$G$1="Per Bar Size"),VLOOKUP(CR71,Grade!$B$1:$C$12,2,0),SD!$C$19)),IF(SD!$C$25=SD!$W$2,IF(Data!$J71="",IFERROR(INDEX(IF(SD!$C$11="Create",Lap!$A$3:$BF$14,IF(SD!$C$11="Per Uploaded File",Lap!$A$19:$BF$30,"")),MATCH(CR71,Lap!$A$3:$A$14,0),MATCH(VALUE(D71),Lap!$A$3:$BF$3,0)+IF(IFERROR(FIND("Grade 60",_xlpm.GRR),0)&gt;0,0,IF(IFERROR(FIND("Grade 80",_xlpm.GRR),0),1,IF(IFERROR(FIND("Grade 75",_xlpm.GRR),0),2,"")))),""),Data!J71),SD!$C$43))</f>
        <v>Match Lap</v>
      </c>
      <c r="CW71">
        <f t="shared" si="42"/>
        <v>0</v>
      </c>
      <c r="CX71">
        <f t="shared" si="43"/>
        <v>0</v>
      </c>
      <c r="CY71" t="str">
        <f t="shared" si="44"/>
        <v/>
      </c>
      <c r="DA71" t="str">
        <f t="shared" si="45"/>
        <v/>
      </c>
      <c r="DB71" t="str">
        <f t="shared" si="46"/>
        <v/>
      </c>
      <c r="DC71" s="24" t="str">
        <f t="shared" si="47"/>
        <v/>
      </c>
      <c r="DD71">
        <f t="shared" si="48"/>
        <v>10.583333333333334</v>
      </c>
      <c r="DE71" t="s">
        <v>785</v>
      </c>
      <c r="DF71" t="s">
        <v>67</v>
      </c>
      <c r="DG71" t="str">
        <f>VLOOKUP(W71,'Level Wise PSI'!$F$2:$G$12,2,FALSE)</f>
        <v>Double Lift</v>
      </c>
      <c r="DI71" t="str" cm="1">
        <f t="array" ref="DI71">_xlfn.LET(_xlpm.Coup,IFERROR(IF(BY71="","",IF(K71="Coupler",_xlfn._xlws.FILTER(CCFCoupler,(CCName=SD!$C$8)*(CBSize=IF(A70=A71,W70&amp;W71,BX71&amp;W71))),"")),"N/A"),IF(_xlpm.Coup=0,"",_xlpm.Coup))</f>
        <v/>
      </c>
      <c r="DJ71" t="str" cm="1">
        <f t="array" ref="DJ71">_xlfn.LET(_xlpm.Coup3,IFERROR(IF(CG71="","",IF(K72="Coupler",_xlfn._xlws.FILTER(CCFCoupler,(CCName=SD!$C$8)*(CBSize=IF(A71=A72,W71&amp;W72,""))),"")),"N/A"),IF(_xlpm.Coup3=0,"",_xlpm.Coup3))</f>
        <v/>
      </c>
      <c r="DK71" t="str" cm="1">
        <f t="array" ref="DK71">_xlfn.LET(_xlpm.Coup2,IFERROR(IF(A71&lt;&gt;A72,"",IF(DF71="No Lap","",IF(K72="Coupler",_xlfn._xlws.FILTER(CCFCoupler,(CCName=SD!$C$8)*(CBSize=IF(A70=A71,W71&amp;W72,W71&amp;W71))),""))),"N/A"),IF(_xlpm.Coup2=0,"",_xlpm.Coup2))</f>
        <v/>
      </c>
      <c r="DM71" t="str">
        <f>IF(AM71="Spiral","",IF(SD!$C$31=SD!$Y$3,SD!$E$32*2,""))</f>
        <v/>
      </c>
      <c r="DO71" s="24">
        <f t="shared" si="49"/>
        <v>6</v>
      </c>
      <c r="DQ71" t="str">
        <f t="shared" si="50"/>
        <v>Lig</v>
      </c>
      <c r="DR71" t="str">
        <f>IF(AM71="Spiral",((Y71-(SD!$E$12*2))/12),"")</f>
        <v/>
      </c>
      <c r="DS71" t="str">
        <f t="shared" si="51"/>
        <v/>
      </c>
      <c r="DT71" t="str">
        <f t="shared" si="52"/>
        <v/>
      </c>
      <c r="DU71" t="str">
        <f t="shared" si="53"/>
        <v/>
      </c>
    </row>
    <row r="72" spans="1:125" x14ac:dyDescent="0.25">
      <c r="A72">
        <v>31</v>
      </c>
      <c r="B72" t="s">
        <v>670</v>
      </c>
      <c r="C72" s="15">
        <v>2429</v>
      </c>
      <c r="D72" s="15">
        <v>10000</v>
      </c>
      <c r="E72" t="str">
        <f>IF(B72=Level!$A$2,SD!$C$14,SD!$C$13)</f>
        <v>0-8</v>
      </c>
      <c r="F72" s="15" t="s">
        <v>787</v>
      </c>
      <c r="G72" t="s">
        <v>750</v>
      </c>
      <c r="H72" t="str">
        <f>RIGHT(VLOOKUP(B72,Level!A:C,3,FALSE),LEN(VLOOKUP(B72,Level!A:C,3,FALSE))-1)</f>
        <v>10-7</v>
      </c>
      <c r="I72" t="s">
        <v>751</v>
      </c>
      <c r="J72" t="str">
        <f>IF(AND(SD!$C$19=SD!$H$2,Grade!$G$1="Per level"),VLOOKUP(B72,Grade!$E$1:$F$200,2,FALSE),IF(AND(SD!$C$19=SD!$H$2,Grade!$G$1="Per Bar Size"),VLOOKUP(W72,Grade!$B$1:$C$12,2,0),SD!$C$19))</f>
        <v>A615 Grade 60</v>
      </c>
      <c r="K72" t="s">
        <v>67</v>
      </c>
      <c r="L72" t="str">
        <f>IFERROR(IF(A72&lt;&gt;A73,"",IF(DF72="No Lap","",IF(K73="Lap",U72,IF(K73="Coupler",_xlfn._xlws.FILTER(CCoupler,(CCName=SD!$C$8)*(CBSize=IF(A71=A72,W72&amp;W73,W72&amp;W72))*(CCMFM="Male")),"")))),"N/A")</f>
        <v>5-1</v>
      </c>
      <c r="M72" t="str">
        <f t="shared" si="27"/>
        <v/>
      </c>
      <c r="N72" t="s">
        <v>719</v>
      </c>
      <c r="O72" t="s">
        <v>720</v>
      </c>
      <c r="P72" t="s">
        <v>719</v>
      </c>
      <c r="Q72" t="str">
        <f>IF(AND(SD!$C$29=SD!$P$2,Grade!$O$1="Per level"),VLOOKUP(B72,Grade!$M$1:$N$200,2,FALSE),IF(AND(SD!$C$29=SD!$P$2,Grade!$O$1="Per Bar Size"),VLOOKUP(LEFT(N72,FIND("@",N72)-2),Grade!$J$1:$K$12,2,0),SD!$C$29))</f>
        <v>A615 Grade 60</v>
      </c>
      <c r="R72" t="s">
        <v>728</v>
      </c>
      <c r="S72" s="57">
        <v>72</v>
      </c>
      <c r="U72" t="str">
        <f>IF(Data!$J72="",IFERROR(INDEX(IF(SD!$C$11="Create",Lap!$A$3:$BF$14,IF(SD!$C$11="Per Uploaded File",Lap!$A$19:$BF$30,"")),MATCH(W72,Lap!$A$3:$A$14,0),MATCH(VALUE(D72),Lap!$A$3:$BF$3,0)+IF(IFERROR(FIND("Grade 60",J72),0)&gt;0,0,IF(IFERROR(FIND("Grade 80",J72),0),1,IF(IFERROR(FIND("Grade 75",J72),0),2,"")))),""),Data!J72)</f>
        <v>5-1</v>
      </c>
      <c r="W72" t="s">
        <v>176</v>
      </c>
      <c r="X72">
        <v>12</v>
      </c>
      <c r="Y72" t="str">
        <f t="shared" si="28"/>
        <v xml:space="preserve">18 </v>
      </c>
      <c r="Z72" t="str">
        <f t="shared" si="29"/>
        <v xml:space="preserve"> 72</v>
      </c>
      <c r="AA72" s="24">
        <f t="shared" si="30"/>
        <v>15.666666666666666</v>
      </c>
      <c r="BB72" t="e" cm="1">
        <f t="array" ref="BB72">_xlfn.LET(_xlpm.PartF,(_xlfn.LET(_xlpm.grade, Q72,_xlpm.gradeRange, IF(_xlpm.grade=SD!$H$3, A615GR60, IF(_xlpm.grade=SD!$H$4, A615GR75, IF(_xlpm.grade=SD!$H$5, A615GR80, IF(_xlpm.grade=SD!$H$6, A615GR100, IF(_xlpm.grade=SD!$H$7, A706GR60, IF(_xlpm.grade=SD!$H$8, A706GR80)))))),_xlpm.matchValue, MATCH(1, (SD!$AW:$AW=AS72)*(SD!$AX:$AX=SD!$C$8), 0),INDEX(_xlpm.gradeRange, _xlpm.matchValue))),IF(AM72="Spiral",CONCATENATE("SP",_xlpm.PartF),_xlpm.PartF))</f>
        <v>#N/A</v>
      </c>
      <c r="BC72" cm="1">
        <f t="array" ref="BC72">_xlfn.LET(_xlpm.leftPart, LEFT(O72, FIND("@", O72) - 2),_xlpm.grade,Q72,_xlpm.gradeRange,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2" cm="1">
        <f t="array" ref="BD72">_xlfn.LET(_xlpm.leftPart, LEFT(P72, FIND("@", P72) - 2),_xlpm.grade, Q72,_xlpm.gradeRange,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2">
        <f t="shared" si="31"/>
        <v>6</v>
      </c>
      <c r="BF72">
        <f>IF(SD!$C$32=SD!$I$2,BE72,IF(SD!$C$32=SD!$I$3,DO72,IF(SD!$C$32=SD!$I$5,BA72,IF(SD!$C$32=SD!$I$6,(LEFT(SD!$C$35,FIND("-",SD!$C$35)-1)+RIGHT(SD!$C$35,LEN(SD!$C$35)-FIND("-",SD!$C$35))/12),IF(SD!$C$32=SD!$I$4,(AU72-(BG72+BH72)))))))</f>
        <v>0</v>
      </c>
      <c r="BG72">
        <f>IF(SD!$C$33=SD!$I$2,BE72,IF(SD!$C$33=SD!$I$3,DO72,IF(SD!$C$33=SD!$I$5,BA72,IF(SD!$C$33=SD!$I$6,(LEFT(SD!$C$35,FIND("-",SD!$C$35)-1)+RIGHT(SD!$C$35,LEN(SD!$C$35)-FIND("-",SD!$C$35))/12),IF(SD!$C$33=SD!$I$4,(AU72-(BF72+BH72)))))))</f>
        <v>-1</v>
      </c>
      <c r="BH72">
        <f>IF(SD!$C$34=SD!$I$2,BE72,IF(SD!$C$34=SD!$I$3,DO72,IF(SD!$C$34=SD!$I$5,BA72,IF(SD!$C$34=SD!$I$6,(LEFT(SD!$C$35,FIND("-",SD!$C$35)-1)+RIGHT(SD!$C$35,LEN(SD!$C$35)-FIND("-",SD!$C$35))/12),IF(SD!$C$34=SD!$I$4,(AU72-(BF72+BG72)))))))</f>
        <v>1</v>
      </c>
      <c r="BJ72">
        <f>IF(AM72="Spiral","1",MAX(ROUNDUP(IF(SD!$C$32="",AT72,BF72/(LEFT(RIGHT(N72,LEN(N72)-FIND("@",N72)),LEN(RIGHT(N72,LEN(N72)-FIND("@",N72)))-1)/12)+1),0),0))</f>
        <v>1</v>
      </c>
      <c r="BK72">
        <f>MAX(ROUNDUP(IF(SD!$C$33="","",BG72/(LEFT(RIGHT(O72,LEN(O72)-FIND("@",O72)),LEN(RIGHT(O72,LEN(O72)-FIND("@",O72)))-1)/12)+1),0),0)</f>
        <v>0</v>
      </c>
      <c r="BL72">
        <f>MAX(ROUNDUP(IF(SD!$C$34="","",BH72/(LEFT(RIGHT(P72,LEN(P72)-FIND("@",P72)),LEN(RIGHT(P72,LEN(P72)-FIND("@",P72)))-1)/12)+1),0),0)</f>
        <v>3</v>
      </c>
      <c r="BN72" t="e">
        <f t="shared" si="32"/>
        <v>#N/A</v>
      </c>
      <c r="BO72" t="e">
        <f t="shared" si="33"/>
        <v>#N/A</v>
      </c>
      <c r="BP72" t="e">
        <f t="shared" si="34"/>
        <v>#N/A</v>
      </c>
      <c r="BQ72" s="24" t="e">
        <f>IF(AM72=TRUE,(((Y72-(SD!$E$12*2))*3.14159265359)+BN72+BO72+BP72)/12+AL72,SUM(AF72:AG72,BN72,BO72,BP72,AO72,AQ72)/12)</f>
        <v>#N/A</v>
      </c>
      <c r="BR72" t="e">
        <f t="shared" si="35"/>
        <v>#N/A</v>
      </c>
      <c r="BS72" t="e">
        <f t="shared" si="36"/>
        <v>#N/A</v>
      </c>
      <c r="BT72" t="e">
        <f t="shared" si="37"/>
        <v>#N/A</v>
      </c>
      <c r="BU72" s="24" t="e">
        <f>IF(AM72=TRUE,(((Y72-(SD!$E$12*2))*3.14159265359)+BR72+BS72+BT72)/12+AL72,SUM(AF72:AG72,BR72,BS72,BT72,AO72,AQ72)/12)</f>
        <v>#N/A</v>
      </c>
      <c r="BW72" t="str">
        <f>IFERROR(LEFT(Data!L72,FIND(" -",Data!L72)-1),"")</f>
        <v/>
      </c>
      <c r="BX72" t="str">
        <f>IFERROR(IF(SD!$C$40=SD!$U$2,W72,IF(SD!$C$40=SD!$U$3,RIGHT(Data!L72,LEN(Data!L72)-(FIND("-",Data!L72)+1)),SD!$C$40)),"")</f>
        <v>#10</v>
      </c>
      <c r="BY72" t="str" cm="1">
        <f t="array" ref="BY72">IFERROR(_xlfn.LET(_xlpm.GRR,IF(AND(SD!$C$19=SD!$H$2,Grade!$G$1="Per level"),VLOOKUP(B72,Grade!$E$1:$F$200,2,FALSE),IF(AND(SD!$C$19=SD!$H$2,Grade!$G$1="Per Bar Size"),VLOOKUP(BX72,Grade!$B$1:$C$12,2,0),SD!$C$19)),_xlpm.is_equal, A71=A72,_xlpm.grade_range, IF(_xlpm.GRR=SD!$H$3, A615GR60,IF(_xlpm.GRR=SD!$H$4, A615GR75,IF(_xlpm.GRR=SD!$H$5, A615GR80,IF(_xlpm.GRR=SD!H76, A615GR100,IF(_xlpm.GRR=SD!$H$7, A706GR60,IF(_xlpm.GRR=SD!$H$8, A706GR80)))))),_xlpm.match_result, MATCH(1, (BSize=BX72)*(BCName=SD!$C$8), 0),_xlpm.final_result, INDEX(_xlpm.grade_range, _xlpm.match_result),IF(_xlpm.is_equal, "", _xlpm.final_result)),"")</f>
        <v/>
      </c>
      <c r="BZ72" t="str">
        <f>IF(A71=A72,"",IF(SD!$C$41="Match Vertical Bars ",X72,IF(SD!$C$41=SD!$V$3,BW72,SD!$C$41)))</f>
        <v/>
      </c>
      <c r="CA72" t="str" cm="1">
        <f t="array" ref="CA72">IF(A71=A72,"",IF(SD!$C$44="No T-Head",IF(SD!$C$42=SD!$Q$3,VLOOKUP(BX72,S90Range,3,FALSE),LEFT(SD!$C$42,FIND("-",SD!$C$42)-1)+(RIGHT(SD!$C$42,LEN(SD!$C$42)-FIND("-",SD!$C$42))/12)),IF(SD!$C$44="T-Head",_xlfn._xlws.FILTER(THead,(TCName=SD!$C$8)*(TSize=BX72)),IF(SD!$C$44="Level Wise",_xlfn.LET(_xlpm.result,_xlfn.XLOOKUP(B72,VDLevel,VDLevelStatus,"No"),IF(_xlpm.result="Yes",_xlfn._xlws.FILTER(THead,(TCName=SD!$C$8)*(TSize=BX72)),IF(SD!$C$42=SD!$Q$3,VLOOKUP(BX72,S90Range,3,FALSE),LEFT(SD!$C$42,FIND("-",SD!$C$42)-1)+(RIGHT(SD!$C$42,LEN(SD!$C$42)-FIND("-", SD!$C$42))/12)))),IF(SD!$C$44="BarSize Wise",_xlfn.LET(_xlpm.result,_xlfn.XLOOKUP(BX72,VDBarSize,VDBarSizeStatus,"No"),IF(_xlpm.result="Yes",_xlfn._xlws.FILTER(THead,(TCName=SD!$C$8)*(TSize=BX72)),IF(SD!$C$42=SD!$Q$3,VLOOKUP(BX72,S90Range,3,FALSE),LEFT(SD!$C$42,FIND("-",SD!$C$42)-1)+(RIGHT(SD!$C$42,LEN(SD!$C$42)-FIND("-",SD!$C$42))/12)))), "")))))</f>
        <v/>
      </c>
      <c r="CB72" t="str" cm="1">
        <f t="array" ref="CB72">_xlfn.LET(_xlpm.GRR,IF(AND(SD!$C$19=SD!$H$2,Grade!$G$1="Per level"),VLOOKUP(B72,Grade!$E$1:$F$200,2,FALSE),IF(AND(SD!$C$19=SD!$H$2,Grade!$G$1="Per Bar Size"),VLOOKUP(BX72,Grade!$B$1:$C$12,2,0),SD!$C$19)),_xlpm.is_coupler, K72="Coupler",_xlpm.condition1, SD!$C$43=SD!$W$2,_xlpm.data_j2_empty, Data!$J72="",_xlpm.lookup_table, IF(SD!$C$11="Create", Lap!$A$3:$BF$14, IF(SD!$C$11="Per Uploaded File", Lap!$A$19:$BF$30, "")),_xlpm.row_match, MATCH(BX72, Lap!$A$3:$A$14, 0),_xlpm.grade_offset, IF(IFERROR(FIND("Grade 60",_xlpm.GRR), 0) &gt; 0, 0, IF(IFERROR(FIND("Grade 80",_xlpm.GRR), 0), 1, IF(IFERROR(FIND("Grade 75",_xlpm.GRR), 0), 2, ""))),_xlpm.col_match, MATCH(VALUE(D72), Lap!$A$3:$BF$3, 0) + _xlpm.grade_offset,_xlpm.index_result, IFERROR(INDEX(_xlpm.lookup_table, _xlpm.row_match, _xlpm.col_match), Data!$J72),_xlpm.result_if_condition1, IF(_xlpm.data_j2_empty, _xlpm.index_result, Data!$J72),IF(_xlpm.is_coupler, 0, IF(_xlpm.condition1, _xlpm.result_if_condition1, SD!$C$43)))</f>
        <v>5-1</v>
      </c>
      <c r="CC72" s="24">
        <f t="shared" si="38"/>
        <v>5.083333333333333</v>
      </c>
      <c r="CD72">
        <f t="shared" si="39"/>
        <v>5.75</v>
      </c>
      <c r="CE72" t="str" cm="1">
        <f t="array" ref="CE72">IF(BY72="","",_xlfn._xlws.FILTER(SAC,(CName=SD!$C$8)*(EName="Vert Dowels")))</f>
        <v/>
      </c>
      <c r="CF72" t="str" cm="1">
        <f t="array" ref="CF72">IFERROR(IF(BY72="","",IF(K72="Coupler",_xlfn._xlws.FILTER(CCoupler,(CCName=SD!$C$8)*(CBSize=IF(A71=A72,W71&amp;W72,BX72&amp;W72))*(CCMFM="Male")),"")),"N/A")</f>
        <v/>
      </c>
      <c r="CG72" t="str">
        <f t="shared" si="40"/>
        <v/>
      </c>
      <c r="CH72" t="str">
        <f t="shared" si="41"/>
        <v/>
      </c>
      <c r="CI72" t="str">
        <f>_xlfn.LET(_xlpm.u3_value, U73,_xlpm.hyphen_pos,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K73="Coupler",_xlpm.coupler_value, IF(_xlpm.is_coupler, 0, _xlpm.calculated_value),_xlpm.final_value, _xlpm.calculated_value + SD!$E$13 + _xlpm.coupler_value,IF(CG72="", "", _xlpm.final_value))</f>
        <v/>
      </c>
      <c r="CJ72" t="str" cm="1">
        <f t="array" ref="CJ72">IF(CG72="","",_xlfn._xlws.FILTER(SAC,(CName=SD!$C$8)*(EName="Loose Dowels")))</f>
        <v/>
      </c>
      <c r="CK72" t="str" cm="1">
        <f t="array" ref="CK72">IFERROR(IF(CG72="","",IF(K73="Coupler",_xlfn._xlws.FILTER(CCoupler,(CCName=SD!$C$8)*(CBSize=IF(A72=A73,W72&amp;W73,""))*(CCMFM="Male")),"")),"N/A")</f>
        <v/>
      </c>
      <c r="CL72" t="str">
        <f>IFERROR(IF(AM72="Spiral","",IF(A71=A72,"",IF(SD!$C$37=0,"",SD!$C$37))),"")</f>
        <v/>
      </c>
      <c r="CN72">
        <f>IF(AM72="Spiral","",IFERROR(IF(SD!$C$36=0,"",SD!$C$36),""))</f>
        <v>5</v>
      </c>
      <c r="CP72" t="str">
        <f>IFERROR(IF(SD!$C$42=SD!$Q$3,'Take-off'!CA72,""),"")</f>
        <v/>
      </c>
      <c r="CR72">
        <f>IFERROR(IF(SD!$C$22=SD!$U$2,W72,SD!$C$22),"")</f>
        <v>0</v>
      </c>
      <c r="CS72" t="str" cm="1">
        <f t="array" ref="CS72">_xlfn.LET(_xlpm.GR,IF(AND(SD!$C$19=SD!$H$2,Grade!$G$1="Per level"),VLOOKUP(B72,Grade!$E$1:$F$200,2,FALSE),IF(AND(SD!$C$19=SD!$H$2,Grade!$G$1="Per Bar Size"),VLOOKUP(CR72,Grade!$B$1:$C$12,2,0),SD!$C$19)),IF(SD!$C$20=SD!$R$4,IF(A73=A72,"",INDEX(IF(_xlpm.GR=SD!$H$3,A615GR60,IF(_xlpm.GR=SD!$H$4,A615GR75,IF(_xlpm.GR=SD!$H$5,A615GR80,IF(_xlpm.GR=SD!H76,A615GR100,IF(_xlpm.GR=SD!$H$7,A706GR60,IF(_xlpm.GR=SD!$H$8,A706GR80)))))), MATCH(1, (BSize=CR72)*(BCName=SD!$C$8), 0))),""))</f>
        <v/>
      </c>
      <c r="CT72" t="str">
        <f>IF(A73=A72,"",IF(SD!$C$23="Match Vertical Bars ",X72,SD!$C$23))</f>
        <v/>
      </c>
      <c r="CU72" t="str" cm="1">
        <f t="array" ref="CU72">IF(A73=A72,"",IF(SD!$C$20="Top dowels",IF(SD!$E$25="No T-Head",IF(SD!$C$24=SD!$Q$3,VLOOKUP(CR72,S90Range,3,FALSE),LEFT(SD!$C$24,FIND("-",SD!$C$24)-1)+(RIGHT(SD!$C$24,LEN(SD!$C$24)-FIND("-",SD!$C$24))/12)),IF(SD!$E$25="T-Head",_xlfn._xlws.FILTER(THead,(TCName=SD!$C$8)*(TSize=CR72)),IF(SD!$E$25="Level Wise",_xlfn.LET(_xlpm.result,_xlfn.XLOOKUP(B72,TDLevel,TDLevelStatus,"No"),IF(_xlpm.result="Yes",_xlfn._xlws.FILTER(THead,(TCName=SD!$C$8)*(TSize=CR72)),IF(SD!$C$24=SD!$Q$3,VLOOKUP(CR72,S90Range,3,FALSE),LEFT(SD!$C$24,FIND("-",SD!$C$24)-1)+(RIGHT(SD!$C$24,LEN(SD!$C$24)-FIND("-", SD!$C$24))/12)))),IF(SD!$E$25="BarSize Wise",_xlfn.LET(_xlpm.result,_xlfn.XLOOKUP(CR72,TDBarSize,TDBarSizeStatus,"No"),IF(_xlpm.result="Yes",_xlfn._xlws.FILTER(THead,(TCName=SD!$C$8)*(TSize=CR72)),IF(SD!$C$24=SD!$Q$3,VLOOKUP(CR72,S90Range,3,FALSE),LEFT(SD!$C$24,FIND("-",SD!$C$24)-1)+(RIGHT(SD!$C$24,LEN(SD!$C$24)-FIND("-",SD!$C$24))/12)))), "")))),""))</f>
        <v/>
      </c>
      <c r="CV72" t="str">
        <f>_xlfn.LET(_xlpm.GRR,IF(AND(SD!$C$19=SD!$H$2,Grade!$G$1="Per level"),VLOOKUP(B72,Grade!$E$1:$F$200,2,FALSE),IF(AND(SD!$C$19=SD!$H$2,Grade!$G$1="Per Bar Size"),VLOOKUP(CR72,Grade!$B$1:$C$12,2,0),SD!$C$19)),IF(SD!$C$25=SD!$W$2,IF(Data!$J72="",IFERROR(INDEX(IF(SD!$C$11="Create",Lap!$A$3:$BF$14,IF(SD!$C$11="Per Uploaded File",Lap!$A$19:$BF$30,"")),MATCH(CR72,Lap!$A$3:$A$14,0),MATCH(VALUE(D72),Lap!$A$3:$BF$3,0)+IF(IFERROR(FIND("Grade 60",_xlpm.GRR),0)&gt;0,0,IF(IFERROR(FIND("Grade 80",_xlpm.GRR),0),1,IF(IFERROR(FIND("Grade 75",_xlpm.GRR),0),2,"")))),""),Data!J72),SD!$C$43))</f>
        <v>Match Lap</v>
      </c>
      <c r="CW72">
        <f t="shared" si="42"/>
        <v>0</v>
      </c>
      <c r="CX72">
        <f t="shared" si="43"/>
        <v>0</v>
      </c>
      <c r="CY72" t="str">
        <f t="shared" si="44"/>
        <v/>
      </c>
      <c r="DA72" t="str">
        <f t="shared" si="45"/>
        <v/>
      </c>
      <c r="DB72" t="str">
        <f t="shared" si="46"/>
        <v/>
      </c>
      <c r="DC72" s="24" t="str">
        <f t="shared" si="47"/>
        <v/>
      </c>
      <c r="DD72">
        <f t="shared" si="48"/>
        <v>10.583333333333334</v>
      </c>
      <c r="DE72" t="s">
        <v>785</v>
      </c>
      <c r="DF72" t="s">
        <v>67</v>
      </c>
      <c r="DG72" t="str">
        <f>VLOOKUP(W72,'Level Wise PSI'!$F$2:$G$12,2,FALSE)</f>
        <v>Double Lift</v>
      </c>
      <c r="DI72" t="str" cm="1">
        <f t="array" ref="DI72">_xlfn.LET(_xlpm.Coup,IFERROR(IF(BY72="","",IF(K72="Coupler",_xlfn._xlws.FILTER(CCFCoupler,(CCName=SD!$C$8)*(CBSize=IF(A71=A72,W71&amp;W72,BX72&amp;W72))),"")),"N/A"),IF(_xlpm.Coup=0,"",_xlpm.Coup))</f>
        <v/>
      </c>
      <c r="DJ72" t="str" cm="1">
        <f t="array" ref="DJ72">_xlfn.LET(_xlpm.Coup3,IFERROR(IF(CG72="","",IF(K73="Coupler",_xlfn._xlws.FILTER(CCFCoupler,(CCName=SD!$C$8)*(CBSize=IF(A72=A73,W72&amp;W73,""))),"")),"N/A"),IF(_xlpm.Coup3=0,"",_xlpm.Coup3))</f>
        <v/>
      </c>
      <c r="DK72" t="str" cm="1">
        <f t="array" ref="DK72">_xlfn.LET(_xlpm.Coup2,IFERROR(IF(A72&lt;&gt;A73,"",IF(DF72="No Lap","",IF(K73="Coupler",_xlfn._xlws.FILTER(CCFCoupler,(CCName=SD!$C$8)*(CBSize=IF(A71=A72,W72&amp;W73,W72&amp;W72))),""))),"N/A"),IF(_xlpm.Coup2=0,"",_xlpm.Coup2))</f>
        <v/>
      </c>
      <c r="DM72" t="str">
        <f>IF(AM72="Spiral","",IF(SD!$C$31=SD!$Y$3,SD!$E$32*2,""))</f>
        <v/>
      </c>
      <c r="DO72" s="24">
        <f t="shared" si="49"/>
        <v>6</v>
      </c>
      <c r="DQ72" t="str">
        <f t="shared" si="50"/>
        <v>Lig</v>
      </c>
      <c r="DR72" t="str">
        <f>IF(AM72="Spiral",((Y72-(SD!$E$12*2))/12),"")</f>
        <v/>
      </c>
      <c r="DS72" t="str">
        <f t="shared" si="51"/>
        <v/>
      </c>
      <c r="DT72" t="str">
        <f t="shared" si="52"/>
        <v/>
      </c>
      <c r="DU72" t="str">
        <f t="shared" si="53"/>
        <v/>
      </c>
    </row>
    <row r="73" spans="1:125" x14ac:dyDescent="0.25">
      <c r="A73">
        <v>31</v>
      </c>
      <c r="B73" t="s">
        <v>672</v>
      </c>
      <c r="C73" s="15">
        <v>2429</v>
      </c>
      <c r="D73" s="15">
        <v>10000</v>
      </c>
      <c r="E73" t="str">
        <f>IF(B73=Level!$A$2,SD!$C$14,SD!$C$13)</f>
        <v>0-8</v>
      </c>
      <c r="F73" s="15" t="s">
        <v>787</v>
      </c>
      <c r="G73" t="s">
        <v>750</v>
      </c>
      <c r="H73" t="str">
        <f>RIGHT(VLOOKUP(B73,Level!A:C,3,FALSE),LEN(VLOOKUP(B73,Level!A:C,3,FALSE))-1)</f>
        <v>10-7</v>
      </c>
      <c r="I73" t="s">
        <v>751</v>
      </c>
      <c r="J73" t="str">
        <f>IF(AND(SD!$C$19=SD!$H$2,Grade!$G$1="Per level"),VLOOKUP(B73,Grade!$E$1:$F$200,2,FALSE),IF(AND(SD!$C$19=SD!$H$2,Grade!$G$1="Per Bar Size"),VLOOKUP(W73,Grade!$B$1:$C$12,2,0),SD!$C$19))</f>
        <v>A615 Grade 60</v>
      </c>
      <c r="K73" t="s">
        <v>67</v>
      </c>
      <c r="L73" t="str">
        <f>IFERROR(IF(A73&lt;&gt;A74,"",IF(DF73="No Lap","",IF(K74="Lap",U73,IF(K74="Coupler",_xlfn._xlws.FILTER(CCoupler,(CCName=SD!$C$8)*(CBSize=IF(A72=A73,W73&amp;W74,W73&amp;W73))*(CCMFM="Male")),"")))),"N/A")</f>
        <v>5-1</v>
      </c>
      <c r="M73" t="str">
        <f t="shared" si="27"/>
        <v/>
      </c>
      <c r="N73" t="s">
        <v>719</v>
      </c>
      <c r="O73" t="s">
        <v>720</v>
      </c>
      <c r="P73" t="s">
        <v>719</v>
      </c>
      <c r="Q73" t="str">
        <f>IF(AND(SD!$C$29=SD!$P$2,Grade!$O$1="Per level"),VLOOKUP(B73,Grade!$M$1:$N$200,2,FALSE),IF(AND(SD!$C$29=SD!$P$2,Grade!$O$1="Per Bar Size"),VLOOKUP(LEFT(N73,FIND("@",N73)-2),Grade!$J$1:$K$12,2,0),SD!$C$29))</f>
        <v>A615 Grade 60</v>
      </c>
      <c r="R73" t="s">
        <v>728</v>
      </c>
      <c r="S73" s="57">
        <v>73</v>
      </c>
      <c r="U73" t="str">
        <f>IF(Data!$J73="",IFERROR(INDEX(IF(SD!$C$11="Create",Lap!$A$3:$BF$14,IF(SD!$C$11="Per Uploaded File",Lap!$A$19:$BF$30,"")),MATCH(W73,Lap!$A$3:$A$14,0),MATCH(VALUE(D73),Lap!$A$3:$BF$3,0)+IF(IFERROR(FIND("Grade 60",J73),0)&gt;0,0,IF(IFERROR(FIND("Grade 80",J73),0),1,IF(IFERROR(FIND("Grade 75",J73),0),2,"")))),""),Data!J73)</f>
        <v>5-1</v>
      </c>
      <c r="W73" t="s">
        <v>176</v>
      </c>
      <c r="X73">
        <v>12</v>
      </c>
      <c r="Y73" t="str">
        <f t="shared" si="28"/>
        <v xml:space="preserve">18 </v>
      </c>
      <c r="Z73" t="str">
        <f t="shared" si="29"/>
        <v xml:space="preserve"> 72</v>
      </c>
      <c r="AA73" s="24">
        <f t="shared" si="30"/>
        <v>15.666666666666666</v>
      </c>
      <c r="BB73" t="e" cm="1">
        <f t="array" ref="BB73">_xlfn.LET(_xlpm.PartF,(_xlfn.LET(_xlpm.grade, Q73,_xlpm.gradeRange, IF(_xlpm.grade=SD!$H$3, A615GR60, IF(_xlpm.grade=SD!$H$4, A615GR75, IF(_xlpm.grade=SD!$H$5, A615GR80, IF(_xlpm.grade=SD!$H$6, A615GR100, IF(_xlpm.grade=SD!$H$7, A706GR60, IF(_xlpm.grade=SD!$H$8, A706GR80)))))),_xlpm.matchValue, MATCH(1, (SD!$AW:$AW=AS73)*(SD!$AX:$AX=SD!$C$8), 0),INDEX(_xlpm.gradeRange, _xlpm.matchValue))),IF(AM73="Spiral",CONCATENATE("SP",_xlpm.PartF),_xlpm.PartF))</f>
        <v>#N/A</v>
      </c>
      <c r="BC73" cm="1">
        <f t="array" ref="BC73">_xlfn.LET(_xlpm.leftPart, LEFT(O73, FIND("@", O73) - 2),_xlpm.grade,Q73,_xlpm.gradeRange,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3" cm="1">
        <f t="array" ref="BD73">_xlfn.LET(_xlpm.leftPart, LEFT(P73, FIND("@", P73) - 2),_xlpm.grade, Q73,_xlpm.gradeRange,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3">
        <f t="shared" si="31"/>
        <v>6</v>
      </c>
      <c r="BF73">
        <f>IF(SD!$C$32=SD!$I$2,BE73,IF(SD!$C$32=SD!$I$3,DO73,IF(SD!$C$32=SD!$I$5,BA73,IF(SD!$C$32=SD!$I$6,(LEFT(SD!$C$35,FIND("-",SD!$C$35)-1)+RIGHT(SD!$C$35,LEN(SD!$C$35)-FIND("-",SD!$C$35))/12),IF(SD!$C$32=SD!$I$4,(AU73-(BG73+BH73)))))))</f>
        <v>0</v>
      </c>
      <c r="BG73">
        <f>IF(SD!$C$33=SD!$I$2,BE73,IF(SD!$C$33=SD!$I$3,DO73,IF(SD!$C$33=SD!$I$5,BA73,IF(SD!$C$33=SD!$I$6,(LEFT(SD!$C$35,FIND("-",SD!$C$35)-1)+RIGHT(SD!$C$35,LEN(SD!$C$35)-FIND("-",SD!$C$35))/12),IF(SD!$C$33=SD!$I$4,(AU73-(BF73+BH73)))))))</f>
        <v>-1</v>
      </c>
      <c r="BH73">
        <f>IF(SD!$C$34=SD!$I$2,BE73,IF(SD!$C$34=SD!$I$3,DO73,IF(SD!$C$34=SD!$I$5,BA73,IF(SD!$C$34=SD!$I$6,(LEFT(SD!$C$35,FIND("-",SD!$C$35)-1)+RIGHT(SD!$C$35,LEN(SD!$C$35)-FIND("-",SD!$C$35))/12),IF(SD!$C$34=SD!$I$4,(AU73-(BF73+BG73)))))))</f>
        <v>1</v>
      </c>
      <c r="BJ73">
        <f>IF(AM73="Spiral","1",MAX(ROUNDUP(IF(SD!$C$32="",AT73,BF73/(LEFT(RIGHT(N73,LEN(N73)-FIND("@",N73)),LEN(RIGHT(N73,LEN(N73)-FIND("@",N73)))-1)/12)+1),0),0))</f>
        <v>1</v>
      </c>
      <c r="BK73">
        <f>MAX(ROUNDUP(IF(SD!$C$33="","",BG73/(LEFT(RIGHT(O73,LEN(O73)-FIND("@",O73)),LEN(RIGHT(O73,LEN(O73)-FIND("@",O73)))-1)/12)+1),0),0)</f>
        <v>0</v>
      </c>
      <c r="BL73">
        <f>MAX(ROUNDUP(IF(SD!$C$34="","",BH73/(LEFT(RIGHT(P73,LEN(P73)-FIND("@",P73)),LEN(RIGHT(P73,LEN(P73)-FIND("@",P73)))-1)/12)+1),0),0)</f>
        <v>3</v>
      </c>
      <c r="BN73" t="e">
        <f t="shared" si="32"/>
        <v>#N/A</v>
      </c>
      <c r="BO73" t="e">
        <f t="shared" si="33"/>
        <v>#N/A</v>
      </c>
      <c r="BP73" t="e">
        <f t="shared" si="34"/>
        <v>#N/A</v>
      </c>
      <c r="BQ73" s="24" t="e">
        <f>IF(AM73=TRUE,(((Y73-(SD!$E$12*2))*3.14159265359)+BN73+BO73+BP73)/12+AL73,SUM(AF73:AG73,BN73,BO73,BP73,AO73,AQ73)/12)</f>
        <v>#N/A</v>
      </c>
      <c r="BR73" t="e">
        <f t="shared" si="35"/>
        <v>#N/A</v>
      </c>
      <c r="BS73" t="e">
        <f t="shared" si="36"/>
        <v>#N/A</v>
      </c>
      <c r="BT73" t="e">
        <f t="shared" si="37"/>
        <v>#N/A</v>
      </c>
      <c r="BU73" s="24" t="e">
        <f>IF(AM73=TRUE,(((Y73-(SD!$E$12*2))*3.14159265359)+BR73+BS73+BT73)/12+AL73,SUM(AF73:AG73,BR73,BS73,BT73,AO73,AQ73)/12)</f>
        <v>#N/A</v>
      </c>
      <c r="BW73" t="str">
        <f>IFERROR(LEFT(Data!L73,FIND(" -",Data!L73)-1),"")</f>
        <v/>
      </c>
      <c r="BX73" t="str">
        <f>IFERROR(IF(SD!$C$40=SD!$U$2,W73,IF(SD!$C$40=SD!$U$3,RIGHT(Data!L73,LEN(Data!L73)-(FIND("-",Data!L73)+1)),SD!$C$40)),"")</f>
        <v>#10</v>
      </c>
      <c r="BY73" t="str" cm="1">
        <f t="array" ref="BY73">IFERROR(_xlfn.LET(_xlpm.GRR,IF(AND(SD!$C$19=SD!$H$2,Grade!$G$1="Per level"),VLOOKUP(B73,Grade!$E$1:$F$200,2,FALSE),IF(AND(SD!$C$19=SD!$H$2,Grade!$G$1="Per Bar Size"),VLOOKUP(BX73,Grade!$B$1:$C$12,2,0),SD!$C$19)),_xlpm.is_equal, A72=A73,_xlpm.grade_range, IF(_xlpm.GRR=SD!$H$3, A615GR60,IF(_xlpm.GRR=SD!$H$4, A615GR75,IF(_xlpm.GRR=SD!$H$5, A615GR80,IF(_xlpm.GRR=SD!H77, A615GR100,IF(_xlpm.GRR=SD!$H$7, A706GR60,IF(_xlpm.GRR=SD!$H$8, A706GR80)))))),_xlpm.match_result, MATCH(1, (BSize=BX73)*(BCName=SD!$C$8), 0),_xlpm.final_result, INDEX(_xlpm.grade_range, _xlpm.match_result),IF(_xlpm.is_equal, "", _xlpm.final_result)),"")</f>
        <v/>
      </c>
      <c r="BZ73" t="str">
        <f>IF(A72=A73,"",IF(SD!$C$41="Match Vertical Bars ",X73,IF(SD!$C$41=SD!$V$3,BW73,SD!$C$41)))</f>
        <v/>
      </c>
      <c r="CA73" t="str" cm="1">
        <f t="array" ref="CA73">IF(A72=A73,"",IF(SD!$C$44="No T-Head",IF(SD!$C$42=SD!$Q$3,VLOOKUP(BX73,S90Range,3,FALSE),LEFT(SD!$C$42,FIND("-",SD!$C$42)-1)+(RIGHT(SD!$C$42,LEN(SD!$C$42)-FIND("-",SD!$C$42))/12)),IF(SD!$C$44="T-Head",_xlfn._xlws.FILTER(THead,(TCName=SD!$C$8)*(TSize=BX73)),IF(SD!$C$44="Level Wise",_xlfn.LET(_xlpm.result,_xlfn.XLOOKUP(B73,VDLevel,VDLevelStatus,"No"),IF(_xlpm.result="Yes",_xlfn._xlws.FILTER(THead,(TCName=SD!$C$8)*(TSize=BX73)),IF(SD!$C$42=SD!$Q$3,VLOOKUP(BX73,S90Range,3,FALSE),LEFT(SD!$C$42,FIND("-",SD!$C$42)-1)+(RIGHT(SD!$C$42,LEN(SD!$C$42)-FIND("-", SD!$C$42))/12)))),IF(SD!$C$44="BarSize Wise",_xlfn.LET(_xlpm.result,_xlfn.XLOOKUP(BX73,VDBarSize,VDBarSizeStatus,"No"),IF(_xlpm.result="Yes",_xlfn._xlws.FILTER(THead,(TCName=SD!$C$8)*(TSize=BX73)),IF(SD!$C$42=SD!$Q$3,VLOOKUP(BX73,S90Range,3,FALSE),LEFT(SD!$C$42,FIND("-",SD!$C$42)-1)+(RIGHT(SD!$C$42,LEN(SD!$C$42)-FIND("-",SD!$C$42))/12)))), "")))))</f>
        <v/>
      </c>
      <c r="CB73" t="str" cm="1">
        <f t="array" ref="CB73">_xlfn.LET(_xlpm.GRR,IF(AND(SD!$C$19=SD!$H$2,Grade!$G$1="Per level"),VLOOKUP(B73,Grade!$E$1:$F$200,2,FALSE),IF(AND(SD!$C$19=SD!$H$2,Grade!$G$1="Per Bar Size"),VLOOKUP(BX73,Grade!$B$1:$C$12,2,0),SD!$C$19)),_xlpm.is_coupler, K73="Coupler",_xlpm.condition1, SD!$C$43=SD!$W$2,_xlpm.data_j2_empty, Data!$J73="",_xlpm.lookup_table, IF(SD!$C$11="Create", Lap!$A$3:$BF$14, IF(SD!$C$11="Per Uploaded File", Lap!$A$19:$BF$30, "")),_xlpm.row_match, MATCH(BX73, Lap!$A$3:$A$14, 0),_xlpm.grade_offset, IF(IFERROR(FIND("Grade 60",_xlpm.GRR), 0) &gt; 0, 0, IF(IFERROR(FIND("Grade 80",_xlpm.GRR), 0), 1, IF(IFERROR(FIND("Grade 75",_xlpm.GRR), 0), 2, ""))),_xlpm.col_match, MATCH(VALUE(D73), Lap!$A$3:$BF$3, 0) + _xlpm.grade_offset,_xlpm.index_result, IFERROR(INDEX(_xlpm.lookup_table, _xlpm.row_match, _xlpm.col_match), Data!$J73),_xlpm.result_if_condition1, IF(_xlpm.data_j2_empty, _xlpm.index_result, Data!$J73),IF(_xlpm.is_coupler, 0, IF(_xlpm.condition1, _xlpm.result_if_condition1, SD!$C$43)))</f>
        <v>5-1</v>
      </c>
      <c r="CC73" s="24">
        <f t="shared" si="38"/>
        <v>5.083333333333333</v>
      </c>
      <c r="CD73">
        <f t="shared" si="39"/>
        <v>5.75</v>
      </c>
      <c r="CE73" t="str" cm="1">
        <f t="array" ref="CE73">IF(BY73="","",_xlfn._xlws.FILTER(SAC,(CName=SD!$C$8)*(EName="Vert Dowels")))</f>
        <v/>
      </c>
      <c r="CF73" t="str" cm="1">
        <f t="array" ref="CF73">IFERROR(IF(BY73="","",IF(K73="Coupler",_xlfn._xlws.FILTER(CCoupler,(CCName=SD!$C$8)*(CBSize=IF(A72=A73,W72&amp;W73,BX73&amp;W73))*(CCMFM="Male")),"")),"N/A")</f>
        <v/>
      </c>
      <c r="CG73" t="str">
        <f t="shared" si="40"/>
        <v/>
      </c>
      <c r="CH73" t="str">
        <f t="shared" si="41"/>
        <v/>
      </c>
      <c r="CI73" t="str">
        <f>_xlfn.LET(_xlpm.u3_value, U74,_xlpm.hyphen_pos,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K74="Coupler",_xlpm.coupler_value, IF(_xlpm.is_coupler, 0, _xlpm.calculated_value),_xlpm.final_value, _xlpm.calculated_value + SD!$E$13 + _xlpm.coupler_value,IF(CG73="", "", _xlpm.final_value))</f>
        <v/>
      </c>
      <c r="CJ73" t="str" cm="1">
        <f t="array" ref="CJ73">IF(CG73="","",_xlfn._xlws.FILTER(SAC,(CName=SD!$C$8)*(EName="Loose Dowels")))</f>
        <v/>
      </c>
      <c r="CK73" t="str" cm="1">
        <f t="array" ref="CK73">IFERROR(IF(CG73="","",IF(K74="Coupler",_xlfn._xlws.FILTER(CCoupler,(CCName=SD!$C$8)*(CBSize=IF(A73=A74,W73&amp;W74,""))*(CCMFM="Male")),"")),"N/A")</f>
        <v/>
      </c>
      <c r="CL73" t="str">
        <f>IFERROR(IF(AM73="Spiral","",IF(A72=A73,"",IF(SD!$C$37=0,"",SD!$C$37))),"")</f>
        <v/>
      </c>
      <c r="CN73">
        <f>IF(AM73="Spiral","",IFERROR(IF(SD!$C$36=0,"",SD!$C$36),""))</f>
        <v>5</v>
      </c>
      <c r="CP73" t="str">
        <f>IFERROR(IF(SD!$C$42=SD!$Q$3,'Take-off'!CA73,""),"")</f>
        <v/>
      </c>
      <c r="CR73">
        <f>IFERROR(IF(SD!$C$22=SD!$U$2,W73,SD!$C$22),"")</f>
        <v>0</v>
      </c>
      <c r="CS73" t="str" cm="1">
        <f t="array" ref="CS73">_xlfn.LET(_xlpm.GR,IF(AND(SD!$C$19=SD!$H$2,Grade!$G$1="Per level"),VLOOKUP(B73,Grade!$E$1:$F$200,2,FALSE),IF(AND(SD!$C$19=SD!$H$2,Grade!$G$1="Per Bar Size"),VLOOKUP(CR73,Grade!$B$1:$C$12,2,0),SD!$C$19)),IF(SD!$C$20=SD!$R$4,IF(A74=A73,"",INDEX(IF(_xlpm.GR=SD!$H$3,A615GR60,IF(_xlpm.GR=SD!$H$4,A615GR75,IF(_xlpm.GR=SD!$H$5,A615GR80,IF(_xlpm.GR=SD!H77,A615GR100,IF(_xlpm.GR=SD!$H$7,A706GR60,IF(_xlpm.GR=SD!$H$8,A706GR80)))))), MATCH(1, (BSize=CR73)*(BCName=SD!$C$8), 0))),""))</f>
        <v/>
      </c>
      <c r="CT73" t="str">
        <f>IF(A74=A73,"",IF(SD!$C$23="Match Vertical Bars ",X73,SD!$C$23))</f>
        <v/>
      </c>
      <c r="CU73" t="str" cm="1">
        <f t="array" ref="CU73">IF(A74=A73,"",IF(SD!$C$20="Top dowels",IF(SD!$E$25="No T-Head",IF(SD!$C$24=SD!$Q$3,VLOOKUP(CR73,S90Range,3,FALSE),LEFT(SD!$C$24,FIND("-",SD!$C$24)-1)+(RIGHT(SD!$C$24,LEN(SD!$C$24)-FIND("-",SD!$C$24))/12)),IF(SD!$E$25="T-Head",_xlfn._xlws.FILTER(THead,(TCName=SD!$C$8)*(TSize=CR73)),IF(SD!$E$25="Level Wise",_xlfn.LET(_xlpm.result,_xlfn.XLOOKUP(B73,TDLevel,TDLevelStatus,"No"),IF(_xlpm.result="Yes",_xlfn._xlws.FILTER(THead,(TCName=SD!$C$8)*(TSize=CR73)),IF(SD!$C$24=SD!$Q$3,VLOOKUP(CR73,S90Range,3,FALSE),LEFT(SD!$C$24,FIND("-",SD!$C$24)-1)+(RIGHT(SD!$C$24,LEN(SD!$C$24)-FIND("-", SD!$C$24))/12)))),IF(SD!$E$25="BarSize Wise",_xlfn.LET(_xlpm.result,_xlfn.XLOOKUP(CR73,TDBarSize,TDBarSizeStatus,"No"),IF(_xlpm.result="Yes",_xlfn._xlws.FILTER(THead,(TCName=SD!$C$8)*(TSize=CR73)),IF(SD!$C$24=SD!$Q$3,VLOOKUP(CR73,S90Range,3,FALSE),LEFT(SD!$C$24,FIND("-",SD!$C$24)-1)+(RIGHT(SD!$C$24,LEN(SD!$C$24)-FIND("-",SD!$C$24))/12)))), "")))),""))</f>
        <v/>
      </c>
      <c r="CV73" t="str">
        <f>_xlfn.LET(_xlpm.GRR,IF(AND(SD!$C$19=SD!$H$2,Grade!$G$1="Per level"),VLOOKUP(B73,Grade!$E$1:$F$200,2,FALSE),IF(AND(SD!$C$19=SD!$H$2,Grade!$G$1="Per Bar Size"),VLOOKUP(CR73,Grade!$B$1:$C$12,2,0),SD!$C$19)),IF(SD!$C$25=SD!$W$2,IF(Data!$J73="",IFERROR(INDEX(IF(SD!$C$11="Create",Lap!$A$3:$BF$14,IF(SD!$C$11="Per Uploaded File",Lap!$A$19:$BF$30,"")),MATCH(CR73,Lap!$A$3:$A$14,0),MATCH(VALUE(D73),Lap!$A$3:$BF$3,0)+IF(IFERROR(FIND("Grade 60",_xlpm.GRR),0)&gt;0,0,IF(IFERROR(FIND("Grade 80",_xlpm.GRR),0),1,IF(IFERROR(FIND("Grade 75",_xlpm.GRR),0),2,"")))),""),Data!J73),SD!$C$43))</f>
        <v>Match Lap</v>
      </c>
      <c r="CW73">
        <f t="shared" si="42"/>
        <v>0</v>
      </c>
      <c r="CX73">
        <f t="shared" si="43"/>
        <v>0</v>
      </c>
      <c r="CY73" t="str">
        <f t="shared" si="44"/>
        <v/>
      </c>
      <c r="DA73" t="str">
        <f t="shared" si="45"/>
        <v/>
      </c>
      <c r="DB73" t="str">
        <f t="shared" si="46"/>
        <v/>
      </c>
      <c r="DC73" s="24" t="str">
        <f t="shared" si="47"/>
        <v/>
      </c>
      <c r="DD73">
        <f t="shared" si="48"/>
        <v>10.583333333333334</v>
      </c>
      <c r="DE73" t="s">
        <v>785</v>
      </c>
      <c r="DF73" t="s">
        <v>67</v>
      </c>
      <c r="DG73" t="str">
        <f>VLOOKUP(W73,'Level Wise PSI'!$F$2:$G$12,2,FALSE)</f>
        <v>Double Lift</v>
      </c>
      <c r="DI73" t="str" cm="1">
        <f t="array" ref="DI73">_xlfn.LET(_xlpm.Coup,IFERROR(IF(BY73="","",IF(K73="Coupler",_xlfn._xlws.FILTER(CCFCoupler,(CCName=SD!$C$8)*(CBSize=IF(A72=A73,W72&amp;W73,BX73&amp;W73))),"")),"N/A"),IF(_xlpm.Coup=0,"",_xlpm.Coup))</f>
        <v/>
      </c>
      <c r="DJ73" t="str" cm="1">
        <f t="array" ref="DJ73">_xlfn.LET(_xlpm.Coup3,IFERROR(IF(CG73="","",IF(K74="Coupler",_xlfn._xlws.FILTER(CCFCoupler,(CCName=SD!$C$8)*(CBSize=IF(A73=A74,W73&amp;W74,""))),"")),"N/A"),IF(_xlpm.Coup3=0,"",_xlpm.Coup3))</f>
        <v/>
      </c>
      <c r="DK73" t="str" cm="1">
        <f t="array" ref="DK73">_xlfn.LET(_xlpm.Coup2,IFERROR(IF(A73&lt;&gt;A74,"",IF(DF73="No Lap","",IF(K74="Coupler",_xlfn._xlws.FILTER(CCFCoupler,(CCName=SD!$C$8)*(CBSize=IF(A72=A73,W73&amp;W74,W73&amp;W73))),""))),"N/A"),IF(_xlpm.Coup2=0,"",_xlpm.Coup2))</f>
        <v/>
      </c>
      <c r="DM73" t="str">
        <f>IF(AM73="Spiral","",IF(SD!$C$31=SD!$Y$3,SD!$E$32*2,""))</f>
        <v/>
      </c>
      <c r="DO73" s="24">
        <f t="shared" si="49"/>
        <v>6</v>
      </c>
      <c r="DQ73" t="str">
        <f t="shared" si="50"/>
        <v>Lig</v>
      </c>
      <c r="DR73" t="str">
        <f>IF(AM73="Spiral",((Y73-(SD!$E$12*2))/12),"")</f>
        <v/>
      </c>
      <c r="DS73" t="str">
        <f t="shared" si="51"/>
        <v/>
      </c>
      <c r="DT73" t="str">
        <f t="shared" si="52"/>
        <v/>
      </c>
      <c r="DU73" t="str">
        <f t="shared" si="53"/>
        <v/>
      </c>
    </row>
    <row r="74" spans="1:125" x14ac:dyDescent="0.25">
      <c r="A74">
        <v>31</v>
      </c>
      <c r="B74" t="s">
        <v>674</v>
      </c>
      <c r="C74" s="15">
        <v>2429</v>
      </c>
      <c r="D74" s="15">
        <v>10000</v>
      </c>
      <c r="E74" t="str">
        <f>IF(B74=Level!$A$2,SD!$C$14,SD!$C$13)</f>
        <v>0-8</v>
      </c>
      <c r="F74" s="15" t="s">
        <v>787</v>
      </c>
      <c r="G74" t="s">
        <v>750</v>
      </c>
      <c r="H74" t="str">
        <f>RIGHT(VLOOKUP(B74,Level!A:C,3,FALSE),LEN(VLOOKUP(B74,Level!A:C,3,FALSE))-1)</f>
        <v>10-7</v>
      </c>
      <c r="I74" t="s">
        <v>751</v>
      </c>
      <c r="J74" t="str">
        <f>IF(AND(SD!$C$19=SD!$H$2,Grade!$G$1="Per level"),VLOOKUP(B74,Grade!$E$1:$F$200,2,FALSE),IF(AND(SD!$C$19=SD!$H$2,Grade!$G$1="Per Bar Size"),VLOOKUP(W74,Grade!$B$1:$C$12,2,0),SD!$C$19))</f>
        <v>A615 Grade 60</v>
      </c>
      <c r="K74" t="s">
        <v>67</v>
      </c>
      <c r="L74" t="str">
        <f>IFERROR(IF(A74&lt;&gt;A75,"",IF(DF74="No Lap","",IF(K75="Lap",U74,IF(K75="Coupler",_xlfn._xlws.FILTER(CCoupler,(CCName=SD!$C$8)*(CBSize=IF(A73=A74,W74&amp;W75,W74&amp;W74))*(CCMFM="Male")),"")))),"N/A")</f>
        <v>5-1</v>
      </c>
      <c r="M74" t="str">
        <f t="shared" si="27"/>
        <v/>
      </c>
      <c r="N74" t="s">
        <v>719</v>
      </c>
      <c r="O74" t="s">
        <v>720</v>
      </c>
      <c r="P74" t="s">
        <v>719</v>
      </c>
      <c r="Q74" t="str">
        <f>IF(AND(SD!$C$29=SD!$P$2,Grade!$O$1="Per level"),VLOOKUP(B74,Grade!$M$1:$N$200,2,FALSE),IF(AND(SD!$C$29=SD!$P$2,Grade!$O$1="Per Bar Size"),VLOOKUP(LEFT(N74,FIND("@",N74)-2),Grade!$J$1:$K$12,2,0),SD!$C$29))</f>
        <v>A615 Grade 60</v>
      </c>
      <c r="R74" t="s">
        <v>728</v>
      </c>
      <c r="S74" s="57">
        <v>74</v>
      </c>
      <c r="U74" t="str">
        <f>IF(Data!$J74="",IFERROR(INDEX(IF(SD!$C$11="Create",Lap!$A$3:$BF$14,IF(SD!$C$11="Per Uploaded File",Lap!$A$19:$BF$30,"")),MATCH(W74,Lap!$A$3:$A$14,0),MATCH(VALUE(D74),Lap!$A$3:$BF$3,0)+IF(IFERROR(FIND("Grade 60",J74),0)&gt;0,0,IF(IFERROR(FIND("Grade 80",J74),0),1,IF(IFERROR(FIND("Grade 75",J74),0),2,"")))),""),Data!J74)</f>
        <v>5-1</v>
      </c>
      <c r="W74" t="s">
        <v>176</v>
      </c>
      <c r="X74">
        <v>12</v>
      </c>
      <c r="Y74" t="str">
        <f t="shared" si="28"/>
        <v xml:space="preserve">18 </v>
      </c>
      <c r="Z74" t="str">
        <f t="shared" si="29"/>
        <v xml:space="preserve"> 72</v>
      </c>
      <c r="AA74" s="24">
        <f t="shared" si="30"/>
        <v>15.666666666666666</v>
      </c>
      <c r="BB74" t="e" cm="1">
        <f t="array" ref="BB74">_xlfn.LET(_xlpm.PartF,(_xlfn.LET(_xlpm.grade, Q74,_xlpm.gradeRange, IF(_xlpm.grade=SD!$H$3, A615GR60, IF(_xlpm.grade=SD!$H$4, A615GR75, IF(_xlpm.grade=SD!$H$5, A615GR80, IF(_xlpm.grade=SD!$H$6, A615GR100, IF(_xlpm.grade=SD!$H$7, A706GR60, IF(_xlpm.grade=SD!$H$8, A706GR80)))))),_xlpm.matchValue, MATCH(1, (SD!$AW:$AW=AS74)*(SD!$AX:$AX=SD!$C$8), 0),INDEX(_xlpm.gradeRange, _xlpm.matchValue))),IF(AM74="Spiral",CONCATENATE("SP",_xlpm.PartF),_xlpm.PartF))</f>
        <v>#N/A</v>
      </c>
      <c r="BC74" cm="1">
        <f t="array" ref="BC74">_xlfn.LET(_xlpm.leftPart, LEFT(O74, FIND("@", O74) - 2),_xlpm.grade,Q74,_xlpm.gradeRange,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4" cm="1">
        <f t="array" ref="BD74">_xlfn.LET(_xlpm.leftPart, LEFT(P74, FIND("@", P74) - 2),_xlpm.grade, Q74,_xlpm.gradeRange,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4">
        <f t="shared" si="31"/>
        <v>6</v>
      </c>
      <c r="BF74">
        <f>IF(SD!$C$32=SD!$I$2,BE74,IF(SD!$C$32=SD!$I$3,DO74,IF(SD!$C$32=SD!$I$5,BA74,IF(SD!$C$32=SD!$I$6,(LEFT(SD!$C$35,FIND("-",SD!$C$35)-1)+RIGHT(SD!$C$35,LEN(SD!$C$35)-FIND("-",SD!$C$35))/12),IF(SD!$C$32=SD!$I$4,(AU74-(BG74+BH74)))))))</f>
        <v>0</v>
      </c>
      <c r="BG74">
        <f>IF(SD!$C$33=SD!$I$2,BE74,IF(SD!$C$33=SD!$I$3,DO74,IF(SD!$C$33=SD!$I$5,BA74,IF(SD!$C$33=SD!$I$6,(LEFT(SD!$C$35,FIND("-",SD!$C$35)-1)+RIGHT(SD!$C$35,LEN(SD!$C$35)-FIND("-",SD!$C$35))/12),IF(SD!$C$33=SD!$I$4,(AU74-(BF74+BH74)))))))</f>
        <v>-1</v>
      </c>
      <c r="BH74">
        <f>IF(SD!$C$34=SD!$I$2,BE74,IF(SD!$C$34=SD!$I$3,DO74,IF(SD!$C$34=SD!$I$5,BA74,IF(SD!$C$34=SD!$I$6,(LEFT(SD!$C$35,FIND("-",SD!$C$35)-1)+RIGHT(SD!$C$35,LEN(SD!$C$35)-FIND("-",SD!$C$35))/12),IF(SD!$C$34=SD!$I$4,(AU74-(BF74+BG74)))))))</f>
        <v>1</v>
      </c>
      <c r="BJ74">
        <f>IF(AM74="Spiral","1",MAX(ROUNDUP(IF(SD!$C$32="",AT74,BF74/(LEFT(RIGHT(N74,LEN(N74)-FIND("@",N74)),LEN(RIGHT(N74,LEN(N74)-FIND("@",N74)))-1)/12)+1),0),0))</f>
        <v>1</v>
      </c>
      <c r="BK74">
        <f>MAX(ROUNDUP(IF(SD!$C$33="","",BG74/(LEFT(RIGHT(O74,LEN(O74)-FIND("@",O74)),LEN(RIGHT(O74,LEN(O74)-FIND("@",O74)))-1)/12)+1),0),0)</f>
        <v>0</v>
      </c>
      <c r="BL74">
        <f>MAX(ROUNDUP(IF(SD!$C$34="","",BH74/(LEFT(RIGHT(P74,LEN(P74)-FIND("@",P74)),LEN(RIGHT(P74,LEN(P74)-FIND("@",P74)))-1)/12)+1),0),0)</f>
        <v>3</v>
      </c>
      <c r="BN74" t="e">
        <f t="shared" si="32"/>
        <v>#N/A</v>
      </c>
      <c r="BO74" t="e">
        <f t="shared" si="33"/>
        <v>#N/A</v>
      </c>
      <c r="BP74" t="e">
        <f t="shared" si="34"/>
        <v>#N/A</v>
      </c>
      <c r="BQ74" s="24" t="e">
        <f>IF(AM74=TRUE,(((Y74-(SD!$E$12*2))*3.14159265359)+BN74+BO74+BP74)/12+AL74,SUM(AF74:AG74,BN74,BO74,BP74,AO74,AQ74)/12)</f>
        <v>#N/A</v>
      </c>
      <c r="BR74" t="e">
        <f t="shared" si="35"/>
        <v>#N/A</v>
      </c>
      <c r="BS74" t="e">
        <f t="shared" si="36"/>
        <v>#N/A</v>
      </c>
      <c r="BT74" t="e">
        <f t="shared" si="37"/>
        <v>#N/A</v>
      </c>
      <c r="BU74" s="24" t="e">
        <f>IF(AM74=TRUE,(((Y74-(SD!$E$12*2))*3.14159265359)+BR74+BS74+BT74)/12+AL74,SUM(AF74:AG74,BR74,BS74,BT74,AO74,AQ74)/12)</f>
        <v>#N/A</v>
      </c>
      <c r="BW74" t="str">
        <f>IFERROR(LEFT(Data!L74,FIND(" -",Data!L74)-1),"")</f>
        <v/>
      </c>
      <c r="BX74" t="str">
        <f>IFERROR(IF(SD!$C$40=SD!$U$2,W74,IF(SD!$C$40=SD!$U$3,RIGHT(Data!L74,LEN(Data!L74)-(FIND("-",Data!L74)+1)),SD!$C$40)),"")</f>
        <v>#10</v>
      </c>
      <c r="BY74" t="str" cm="1">
        <f t="array" ref="BY74">IFERROR(_xlfn.LET(_xlpm.GRR,IF(AND(SD!$C$19=SD!$H$2,Grade!$G$1="Per level"),VLOOKUP(B74,Grade!$E$1:$F$200,2,FALSE),IF(AND(SD!$C$19=SD!$H$2,Grade!$G$1="Per Bar Size"),VLOOKUP(BX74,Grade!$B$1:$C$12,2,0),SD!$C$19)),_xlpm.is_equal, A73=A74,_xlpm.grade_range, IF(_xlpm.GRR=SD!$H$3, A615GR60,IF(_xlpm.GRR=SD!$H$4, A615GR75,IF(_xlpm.GRR=SD!$H$5, A615GR80,IF(_xlpm.GRR=SD!H78, A615GR100,IF(_xlpm.GRR=SD!$H$7, A706GR60,IF(_xlpm.GRR=SD!$H$8, A706GR80)))))),_xlpm.match_result, MATCH(1, (BSize=BX74)*(BCName=SD!$C$8), 0),_xlpm.final_result, INDEX(_xlpm.grade_range, _xlpm.match_result),IF(_xlpm.is_equal, "", _xlpm.final_result)),"")</f>
        <v/>
      </c>
      <c r="BZ74" t="str">
        <f>IF(A73=A74,"",IF(SD!$C$41="Match Vertical Bars ",X74,IF(SD!$C$41=SD!$V$3,BW74,SD!$C$41)))</f>
        <v/>
      </c>
      <c r="CA74" t="str" cm="1">
        <f t="array" ref="CA74">IF(A73=A74,"",IF(SD!$C$44="No T-Head",IF(SD!$C$42=SD!$Q$3,VLOOKUP(BX74,S90Range,3,FALSE),LEFT(SD!$C$42,FIND("-",SD!$C$42)-1)+(RIGHT(SD!$C$42,LEN(SD!$C$42)-FIND("-",SD!$C$42))/12)),IF(SD!$C$44="T-Head",_xlfn._xlws.FILTER(THead,(TCName=SD!$C$8)*(TSize=BX74)),IF(SD!$C$44="Level Wise",_xlfn.LET(_xlpm.result,_xlfn.XLOOKUP(B74,VDLevel,VDLevelStatus,"No"),IF(_xlpm.result="Yes",_xlfn._xlws.FILTER(THead,(TCName=SD!$C$8)*(TSize=BX74)),IF(SD!$C$42=SD!$Q$3,VLOOKUP(BX74,S90Range,3,FALSE),LEFT(SD!$C$42,FIND("-",SD!$C$42)-1)+(RIGHT(SD!$C$42,LEN(SD!$C$42)-FIND("-", SD!$C$42))/12)))),IF(SD!$C$44="BarSize Wise",_xlfn.LET(_xlpm.result,_xlfn.XLOOKUP(BX74,VDBarSize,VDBarSizeStatus,"No"),IF(_xlpm.result="Yes",_xlfn._xlws.FILTER(THead,(TCName=SD!$C$8)*(TSize=BX74)),IF(SD!$C$42=SD!$Q$3,VLOOKUP(BX74,S90Range,3,FALSE),LEFT(SD!$C$42,FIND("-",SD!$C$42)-1)+(RIGHT(SD!$C$42,LEN(SD!$C$42)-FIND("-",SD!$C$42))/12)))), "")))))</f>
        <v/>
      </c>
      <c r="CB74" t="str" cm="1">
        <f t="array" ref="CB74">_xlfn.LET(_xlpm.GRR,IF(AND(SD!$C$19=SD!$H$2,Grade!$G$1="Per level"),VLOOKUP(B74,Grade!$E$1:$F$200,2,FALSE),IF(AND(SD!$C$19=SD!$H$2,Grade!$G$1="Per Bar Size"),VLOOKUP(BX74,Grade!$B$1:$C$12,2,0),SD!$C$19)),_xlpm.is_coupler, K74="Coupler",_xlpm.condition1, SD!$C$43=SD!$W$2,_xlpm.data_j2_empty, Data!$J74="",_xlpm.lookup_table, IF(SD!$C$11="Create", Lap!$A$3:$BF$14, IF(SD!$C$11="Per Uploaded File", Lap!$A$19:$BF$30, "")),_xlpm.row_match, MATCH(BX74, Lap!$A$3:$A$14, 0),_xlpm.grade_offset, IF(IFERROR(FIND("Grade 60",_xlpm.GRR), 0) &gt; 0, 0, IF(IFERROR(FIND("Grade 80",_xlpm.GRR), 0), 1, IF(IFERROR(FIND("Grade 75",_xlpm.GRR), 0), 2, ""))),_xlpm.col_match, MATCH(VALUE(D74), Lap!$A$3:$BF$3, 0) + _xlpm.grade_offset,_xlpm.index_result, IFERROR(INDEX(_xlpm.lookup_table, _xlpm.row_match, _xlpm.col_match), Data!$J74),_xlpm.result_if_condition1, IF(_xlpm.data_j2_empty, _xlpm.index_result, Data!$J74),IF(_xlpm.is_coupler, 0, IF(_xlpm.condition1, _xlpm.result_if_condition1, SD!$C$43)))</f>
        <v>5-1</v>
      </c>
      <c r="CC74" s="24">
        <f t="shared" si="38"/>
        <v>5.083333333333333</v>
      </c>
      <c r="CD74">
        <f t="shared" si="39"/>
        <v>5.75</v>
      </c>
      <c r="CE74" t="str" cm="1">
        <f t="array" ref="CE74">IF(BY74="","",_xlfn._xlws.FILTER(SAC,(CName=SD!$C$8)*(EName="Vert Dowels")))</f>
        <v/>
      </c>
      <c r="CF74" t="str" cm="1">
        <f t="array" ref="CF74">IFERROR(IF(BY74="","",IF(K74="Coupler",_xlfn._xlws.FILTER(CCoupler,(CCName=SD!$C$8)*(CBSize=IF(A73=A74,W73&amp;W74,BX74&amp;W74))*(CCMFM="Male")),"")),"N/A")</f>
        <v/>
      </c>
      <c r="CG74" t="str">
        <f t="shared" si="40"/>
        <v/>
      </c>
      <c r="CH74" t="str">
        <f t="shared" si="41"/>
        <v/>
      </c>
      <c r="CI74" t="str">
        <f>_xlfn.LET(_xlpm.u3_value, U75,_xlpm.hyphen_pos,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K75="Coupler",_xlpm.coupler_value, IF(_xlpm.is_coupler, 0, _xlpm.calculated_value),_xlpm.final_value, _xlpm.calculated_value + SD!$E$13 + _xlpm.coupler_value,IF(CG74="", "", _xlpm.final_value))</f>
        <v/>
      </c>
      <c r="CJ74" t="str" cm="1">
        <f t="array" ref="CJ74">IF(CG74="","",_xlfn._xlws.FILTER(SAC,(CName=SD!$C$8)*(EName="Loose Dowels")))</f>
        <v/>
      </c>
      <c r="CK74" t="str" cm="1">
        <f t="array" ref="CK74">IFERROR(IF(CG74="","",IF(K75="Coupler",_xlfn._xlws.FILTER(CCoupler,(CCName=SD!$C$8)*(CBSize=IF(A74=A75,W74&amp;W75,""))*(CCMFM="Male")),"")),"N/A")</f>
        <v/>
      </c>
      <c r="CL74" t="str">
        <f>IFERROR(IF(AM74="Spiral","",IF(A73=A74,"",IF(SD!$C$37=0,"",SD!$C$37))),"")</f>
        <v/>
      </c>
      <c r="CN74">
        <f>IF(AM74="Spiral","",IFERROR(IF(SD!$C$36=0,"",SD!$C$36),""))</f>
        <v>5</v>
      </c>
      <c r="CP74" t="str">
        <f>IFERROR(IF(SD!$C$42=SD!$Q$3,'Take-off'!CA74,""),"")</f>
        <v/>
      </c>
      <c r="CR74">
        <f>IFERROR(IF(SD!$C$22=SD!$U$2,W74,SD!$C$22),"")</f>
        <v>0</v>
      </c>
      <c r="CS74" t="str" cm="1">
        <f t="array" ref="CS74">_xlfn.LET(_xlpm.GR,IF(AND(SD!$C$19=SD!$H$2,Grade!$G$1="Per level"),VLOOKUP(B74,Grade!$E$1:$F$200,2,FALSE),IF(AND(SD!$C$19=SD!$H$2,Grade!$G$1="Per Bar Size"),VLOOKUP(CR74,Grade!$B$1:$C$12,2,0),SD!$C$19)),IF(SD!$C$20=SD!$R$4,IF(A75=A74,"",INDEX(IF(_xlpm.GR=SD!$H$3,A615GR60,IF(_xlpm.GR=SD!$H$4,A615GR75,IF(_xlpm.GR=SD!$H$5,A615GR80,IF(_xlpm.GR=SD!H78,A615GR100,IF(_xlpm.GR=SD!$H$7,A706GR60,IF(_xlpm.GR=SD!$H$8,A706GR80)))))), MATCH(1, (BSize=CR74)*(BCName=SD!$C$8), 0))),""))</f>
        <v/>
      </c>
      <c r="CT74" t="str">
        <f>IF(A75=A74,"",IF(SD!$C$23="Match Vertical Bars ",X74,SD!$C$23))</f>
        <v/>
      </c>
      <c r="CU74" t="str" cm="1">
        <f t="array" ref="CU74">IF(A75=A74,"",IF(SD!$C$20="Top dowels",IF(SD!$E$25="No T-Head",IF(SD!$C$24=SD!$Q$3,VLOOKUP(CR74,S90Range,3,FALSE),LEFT(SD!$C$24,FIND("-",SD!$C$24)-1)+(RIGHT(SD!$C$24,LEN(SD!$C$24)-FIND("-",SD!$C$24))/12)),IF(SD!$E$25="T-Head",_xlfn._xlws.FILTER(THead,(TCName=SD!$C$8)*(TSize=CR74)),IF(SD!$E$25="Level Wise",_xlfn.LET(_xlpm.result,_xlfn.XLOOKUP(B74,TDLevel,TDLevelStatus,"No"),IF(_xlpm.result="Yes",_xlfn._xlws.FILTER(THead,(TCName=SD!$C$8)*(TSize=CR74)),IF(SD!$C$24=SD!$Q$3,VLOOKUP(CR74,S90Range,3,FALSE),LEFT(SD!$C$24,FIND("-",SD!$C$24)-1)+(RIGHT(SD!$C$24,LEN(SD!$C$24)-FIND("-", SD!$C$24))/12)))),IF(SD!$E$25="BarSize Wise",_xlfn.LET(_xlpm.result,_xlfn.XLOOKUP(CR74,TDBarSize,TDBarSizeStatus,"No"),IF(_xlpm.result="Yes",_xlfn._xlws.FILTER(THead,(TCName=SD!$C$8)*(TSize=CR74)),IF(SD!$C$24=SD!$Q$3,VLOOKUP(CR74,S90Range,3,FALSE),LEFT(SD!$C$24,FIND("-",SD!$C$24)-1)+(RIGHT(SD!$C$24,LEN(SD!$C$24)-FIND("-",SD!$C$24))/12)))), "")))),""))</f>
        <v/>
      </c>
      <c r="CV74" t="str">
        <f>_xlfn.LET(_xlpm.GRR,IF(AND(SD!$C$19=SD!$H$2,Grade!$G$1="Per level"),VLOOKUP(B74,Grade!$E$1:$F$200,2,FALSE),IF(AND(SD!$C$19=SD!$H$2,Grade!$G$1="Per Bar Size"),VLOOKUP(CR74,Grade!$B$1:$C$12,2,0),SD!$C$19)),IF(SD!$C$25=SD!$W$2,IF(Data!$J74="",IFERROR(INDEX(IF(SD!$C$11="Create",Lap!$A$3:$BF$14,IF(SD!$C$11="Per Uploaded File",Lap!$A$19:$BF$30,"")),MATCH(CR74,Lap!$A$3:$A$14,0),MATCH(VALUE(D74),Lap!$A$3:$BF$3,0)+IF(IFERROR(FIND("Grade 60",_xlpm.GRR),0)&gt;0,0,IF(IFERROR(FIND("Grade 80",_xlpm.GRR),0),1,IF(IFERROR(FIND("Grade 75",_xlpm.GRR),0),2,"")))),""),Data!J74),SD!$C$43))</f>
        <v>Match Lap</v>
      </c>
      <c r="CW74">
        <f t="shared" si="42"/>
        <v>0</v>
      </c>
      <c r="CX74">
        <f t="shared" si="43"/>
        <v>0</v>
      </c>
      <c r="CY74" t="str">
        <f t="shared" si="44"/>
        <v/>
      </c>
      <c r="DA74" t="str">
        <f t="shared" si="45"/>
        <v/>
      </c>
      <c r="DB74" t="str">
        <f t="shared" si="46"/>
        <v/>
      </c>
      <c r="DC74" s="24" t="str">
        <f t="shared" si="47"/>
        <v/>
      </c>
      <c r="DD74">
        <f t="shared" si="48"/>
        <v>10.583333333333334</v>
      </c>
      <c r="DE74" t="s">
        <v>785</v>
      </c>
      <c r="DF74" t="s">
        <v>67</v>
      </c>
      <c r="DG74" t="str">
        <f>VLOOKUP(W74,'Level Wise PSI'!$F$2:$G$12,2,FALSE)</f>
        <v>Double Lift</v>
      </c>
      <c r="DI74" t="str" cm="1">
        <f t="array" ref="DI74">_xlfn.LET(_xlpm.Coup,IFERROR(IF(BY74="","",IF(K74="Coupler",_xlfn._xlws.FILTER(CCFCoupler,(CCName=SD!$C$8)*(CBSize=IF(A73=A74,W73&amp;W74,BX74&amp;W74))),"")),"N/A"),IF(_xlpm.Coup=0,"",_xlpm.Coup))</f>
        <v/>
      </c>
      <c r="DJ74" t="str" cm="1">
        <f t="array" ref="DJ74">_xlfn.LET(_xlpm.Coup3,IFERROR(IF(CG74="","",IF(K75="Coupler",_xlfn._xlws.FILTER(CCFCoupler,(CCName=SD!$C$8)*(CBSize=IF(A74=A75,W74&amp;W75,""))),"")),"N/A"),IF(_xlpm.Coup3=0,"",_xlpm.Coup3))</f>
        <v/>
      </c>
      <c r="DK74" t="str" cm="1">
        <f t="array" ref="DK74">_xlfn.LET(_xlpm.Coup2,IFERROR(IF(A74&lt;&gt;A75,"",IF(DF74="No Lap","",IF(K75="Coupler",_xlfn._xlws.FILTER(CCFCoupler,(CCName=SD!$C$8)*(CBSize=IF(A73=A74,W74&amp;W75,W74&amp;W74))),""))),"N/A"),IF(_xlpm.Coup2=0,"",_xlpm.Coup2))</f>
        <v/>
      </c>
      <c r="DM74" t="str">
        <f>IF(AM74="Spiral","",IF(SD!$C$31=SD!$Y$3,SD!$E$32*2,""))</f>
        <v/>
      </c>
      <c r="DO74" s="24">
        <f t="shared" si="49"/>
        <v>6</v>
      </c>
      <c r="DQ74" t="str">
        <f t="shared" si="50"/>
        <v>Lig</v>
      </c>
      <c r="DR74" t="str">
        <f>IF(AM74="Spiral",((Y74-(SD!$E$12*2))/12),"")</f>
        <v/>
      </c>
      <c r="DS74" t="str">
        <f t="shared" si="51"/>
        <v/>
      </c>
      <c r="DT74" t="str">
        <f t="shared" si="52"/>
        <v/>
      </c>
      <c r="DU74" t="str">
        <f t="shared" si="53"/>
        <v/>
      </c>
    </row>
    <row r="75" spans="1:125" x14ac:dyDescent="0.25">
      <c r="A75">
        <v>31</v>
      </c>
      <c r="B75" t="s">
        <v>676</v>
      </c>
      <c r="C75" s="15">
        <v>2429</v>
      </c>
      <c r="D75" s="15">
        <v>10000</v>
      </c>
      <c r="E75" t="str">
        <f>IF(B75=Level!$A$2,SD!$C$14,SD!$C$13)</f>
        <v>0-8</v>
      </c>
      <c r="F75" s="15" t="s">
        <v>787</v>
      </c>
      <c r="G75" t="s">
        <v>750</v>
      </c>
      <c r="H75" t="str">
        <f>RIGHT(VLOOKUP(B75,Level!A:C,3,FALSE),LEN(VLOOKUP(B75,Level!A:C,3,FALSE))-1)</f>
        <v>10-7</v>
      </c>
      <c r="I75" t="s">
        <v>751</v>
      </c>
      <c r="J75" t="str">
        <f>IF(AND(SD!$C$19=SD!$H$2,Grade!$G$1="Per level"),VLOOKUP(B75,Grade!$E$1:$F$200,2,FALSE),IF(AND(SD!$C$19=SD!$H$2,Grade!$G$1="Per Bar Size"),VLOOKUP(W75,Grade!$B$1:$C$12,2,0),SD!$C$19))</f>
        <v>A615 Grade 60</v>
      </c>
      <c r="K75" t="s">
        <v>67</v>
      </c>
      <c r="L75" t="str">
        <f>IFERROR(IF(A75&lt;&gt;A76,"",IF(DF75="No Lap","",IF(K76="Lap",U75,IF(K76="Coupler",_xlfn._xlws.FILTER(CCoupler,(CCName=SD!$C$8)*(CBSize=IF(A74=A75,W75&amp;W76,W75&amp;W75))*(CCMFM="Male")),"")))),"N/A")</f>
        <v>5-1</v>
      </c>
      <c r="M75" t="str">
        <f t="shared" si="27"/>
        <v/>
      </c>
      <c r="N75" t="s">
        <v>719</v>
      </c>
      <c r="O75" t="s">
        <v>720</v>
      </c>
      <c r="P75" t="s">
        <v>719</v>
      </c>
      <c r="Q75" t="str">
        <f>IF(AND(SD!$C$29=SD!$P$2,Grade!$O$1="Per level"),VLOOKUP(B75,Grade!$M$1:$N$200,2,FALSE),IF(AND(SD!$C$29=SD!$P$2,Grade!$O$1="Per Bar Size"),VLOOKUP(LEFT(N75,FIND("@",N75)-2),Grade!$J$1:$K$12,2,0),SD!$C$29))</f>
        <v>A615 Grade 60</v>
      </c>
      <c r="R75" t="s">
        <v>728</v>
      </c>
      <c r="S75" s="57">
        <v>75</v>
      </c>
      <c r="U75" t="str">
        <f>IF(Data!$J75="",IFERROR(INDEX(IF(SD!$C$11="Create",Lap!$A$3:$BF$14,IF(SD!$C$11="Per Uploaded File",Lap!$A$19:$BF$30,"")),MATCH(W75,Lap!$A$3:$A$14,0),MATCH(VALUE(D75),Lap!$A$3:$BF$3,0)+IF(IFERROR(FIND("Grade 60",J75),0)&gt;0,0,IF(IFERROR(FIND("Grade 80",J75),0),1,IF(IFERROR(FIND("Grade 75",J75),0),2,"")))),""),Data!J75)</f>
        <v>5-1</v>
      </c>
      <c r="W75" t="s">
        <v>176</v>
      </c>
      <c r="X75">
        <v>12</v>
      </c>
      <c r="Y75" t="str">
        <f t="shared" si="28"/>
        <v xml:space="preserve">18 </v>
      </c>
      <c r="Z75" t="str">
        <f t="shared" si="29"/>
        <v xml:space="preserve"> 72</v>
      </c>
      <c r="AA75" s="24">
        <f t="shared" si="30"/>
        <v>15.666666666666666</v>
      </c>
      <c r="BB75" t="e" cm="1">
        <f t="array" ref="BB75">_xlfn.LET(_xlpm.PartF,(_xlfn.LET(_xlpm.grade, Q75,_xlpm.gradeRange, IF(_xlpm.grade=SD!$H$3, A615GR60, IF(_xlpm.grade=SD!$H$4, A615GR75, IF(_xlpm.grade=SD!$H$5, A615GR80, IF(_xlpm.grade=SD!$H$6, A615GR100, IF(_xlpm.grade=SD!$H$7, A706GR60, IF(_xlpm.grade=SD!$H$8, A706GR80)))))),_xlpm.matchValue, MATCH(1, (SD!$AW:$AW=AS75)*(SD!$AX:$AX=SD!$C$8), 0),INDEX(_xlpm.gradeRange, _xlpm.matchValue))),IF(AM75="Spiral",CONCATENATE("SP",_xlpm.PartF),_xlpm.PartF))</f>
        <v>#N/A</v>
      </c>
      <c r="BC75" cm="1">
        <f t="array" ref="BC75">_xlfn.LET(_xlpm.leftPart, LEFT(O75, FIND("@", O75) - 2),_xlpm.grade,Q75,_xlpm.gradeRange,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5" cm="1">
        <f t="array" ref="BD75">_xlfn.LET(_xlpm.leftPart, LEFT(P75, FIND("@", P75) - 2),_xlpm.grade, Q75,_xlpm.gradeRange,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5">
        <f t="shared" si="31"/>
        <v>6</v>
      </c>
      <c r="BF75">
        <f>IF(SD!$C$32=SD!$I$2,BE75,IF(SD!$C$32=SD!$I$3,DO75,IF(SD!$C$32=SD!$I$5,BA75,IF(SD!$C$32=SD!$I$6,(LEFT(SD!$C$35,FIND("-",SD!$C$35)-1)+RIGHT(SD!$C$35,LEN(SD!$C$35)-FIND("-",SD!$C$35))/12),IF(SD!$C$32=SD!$I$4,(AU75-(BG75+BH75)))))))</f>
        <v>0</v>
      </c>
      <c r="BG75">
        <f>IF(SD!$C$33=SD!$I$2,BE75,IF(SD!$C$33=SD!$I$3,DO75,IF(SD!$C$33=SD!$I$5,BA75,IF(SD!$C$33=SD!$I$6,(LEFT(SD!$C$35,FIND("-",SD!$C$35)-1)+RIGHT(SD!$C$35,LEN(SD!$C$35)-FIND("-",SD!$C$35))/12),IF(SD!$C$33=SD!$I$4,(AU75-(BF75+BH75)))))))</f>
        <v>-1</v>
      </c>
      <c r="BH75">
        <f>IF(SD!$C$34=SD!$I$2,BE75,IF(SD!$C$34=SD!$I$3,DO75,IF(SD!$C$34=SD!$I$5,BA75,IF(SD!$C$34=SD!$I$6,(LEFT(SD!$C$35,FIND("-",SD!$C$35)-1)+RIGHT(SD!$C$35,LEN(SD!$C$35)-FIND("-",SD!$C$35))/12),IF(SD!$C$34=SD!$I$4,(AU75-(BF75+BG75)))))))</f>
        <v>1</v>
      </c>
      <c r="BJ75">
        <f>IF(AM75="Spiral","1",MAX(ROUNDUP(IF(SD!$C$32="",AT75,BF75/(LEFT(RIGHT(N75,LEN(N75)-FIND("@",N75)),LEN(RIGHT(N75,LEN(N75)-FIND("@",N75)))-1)/12)+1),0),0))</f>
        <v>1</v>
      </c>
      <c r="BK75">
        <f>MAX(ROUNDUP(IF(SD!$C$33="","",BG75/(LEFT(RIGHT(O75,LEN(O75)-FIND("@",O75)),LEN(RIGHT(O75,LEN(O75)-FIND("@",O75)))-1)/12)+1),0),0)</f>
        <v>0</v>
      </c>
      <c r="BL75">
        <f>MAX(ROUNDUP(IF(SD!$C$34="","",BH75/(LEFT(RIGHT(P75,LEN(P75)-FIND("@",P75)),LEN(RIGHT(P75,LEN(P75)-FIND("@",P75)))-1)/12)+1),0),0)</f>
        <v>3</v>
      </c>
      <c r="BN75" t="e">
        <f t="shared" si="32"/>
        <v>#N/A</v>
      </c>
      <c r="BO75" t="e">
        <f t="shared" si="33"/>
        <v>#N/A</v>
      </c>
      <c r="BP75" t="e">
        <f t="shared" si="34"/>
        <v>#N/A</v>
      </c>
      <c r="BQ75" s="24" t="e">
        <f>IF(AM75=TRUE,(((Y75-(SD!$E$12*2))*3.14159265359)+BN75+BO75+BP75)/12+AL75,SUM(AF75:AG75,BN75,BO75,BP75,AO75,AQ75)/12)</f>
        <v>#N/A</v>
      </c>
      <c r="BR75" t="e">
        <f t="shared" si="35"/>
        <v>#N/A</v>
      </c>
      <c r="BS75" t="e">
        <f t="shared" si="36"/>
        <v>#N/A</v>
      </c>
      <c r="BT75" t="e">
        <f t="shared" si="37"/>
        <v>#N/A</v>
      </c>
      <c r="BU75" s="24" t="e">
        <f>IF(AM75=TRUE,(((Y75-(SD!$E$12*2))*3.14159265359)+BR75+BS75+BT75)/12+AL75,SUM(AF75:AG75,BR75,BS75,BT75,AO75,AQ75)/12)</f>
        <v>#N/A</v>
      </c>
      <c r="BW75" t="str">
        <f>IFERROR(LEFT(Data!L75,FIND(" -",Data!L75)-1),"")</f>
        <v/>
      </c>
      <c r="BX75" t="str">
        <f>IFERROR(IF(SD!$C$40=SD!$U$2,W75,IF(SD!$C$40=SD!$U$3,RIGHT(Data!L75,LEN(Data!L75)-(FIND("-",Data!L75)+1)),SD!$C$40)),"")</f>
        <v>#10</v>
      </c>
      <c r="BY75" t="str" cm="1">
        <f t="array" ref="BY75">IFERROR(_xlfn.LET(_xlpm.GRR,IF(AND(SD!$C$19=SD!$H$2,Grade!$G$1="Per level"),VLOOKUP(B75,Grade!$E$1:$F$200,2,FALSE),IF(AND(SD!$C$19=SD!$H$2,Grade!$G$1="Per Bar Size"),VLOOKUP(BX75,Grade!$B$1:$C$12,2,0),SD!$C$19)),_xlpm.is_equal, A74=A75,_xlpm.grade_range, IF(_xlpm.GRR=SD!$H$3, A615GR60,IF(_xlpm.GRR=SD!$H$4, A615GR75,IF(_xlpm.GRR=SD!$H$5, A615GR80,IF(_xlpm.GRR=SD!H79, A615GR100,IF(_xlpm.GRR=SD!$H$7, A706GR60,IF(_xlpm.GRR=SD!$H$8, A706GR80)))))),_xlpm.match_result, MATCH(1, (BSize=BX75)*(BCName=SD!$C$8), 0),_xlpm.final_result, INDEX(_xlpm.grade_range, _xlpm.match_result),IF(_xlpm.is_equal, "", _xlpm.final_result)),"")</f>
        <v/>
      </c>
      <c r="BZ75" t="str">
        <f>IF(A74=A75,"",IF(SD!$C$41="Match Vertical Bars ",X75,IF(SD!$C$41=SD!$V$3,BW75,SD!$C$41)))</f>
        <v/>
      </c>
      <c r="CA75" t="str" cm="1">
        <f t="array" ref="CA75">IF(A74=A75,"",IF(SD!$C$44="No T-Head",IF(SD!$C$42=SD!$Q$3,VLOOKUP(BX75,S90Range,3,FALSE),LEFT(SD!$C$42,FIND("-",SD!$C$42)-1)+(RIGHT(SD!$C$42,LEN(SD!$C$42)-FIND("-",SD!$C$42))/12)),IF(SD!$C$44="T-Head",_xlfn._xlws.FILTER(THead,(TCName=SD!$C$8)*(TSize=BX75)),IF(SD!$C$44="Level Wise",_xlfn.LET(_xlpm.result,_xlfn.XLOOKUP(B75,VDLevel,VDLevelStatus,"No"),IF(_xlpm.result="Yes",_xlfn._xlws.FILTER(THead,(TCName=SD!$C$8)*(TSize=BX75)),IF(SD!$C$42=SD!$Q$3,VLOOKUP(BX75,S90Range,3,FALSE),LEFT(SD!$C$42,FIND("-",SD!$C$42)-1)+(RIGHT(SD!$C$42,LEN(SD!$C$42)-FIND("-", SD!$C$42))/12)))),IF(SD!$C$44="BarSize Wise",_xlfn.LET(_xlpm.result,_xlfn.XLOOKUP(BX75,VDBarSize,VDBarSizeStatus,"No"),IF(_xlpm.result="Yes",_xlfn._xlws.FILTER(THead,(TCName=SD!$C$8)*(TSize=BX75)),IF(SD!$C$42=SD!$Q$3,VLOOKUP(BX75,S90Range,3,FALSE),LEFT(SD!$C$42,FIND("-",SD!$C$42)-1)+(RIGHT(SD!$C$42,LEN(SD!$C$42)-FIND("-",SD!$C$42))/12)))), "")))))</f>
        <v/>
      </c>
      <c r="CB75" t="str" cm="1">
        <f t="array" ref="CB75">_xlfn.LET(_xlpm.GRR,IF(AND(SD!$C$19=SD!$H$2,Grade!$G$1="Per level"),VLOOKUP(B75,Grade!$E$1:$F$200,2,FALSE),IF(AND(SD!$C$19=SD!$H$2,Grade!$G$1="Per Bar Size"),VLOOKUP(BX75,Grade!$B$1:$C$12,2,0),SD!$C$19)),_xlpm.is_coupler, K75="Coupler",_xlpm.condition1, SD!$C$43=SD!$W$2,_xlpm.data_j2_empty, Data!$J75="",_xlpm.lookup_table, IF(SD!$C$11="Create", Lap!$A$3:$BF$14, IF(SD!$C$11="Per Uploaded File", Lap!$A$19:$BF$30, "")),_xlpm.row_match, MATCH(BX75, Lap!$A$3:$A$14, 0),_xlpm.grade_offset, IF(IFERROR(FIND("Grade 60",_xlpm.GRR), 0) &gt; 0, 0, IF(IFERROR(FIND("Grade 80",_xlpm.GRR), 0), 1, IF(IFERROR(FIND("Grade 75",_xlpm.GRR), 0), 2, ""))),_xlpm.col_match, MATCH(VALUE(D75), Lap!$A$3:$BF$3, 0) + _xlpm.grade_offset,_xlpm.index_result, IFERROR(INDEX(_xlpm.lookup_table, _xlpm.row_match, _xlpm.col_match), Data!$J75),_xlpm.result_if_condition1, IF(_xlpm.data_j2_empty, _xlpm.index_result, Data!$J75),IF(_xlpm.is_coupler, 0, IF(_xlpm.condition1, _xlpm.result_if_condition1, SD!$C$43)))</f>
        <v>5-1</v>
      </c>
      <c r="CC75" s="24">
        <f t="shared" si="38"/>
        <v>5.083333333333333</v>
      </c>
      <c r="CD75">
        <f t="shared" si="39"/>
        <v>5.75</v>
      </c>
      <c r="CE75" t="str" cm="1">
        <f t="array" ref="CE75">IF(BY75="","",_xlfn._xlws.FILTER(SAC,(CName=SD!$C$8)*(EName="Vert Dowels")))</f>
        <v/>
      </c>
      <c r="CF75" t="str" cm="1">
        <f t="array" ref="CF75">IFERROR(IF(BY75="","",IF(K75="Coupler",_xlfn._xlws.FILTER(CCoupler,(CCName=SD!$C$8)*(CBSize=IF(A74=A75,W74&amp;W75,BX75&amp;W75))*(CCMFM="Male")),"")),"N/A")</f>
        <v/>
      </c>
      <c r="CG75" t="str">
        <f t="shared" si="40"/>
        <v/>
      </c>
      <c r="CH75" t="str">
        <f t="shared" si="41"/>
        <v/>
      </c>
      <c r="CI75" t="str">
        <f>_xlfn.LET(_xlpm.u3_value, U76,_xlpm.hyphen_pos,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K76="Coupler",_xlpm.coupler_value, IF(_xlpm.is_coupler, 0, _xlpm.calculated_value),_xlpm.final_value, _xlpm.calculated_value + SD!$E$13 + _xlpm.coupler_value,IF(CG75="", "", _xlpm.final_value))</f>
        <v/>
      </c>
      <c r="CJ75" t="str" cm="1">
        <f t="array" ref="CJ75">IF(CG75="","",_xlfn._xlws.FILTER(SAC,(CName=SD!$C$8)*(EName="Loose Dowels")))</f>
        <v/>
      </c>
      <c r="CK75" t="str" cm="1">
        <f t="array" ref="CK75">IFERROR(IF(CG75="","",IF(K76="Coupler",_xlfn._xlws.FILTER(CCoupler,(CCName=SD!$C$8)*(CBSize=IF(A75=A76,W75&amp;W76,""))*(CCMFM="Male")),"")),"N/A")</f>
        <v/>
      </c>
      <c r="CL75" t="str">
        <f>IFERROR(IF(AM75="Spiral","",IF(A74=A75,"",IF(SD!$C$37=0,"",SD!$C$37))),"")</f>
        <v/>
      </c>
      <c r="CN75">
        <f>IF(AM75="Spiral","",IFERROR(IF(SD!$C$36=0,"",SD!$C$36),""))</f>
        <v>5</v>
      </c>
      <c r="CP75" t="str">
        <f>IFERROR(IF(SD!$C$42=SD!$Q$3,'Take-off'!CA75,""),"")</f>
        <v/>
      </c>
      <c r="CR75">
        <f>IFERROR(IF(SD!$C$22=SD!$U$2,W75,SD!$C$22),"")</f>
        <v>0</v>
      </c>
      <c r="CS75" t="str" cm="1">
        <f t="array" ref="CS75">_xlfn.LET(_xlpm.GR,IF(AND(SD!$C$19=SD!$H$2,Grade!$G$1="Per level"),VLOOKUP(B75,Grade!$E$1:$F$200,2,FALSE),IF(AND(SD!$C$19=SD!$H$2,Grade!$G$1="Per Bar Size"),VLOOKUP(CR75,Grade!$B$1:$C$12,2,0),SD!$C$19)),IF(SD!$C$20=SD!$R$4,IF(A76=A75,"",INDEX(IF(_xlpm.GR=SD!$H$3,A615GR60,IF(_xlpm.GR=SD!$H$4,A615GR75,IF(_xlpm.GR=SD!$H$5,A615GR80,IF(_xlpm.GR=SD!H79,A615GR100,IF(_xlpm.GR=SD!$H$7,A706GR60,IF(_xlpm.GR=SD!$H$8,A706GR80)))))), MATCH(1, (BSize=CR75)*(BCName=SD!$C$8), 0))),""))</f>
        <v/>
      </c>
      <c r="CT75" t="str">
        <f>IF(A76=A75,"",IF(SD!$C$23="Match Vertical Bars ",X75,SD!$C$23))</f>
        <v/>
      </c>
      <c r="CU75" t="str" cm="1">
        <f t="array" ref="CU75">IF(A76=A75,"",IF(SD!$C$20="Top dowels",IF(SD!$E$25="No T-Head",IF(SD!$C$24=SD!$Q$3,VLOOKUP(CR75,S90Range,3,FALSE),LEFT(SD!$C$24,FIND("-",SD!$C$24)-1)+(RIGHT(SD!$C$24,LEN(SD!$C$24)-FIND("-",SD!$C$24))/12)),IF(SD!$E$25="T-Head",_xlfn._xlws.FILTER(THead,(TCName=SD!$C$8)*(TSize=CR75)),IF(SD!$E$25="Level Wise",_xlfn.LET(_xlpm.result,_xlfn.XLOOKUP(B75,TDLevel,TDLevelStatus,"No"),IF(_xlpm.result="Yes",_xlfn._xlws.FILTER(THead,(TCName=SD!$C$8)*(TSize=CR75)),IF(SD!$C$24=SD!$Q$3,VLOOKUP(CR75,S90Range,3,FALSE),LEFT(SD!$C$24,FIND("-",SD!$C$24)-1)+(RIGHT(SD!$C$24,LEN(SD!$C$24)-FIND("-", SD!$C$24))/12)))),IF(SD!$E$25="BarSize Wise",_xlfn.LET(_xlpm.result,_xlfn.XLOOKUP(CR75,TDBarSize,TDBarSizeStatus,"No"),IF(_xlpm.result="Yes",_xlfn._xlws.FILTER(THead,(TCName=SD!$C$8)*(TSize=CR75)),IF(SD!$C$24=SD!$Q$3,VLOOKUP(CR75,S90Range,3,FALSE),LEFT(SD!$C$24,FIND("-",SD!$C$24)-1)+(RIGHT(SD!$C$24,LEN(SD!$C$24)-FIND("-",SD!$C$24))/12)))), "")))),""))</f>
        <v/>
      </c>
      <c r="CV75" t="str">
        <f>_xlfn.LET(_xlpm.GRR,IF(AND(SD!$C$19=SD!$H$2,Grade!$G$1="Per level"),VLOOKUP(B75,Grade!$E$1:$F$200,2,FALSE),IF(AND(SD!$C$19=SD!$H$2,Grade!$G$1="Per Bar Size"),VLOOKUP(CR75,Grade!$B$1:$C$12,2,0),SD!$C$19)),IF(SD!$C$25=SD!$W$2,IF(Data!$J75="",IFERROR(INDEX(IF(SD!$C$11="Create",Lap!$A$3:$BF$14,IF(SD!$C$11="Per Uploaded File",Lap!$A$19:$BF$30,"")),MATCH(CR75,Lap!$A$3:$A$14,0),MATCH(VALUE(D75),Lap!$A$3:$BF$3,0)+IF(IFERROR(FIND("Grade 60",_xlpm.GRR),0)&gt;0,0,IF(IFERROR(FIND("Grade 80",_xlpm.GRR),0),1,IF(IFERROR(FIND("Grade 75",_xlpm.GRR),0),2,"")))),""),Data!J75),SD!$C$43))</f>
        <v>Match Lap</v>
      </c>
      <c r="CW75">
        <f t="shared" si="42"/>
        <v>0</v>
      </c>
      <c r="CX75">
        <f t="shared" si="43"/>
        <v>0</v>
      </c>
      <c r="CY75" t="str">
        <f t="shared" si="44"/>
        <v/>
      </c>
      <c r="DA75" t="str">
        <f t="shared" si="45"/>
        <v/>
      </c>
      <c r="DB75" t="str">
        <f t="shared" si="46"/>
        <v/>
      </c>
      <c r="DC75" s="24" t="str">
        <f t="shared" si="47"/>
        <v/>
      </c>
      <c r="DD75">
        <f t="shared" si="48"/>
        <v>10.583333333333334</v>
      </c>
      <c r="DE75" t="s">
        <v>785</v>
      </c>
      <c r="DF75" t="s">
        <v>67</v>
      </c>
      <c r="DG75" t="str">
        <f>VLOOKUP(W75,'Level Wise PSI'!$F$2:$G$12,2,FALSE)</f>
        <v>Double Lift</v>
      </c>
      <c r="DI75" t="str" cm="1">
        <f t="array" ref="DI75">_xlfn.LET(_xlpm.Coup,IFERROR(IF(BY75="","",IF(K75="Coupler",_xlfn._xlws.FILTER(CCFCoupler,(CCName=SD!$C$8)*(CBSize=IF(A74=A75,W74&amp;W75,BX75&amp;W75))),"")),"N/A"),IF(_xlpm.Coup=0,"",_xlpm.Coup))</f>
        <v/>
      </c>
      <c r="DJ75" t="str" cm="1">
        <f t="array" ref="DJ75">_xlfn.LET(_xlpm.Coup3,IFERROR(IF(CG75="","",IF(K76="Coupler",_xlfn._xlws.FILTER(CCFCoupler,(CCName=SD!$C$8)*(CBSize=IF(A75=A76,W75&amp;W76,""))),"")),"N/A"),IF(_xlpm.Coup3=0,"",_xlpm.Coup3))</f>
        <v/>
      </c>
      <c r="DK75" t="str" cm="1">
        <f t="array" ref="DK75">_xlfn.LET(_xlpm.Coup2,IFERROR(IF(A75&lt;&gt;A76,"",IF(DF75="No Lap","",IF(K76="Coupler",_xlfn._xlws.FILTER(CCFCoupler,(CCName=SD!$C$8)*(CBSize=IF(A74=A75,W75&amp;W76,W75&amp;W75))),""))),"N/A"),IF(_xlpm.Coup2=0,"",_xlpm.Coup2))</f>
        <v/>
      </c>
      <c r="DM75" t="str">
        <f>IF(AM75="Spiral","",IF(SD!$C$31=SD!$Y$3,SD!$E$32*2,""))</f>
        <v/>
      </c>
      <c r="DO75" s="24">
        <f t="shared" si="49"/>
        <v>6</v>
      </c>
      <c r="DQ75" t="str">
        <f t="shared" si="50"/>
        <v>Lig</v>
      </c>
      <c r="DR75" t="str">
        <f>IF(AM75="Spiral",((Y75-(SD!$E$12*2))/12),"")</f>
        <v/>
      </c>
      <c r="DS75" t="str">
        <f t="shared" si="51"/>
        <v/>
      </c>
      <c r="DT75" t="str">
        <f t="shared" si="52"/>
        <v/>
      </c>
      <c r="DU75" t="str">
        <f t="shared" si="53"/>
        <v/>
      </c>
    </row>
    <row r="76" spans="1:125" x14ac:dyDescent="0.25">
      <c r="A76">
        <v>31</v>
      </c>
      <c r="B76" t="s">
        <v>678</v>
      </c>
      <c r="C76" s="15">
        <v>2429</v>
      </c>
      <c r="D76" s="15">
        <v>10000</v>
      </c>
      <c r="E76" t="str">
        <f>IF(B76=Level!$A$2,SD!$C$14,SD!$C$13)</f>
        <v>0-8</v>
      </c>
      <c r="F76" s="15" t="s">
        <v>787</v>
      </c>
      <c r="G76" t="s">
        <v>750</v>
      </c>
      <c r="H76" t="str">
        <f>RIGHT(VLOOKUP(B76,Level!A:C,3,FALSE),LEN(VLOOKUP(B76,Level!A:C,3,FALSE))-1)</f>
        <v>10-7</v>
      </c>
      <c r="I76" t="s">
        <v>751</v>
      </c>
      <c r="J76" t="str">
        <f>IF(AND(SD!$C$19=SD!$H$2,Grade!$G$1="Per level"),VLOOKUP(B76,Grade!$E$1:$F$200,2,FALSE),IF(AND(SD!$C$19=SD!$H$2,Grade!$G$1="Per Bar Size"),VLOOKUP(W76,Grade!$B$1:$C$12,2,0),SD!$C$19))</f>
        <v>A615 Grade 60</v>
      </c>
      <c r="K76" t="s">
        <v>67</v>
      </c>
      <c r="L76" t="str">
        <f>IFERROR(IF(A76&lt;&gt;A77,"",IF(DF76="No Lap","",IF(K77="Lap",U76,IF(K77="Coupler",_xlfn._xlws.FILTER(CCoupler,(CCName=SD!$C$8)*(CBSize=IF(A75=A76,W76&amp;W77,W76&amp;W76))*(CCMFM="Male")),"")))),"N/A")</f>
        <v>5-1</v>
      </c>
      <c r="M76" t="str">
        <f t="shared" si="27"/>
        <v/>
      </c>
      <c r="N76" t="s">
        <v>719</v>
      </c>
      <c r="O76" t="s">
        <v>720</v>
      </c>
      <c r="P76" t="s">
        <v>719</v>
      </c>
      <c r="Q76" t="str">
        <f>IF(AND(SD!$C$29=SD!$P$2,Grade!$O$1="Per level"),VLOOKUP(B76,Grade!$M$1:$N$200,2,FALSE),IF(AND(SD!$C$29=SD!$P$2,Grade!$O$1="Per Bar Size"),VLOOKUP(LEFT(N76,FIND("@",N76)-2),Grade!$J$1:$K$12,2,0),SD!$C$29))</f>
        <v>A615 Grade 60</v>
      </c>
      <c r="R76" t="s">
        <v>728</v>
      </c>
      <c r="S76" s="57">
        <v>76</v>
      </c>
      <c r="U76" t="str">
        <f>IF(Data!$J76="",IFERROR(INDEX(IF(SD!$C$11="Create",Lap!$A$3:$BF$14,IF(SD!$C$11="Per Uploaded File",Lap!$A$19:$BF$30,"")),MATCH(W76,Lap!$A$3:$A$14,0),MATCH(VALUE(D76),Lap!$A$3:$BF$3,0)+IF(IFERROR(FIND("Grade 60",J76),0)&gt;0,0,IF(IFERROR(FIND("Grade 80",J76),0),1,IF(IFERROR(FIND("Grade 75",J76),0),2,"")))),""),Data!J76)</f>
        <v>5-1</v>
      </c>
      <c r="W76" t="s">
        <v>176</v>
      </c>
      <c r="X76">
        <v>12</v>
      </c>
      <c r="Y76" t="str">
        <f t="shared" si="28"/>
        <v xml:space="preserve">18 </v>
      </c>
      <c r="Z76" t="str">
        <f t="shared" si="29"/>
        <v xml:space="preserve"> 72</v>
      </c>
      <c r="AA76" s="24">
        <f t="shared" si="30"/>
        <v>15.666666666666666</v>
      </c>
      <c r="BB76" t="e" cm="1">
        <f t="array" ref="BB76">_xlfn.LET(_xlpm.PartF,(_xlfn.LET(_xlpm.grade, Q76,_xlpm.gradeRange, IF(_xlpm.grade=SD!$H$3, A615GR60, IF(_xlpm.grade=SD!$H$4, A615GR75, IF(_xlpm.grade=SD!$H$5, A615GR80, IF(_xlpm.grade=SD!$H$6, A615GR100, IF(_xlpm.grade=SD!$H$7, A706GR60, IF(_xlpm.grade=SD!$H$8, A706GR80)))))),_xlpm.matchValue, MATCH(1, (SD!$AW:$AW=AS76)*(SD!$AX:$AX=SD!$C$8), 0),INDEX(_xlpm.gradeRange, _xlpm.matchValue))),IF(AM76="Spiral",CONCATENATE("SP",_xlpm.PartF),_xlpm.PartF))</f>
        <v>#N/A</v>
      </c>
      <c r="BC76" cm="1">
        <f t="array" ref="BC76">_xlfn.LET(_xlpm.leftPart, LEFT(O76, FIND("@", O76) - 2),_xlpm.grade,Q76,_xlpm.gradeRange,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6" cm="1">
        <f t="array" ref="BD76">_xlfn.LET(_xlpm.leftPart, LEFT(P76, FIND("@", P76) - 2),_xlpm.grade, Q76,_xlpm.gradeRange,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6">
        <f t="shared" si="31"/>
        <v>6</v>
      </c>
      <c r="BF76">
        <f>IF(SD!$C$32=SD!$I$2,BE76,IF(SD!$C$32=SD!$I$3,DO76,IF(SD!$C$32=SD!$I$5,BA76,IF(SD!$C$32=SD!$I$6,(LEFT(SD!$C$35,FIND("-",SD!$C$35)-1)+RIGHT(SD!$C$35,LEN(SD!$C$35)-FIND("-",SD!$C$35))/12),IF(SD!$C$32=SD!$I$4,(AU76-(BG76+BH76)))))))</f>
        <v>0</v>
      </c>
      <c r="BG76">
        <f>IF(SD!$C$33=SD!$I$2,BE76,IF(SD!$C$33=SD!$I$3,DO76,IF(SD!$C$33=SD!$I$5,BA76,IF(SD!$C$33=SD!$I$6,(LEFT(SD!$C$35,FIND("-",SD!$C$35)-1)+RIGHT(SD!$C$35,LEN(SD!$C$35)-FIND("-",SD!$C$35))/12),IF(SD!$C$33=SD!$I$4,(AU76-(BF76+BH76)))))))</f>
        <v>-1</v>
      </c>
      <c r="BH76">
        <f>IF(SD!$C$34=SD!$I$2,BE76,IF(SD!$C$34=SD!$I$3,DO76,IF(SD!$C$34=SD!$I$5,BA76,IF(SD!$C$34=SD!$I$6,(LEFT(SD!$C$35,FIND("-",SD!$C$35)-1)+RIGHT(SD!$C$35,LEN(SD!$C$35)-FIND("-",SD!$C$35))/12),IF(SD!$C$34=SD!$I$4,(AU76-(BF76+BG76)))))))</f>
        <v>1</v>
      </c>
      <c r="BJ76">
        <f>IF(AM76="Spiral","1",MAX(ROUNDUP(IF(SD!$C$32="",AT76,BF76/(LEFT(RIGHT(N76,LEN(N76)-FIND("@",N76)),LEN(RIGHT(N76,LEN(N76)-FIND("@",N76)))-1)/12)+1),0),0))</f>
        <v>1</v>
      </c>
      <c r="BK76">
        <f>MAX(ROUNDUP(IF(SD!$C$33="","",BG76/(LEFT(RIGHT(O76,LEN(O76)-FIND("@",O76)),LEN(RIGHT(O76,LEN(O76)-FIND("@",O76)))-1)/12)+1),0),0)</f>
        <v>0</v>
      </c>
      <c r="BL76">
        <f>MAX(ROUNDUP(IF(SD!$C$34="","",BH76/(LEFT(RIGHT(P76,LEN(P76)-FIND("@",P76)),LEN(RIGHT(P76,LEN(P76)-FIND("@",P76)))-1)/12)+1),0),0)</f>
        <v>3</v>
      </c>
      <c r="BN76" t="e">
        <f t="shared" si="32"/>
        <v>#N/A</v>
      </c>
      <c r="BO76" t="e">
        <f t="shared" si="33"/>
        <v>#N/A</v>
      </c>
      <c r="BP76" t="e">
        <f t="shared" si="34"/>
        <v>#N/A</v>
      </c>
      <c r="BQ76" s="24" t="e">
        <f>IF(AM76=TRUE,(((Y76-(SD!$E$12*2))*3.14159265359)+BN76+BO76+BP76)/12+AL76,SUM(AF76:AG76,BN76,BO76,BP76,AO76,AQ76)/12)</f>
        <v>#N/A</v>
      </c>
      <c r="BR76" t="e">
        <f t="shared" si="35"/>
        <v>#N/A</v>
      </c>
      <c r="BS76" t="e">
        <f t="shared" si="36"/>
        <v>#N/A</v>
      </c>
      <c r="BT76" t="e">
        <f t="shared" si="37"/>
        <v>#N/A</v>
      </c>
      <c r="BU76" s="24" t="e">
        <f>IF(AM76=TRUE,(((Y76-(SD!$E$12*2))*3.14159265359)+BR76+BS76+BT76)/12+AL76,SUM(AF76:AG76,BR76,BS76,BT76,AO76,AQ76)/12)</f>
        <v>#N/A</v>
      </c>
      <c r="BW76" t="str">
        <f>IFERROR(LEFT(Data!L76,FIND(" -",Data!L76)-1),"")</f>
        <v/>
      </c>
      <c r="BX76" t="str">
        <f>IFERROR(IF(SD!$C$40=SD!$U$2,W76,IF(SD!$C$40=SD!$U$3,RIGHT(Data!L76,LEN(Data!L76)-(FIND("-",Data!L76)+1)),SD!$C$40)),"")</f>
        <v>#10</v>
      </c>
      <c r="BY76" t="str" cm="1">
        <f t="array" ref="BY76">IFERROR(_xlfn.LET(_xlpm.GRR,IF(AND(SD!$C$19=SD!$H$2,Grade!$G$1="Per level"),VLOOKUP(B76,Grade!$E$1:$F$200,2,FALSE),IF(AND(SD!$C$19=SD!$H$2,Grade!$G$1="Per Bar Size"),VLOOKUP(BX76,Grade!$B$1:$C$12,2,0),SD!$C$19)),_xlpm.is_equal, A75=A76,_xlpm.grade_range, IF(_xlpm.GRR=SD!$H$3, A615GR60,IF(_xlpm.GRR=SD!$H$4, A615GR75,IF(_xlpm.GRR=SD!$H$5, A615GR80,IF(_xlpm.GRR=SD!H80, A615GR100,IF(_xlpm.GRR=SD!$H$7, A706GR60,IF(_xlpm.GRR=SD!$H$8, A706GR80)))))),_xlpm.match_result, MATCH(1, (BSize=BX76)*(BCName=SD!$C$8), 0),_xlpm.final_result, INDEX(_xlpm.grade_range, _xlpm.match_result),IF(_xlpm.is_equal, "", _xlpm.final_result)),"")</f>
        <v/>
      </c>
      <c r="BZ76" t="str">
        <f>IF(A75=A76,"",IF(SD!$C$41="Match Vertical Bars ",X76,IF(SD!$C$41=SD!$V$3,BW76,SD!$C$41)))</f>
        <v/>
      </c>
      <c r="CA76" t="str" cm="1">
        <f t="array" ref="CA76">IF(A75=A76,"",IF(SD!$C$44="No T-Head",IF(SD!$C$42=SD!$Q$3,VLOOKUP(BX76,S90Range,3,FALSE),LEFT(SD!$C$42,FIND("-",SD!$C$42)-1)+(RIGHT(SD!$C$42,LEN(SD!$C$42)-FIND("-",SD!$C$42))/12)),IF(SD!$C$44="T-Head",_xlfn._xlws.FILTER(THead,(TCName=SD!$C$8)*(TSize=BX76)),IF(SD!$C$44="Level Wise",_xlfn.LET(_xlpm.result,_xlfn.XLOOKUP(B76,VDLevel,VDLevelStatus,"No"),IF(_xlpm.result="Yes",_xlfn._xlws.FILTER(THead,(TCName=SD!$C$8)*(TSize=BX76)),IF(SD!$C$42=SD!$Q$3,VLOOKUP(BX76,S90Range,3,FALSE),LEFT(SD!$C$42,FIND("-",SD!$C$42)-1)+(RIGHT(SD!$C$42,LEN(SD!$C$42)-FIND("-", SD!$C$42))/12)))),IF(SD!$C$44="BarSize Wise",_xlfn.LET(_xlpm.result,_xlfn.XLOOKUP(BX76,VDBarSize,VDBarSizeStatus,"No"),IF(_xlpm.result="Yes",_xlfn._xlws.FILTER(THead,(TCName=SD!$C$8)*(TSize=BX76)),IF(SD!$C$42=SD!$Q$3,VLOOKUP(BX76,S90Range,3,FALSE),LEFT(SD!$C$42,FIND("-",SD!$C$42)-1)+(RIGHT(SD!$C$42,LEN(SD!$C$42)-FIND("-",SD!$C$42))/12)))), "")))))</f>
        <v/>
      </c>
      <c r="CB76" t="str" cm="1">
        <f t="array" ref="CB76">_xlfn.LET(_xlpm.GRR,IF(AND(SD!$C$19=SD!$H$2,Grade!$G$1="Per level"),VLOOKUP(B76,Grade!$E$1:$F$200,2,FALSE),IF(AND(SD!$C$19=SD!$H$2,Grade!$G$1="Per Bar Size"),VLOOKUP(BX76,Grade!$B$1:$C$12,2,0),SD!$C$19)),_xlpm.is_coupler, K76="Coupler",_xlpm.condition1, SD!$C$43=SD!$W$2,_xlpm.data_j2_empty, Data!$J76="",_xlpm.lookup_table, IF(SD!$C$11="Create", Lap!$A$3:$BF$14, IF(SD!$C$11="Per Uploaded File", Lap!$A$19:$BF$30, "")),_xlpm.row_match, MATCH(BX76, Lap!$A$3:$A$14, 0),_xlpm.grade_offset, IF(IFERROR(FIND("Grade 60",_xlpm.GRR), 0) &gt; 0, 0, IF(IFERROR(FIND("Grade 80",_xlpm.GRR), 0), 1, IF(IFERROR(FIND("Grade 75",_xlpm.GRR), 0), 2, ""))),_xlpm.col_match, MATCH(VALUE(D76), Lap!$A$3:$BF$3, 0) + _xlpm.grade_offset,_xlpm.index_result, IFERROR(INDEX(_xlpm.lookup_table, _xlpm.row_match, _xlpm.col_match), Data!$J76),_xlpm.result_if_condition1, IF(_xlpm.data_j2_empty, _xlpm.index_result, Data!$J76),IF(_xlpm.is_coupler, 0, IF(_xlpm.condition1, _xlpm.result_if_condition1, SD!$C$43)))</f>
        <v>5-1</v>
      </c>
      <c r="CC76" s="24">
        <f t="shared" si="38"/>
        <v>5.083333333333333</v>
      </c>
      <c r="CD76">
        <f t="shared" si="39"/>
        <v>5.75</v>
      </c>
      <c r="CE76" t="str" cm="1">
        <f t="array" ref="CE76">IF(BY76="","",_xlfn._xlws.FILTER(SAC,(CName=SD!$C$8)*(EName="Vert Dowels")))</f>
        <v/>
      </c>
      <c r="CF76" t="str" cm="1">
        <f t="array" ref="CF76">IFERROR(IF(BY76="","",IF(K76="Coupler",_xlfn._xlws.FILTER(CCoupler,(CCName=SD!$C$8)*(CBSize=IF(A75=A76,W75&amp;W76,BX76&amp;W76))*(CCMFM="Male")),"")),"N/A")</f>
        <v/>
      </c>
      <c r="CG76" t="str">
        <f t="shared" si="40"/>
        <v/>
      </c>
      <c r="CH76" t="str">
        <f t="shared" si="41"/>
        <v/>
      </c>
      <c r="CI76" t="str">
        <f>_xlfn.LET(_xlpm.u3_value, U77,_xlpm.hyphen_pos,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K77="Coupler",_xlpm.coupler_value, IF(_xlpm.is_coupler, 0, _xlpm.calculated_value),_xlpm.final_value, _xlpm.calculated_value + SD!$E$13 + _xlpm.coupler_value,IF(CG76="", "", _xlpm.final_value))</f>
        <v/>
      </c>
      <c r="CJ76" t="str" cm="1">
        <f t="array" ref="CJ76">IF(CG76="","",_xlfn._xlws.FILTER(SAC,(CName=SD!$C$8)*(EName="Loose Dowels")))</f>
        <v/>
      </c>
      <c r="CK76" t="str" cm="1">
        <f t="array" ref="CK76">IFERROR(IF(CG76="","",IF(K77="Coupler",_xlfn._xlws.FILTER(CCoupler,(CCName=SD!$C$8)*(CBSize=IF(A76=A77,W76&amp;W77,""))*(CCMFM="Male")),"")),"N/A")</f>
        <v/>
      </c>
      <c r="CL76" t="str">
        <f>IFERROR(IF(AM76="Spiral","",IF(A75=A76,"",IF(SD!$C$37=0,"",SD!$C$37))),"")</f>
        <v/>
      </c>
      <c r="CN76">
        <f>IF(AM76="Spiral","",IFERROR(IF(SD!$C$36=0,"",SD!$C$36),""))</f>
        <v>5</v>
      </c>
      <c r="CP76" t="str">
        <f>IFERROR(IF(SD!$C$42=SD!$Q$3,'Take-off'!CA76,""),"")</f>
        <v/>
      </c>
      <c r="CR76">
        <f>IFERROR(IF(SD!$C$22=SD!$U$2,W76,SD!$C$22),"")</f>
        <v>0</v>
      </c>
      <c r="CS76" t="str" cm="1">
        <f t="array" ref="CS76">_xlfn.LET(_xlpm.GR,IF(AND(SD!$C$19=SD!$H$2,Grade!$G$1="Per level"),VLOOKUP(B76,Grade!$E$1:$F$200,2,FALSE),IF(AND(SD!$C$19=SD!$H$2,Grade!$G$1="Per Bar Size"),VLOOKUP(CR76,Grade!$B$1:$C$12,2,0),SD!$C$19)),IF(SD!$C$20=SD!$R$4,IF(A77=A76,"",INDEX(IF(_xlpm.GR=SD!$H$3,A615GR60,IF(_xlpm.GR=SD!$H$4,A615GR75,IF(_xlpm.GR=SD!$H$5,A615GR80,IF(_xlpm.GR=SD!H80,A615GR100,IF(_xlpm.GR=SD!$H$7,A706GR60,IF(_xlpm.GR=SD!$H$8,A706GR80)))))), MATCH(1, (BSize=CR76)*(BCName=SD!$C$8), 0))),""))</f>
        <v/>
      </c>
      <c r="CT76" t="str">
        <f>IF(A77=A76,"",IF(SD!$C$23="Match Vertical Bars ",X76,SD!$C$23))</f>
        <v/>
      </c>
      <c r="CU76" t="str" cm="1">
        <f t="array" ref="CU76">IF(A77=A76,"",IF(SD!$C$20="Top dowels",IF(SD!$E$25="No T-Head",IF(SD!$C$24=SD!$Q$3,VLOOKUP(CR76,S90Range,3,FALSE),LEFT(SD!$C$24,FIND("-",SD!$C$24)-1)+(RIGHT(SD!$C$24,LEN(SD!$C$24)-FIND("-",SD!$C$24))/12)),IF(SD!$E$25="T-Head",_xlfn._xlws.FILTER(THead,(TCName=SD!$C$8)*(TSize=CR76)),IF(SD!$E$25="Level Wise",_xlfn.LET(_xlpm.result,_xlfn.XLOOKUP(B76,TDLevel,TDLevelStatus,"No"),IF(_xlpm.result="Yes",_xlfn._xlws.FILTER(THead,(TCName=SD!$C$8)*(TSize=CR76)),IF(SD!$C$24=SD!$Q$3,VLOOKUP(CR76,S90Range,3,FALSE),LEFT(SD!$C$24,FIND("-",SD!$C$24)-1)+(RIGHT(SD!$C$24,LEN(SD!$C$24)-FIND("-", SD!$C$24))/12)))),IF(SD!$E$25="BarSize Wise",_xlfn.LET(_xlpm.result,_xlfn.XLOOKUP(CR76,TDBarSize,TDBarSizeStatus,"No"),IF(_xlpm.result="Yes",_xlfn._xlws.FILTER(THead,(TCName=SD!$C$8)*(TSize=CR76)),IF(SD!$C$24=SD!$Q$3,VLOOKUP(CR76,S90Range,3,FALSE),LEFT(SD!$C$24,FIND("-",SD!$C$24)-1)+(RIGHT(SD!$C$24,LEN(SD!$C$24)-FIND("-",SD!$C$24))/12)))), "")))),""))</f>
        <v/>
      </c>
      <c r="CV76" t="str">
        <f>_xlfn.LET(_xlpm.GRR,IF(AND(SD!$C$19=SD!$H$2,Grade!$G$1="Per level"),VLOOKUP(B76,Grade!$E$1:$F$200,2,FALSE),IF(AND(SD!$C$19=SD!$H$2,Grade!$G$1="Per Bar Size"),VLOOKUP(CR76,Grade!$B$1:$C$12,2,0),SD!$C$19)),IF(SD!$C$25=SD!$W$2,IF(Data!$J76="",IFERROR(INDEX(IF(SD!$C$11="Create",Lap!$A$3:$BF$14,IF(SD!$C$11="Per Uploaded File",Lap!$A$19:$BF$30,"")),MATCH(CR76,Lap!$A$3:$A$14,0),MATCH(VALUE(D76),Lap!$A$3:$BF$3,0)+IF(IFERROR(FIND("Grade 60",_xlpm.GRR),0)&gt;0,0,IF(IFERROR(FIND("Grade 80",_xlpm.GRR),0),1,IF(IFERROR(FIND("Grade 75",_xlpm.GRR),0),2,"")))),""),Data!J76),SD!$C$43))</f>
        <v>Match Lap</v>
      </c>
      <c r="CW76">
        <f t="shared" si="42"/>
        <v>0</v>
      </c>
      <c r="CX76">
        <f t="shared" si="43"/>
        <v>0</v>
      </c>
      <c r="CY76" t="str">
        <f t="shared" si="44"/>
        <v/>
      </c>
      <c r="DA76" t="str">
        <f t="shared" si="45"/>
        <v/>
      </c>
      <c r="DB76" t="str">
        <f t="shared" si="46"/>
        <v/>
      </c>
      <c r="DC76" s="24" t="str">
        <f t="shared" si="47"/>
        <v/>
      </c>
      <c r="DD76">
        <f t="shared" si="48"/>
        <v>10.583333333333334</v>
      </c>
      <c r="DE76" t="s">
        <v>785</v>
      </c>
      <c r="DF76" t="s">
        <v>67</v>
      </c>
      <c r="DG76" t="str">
        <f>VLOOKUP(W76,'Level Wise PSI'!$F$2:$G$12,2,FALSE)</f>
        <v>Double Lift</v>
      </c>
      <c r="DI76" t="str" cm="1">
        <f t="array" ref="DI76">_xlfn.LET(_xlpm.Coup,IFERROR(IF(BY76="","",IF(K76="Coupler",_xlfn._xlws.FILTER(CCFCoupler,(CCName=SD!$C$8)*(CBSize=IF(A75=A76,W75&amp;W76,BX76&amp;W76))),"")),"N/A"),IF(_xlpm.Coup=0,"",_xlpm.Coup))</f>
        <v/>
      </c>
      <c r="DJ76" t="str" cm="1">
        <f t="array" ref="DJ76">_xlfn.LET(_xlpm.Coup3,IFERROR(IF(CG76="","",IF(K77="Coupler",_xlfn._xlws.FILTER(CCFCoupler,(CCName=SD!$C$8)*(CBSize=IF(A76=A77,W76&amp;W77,""))),"")),"N/A"),IF(_xlpm.Coup3=0,"",_xlpm.Coup3))</f>
        <v/>
      </c>
      <c r="DK76" t="str" cm="1">
        <f t="array" ref="DK76">_xlfn.LET(_xlpm.Coup2,IFERROR(IF(A76&lt;&gt;A77,"",IF(DF76="No Lap","",IF(K77="Coupler",_xlfn._xlws.FILTER(CCFCoupler,(CCName=SD!$C$8)*(CBSize=IF(A75=A76,W76&amp;W77,W76&amp;W76))),""))),"N/A"),IF(_xlpm.Coup2=0,"",_xlpm.Coup2))</f>
        <v/>
      </c>
      <c r="DM76" t="str">
        <f>IF(AM76="Spiral","",IF(SD!$C$31=SD!$Y$3,SD!$E$32*2,""))</f>
        <v/>
      </c>
      <c r="DO76" s="24">
        <f t="shared" si="49"/>
        <v>6</v>
      </c>
      <c r="DQ76" t="str">
        <f t="shared" si="50"/>
        <v>Lig</v>
      </c>
      <c r="DR76" t="str">
        <f>IF(AM76="Spiral",((Y76-(SD!$E$12*2))/12),"")</f>
        <v/>
      </c>
      <c r="DS76" t="str">
        <f t="shared" si="51"/>
        <v/>
      </c>
      <c r="DT76" t="str">
        <f t="shared" si="52"/>
        <v/>
      </c>
      <c r="DU76" t="str">
        <f t="shared" si="53"/>
        <v/>
      </c>
    </row>
    <row r="77" spans="1:125" x14ac:dyDescent="0.25">
      <c r="A77">
        <v>31</v>
      </c>
      <c r="B77" t="s">
        <v>680</v>
      </c>
      <c r="C77" s="15">
        <v>2429</v>
      </c>
      <c r="D77" s="15">
        <v>10000</v>
      </c>
      <c r="E77" t="str">
        <f>IF(B77=Level!$A$2,SD!$C$14,SD!$C$13)</f>
        <v>0-8</v>
      </c>
      <c r="F77" s="15" t="s">
        <v>787</v>
      </c>
      <c r="G77" t="s">
        <v>750</v>
      </c>
      <c r="H77" t="str">
        <f>RIGHT(VLOOKUP(B77,Level!A:C,3,FALSE),LEN(VLOOKUP(B77,Level!A:C,3,FALSE))-1)</f>
        <v>10-7</v>
      </c>
      <c r="I77" t="s">
        <v>751</v>
      </c>
      <c r="J77" t="str">
        <f>IF(AND(SD!$C$19=SD!$H$2,Grade!$G$1="Per level"),VLOOKUP(B77,Grade!$E$1:$F$200,2,FALSE),IF(AND(SD!$C$19=SD!$H$2,Grade!$G$1="Per Bar Size"),VLOOKUP(W77,Grade!$B$1:$C$12,2,0),SD!$C$19))</f>
        <v>A615 Grade 60</v>
      </c>
      <c r="K77" t="s">
        <v>67</v>
      </c>
      <c r="L77" t="str">
        <f>IFERROR(IF(A77&lt;&gt;A78,"",IF(DF77="No Lap","",IF(K78="Lap",U77,IF(K78="Coupler",_xlfn._xlws.FILTER(CCoupler,(CCName=SD!$C$8)*(CBSize=IF(A76=A77,W77&amp;W78,W77&amp;W77))*(CCMFM="Male")),"")))),"N/A")</f>
        <v>5-1</v>
      </c>
      <c r="M77" t="str">
        <f t="shared" si="27"/>
        <v/>
      </c>
      <c r="N77" t="s">
        <v>719</v>
      </c>
      <c r="O77" t="s">
        <v>720</v>
      </c>
      <c r="P77" t="s">
        <v>719</v>
      </c>
      <c r="Q77" t="str">
        <f>IF(AND(SD!$C$29=SD!$P$2,Grade!$O$1="Per level"),VLOOKUP(B77,Grade!$M$1:$N$200,2,FALSE),IF(AND(SD!$C$29=SD!$P$2,Grade!$O$1="Per Bar Size"),VLOOKUP(LEFT(N77,FIND("@",N77)-2),Grade!$J$1:$K$12,2,0),SD!$C$29))</f>
        <v>A615 Grade 60</v>
      </c>
      <c r="R77" t="s">
        <v>728</v>
      </c>
      <c r="S77" s="57">
        <v>77</v>
      </c>
      <c r="U77" t="str">
        <f>IF(Data!$J77="",IFERROR(INDEX(IF(SD!$C$11="Create",Lap!$A$3:$BF$14,IF(SD!$C$11="Per Uploaded File",Lap!$A$19:$BF$30,"")),MATCH(W77,Lap!$A$3:$A$14,0),MATCH(VALUE(D77),Lap!$A$3:$BF$3,0)+IF(IFERROR(FIND("Grade 60",J77),0)&gt;0,0,IF(IFERROR(FIND("Grade 80",J77),0),1,IF(IFERROR(FIND("Grade 75",J77),0),2,"")))),""),Data!J77)</f>
        <v>5-1</v>
      </c>
      <c r="W77" t="s">
        <v>176</v>
      </c>
      <c r="X77">
        <v>12</v>
      </c>
      <c r="Y77" t="str">
        <f t="shared" si="28"/>
        <v xml:space="preserve">18 </v>
      </c>
      <c r="Z77" t="str">
        <f t="shared" si="29"/>
        <v xml:space="preserve"> 72</v>
      </c>
      <c r="AA77" s="24">
        <f t="shared" si="30"/>
        <v>15.666666666666666</v>
      </c>
      <c r="BB77" t="e" cm="1">
        <f t="array" ref="BB77">_xlfn.LET(_xlpm.PartF,(_xlfn.LET(_xlpm.grade, Q77,_xlpm.gradeRange, IF(_xlpm.grade=SD!$H$3, A615GR60, IF(_xlpm.grade=SD!$H$4, A615GR75, IF(_xlpm.grade=SD!$H$5, A615GR80, IF(_xlpm.grade=SD!$H$6, A615GR100, IF(_xlpm.grade=SD!$H$7, A706GR60, IF(_xlpm.grade=SD!$H$8, A706GR80)))))),_xlpm.matchValue, MATCH(1, (SD!$AW:$AW=AS77)*(SD!$AX:$AX=SD!$C$8), 0),INDEX(_xlpm.gradeRange, _xlpm.matchValue))),IF(AM77="Spiral",CONCATENATE("SP",_xlpm.PartF),_xlpm.PartF))</f>
        <v>#N/A</v>
      </c>
      <c r="BC77" cm="1">
        <f t="array" ref="BC77">_xlfn.LET(_xlpm.leftPart, LEFT(O77, FIND("@", O77) - 2),_xlpm.grade,Q77,_xlpm.gradeRange,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7" cm="1">
        <f t="array" ref="BD77">_xlfn.LET(_xlpm.leftPart, LEFT(P77, FIND("@", P77) - 2),_xlpm.grade, Q77,_xlpm.gradeRange,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7">
        <f t="shared" si="31"/>
        <v>6</v>
      </c>
      <c r="BF77">
        <f>IF(SD!$C$32=SD!$I$2,BE77,IF(SD!$C$32=SD!$I$3,DO77,IF(SD!$C$32=SD!$I$5,BA77,IF(SD!$C$32=SD!$I$6,(LEFT(SD!$C$35,FIND("-",SD!$C$35)-1)+RIGHT(SD!$C$35,LEN(SD!$C$35)-FIND("-",SD!$C$35))/12),IF(SD!$C$32=SD!$I$4,(AU77-(BG77+BH77)))))))</f>
        <v>0</v>
      </c>
      <c r="BG77">
        <f>IF(SD!$C$33=SD!$I$2,BE77,IF(SD!$C$33=SD!$I$3,DO77,IF(SD!$C$33=SD!$I$5,BA77,IF(SD!$C$33=SD!$I$6,(LEFT(SD!$C$35,FIND("-",SD!$C$35)-1)+RIGHT(SD!$C$35,LEN(SD!$C$35)-FIND("-",SD!$C$35))/12),IF(SD!$C$33=SD!$I$4,(AU77-(BF77+BH77)))))))</f>
        <v>-1</v>
      </c>
      <c r="BH77">
        <f>IF(SD!$C$34=SD!$I$2,BE77,IF(SD!$C$34=SD!$I$3,DO77,IF(SD!$C$34=SD!$I$5,BA77,IF(SD!$C$34=SD!$I$6,(LEFT(SD!$C$35,FIND("-",SD!$C$35)-1)+RIGHT(SD!$C$35,LEN(SD!$C$35)-FIND("-",SD!$C$35))/12),IF(SD!$C$34=SD!$I$4,(AU77-(BF77+BG77)))))))</f>
        <v>1</v>
      </c>
      <c r="BJ77">
        <f>IF(AM77="Spiral","1",MAX(ROUNDUP(IF(SD!$C$32="",AT77,BF77/(LEFT(RIGHT(N77,LEN(N77)-FIND("@",N77)),LEN(RIGHT(N77,LEN(N77)-FIND("@",N77)))-1)/12)+1),0),0))</f>
        <v>1</v>
      </c>
      <c r="BK77">
        <f>MAX(ROUNDUP(IF(SD!$C$33="","",BG77/(LEFT(RIGHT(O77,LEN(O77)-FIND("@",O77)),LEN(RIGHT(O77,LEN(O77)-FIND("@",O77)))-1)/12)+1),0),0)</f>
        <v>0</v>
      </c>
      <c r="BL77">
        <f>MAX(ROUNDUP(IF(SD!$C$34="","",BH77/(LEFT(RIGHT(P77,LEN(P77)-FIND("@",P77)),LEN(RIGHT(P77,LEN(P77)-FIND("@",P77)))-1)/12)+1),0),0)</f>
        <v>3</v>
      </c>
      <c r="BN77" t="e">
        <f t="shared" si="32"/>
        <v>#N/A</v>
      </c>
      <c r="BO77" t="e">
        <f t="shared" si="33"/>
        <v>#N/A</v>
      </c>
      <c r="BP77" t="e">
        <f t="shared" si="34"/>
        <v>#N/A</v>
      </c>
      <c r="BQ77" s="24" t="e">
        <f>IF(AM77=TRUE,(((Y77-(SD!$E$12*2))*3.14159265359)+BN77+BO77+BP77)/12+AL77,SUM(AF77:AG77,BN77,BO77,BP77,AO77,AQ77)/12)</f>
        <v>#N/A</v>
      </c>
      <c r="BR77" t="e">
        <f t="shared" si="35"/>
        <v>#N/A</v>
      </c>
      <c r="BS77" t="e">
        <f t="shared" si="36"/>
        <v>#N/A</v>
      </c>
      <c r="BT77" t="e">
        <f t="shared" si="37"/>
        <v>#N/A</v>
      </c>
      <c r="BU77" s="24" t="e">
        <f>IF(AM77=TRUE,(((Y77-(SD!$E$12*2))*3.14159265359)+BR77+BS77+BT77)/12+AL77,SUM(AF77:AG77,BR77,BS77,BT77,AO77,AQ77)/12)</f>
        <v>#N/A</v>
      </c>
      <c r="BW77" t="str">
        <f>IFERROR(LEFT(Data!L77,FIND(" -",Data!L77)-1),"")</f>
        <v/>
      </c>
      <c r="BX77" t="str">
        <f>IFERROR(IF(SD!$C$40=SD!$U$2,W77,IF(SD!$C$40=SD!$U$3,RIGHT(Data!L77,LEN(Data!L77)-(FIND("-",Data!L77)+1)),SD!$C$40)),"")</f>
        <v>#10</v>
      </c>
      <c r="BY77" t="str" cm="1">
        <f t="array" ref="BY77">IFERROR(_xlfn.LET(_xlpm.GRR,IF(AND(SD!$C$19=SD!$H$2,Grade!$G$1="Per level"),VLOOKUP(B77,Grade!$E$1:$F$200,2,FALSE),IF(AND(SD!$C$19=SD!$H$2,Grade!$G$1="Per Bar Size"),VLOOKUP(BX77,Grade!$B$1:$C$12,2,0),SD!$C$19)),_xlpm.is_equal, A76=A77,_xlpm.grade_range, IF(_xlpm.GRR=SD!$H$3, A615GR60,IF(_xlpm.GRR=SD!$H$4, A615GR75,IF(_xlpm.GRR=SD!$H$5, A615GR80,IF(_xlpm.GRR=SD!H81, A615GR100,IF(_xlpm.GRR=SD!$H$7, A706GR60,IF(_xlpm.GRR=SD!$H$8, A706GR80)))))),_xlpm.match_result, MATCH(1, (BSize=BX77)*(BCName=SD!$C$8), 0),_xlpm.final_result, INDEX(_xlpm.grade_range, _xlpm.match_result),IF(_xlpm.is_equal, "", _xlpm.final_result)),"")</f>
        <v/>
      </c>
      <c r="BZ77" t="str">
        <f>IF(A76=A77,"",IF(SD!$C$41="Match Vertical Bars ",X77,IF(SD!$C$41=SD!$V$3,BW77,SD!$C$41)))</f>
        <v/>
      </c>
      <c r="CA77" t="str" cm="1">
        <f t="array" ref="CA77">IF(A76=A77,"",IF(SD!$C$44="No T-Head",IF(SD!$C$42=SD!$Q$3,VLOOKUP(BX77,S90Range,3,FALSE),LEFT(SD!$C$42,FIND("-",SD!$C$42)-1)+(RIGHT(SD!$C$42,LEN(SD!$C$42)-FIND("-",SD!$C$42))/12)),IF(SD!$C$44="T-Head",_xlfn._xlws.FILTER(THead,(TCName=SD!$C$8)*(TSize=BX77)),IF(SD!$C$44="Level Wise",_xlfn.LET(_xlpm.result,_xlfn.XLOOKUP(B77,VDLevel,VDLevelStatus,"No"),IF(_xlpm.result="Yes",_xlfn._xlws.FILTER(THead,(TCName=SD!$C$8)*(TSize=BX77)),IF(SD!$C$42=SD!$Q$3,VLOOKUP(BX77,S90Range,3,FALSE),LEFT(SD!$C$42,FIND("-",SD!$C$42)-1)+(RIGHT(SD!$C$42,LEN(SD!$C$42)-FIND("-", SD!$C$42))/12)))),IF(SD!$C$44="BarSize Wise",_xlfn.LET(_xlpm.result,_xlfn.XLOOKUP(BX77,VDBarSize,VDBarSizeStatus,"No"),IF(_xlpm.result="Yes",_xlfn._xlws.FILTER(THead,(TCName=SD!$C$8)*(TSize=BX77)),IF(SD!$C$42=SD!$Q$3,VLOOKUP(BX77,S90Range,3,FALSE),LEFT(SD!$C$42,FIND("-",SD!$C$42)-1)+(RIGHT(SD!$C$42,LEN(SD!$C$42)-FIND("-",SD!$C$42))/12)))), "")))))</f>
        <v/>
      </c>
      <c r="CB77" t="str" cm="1">
        <f t="array" ref="CB77">_xlfn.LET(_xlpm.GRR,IF(AND(SD!$C$19=SD!$H$2,Grade!$G$1="Per level"),VLOOKUP(B77,Grade!$E$1:$F$200,2,FALSE),IF(AND(SD!$C$19=SD!$H$2,Grade!$G$1="Per Bar Size"),VLOOKUP(BX77,Grade!$B$1:$C$12,2,0),SD!$C$19)),_xlpm.is_coupler, K77="Coupler",_xlpm.condition1, SD!$C$43=SD!$W$2,_xlpm.data_j2_empty, Data!$J77="",_xlpm.lookup_table, IF(SD!$C$11="Create", Lap!$A$3:$BF$14, IF(SD!$C$11="Per Uploaded File", Lap!$A$19:$BF$30, "")),_xlpm.row_match, MATCH(BX77, Lap!$A$3:$A$14, 0),_xlpm.grade_offset, IF(IFERROR(FIND("Grade 60",_xlpm.GRR), 0) &gt; 0, 0, IF(IFERROR(FIND("Grade 80",_xlpm.GRR), 0), 1, IF(IFERROR(FIND("Grade 75",_xlpm.GRR), 0), 2, ""))),_xlpm.col_match, MATCH(VALUE(D77), Lap!$A$3:$BF$3, 0) + _xlpm.grade_offset,_xlpm.index_result, IFERROR(INDEX(_xlpm.lookup_table, _xlpm.row_match, _xlpm.col_match), Data!$J77),_xlpm.result_if_condition1, IF(_xlpm.data_j2_empty, _xlpm.index_result, Data!$J77),IF(_xlpm.is_coupler, 0, IF(_xlpm.condition1, _xlpm.result_if_condition1, SD!$C$43)))</f>
        <v>5-1</v>
      </c>
      <c r="CC77" s="24">
        <f t="shared" si="38"/>
        <v>5.083333333333333</v>
      </c>
      <c r="CD77">
        <f t="shared" si="39"/>
        <v>5.75</v>
      </c>
      <c r="CE77" t="str" cm="1">
        <f t="array" ref="CE77">IF(BY77="","",_xlfn._xlws.FILTER(SAC,(CName=SD!$C$8)*(EName="Vert Dowels")))</f>
        <v/>
      </c>
      <c r="CF77" t="str" cm="1">
        <f t="array" ref="CF77">IFERROR(IF(BY77="","",IF(K77="Coupler",_xlfn._xlws.FILTER(CCoupler,(CCName=SD!$C$8)*(CBSize=IF(A76=A77,W76&amp;W77,BX77&amp;W77))*(CCMFM="Male")),"")),"N/A")</f>
        <v/>
      </c>
      <c r="CG77" t="str">
        <f t="shared" si="40"/>
        <v/>
      </c>
      <c r="CH77" t="str">
        <f t="shared" si="41"/>
        <v/>
      </c>
      <c r="CI77" t="str">
        <f>_xlfn.LET(_xlpm.u3_value, U78,_xlpm.hyphen_pos,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K78="Coupler",_xlpm.coupler_value, IF(_xlpm.is_coupler, 0, _xlpm.calculated_value),_xlpm.final_value, _xlpm.calculated_value + SD!$E$13 + _xlpm.coupler_value,IF(CG77="", "", _xlpm.final_value))</f>
        <v/>
      </c>
      <c r="CJ77" t="str" cm="1">
        <f t="array" ref="CJ77">IF(CG77="","",_xlfn._xlws.FILTER(SAC,(CName=SD!$C$8)*(EName="Loose Dowels")))</f>
        <v/>
      </c>
      <c r="CK77" t="str" cm="1">
        <f t="array" ref="CK77">IFERROR(IF(CG77="","",IF(K78="Coupler",_xlfn._xlws.FILTER(CCoupler,(CCName=SD!$C$8)*(CBSize=IF(A77=A78,W77&amp;W78,""))*(CCMFM="Male")),"")),"N/A")</f>
        <v/>
      </c>
      <c r="CL77" t="str">
        <f>IFERROR(IF(AM77="Spiral","",IF(A76=A77,"",IF(SD!$C$37=0,"",SD!$C$37))),"")</f>
        <v/>
      </c>
      <c r="CN77">
        <f>IF(AM77="Spiral","",IFERROR(IF(SD!$C$36=0,"",SD!$C$36),""))</f>
        <v>5</v>
      </c>
      <c r="CP77" t="str">
        <f>IFERROR(IF(SD!$C$42=SD!$Q$3,'Take-off'!CA77,""),"")</f>
        <v/>
      </c>
      <c r="CR77">
        <f>IFERROR(IF(SD!$C$22=SD!$U$2,W77,SD!$C$22),"")</f>
        <v>0</v>
      </c>
      <c r="CS77" t="str" cm="1">
        <f t="array" ref="CS77">_xlfn.LET(_xlpm.GR,IF(AND(SD!$C$19=SD!$H$2,Grade!$G$1="Per level"),VLOOKUP(B77,Grade!$E$1:$F$200,2,FALSE),IF(AND(SD!$C$19=SD!$H$2,Grade!$G$1="Per Bar Size"),VLOOKUP(CR77,Grade!$B$1:$C$12,2,0),SD!$C$19)),IF(SD!$C$20=SD!$R$4,IF(A78=A77,"",INDEX(IF(_xlpm.GR=SD!$H$3,A615GR60,IF(_xlpm.GR=SD!$H$4,A615GR75,IF(_xlpm.GR=SD!$H$5,A615GR80,IF(_xlpm.GR=SD!H81,A615GR100,IF(_xlpm.GR=SD!$H$7,A706GR60,IF(_xlpm.GR=SD!$H$8,A706GR80)))))), MATCH(1, (BSize=CR77)*(BCName=SD!$C$8), 0))),""))</f>
        <v/>
      </c>
      <c r="CT77" t="str">
        <f>IF(A78=A77,"",IF(SD!$C$23="Match Vertical Bars ",X77,SD!$C$23))</f>
        <v/>
      </c>
      <c r="CU77" t="str" cm="1">
        <f t="array" ref="CU77">IF(A78=A77,"",IF(SD!$C$20="Top dowels",IF(SD!$E$25="No T-Head",IF(SD!$C$24=SD!$Q$3,VLOOKUP(CR77,S90Range,3,FALSE),LEFT(SD!$C$24,FIND("-",SD!$C$24)-1)+(RIGHT(SD!$C$24,LEN(SD!$C$24)-FIND("-",SD!$C$24))/12)),IF(SD!$E$25="T-Head",_xlfn._xlws.FILTER(THead,(TCName=SD!$C$8)*(TSize=CR77)),IF(SD!$E$25="Level Wise",_xlfn.LET(_xlpm.result,_xlfn.XLOOKUP(B77,TDLevel,TDLevelStatus,"No"),IF(_xlpm.result="Yes",_xlfn._xlws.FILTER(THead,(TCName=SD!$C$8)*(TSize=CR77)),IF(SD!$C$24=SD!$Q$3,VLOOKUP(CR77,S90Range,3,FALSE),LEFT(SD!$C$24,FIND("-",SD!$C$24)-1)+(RIGHT(SD!$C$24,LEN(SD!$C$24)-FIND("-", SD!$C$24))/12)))),IF(SD!$E$25="BarSize Wise",_xlfn.LET(_xlpm.result,_xlfn.XLOOKUP(CR77,TDBarSize,TDBarSizeStatus,"No"),IF(_xlpm.result="Yes",_xlfn._xlws.FILTER(THead,(TCName=SD!$C$8)*(TSize=CR77)),IF(SD!$C$24=SD!$Q$3,VLOOKUP(CR77,S90Range,3,FALSE),LEFT(SD!$C$24,FIND("-",SD!$C$24)-1)+(RIGHT(SD!$C$24,LEN(SD!$C$24)-FIND("-",SD!$C$24))/12)))), "")))),""))</f>
        <v/>
      </c>
      <c r="CV77" t="str">
        <f>_xlfn.LET(_xlpm.GRR,IF(AND(SD!$C$19=SD!$H$2,Grade!$G$1="Per level"),VLOOKUP(B77,Grade!$E$1:$F$200,2,FALSE),IF(AND(SD!$C$19=SD!$H$2,Grade!$G$1="Per Bar Size"),VLOOKUP(CR77,Grade!$B$1:$C$12,2,0),SD!$C$19)),IF(SD!$C$25=SD!$W$2,IF(Data!$J77="",IFERROR(INDEX(IF(SD!$C$11="Create",Lap!$A$3:$BF$14,IF(SD!$C$11="Per Uploaded File",Lap!$A$19:$BF$30,"")),MATCH(CR77,Lap!$A$3:$A$14,0),MATCH(VALUE(D77),Lap!$A$3:$BF$3,0)+IF(IFERROR(FIND("Grade 60",_xlpm.GRR),0)&gt;0,0,IF(IFERROR(FIND("Grade 80",_xlpm.GRR),0),1,IF(IFERROR(FIND("Grade 75",_xlpm.GRR),0),2,"")))),""),Data!J77),SD!$C$43))</f>
        <v>Match Lap</v>
      </c>
      <c r="CW77">
        <f t="shared" si="42"/>
        <v>0</v>
      </c>
      <c r="CX77">
        <f t="shared" si="43"/>
        <v>0</v>
      </c>
      <c r="CY77" t="str">
        <f t="shared" si="44"/>
        <v/>
      </c>
      <c r="DA77" t="str">
        <f t="shared" si="45"/>
        <v/>
      </c>
      <c r="DB77" t="str">
        <f t="shared" si="46"/>
        <v/>
      </c>
      <c r="DC77" s="24" t="str">
        <f t="shared" si="47"/>
        <v/>
      </c>
      <c r="DD77">
        <f t="shared" si="48"/>
        <v>10.583333333333334</v>
      </c>
      <c r="DE77" t="s">
        <v>785</v>
      </c>
      <c r="DF77" t="s">
        <v>67</v>
      </c>
      <c r="DG77" t="str">
        <f>VLOOKUP(W77,'Level Wise PSI'!$F$2:$G$12,2,FALSE)</f>
        <v>Double Lift</v>
      </c>
      <c r="DI77" t="str" cm="1">
        <f t="array" ref="DI77">_xlfn.LET(_xlpm.Coup,IFERROR(IF(BY77="","",IF(K77="Coupler",_xlfn._xlws.FILTER(CCFCoupler,(CCName=SD!$C$8)*(CBSize=IF(A76=A77,W76&amp;W77,BX77&amp;W77))),"")),"N/A"),IF(_xlpm.Coup=0,"",_xlpm.Coup))</f>
        <v/>
      </c>
      <c r="DJ77" t="str" cm="1">
        <f t="array" ref="DJ77">_xlfn.LET(_xlpm.Coup3,IFERROR(IF(CG77="","",IF(K78="Coupler",_xlfn._xlws.FILTER(CCFCoupler,(CCName=SD!$C$8)*(CBSize=IF(A77=A78,W77&amp;W78,""))),"")),"N/A"),IF(_xlpm.Coup3=0,"",_xlpm.Coup3))</f>
        <v/>
      </c>
      <c r="DK77" t="str" cm="1">
        <f t="array" ref="DK77">_xlfn.LET(_xlpm.Coup2,IFERROR(IF(A77&lt;&gt;A78,"",IF(DF77="No Lap","",IF(K78="Coupler",_xlfn._xlws.FILTER(CCFCoupler,(CCName=SD!$C$8)*(CBSize=IF(A76=A77,W77&amp;W78,W77&amp;W77))),""))),"N/A"),IF(_xlpm.Coup2=0,"",_xlpm.Coup2))</f>
        <v/>
      </c>
      <c r="DM77" t="str">
        <f>IF(AM77="Spiral","",IF(SD!$C$31=SD!$Y$3,SD!$E$32*2,""))</f>
        <v/>
      </c>
      <c r="DO77" s="24">
        <f t="shared" si="49"/>
        <v>6</v>
      </c>
      <c r="DQ77" t="str">
        <f t="shared" si="50"/>
        <v>Lig</v>
      </c>
      <c r="DR77" t="str">
        <f>IF(AM77="Spiral",((Y77-(SD!$E$12*2))/12),"")</f>
        <v/>
      </c>
      <c r="DS77" t="str">
        <f t="shared" si="51"/>
        <v/>
      </c>
      <c r="DT77" t="str">
        <f t="shared" si="52"/>
        <v/>
      </c>
      <c r="DU77" t="str">
        <f t="shared" si="53"/>
        <v/>
      </c>
    </row>
    <row r="78" spans="1:125" x14ac:dyDescent="0.25">
      <c r="A78">
        <v>31</v>
      </c>
      <c r="B78" t="s">
        <v>682</v>
      </c>
      <c r="C78" s="15">
        <v>2429</v>
      </c>
      <c r="D78" s="15">
        <v>10000</v>
      </c>
      <c r="E78" t="str">
        <f>IF(B78=Level!$A$2,SD!$C$14,SD!$C$13)</f>
        <v>0-8</v>
      </c>
      <c r="F78" s="15" t="s">
        <v>787</v>
      </c>
      <c r="G78" t="s">
        <v>750</v>
      </c>
      <c r="H78" t="str">
        <f>RIGHT(VLOOKUP(B78,Level!A:C,3,FALSE),LEN(VLOOKUP(B78,Level!A:C,3,FALSE))-1)</f>
        <v>10-7</v>
      </c>
      <c r="I78" t="s">
        <v>751</v>
      </c>
      <c r="J78" t="str">
        <f>IF(AND(SD!$C$19=SD!$H$2,Grade!$G$1="Per level"),VLOOKUP(B78,Grade!$E$1:$F$200,2,FALSE),IF(AND(SD!$C$19=SD!$H$2,Grade!$G$1="Per Bar Size"),VLOOKUP(W78,Grade!$B$1:$C$12,2,0),SD!$C$19))</f>
        <v>A615 Grade 60</v>
      </c>
      <c r="K78" t="s">
        <v>67</v>
      </c>
      <c r="L78" t="str">
        <f>IFERROR(IF(A78&lt;&gt;A79,"",IF(DF78="No Lap","",IF(K79="Lap",U78,IF(K79="Coupler",_xlfn._xlws.FILTER(CCoupler,(CCName=SD!$C$8)*(CBSize=IF(A77=A78,W78&amp;W79,W78&amp;W78))*(CCMFM="Male")),"")))),"N/A")</f>
        <v>5-1</v>
      </c>
      <c r="M78" t="str">
        <f t="shared" si="27"/>
        <v/>
      </c>
      <c r="N78" t="s">
        <v>719</v>
      </c>
      <c r="O78" t="s">
        <v>720</v>
      </c>
      <c r="P78" t="s">
        <v>719</v>
      </c>
      <c r="Q78" t="str">
        <f>IF(AND(SD!$C$29=SD!$P$2,Grade!$O$1="Per level"),VLOOKUP(B78,Grade!$M$1:$N$200,2,FALSE),IF(AND(SD!$C$29=SD!$P$2,Grade!$O$1="Per Bar Size"),VLOOKUP(LEFT(N78,FIND("@",N78)-2),Grade!$J$1:$K$12,2,0),SD!$C$29))</f>
        <v>A615 Grade 60</v>
      </c>
      <c r="R78" t="s">
        <v>728</v>
      </c>
      <c r="S78" s="57">
        <v>78</v>
      </c>
      <c r="U78" t="str">
        <f>IF(Data!$J78="",IFERROR(INDEX(IF(SD!$C$11="Create",Lap!$A$3:$BF$14,IF(SD!$C$11="Per Uploaded File",Lap!$A$19:$BF$30,"")),MATCH(W78,Lap!$A$3:$A$14,0),MATCH(VALUE(D78),Lap!$A$3:$BF$3,0)+IF(IFERROR(FIND("Grade 60",J78),0)&gt;0,0,IF(IFERROR(FIND("Grade 80",J78),0),1,IF(IFERROR(FIND("Grade 75",J78),0),2,"")))),""),Data!J78)</f>
        <v>5-1</v>
      </c>
      <c r="W78" t="s">
        <v>176</v>
      </c>
      <c r="X78">
        <v>12</v>
      </c>
      <c r="Y78" t="str">
        <f t="shared" si="28"/>
        <v xml:space="preserve">18 </v>
      </c>
      <c r="Z78" t="str">
        <f t="shared" si="29"/>
        <v xml:space="preserve"> 72</v>
      </c>
      <c r="AA78" s="24">
        <f t="shared" si="30"/>
        <v>15.666666666666666</v>
      </c>
      <c r="BB78" t="e" cm="1">
        <f t="array" ref="BB78">_xlfn.LET(_xlpm.PartF,(_xlfn.LET(_xlpm.grade, Q78,_xlpm.gradeRange, IF(_xlpm.grade=SD!$H$3, A615GR60, IF(_xlpm.grade=SD!$H$4, A615GR75, IF(_xlpm.grade=SD!$H$5, A615GR80, IF(_xlpm.grade=SD!$H$6, A615GR100, IF(_xlpm.grade=SD!$H$7, A706GR60, IF(_xlpm.grade=SD!$H$8, A706GR80)))))),_xlpm.matchValue, MATCH(1, (SD!$AW:$AW=AS78)*(SD!$AX:$AX=SD!$C$8), 0),INDEX(_xlpm.gradeRange, _xlpm.matchValue))),IF(AM78="Spiral",CONCATENATE("SP",_xlpm.PartF),_xlpm.PartF))</f>
        <v>#N/A</v>
      </c>
      <c r="BC78" cm="1">
        <f t="array" ref="BC78">_xlfn.LET(_xlpm.leftPart, LEFT(O78, FIND("@", O78) - 2),_xlpm.grade,Q78,_xlpm.gradeRange,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8" cm="1">
        <f t="array" ref="BD78">_xlfn.LET(_xlpm.leftPart, LEFT(P78, FIND("@", P78) - 2),_xlpm.grade, Q78,_xlpm.gradeRange,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8">
        <f t="shared" si="31"/>
        <v>6</v>
      </c>
      <c r="BF78">
        <f>IF(SD!$C$32=SD!$I$2,BE78,IF(SD!$C$32=SD!$I$3,DO78,IF(SD!$C$32=SD!$I$5,BA78,IF(SD!$C$32=SD!$I$6,(LEFT(SD!$C$35,FIND("-",SD!$C$35)-1)+RIGHT(SD!$C$35,LEN(SD!$C$35)-FIND("-",SD!$C$35))/12),IF(SD!$C$32=SD!$I$4,(AU78-(BG78+BH78)))))))</f>
        <v>0</v>
      </c>
      <c r="BG78">
        <f>IF(SD!$C$33=SD!$I$2,BE78,IF(SD!$C$33=SD!$I$3,DO78,IF(SD!$C$33=SD!$I$5,BA78,IF(SD!$C$33=SD!$I$6,(LEFT(SD!$C$35,FIND("-",SD!$C$35)-1)+RIGHT(SD!$C$35,LEN(SD!$C$35)-FIND("-",SD!$C$35))/12),IF(SD!$C$33=SD!$I$4,(AU78-(BF78+BH78)))))))</f>
        <v>-1</v>
      </c>
      <c r="BH78">
        <f>IF(SD!$C$34=SD!$I$2,BE78,IF(SD!$C$34=SD!$I$3,DO78,IF(SD!$C$34=SD!$I$5,BA78,IF(SD!$C$34=SD!$I$6,(LEFT(SD!$C$35,FIND("-",SD!$C$35)-1)+RIGHT(SD!$C$35,LEN(SD!$C$35)-FIND("-",SD!$C$35))/12),IF(SD!$C$34=SD!$I$4,(AU78-(BF78+BG78)))))))</f>
        <v>1</v>
      </c>
      <c r="BJ78">
        <f>IF(AM78="Spiral","1",MAX(ROUNDUP(IF(SD!$C$32="",AT78,BF78/(LEFT(RIGHT(N78,LEN(N78)-FIND("@",N78)),LEN(RIGHT(N78,LEN(N78)-FIND("@",N78)))-1)/12)+1),0),0))</f>
        <v>1</v>
      </c>
      <c r="BK78">
        <f>MAX(ROUNDUP(IF(SD!$C$33="","",BG78/(LEFT(RIGHT(O78,LEN(O78)-FIND("@",O78)),LEN(RIGHT(O78,LEN(O78)-FIND("@",O78)))-1)/12)+1),0),0)</f>
        <v>0</v>
      </c>
      <c r="BL78">
        <f>MAX(ROUNDUP(IF(SD!$C$34="","",BH78/(LEFT(RIGHT(P78,LEN(P78)-FIND("@",P78)),LEN(RIGHT(P78,LEN(P78)-FIND("@",P78)))-1)/12)+1),0),0)</f>
        <v>3</v>
      </c>
      <c r="BN78" t="e">
        <f t="shared" si="32"/>
        <v>#N/A</v>
      </c>
      <c r="BO78" t="e">
        <f t="shared" si="33"/>
        <v>#N/A</v>
      </c>
      <c r="BP78" t="e">
        <f t="shared" si="34"/>
        <v>#N/A</v>
      </c>
      <c r="BQ78" s="24" t="e">
        <f>IF(AM78=TRUE,(((Y78-(SD!$E$12*2))*3.14159265359)+BN78+BO78+BP78)/12+AL78,SUM(AF78:AG78,BN78,BO78,BP78,AO78,AQ78)/12)</f>
        <v>#N/A</v>
      </c>
      <c r="BR78" t="e">
        <f t="shared" si="35"/>
        <v>#N/A</v>
      </c>
      <c r="BS78" t="e">
        <f t="shared" si="36"/>
        <v>#N/A</v>
      </c>
      <c r="BT78" t="e">
        <f t="shared" si="37"/>
        <v>#N/A</v>
      </c>
      <c r="BU78" s="24" t="e">
        <f>IF(AM78=TRUE,(((Y78-(SD!$E$12*2))*3.14159265359)+BR78+BS78+BT78)/12+AL78,SUM(AF78:AG78,BR78,BS78,BT78,AO78,AQ78)/12)</f>
        <v>#N/A</v>
      </c>
      <c r="BW78" t="str">
        <f>IFERROR(LEFT(Data!L78,FIND(" -",Data!L78)-1),"")</f>
        <v/>
      </c>
      <c r="BX78" t="str">
        <f>IFERROR(IF(SD!$C$40=SD!$U$2,W78,IF(SD!$C$40=SD!$U$3,RIGHT(Data!L78,LEN(Data!L78)-(FIND("-",Data!L78)+1)),SD!$C$40)),"")</f>
        <v>#10</v>
      </c>
      <c r="BY78" t="str" cm="1">
        <f t="array" ref="BY78">IFERROR(_xlfn.LET(_xlpm.GRR,IF(AND(SD!$C$19=SD!$H$2,Grade!$G$1="Per level"),VLOOKUP(B78,Grade!$E$1:$F$200,2,FALSE),IF(AND(SD!$C$19=SD!$H$2,Grade!$G$1="Per Bar Size"),VLOOKUP(BX78,Grade!$B$1:$C$12,2,0),SD!$C$19)),_xlpm.is_equal, A77=A78,_xlpm.grade_range, IF(_xlpm.GRR=SD!$H$3, A615GR60,IF(_xlpm.GRR=SD!$H$4, A615GR75,IF(_xlpm.GRR=SD!$H$5, A615GR80,IF(_xlpm.GRR=SD!H82, A615GR100,IF(_xlpm.GRR=SD!$H$7, A706GR60,IF(_xlpm.GRR=SD!$H$8, A706GR80)))))),_xlpm.match_result, MATCH(1, (BSize=BX78)*(BCName=SD!$C$8), 0),_xlpm.final_result, INDEX(_xlpm.grade_range, _xlpm.match_result),IF(_xlpm.is_equal, "", _xlpm.final_result)),"")</f>
        <v/>
      </c>
      <c r="BZ78" t="str">
        <f>IF(A77=A78,"",IF(SD!$C$41="Match Vertical Bars ",X78,IF(SD!$C$41=SD!$V$3,BW78,SD!$C$41)))</f>
        <v/>
      </c>
      <c r="CA78" t="str" cm="1">
        <f t="array" ref="CA78">IF(A77=A78,"",IF(SD!$C$44="No T-Head",IF(SD!$C$42=SD!$Q$3,VLOOKUP(BX78,S90Range,3,FALSE),LEFT(SD!$C$42,FIND("-",SD!$C$42)-1)+(RIGHT(SD!$C$42,LEN(SD!$C$42)-FIND("-",SD!$C$42))/12)),IF(SD!$C$44="T-Head",_xlfn._xlws.FILTER(THead,(TCName=SD!$C$8)*(TSize=BX78)),IF(SD!$C$44="Level Wise",_xlfn.LET(_xlpm.result,_xlfn.XLOOKUP(B78,VDLevel,VDLevelStatus,"No"),IF(_xlpm.result="Yes",_xlfn._xlws.FILTER(THead,(TCName=SD!$C$8)*(TSize=BX78)),IF(SD!$C$42=SD!$Q$3,VLOOKUP(BX78,S90Range,3,FALSE),LEFT(SD!$C$42,FIND("-",SD!$C$42)-1)+(RIGHT(SD!$C$42,LEN(SD!$C$42)-FIND("-", SD!$C$42))/12)))),IF(SD!$C$44="BarSize Wise",_xlfn.LET(_xlpm.result,_xlfn.XLOOKUP(BX78,VDBarSize,VDBarSizeStatus,"No"),IF(_xlpm.result="Yes",_xlfn._xlws.FILTER(THead,(TCName=SD!$C$8)*(TSize=BX78)),IF(SD!$C$42=SD!$Q$3,VLOOKUP(BX78,S90Range,3,FALSE),LEFT(SD!$C$42,FIND("-",SD!$C$42)-1)+(RIGHT(SD!$C$42,LEN(SD!$C$42)-FIND("-",SD!$C$42))/12)))), "")))))</f>
        <v/>
      </c>
      <c r="CB78" t="str" cm="1">
        <f t="array" ref="CB78">_xlfn.LET(_xlpm.GRR,IF(AND(SD!$C$19=SD!$H$2,Grade!$G$1="Per level"),VLOOKUP(B78,Grade!$E$1:$F$200,2,FALSE),IF(AND(SD!$C$19=SD!$H$2,Grade!$G$1="Per Bar Size"),VLOOKUP(BX78,Grade!$B$1:$C$12,2,0),SD!$C$19)),_xlpm.is_coupler, K78="Coupler",_xlpm.condition1, SD!$C$43=SD!$W$2,_xlpm.data_j2_empty, Data!$J78="",_xlpm.lookup_table, IF(SD!$C$11="Create", Lap!$A$3:$BF$14, IF(SD!$C$11="Per Uploaded File", Lap!$A$19:$BF$30, "")),_xlpm.row_match, MATCH(BX78, Lap!$A$3:$A$14, 0),_xlpm.grade_offset, IF(IFERROR(FIND("Grade 60",_xlpm.GRR), 0) &gt; 0, 0, IF(IFERROR(FIND("Grade 80",_xlpm.GRR), 0), 1, IF(IFERROR(FIND("Grade 75",_xlpm.GRR), 0), 2, ""))),_xlpm.col_match, MATCH(VALUE(D78), Lap!$A$3:$BF$3, 0) + _xlpm.grade_offset,_xlpm.index_result, IFERROR(INDEX(_xlpm.lookup_table, _xlpm.row_match, _xlpm.col_match), Data!$J78),_xlpm.result_if_condition1, IF(_xlpm.data_j2_empty, _xlpm.index_result, Data!$J78),IF(_xlpm.is_coupler, 0, IF(_xlpm.condition1, _xlpm.result_if_condition1, SD!$C$43)))</f>
        <v>5-1</v>
      </c>
      <c r="CC78" s="24">
        <f t="shared" si="38"/>
        <v>5.083333333333333</v>
      </c>
      <c r="CD78">
        <f t="shared" si="39"/>
        <v>5.75</v>
      </c>
      <c r="CE78" t="str" cm="1">
        <f t="array" ref="CE78">IF(BY78="","",_xlfn._xlws.FILTER(SAC,(CName=SD!$C$8)*(EName="Vert Dowels")))</f>
        <v/>
      </c>
      <c r="CF78" t="str" cm="1">
        <f t="array" ref="CF78">IFERROR(IF(BY78="","",IF(K78="Coupler",_xlfn._xlws.FILTER(CCoupler,(CCName=SD!$C$8)*(CBSize=IF(A77=A78,W77&amp;W78,BX78&amp;W78))*(CCMFM="Male")),"")),"N/A")</f>
        <v/>
      </c>
      <c r="CG78" t="str">
        <f t="shared" si="40"/>
        <v/>
      </c>
      <c r="CH78" t="str">
        <f t="shared" si="41"/>
        <v/>
      </c>
      <c r="CI78" t="str">
        <f>_xlfn.LET(_xlpm.u3_value, U79,_xlpm.hyphen_pos,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K79="Coupler",_xlpm.coupler_value, IF(_xlpm.is_coupler, 0, _xlpm.calculated_value),_xlpm.final_value, _xlpm.calculated_value + SD!$E$13 + _xlpm.coupler_value,IF(CG78="", "", _xlpm.final_value))</f>
        <v/>
      </c>
      <c r="CJ78" t="str" cm="1">
        <f t="array" ref="CJ78">IF(CG78="","",_xlfn._xlws.FILTER(SAC,(CName=SD!$C$8)*(EName="Loose Dowels")))</f>
        <v/>
      </c>
      <c r="CK78" t="str" cm="1">
        <f t="array" ref="CK78">IFERROR(IF(CG78="","",IF(K79="Coupler",_xlfn._xlws.FILTER(CCoupler,(CCName=SD!$C$8)*(CBSize=IF(A78=A79,W78&amp;W79,""))*(CCMFM="Male")),"")),"N/A")</f>
        <v/>
      </c>
      <c r="CL78" t="str">
        <f>IFERROR(IF(AM78="Spiral","",IF(A77=A78,"",IF(SD!$C$37=0,"",SD!$C$37))),"")</f>
        <v/>
      </c>
      <c r="CN78">
        <f>IF(AM78="Spiral","",IFERROR(IF(SD!$C$36=0,"",SD!$C$36),""))</f>
        <v>5</v>
      </c>
      <c r="CP78" t="str">
        <f>IFERROR(IF(SD!$C$42=SD!$Q$3,'Take-off'!CA78,""),"")</f>
        <v/>
      </c>
      <c r="CR78">
        <f>IFERROR(IF(SD!$C$22=SD!$U$2,W78,SD!$C$22),"")</f>
        <v>0</v>
      </c>
      <c r="CS78" t="str" cm="1">
        <f t="array" ref="CS78">_xlfn.LET(_xlpm.GR,IF(AND(SD!$C$19=SD!$H$2,Grade!$G$1="Per level"),VLOOKUP(B78,Grade!$E$1:$F$200,2,FALSE),IF(AND(SD!$C$19=SD!$H$2,Grade!$G$1="Per Bar Size"),VLOOKUP(CR78,Grade!$B$1:$C$12,2,0),SD!$C$19)),IF(SD!$C$20=SD!$R$4,IF(A79=A78,"",INDEX(IF(_xlpm.GR=SD!$H$3,A615GR60,IF(_xlpm.GR=SD!$H$4,A615GR75,IF(_xlpm.GR=SD!$H$5,A615GR80,IF(_xlpm.GR=SD!H82,A615GR100,IF(_xlpm.GR=SD!$H$7,A706GR60,IF(_xlpm.GR=SD!$H$8,A706GR80)))))), MATCH(1, (BSize=CR78)*(BCName=SD!$C$8), 0))),""))</f>
        <v/>
      </c>
      <c r="CT78" t="str">
        <f>IF(A79=A78,"",IF(SD!$C$23="Match Vertical Bars ",X78,SD!$C$23))</f>
        <v/>
      </c>
      <c r="CU78" t="str" cm="1">
        <f t="array" ref="CU78">IF(A79=A78,"",IF(SD!$C$20="Top dowels",IF(SD!$E$25="No T-Head",IF(SD!$C$24=SD!$Q$3,VLOOKUP(CR78,S90Range,3,FALSE),LEFT(SD!$C$24,FIND("-",SD!$C$24)-1)+(RIGHT(SD!$C$24,LEN(SD!$C$24)-FIND("-",SD!$C$24))/12)),IF(SD!$E$25="T-Head",_xlfn._xlws.FILTER(THead,(TCName=SD!$C$8)*(TSize=CR78)),IF(SD!$E$25="Level Wise",_xlfn.LET(_xlpm.result,_xlfn.XLOOKUP(B78,TDLevel,TDLevelStatus,"No"),IF(_xlpm.result="Yes",_xlfn._xlws.FILTER(THead,(TCName=SD!$C$8)*(TSize=CR78)),IF(SD!$C$24=SD!$Q$3,VLOOKUP(CR78,S90Range,3,FALSE),LEFT(SD!$C$24,FIND("-",SD!$C$24)-1)+(RIGHT(SD!$C$24,LEN(SD!$C$24)-FIND("-", SD!$C$24))/12)))),IF(SD!$E$25="BarSize Wise",_xlfn.LET(_xlpm.result,_xlfn.XLOOKUP(CR78,TDBarSize,TDBarSizeStatus,"No"),IF(_xlpm.result="Yes",_xlfn._xlws.FILTER(THead,(TCName=SD!$C$8)*(TSize=CR78)),IF(SD!$C$24=SD!$Q$3,VLOOKUP(CR78,S90Range,3,FALSE),LEFT(SD!$C$24,FIND("-",SD!$C$24)-1)+(RIGHT(SD!$C$24,LEN(SD!$C$24)-FIND("-",SD!$C$24))/12)))), "")))),""))</f>
        <v/>
      </c>
      <c r="CV78" t="str">
        <f>_xlfn.LET(_xlpm.GRR,IF(AND(SD!$C$19=SD!$H$2,Grade!$G$1="Per level"),VLOOKUP(B78,Grade!$E$1:$F$200,2,FALSE),IF(AND(SD!$C$19=SD!$H$2,Grade!$G$1="Per Bar Size"),VLOOKUP(CR78,Grade!$B$1:$C$12,2,0),SD!$C$19)),IF(SD!$C$25=SD!$W$2,IF(Data!$J78="",IFERROR(INDEX(IF(SD!$C$11="Create",Lap!$A$3:$BF$14,IF(SD!$C$11="Per Uploaded File",Lap!$A$19:$BF$30,"")),MATCH(CR78,Lap!$A$3:$A$14,0),MATCH(VALUE(D78),Lap!$A$3:$BF$3,0)+IF(IFERROR(FIND("Grade 60",_xlpm.GRR),0)&gt;0,0,IF(IFERROR(FIND("Grade 80",_xlpm.GRR),0),1,IF(IFERROR(FIND("Grade 75",_xlpm.GRR),0),2,"")))),""),Data!J78),SD!$C$43))</f>
        <v>Match Lap</v>
      </c>
      <c r="CW78">
        <f t="shared" si="42"/>
        <v>0</v>
      </c>
      <c r="CX78">
        <f t="shared" si="43"/>
        <v>0</v>
      </c>
      <c r="CY78" t="str">
        <f t="shared" si="44"/>
        <v/>
      </c>
      <c r="DA78" t="str">
        <f t="shared" si="45"/>
        <v/>
      </c>
      <c r="DB78" t="str">
        <f t="shared" si="46"/>
        <v/>
      </c>
      <c r="DC78" s="24" t="str">
        <f t="shared" si="47"/>
        <v/>
      </c>
      <c r="DD78">
        <f t="shared" si="48"/>
        <v>10.583333333333334</v>
      </c>
      <c r="DE78" t="s">
        <v>785</v>
      </c>
      <c r="DF78" t="s">
        <v>67</v>
      </c>
      <c r="DG78" t="str">
        <f>VLOOKUP(W78,'Level Wise PSI'!$F$2:$G$12,2,FALSE)</f>
        <v>Double Lift</v>
      </c>
      <c r="DI78" t="str" cm="1">
        <f t="array" ref="DI78">_xlfn.LET(_xlpm.Coup,IFERROR(IF(BY78="","",IF(K78="Coupler",_xlfn._xlws.FILTER(CCFCoupler,(CCName=SD!$C$8)*(CBSize=IF(A77=A78,W77&amp;W78,BX78&amp;W78))),"")),"N/A"),IF(_xlpm.Coup=0,"",_xlpm.Coup))</f>
        <v/>
      </c>
      <c r="DJ78" t="str" cm="1">
        <f t="array" ref="DJ78">_xlfn.LET(_xlpm.Coup3,IFERROR(IF(CG78="","",IF(K79="Coupler",_xlfn._xlws.FILTER(CCFCoupler,(CCName=SD!$C$8)*(CBSize=IF(A78=A79,W78&amp;W79,""))),"")),"N/A"),IF(_xlpm.Coup3=0,"",_xlpm.Coup3))</f>
        <v/>
      </c>
      <c r="DK78" t="str" cm="1">
        <f t="array" ref="DK78">_xlfn.LET(_xlpm.Coup2,IFERROR(IF(A78&lt;&gt;A79,"",IF(DF78="No Lap","",IF(K79="Coupler",_xlfn._xlws.FILTER(CCFCoupler,(CCName=SD!$C$8)*(CBSize=IF(A77=A78,W78&amp;W79,W78&amp;W78))),""))),"N/A"),IF(_xlpm.Coup2=0,"",_xlpm.Coup2))</f>
        <v/>
      </c>
      <c r="DM78" t="str">
        <f>IF(AM78="Spiral","",IF(SD!$C$31=SD!$Y$3,SD!$E$32*2,""))</f>
        <v/>
      </c>
      <c r="DO78" s="24">
        <f t="shared" si="49"/>
        <v>6</v>
      </c>
      <c r="DQ78" t="str">
        <f t="shared" si="50"/>
        <v>Lig</v>
      </c>
      <c r="DR78" t="str">
        <f>IF(AM78="Spiral",((Y78-(SD!$E$12*2))/12),"")</f>
        <v/>
      </c>
      <c r="DS78" t="str">
        <f t="shared" si="51"/>
        <v/>
      </c>
      <c r="DT78" t="str">
        <f t="shared" si="52"/>
        <v/>
      </c>
      <c r="DU78" t="str">
        <f t="shared" si="53"/>
        <v/>
      </c>
    </row>
    <row r="79" spans="1:125" x14ac:dyDescent="0.25">
      <c r="A79">
        <v>31</v>
      </c>
      <c r="B79" t="s">
        <v>684</v>
      </c>
      <c r="C79" s="15">
        <v>2429</v>
      </c>
      <c r="D79" s="15">
        <v>10000</v>
      </c>
      <c r="E79" t="str">
        <f>IF(B79=Level!$A$2,SD!$C$14,SD!$C$13)</f>
        <v>0-8</v>
      </c>
      <c r="F79" s="15" t="s">
        <v>787</v>
      </c>
      <c r="G79" t="s">
        <v>750</v>
      </c>
      <c r="H79" t="str">
        <f>RIGHT(VLOOKUP(B79,Level!A:C,3,FALSE),LEN(VLOOKUP(B79,Level!A:C,3,FALSE))-1)</f>
        <v>10-7</v>
      </c>
      <c r="I79" t="s">
        <v>751</v>
      </c>
      <c r="J79" t="str">
        <f>IF(AND(SD!$C$19=SD!$H$2,Grade!$G$1="Per level"),VLOOKUP(B79,Grade!$E$1:$F$200,2,FALSE),IF(AND(SD!$C$19=SD!$H$2,Grade!$G$1="Per Bar Size"),VLOOKUP(W79,Grade!$B$1:$C$12,2,0),SD!$C$19))</f>
        <v>A615 Grade 60</v>
      </c>
      <c r="K79" t="s">
        <v>67</v>
      </c>
      <c r="L79" t="str">
        <f>IFERROR(IF(A79&lt;&gt;A80,"",IF(DF79="No Lap","",IF(K80="Lap",U79,IF(K80="Coupler",_xlfn._xlws.FILTER(CCoupler,(CCName=SD!$C$8)*(CBSize=IF(A78=A79,W79&amp;W80,W79&amp;W79))*(CCMFM="Male")),"")))),"N/A")</f>
        <v>5-1</v>
      </c>
      <c r="M79" t="str">
        <f t="shared" si="27"/>
        <v/>
      </c>
      <c r="N79" t="s">
        <v>719</v>
      </c>
      <c r="O79" t="s">
        <v>720</v>
      </c>
      <c r="P79" t="s">
        <v>719</v>
      </c>
      <c r="Q79" t="str">
        <f>IF(AND(SD!$C$29=SD!$P$2,Grade!$O$1="Per level"),VLOOKUP(B79,Grade!$M$1:$N$200,2,FALSE),IF(AND(SD!$C$29=SD!$P$2,Grade!$O$1="Per Bar Size"),VLOOKUP(LEFT(N79,FIND("@",N79)-2),Grade!$J$1:$K$12,2,0),SD!$C$29))</f>
        <v>A615 Grade 60</v>
      </c>
      <c r="R79" t="s">
        <v>728</v>
      </c>
      <c r="S79" s="57">
        <v>79</v>
      </c>
      <c r="U79" t="str">
        <f>IF(Data!$J79="",IFERROR(INDEX(IF(SD!$C$11="Create",Lap!$A$3:$BF$14,IF(SD!$C$11="Per Uploaded File",Lap!$A$19:$BF$30,"")),MATCH(W79,Lap!$A$3:$A$14,0),MATCH(VALUE(D79),Lap!$A$3:$BF$3,0)+IF(IFERROR(FIND("Grade 60",J79),0)&gt;0,0,IF(IFERROR(FIND("Grade 80",J79),0),1,IF(IFERROR(FIND("Grade 75",J79),0),2,"")))),""),Data!J79)</f>
        <v>5-1</v>
      </c>
      <c r="W79" t="s">
        <v>176</v>
      </c>
      <c r="X79">
        <v>12</v>
      </c>
      <c r="Y79" t="str">
        <f t="shared" si="28"/>
        <v xml:space="preserve">18 </v>
      </c>
      <c r="Z79" t="str">
        <f t="shared" si="29"/>
        <v xml:space="preserve"> 72</v>
      </c>
      <c r="AA79" s="24">
        <f t="shared" si="30"/>
        <v>15.666666666666666</v>
      </c>
      <c r="BB79" t="e" cm="1">
        <f t="array" ref="BB79">_xlfn.LET(_xlpm.PartF,(_xlfn.LET(_xlpm.grade, Q79,_xlpm.gradeRange, IF(_xlpm.grade=SD!$H$3, A615GR60, IF(_xlpm.grade=SD!$H$4, A615GR75, IF(_xlpm.grade=SD!$H$5, A615GR80, IF(_xlpm.grade=SD!$H$6, A615GR100, IF(_xlpm.grade=SD!$H$7, A706GR60, IF(_xlpm.grade=SD!$H$8, A706GR80)))))),_xlpm.matchValue, MATCH(1, (SD!$AW:$AW=AS79)*(SD!$AX:$AX=SD!$C$8), 0),INDEX(_xlpm.gradeRange, _xlpm.matchValue))),IF(AM79="Spiral",CONCATENATE("SP",_xlpm.PartF),_xlpm.PartF))</f>
        <v>#N/A</v>
      </c>
      <c r="BC79" cm="1">
        <f t="array" ref="BC79">_xlfn.LET(_xlpm.leftPart, LEFT(O79, FIND("@", O79) - 2),_xlpm.grade,Q79,_xlpm.gradeRange,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79" cm="1">
        <f t="array" ref="BD79">_xlfn.LET(_xlpm.leftPart, LEFT(P79, FIND("@", P79) - 2),_xlpm.grade, Q79,_xlpm.gradeRange,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79">
        <f t="shared" si="31"/>
        <v>6</v>
      </c>
      <c r="BF79">
        <f>IF(SD!$C$32=SD!$I$2,BE79,IF(SD!$C$32=SD!$I$3,DO79,IF(SD!$C$32=SD!$I$5,BA79,IF(SD!$C$32=SD!$I$6,(LEFT(SD!$C$35,FIND("-",SD!$C$35)-1)+RIGHT(SD!$C$35,LEN(SD!$C$35)-FIND("-",SD!$C$35))/12),IF(SD!$C$32=SD!$I$4,(AU79-(BG79+BH79)))))))</f>
        <v>0</v>
      </c>
      <c r="BG79">
        <f>IF(SD!$C$33=SD!$I$2,BE79,IF(SD!$C$33=SD!$I$3,DO79,IF(SD!$C$33=SD!$I$5,BA79,IF(SD!$C$33=SD!$I$6,(LEFT(SD!$C$35,FIND("-",SD!$C$35)-1)+RIGHT(SD!$C$35,LEN(SD!$C$35)-FIND("-",SD!$C$35))/12),IF(SD!$C$33=SD!$I$4,(AU79-(BF79+BH79)))))))</f>
        <v>-1</v>
      </c>
      <c r="BH79">
        <f>IF(SD!$C$34=SD!$I$2,BE79,IF(SD!$C$34=SD!$I$3,DO79,IF(SD!$C$34=SD!$I$5,BA79,IF(SD!$C$34=SD!$I$6,(LEFT(SD!$C$35,FIND("-",SD!$C$35)-1)+RIGHT(SD!$C$35,LEN(SD!$C$35)-FIND("-",SD!$C$35))/12),IF(SD!$C$34=SD!$I$4,(AU79-(BF79+BG79)))))))</f>
        <v>1</v>
      </c>
      <c r="BJ79">
        <f>IF(AM79="Spiral","1",MAX(ROUNDUP(IF(SD!$C$32="",AT79,BF79/(LEFT(RIGHT(N79,LEN(N79)-FIND("@",N79)),LEN(RIGHT(N79,LEN(N79)-FIND("@",N79)))-1)/12)+1),0),0))</f>
        <v>1</v>
      </c>
      <c r="BK79">
        <f>MAX(ROUNDUP(IF(SD!$C$33="","",BG79/(LEFT(RIGHT(O79,LEN(O79)-FIND("@",O79)),LEN(RIGHT(O79,LEN(O79)-FIND("@",O79)))-1)/12)+1),0),0)</f>
        <v>0</v>
      </c>
      <c r="BL79">
        <f>MAX(ROUNDUP(IF(SD!$C$34="","",BH79/(LEFT(RIGHT(P79,LEN(P79)-FIND("@",P79)),LEN(RIGHT(P79,LEN(P79)-FIND("@",P79)))-1)/12)+1),0),0)</f>
        <v>3</v>
      </c>
      <c r="BN79" t="e">
        <f t="shared" si="32"/>
        <v>#N/A</v>
      </c>
      <c r="BO79" t="e">
        <f t="shared" si="33"/>
        <v>#N/A</v>
      </c>
      <c r="BP79" t="e">
        <f t="shared" si="34"/>
        <v>#N/A</v>
      </c>
      <c r="BQ79" s="24" t="e">
        <f>IF(AM79=TRUE,(((Y79-(SD!$E$12*2))*3.14159265359)+BN79+BO79+BP79)/12+AL79,SUM(AF79:AG79,BN79,BO79,BP79,AO79,AQ79)/12)</f>
        <v>#N/A</v>
      </c>
      <c r="BR79" t="e">
        <f t="shared" si="35"/>
        <v>#N/A</v>
      </c>
      <c r="BS79" t="e">
        <f t="shared" si="36"/>
        <v>#N/A</v>
      </c>
      <c r="BT79" t="e">
        <f t="shared" si="37"/>
        <v>#N/A</v>
      </c>
      <c r="BU79" s="24" t="e">
        <f>IF(AM79=TRUE,(((Y79-(SD!$E$12*2))*3.14159265359)+BR79+BS79+BT79)/12+AL79,SUM(AF79:AG79,BR79,BS79,BT79,AO79,AQ79)/12)</f>
        <v>#N/A</v>
      </c>
      <c r="BW79" t="str">
        <f>IFERROR(LEFT(Data!L79,FIND(" -",Data!L79)-1),"")</f>
        <v/>
      </c>
      <c r="BX79" t="str">
        <f>IFERROR(IF(SD!$C$40=SD!$U$2,W79,IF(SD!$C$40=SD!$U$3,RIGHT(Data!L79,LEN(Data!L79)-(FIND("-",Data!L79)+1)),SD!$C$40)),"")</f>
        <v>#10</v>
      </c>
      <c r="BY79" t="str" cm="1">
        <f t="array" ref="BY79">IFERROR(_xlfn.LET(_xlpm.GRR,IF(AND(SD!$C$19=SD!$H$2,Grade!$G$1="Per level"),VLOOKUP(B79,Grade!$E$1:$F$200,2,FALSE),IF(AND(SD!$C$19=SD!$H$2,Grade!$G$1="Per Bar Size"),VLOOKUP(BX79,Grade!$B$1:$C$12,2,0),SD!$C$19)),_xlpm.is_equal, A78=A79,_xlpm.grade_range, IF(_xlpm.GRR=SD!$H$3, A615GR60,IF(_xlpm.GRR=SD!$H$4, A615GR75,IF(_xlpm.GRR=SD!$H$5, A615GR80,IF(_xlpm.GRR=SD!H83, A615GR100,IF(_xlpm.GRR=SD!$H$7, A706GR60,IF(_xlpm.GRR=SD!$H$8, A706GR80)))))),_xlpm.match_result, MATCH(1, (BSize=BX79)*(BCName=SD!$C$8), 0),_xlpm.final_result, INDEX(_xlpm.grade_range, _xlpm.match_result),IF(_xlpm.is_equal, "", _xlpm.final_result)),"")</f>
        <v/>
      </c>
      <c r="BZ79" t="str">
        <f>IF(A78=A79,"",IF(SD!$C$41="Match Vertical Bars ",X79,IF(SD!$C$41=SD!$V$3,BW79,SD!$C$41)))</f>
        <v/>
      </c>
      <c r="CA79" t="str" cm="1">
        <f t="array" ref="CA79">IF(A78=A79,"",IF(SD!$C$44="No T-Head",IF(SD!$C$42=SD!$Q$3,VLOOKUP(BX79,S90Range,3,FALSE),LEFT(SD!$C$42,FIND("-",SD!$C$42)-1)+(RIGHT(SD!$C$42,LEN(SD!$C$42)-FIND("-",SD!$C$42))/12)),IF(SD!$C$44="T-Head",_xlfn._xlws.FILTER(THead,(TCName=SD!$C$8)*(TSize=BX79)),IF(SD!$C$44="Level Wise",_xlfn.LET(_xlpm.result,_xlfn.XLOOKUP(B79,VDLevel,VDLevelStatus,"No"),IF(_xlpm.result="Yes",_xlfn._xlws.FILTER(THead,(TCName=SD!$C$8)*(TSize=BX79)),IF(SD!$C$42=SD!$Q$3,VLOOKUP(BX79,S90Range,3,FALSE),LEFT(SD!$C$42,FIND("-",SD!$C$42)-1)+(RIGHT(SD!$C$42,LEN(SD!$C$42)-FIND("-", SD!$C$42))/12)))),IF(SD!$C$44="BarSize Wise",_xlfn.LET(_xlpm.result,_xlfn.XLOOKUP(BX79,VDBarSize,VDBarSizeStatus,"No"),IF(_xlpm.result="Yes",_xlfn._xlws.FILTER(THead,(TCName=SD!$C$8)*(TSize=BX79)),IF(SD!$C$42=SD!$Q$3,VLOOKUP(BX79,S90Range,3,FALSE),LEFT(SD!$C$42,FIND("-",SD!$C$42)-1)+(RIGHT(SD!$C$42,LEN(SD!$C$42)-FIND("-",SD!$C$42))/12)))), "")))))</f>
        <v/>
      </c>
      <c r="CB79" t="str" cm="1">
        <f t="array" ref="CB79">_xlfn.LET(_xlpm.GRR,IF(AND(SD!$C$19=SD!$H$2,Grade!$G$1="Per level"),VLOOKUP(B79,Grade!$E$1:$F$200,2,FALSE),IF(AND(SD!$C$19=SD!$H$2,Grade!$G$1="Per Bar Size"),VLOOKUP(BX79,Grade!$B$1:$C$12,2,0),SD!$C$19)),_xlpm.is_coupler, K79="Coupler",_xlpm.condition1, SD!$C$43=SD!$W$2,_xlpm.data_j2_empty, Data!$J79="",_xlpm.lookup_table, IF(SD!$C$11="Create", Lap!$A$3:$BF$14, IF(SD!$C$11="Per Uploaded File", Lap!$A$19:$BF$30, "")),_xlpm.row_match, MATCH(BX79, Lap!$A$3:$A$14, 0),_xlpm.grade_offset, IF(IFERROR(FIND("Grade 60",_xlpm.GRR), 0) &gt; 0, 0, IF(IFERROR(FIND("Grade 80",_xlpm.GRR), 0), 1, IF(IFERROR(FIND("Grade 75",_xlpm.GRR), 0), 2, ""))),_xlpm.col_match, MATCH(VALUE(D79), Lap!$A$3:$BF$3, 0) + _xlpm.grade_offset,_xlpm.index_result, IFERROR(INDEX(_xlpm.lookup_table, _xlpm.row_match, _xlpm.col_match), Data!$J79),_xlpm.result_if_condition1, IF(_xlpm.data_j2_empty, _xlpm.index_result, Data!$J79),IF(_xlpm.is_coupler, 0, IF(_xlpm.condition1, _xlpm.result_if_condition1, SD!$C$43)))</f>
        <v>5-1</v>
      </c>
      <c r="CC79" s="24">
        <f t="shared" si="38"/>
        <v>5.083333333333333</v>
      </c>
      <c r="CD79">
        <f t="shared" si="39"/>
        <v>5.75</v>
      </c>
      <c r="CE79" t="str" cm="1">
        <f t="array" ref="CE79">IF(BY79="","",_xlfn._xlws.FILTER(SAC,(CName=SD!$C$8)*(EName="Vert Dowels")))</f>
        <v/>
      </c>
      <c r="CF79" t="str" cm="1">
        <f t="array" ref="CF79">IFERROR(IF(BY79="","",IF(K79="Coupler",_xlfn._xlws.FILTER(CCoupler,(CCName=SD!$C$8)*(CBSize=IF(A78=A79,W78&amp;W79,BX79&amp;W79))*(CCMFM="Male")),"")),"N/A")</f>
        <v/>
      </c>
      <c r="CG79" t="str">
        <f t="shared" si="40"/>
        <v/>
      </c>
      <c r="CH79" t="str">
        <f t="shared" si="41"/>
        <v/>
      </c>
      <c r="CI79" t="str">
        <f>_xlfn.LET(_xlpm.u3_value, U80,_xlpm.hyphen_pos,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K80="Coupler",_xlpm.coupler_value, IF(_xlpm.is_coupler, 0, _xlpm.calculated_value),_xlpm.final_value, _xlpm.calculated_value + SD!$E$13 + _xlpm.coupler_value,IF(CG79="", "", _xlpm.final_value))</f>
        <v/>
      </c>
      <c r="CJ79" t="str" cm="1">
        <f t="array" ref="CJ79">IF(CG79="","",_xlfn._xlws.FILTER(SAC,(CName=SD!$C$8)*(EName="Loose Dowels")))</f>
        <v/>
      </c>
      <c r="CK79" t="str" cm="1">
        <f t="array" ref="CK79">IFERROR(IF(CG79="","",IF(K80="Coupler",_xlfn._xlws.FILTER(CCoupler,(CCName=SD!$C$8)*(CBSize=IF(A79=A80,W79&amp;W80,""))*(CCMFM="Male")),"")),"N/A")</f>
        <v/>
      </c>
      <c r="CL79" t="str">
        <f>IFERROR(IF(AM79="Spiral","",IF(A78=A79,"",IF(SD!$C$37=0,"",SD!$C$37))),"")</f>
        <v/>
      </c>
      <c r="CN79">
        <f>IF(AM79="Spiral","",IFERROR(IF(SD!$C$36=0,"",SD!$C$36),""))</f>
        <v>5</v>
      </c>
      <c r="CP79" t="str">
        <f>IFERROR(IF(SD!$C$42=SD!$Q$3,'Take-off'!CA79,""),"")</f>
        <v/>
      </c>
      <c r="CR79">
        <f>IFERROR(IF(SD!$C$22=SD!$U$2,W79,SD!$C$22),"")</f>
        <v>0</v>
      </c>
      <c r="CS79" t="str" cm="1">
        <f t="array" ref="CS79">_xlfn.LET(_xlpm.GR,IF(AND(SD!$C$19=SD!$H$2,Grade!$G$1="Per level"),VLOOKUP(B79,Grade!$E$1:$F$200,2,FALSE),IF(AND(SD!$C$19=SD!$H$2,Grade!$G$1="Per Bar Size"),VLOOKUP(CR79,Grade!$B$1:$C$12,2,0),SD!$C$19)),IF(SD!$C$20=SD!$R$4,IF(A80=A79,"",INDEX(IF(_xlpm.GR=SD!$H$3,A615GR60,IF(_xlpm.GR=SD!$H$4,A615GR75,IF(_xlpm.GR=SD!$H$5,A615GR80,IF(_xlpm.GR=SD!H83,A615GR100,IF(_xlpm.GR=SD!$H$7,A706GR60,IF(_xlpm.GR=SD!$H$8,A706GR80)))))), MATCH(1, (BSize=CR79)*(BCName=SD!$C$8), 0))),""))</f>
        <v/>
      </c>
      <c r="CT79" t="str">
        <f>IF(A80=A79,"",IF(SD!$C$23="Match Vertical Bars ",X79,SD!$C$23))</f>
        <v/>
      </c>
      <c r="CU79" t="str" cm="1">
        <f t="array" ref="CU79">IF(A80=A79,"",IF(SD!$C$20="Top dowels",IF(SD!$E$25="No T-Head",IF(SD!$C$24=SD!$Q$3,VLOOKUP(CR79,S90Range,3,FALSE),LEFT(SD!$C$24,FIND("-",SD!$C$24)-1)+(RIGHT(SD!$C$24,LEN(SD!$C$24)-FIND("-",SD!$C$24))/12)),IF(SD!$E$25="T-Head",_xlfn._xlws.FILTER(THead,(TCName=SD!$C$8)*(TSize=CR79)),IF(SD!$E$25="Level Wise",_xlfn.LET(_xlpm.result,_xlfn.XLOOKUP(B79,TDLevel,TDLevelStatus,"No"),IF(_xlpm.result="Yes",_xlfn._xlws.FILTER(THead,(TCName=SD!$C$8)*(TSize=CR79)),IF(SD!$C$24=SD!$Q$3,VLOOKUP(CR79,S90Range,3,FALSE),LEFT(SD!$C$24,FIND("-",SD!$C$24)-1)+(RIGHT(SD!$C$24,LEN(SD!$C$24)-FIND("-", SD!$C$24))/12)))),IF(SD!$E$25="BarSize Wise",_xlfn.LET(_xlpm.result,_xlfn.XLOOKUP(CR79,TDBarSize,TDBarSizeStatus,"No"),IF(_xlpm.result="Yes",_xlfn._xlws.FILTER(THead,(TCName=SD!$C$8)*(TSize=CR79)),IF(SD!$C$24=SD!$Q$3,VLOOKUP(CR79,S90Range,3,FALSE),LEFT(SD!$C$24,FIND("-",SD!$C$24)-1)+(RIGHT(SD!$C$24,LEN(SD!$C$24)-FIND("-",SD!$C$24))/12)))), "")))),""))</f>
        <v/>
      </c>
      <c r="CV79" t="str">
        <f>_xlfn.LET(_xlpm.GRR,IF(AND(SD!$C$19=SD!$H$2,Grade!$G$1="Per level"),VLOOKUP(B79,Grade!$E$1:$F$200,2,FALSE),IF(AND(SD!$C$19=SD!$H$2,Grade!$G$1="Per Bar Size"),VLOOKUP(CR79,Grade!$B$1:$C$12,2,0),SD!$C$19)),IF(SD!$C$25=SD!$W$2,IF(Data!$J79="",IFERROR(INDEX(IF(SD!$C$11="Create",Lap!$A$3:$BF$14,IF(SD!$C$11="Per Uploaded File",Lap!$A$19:$BF$30,"")),MATCH(CR79,Lap!$A$3:$A$14,0),MATCH(VALUE(D79),Lap!$A$3:$BF$3,0)+IF(IFERROR(FIND("Grade 60",_xlpm.GRR),0)&gt;0,0,IF(IFERROR(FIND("Grade 80",_xlpm.GRR),0),1,IF(IFERROR(FIND("Grade 75",_xlpm.GRR),0),2,"")))),""),Data!J79),SD!$C$43))</f>
        <v>Match Lap</v>
      </c>
      <c r="CW79">
        <f t="shared" si="42"/>
        <v>0</v>
      </c>
      <c r="CX79">
        <f t="shared" si="43"/>
        <v>0</v>
      </c>
      <c r="CY79" t="str">
        <f t="shared" si="44"/>
        <v/>
      </c>
      <c r="DA79" t="str">
        <f t="shared" si="45"/>
        <v/>
      </c>
      <c r="DB79" t="str">
        <f t="shared" si="46"/>
        <v/>
      </c>
      <c r="DC79" s="24" t="str">
        <f t="shared" si="47"/>
        <v/>
      </c>
      <c r="DD79">
        <f t="shared" si="48"/>
        <v>10.583333333333334</v>
      </c>
      <c r="DE79" t="s">
        <v>785</v>
      </c>
      <c r="DF79" t="s">
        <v>67</v>
      </c>
      <c r="DG79" t="str">
        <f>VLOOKUP(W79,'Level Wise PSI'!$F$2:$G$12,2,FALSE)</f>
        <v>Double Lift</v>
      </c>
      <c r="DI79" t="str" cm="1">
        <f t="array" ref="DI79">_xlfn.LET(_xlpm.Coup,IFERROR(IF(BY79="","",IF(K79="Coupler",_xlfn._xlws.FILTER(CCFCoupler,(CCName=SD!$C$8)*(CBSize=IF(A78=A79,W78&amp;W79,BX79&amp;W79))),"")),"N/A"),IF(_xlpm.Coup=0,"",_xlpm.Coup))</f>
        <v/>
      </c>
      <c r="DJ79" t="str" cm="1">
        <f t="array" ref="DJ79">_xlfn.LET(_xlpm.Coup3,IFERROR(IF(CG79="","",IF(K80="Coupler",_xlfn._xlws.FILTER(CCFCoupler,(CCName=SD!$C$8)*(CBSize=IF(A79=A80,W79&amp;W80,""))),"")),"N/A"),IF(_xlpm.Coup3=0,"",_xlpm.Coup3))</f>
        <v/>
      </c>
      <c r="DK79" t="str" cm="1">
        <f t="array" ref="DK79">_xlfn.LET(_xlpm.Coup2,IFERROR(IF(A79&lt;&gt;A80,"",IF(DF79="No Lap","",IF(K80="Coupler",_xlfn._xlws.FILTER(CCFCoupler,(CCName=SD!$C$8)*(CBSize=IF(A78=A79,W79&amp;W80,W79&amp;W79))),""))),"N/A"),IF(_xlpm.Coup2=0,"",_xlpm.Coup2))</f>
        <v/>
      </c>
      <c r="DM79" t="str">
        <f>IF(AM79="Spiral","",IF(SD!$C$31=SD!$Y$3,SD!$E$32*2,""))</f>
        <v/>
      </c>
      <c r="DO79" s="24">
        <f t="shared" si="49"/>
        <v>6</v>
      </c>
      <c r="DQ79" t="str">
        <f t="shared" si="50"/>
        <v>Lig</v>
      </c>
      <c r="DR79" t="str">
        <f>IF(AM79="Spiral",((Y79-(SD!$E$12*2))/12),"")</f>
        <v/>
      </c>
      <c r="DS79" t="str">
        <f t="shared" si="51"/>
        <v/>
      </c>
      <c r="DT79" t="str">
        <f t="shared" si="52"/>
        <v/>
      </c>
      <c r="DU79" t="str">
        <f t="shared" si="53"/>
        <v/>
      </c>
    </row>
    <row r="80" spans="1:125" x14ac:dyDescent="0.25">
      <c r="A80">
        <v>31</v>
      </c>
      <c r="B80" t="s">
        <v>686</v>
      </c>
      <c r="C80" s="15">
        <v>2429</v>
      </c>
      <c r="D80" s="15">
        <v>10000</v>
      </c>
      <c r="E80" t="str">
        <f>IF(B80=Level!$A$2,SD!$C$14,SD!$C$13)</f>
        <v>0-8</v>
      </c>
      <c r="F80" s="15" t="s">
        <v>787</v>
      </c>
      <c r="G80" t="s">
        <v>750</v>
      </c>
      <c r="H80" t="str">
        <f>RIGHT(VLOOKUP(B80,Level!A:C,3,FALSE),LEN(VLOOKUP(B80,Level!A:C,3,FALSE))-1)</f>
        <v>10-7</v>
      </c>
      <c r="I80" t="s">
        <v>752</v>
      </c>
      <c r="J80" t="str">
        <f>IF(AND(SD!$C$19=SD!$H$2,Grade!$G$1="Per level"),VLOOKUP(B80,Grade!$E$1:$F$200,2,FALSE),IF(AND(SD!$C$19=SD!$H$2,Grade!$G$1="Per Bar Size"),VLOOKUP(W80,Grade!$B$1:$C$12,2,0),SD!$C$19))</f>
        <v>A615 Grade 60</v>
      </c>
      <c r="K80" t="s">
        <v>67</v>
      </c>
      <c r="L80" t="str">
        <f>IFERROR(IF(A80&lt;&gt;A81,"",IF(DF80="No Lap","",IF(K81="Lap",U80,IF(K81="Coupler",_xlfn._xlws.FILTER(CCoupler,(CCName=SD!$C$8)*(CBSize=IF(A79=A80,W80&amp;W81,W80&amp;W80))*(CCMFM="Male")),"")))),"N/A")</f>
        <v/>
      </c>
      <c r="M80" t="str">
        <f t="shared" si="27"/>
        <v/>
      </c>
      <c r="N80" t="s">
        <v>719</v>
      </c>
      <c r="O80" t="s">
        <v>720</v>
      </c>
      <c r="P80" t="s">
        <v>719</v>
      </c>
      <c r="Q80" t="str">
        <f>IF(AND(SD!$C$29=SD!$P$2,Grade!$O$1="Per level"),VLOOKUP(B80,Grade!$M$1:$N$200,2,FALSE),IF(AND(SD!$C$29=SD!$P$2,Grade!$O$1="Per Bar Size"),VLOOKUP(LEFT(N80,FIND("@",N80)-2),Grade!$J$1:$K$12,2,0),SD!$C$29))</f>
        <v>A615 Grade 60</v>
      </c>
      <c r="R80" t="s">
        <v>732</v>
      </c>
      <c r="S80" s="57">
        <v>80</v>
      </c>
      <c r="U80" t="str">
        <f>IF(Data!$J80="",IFERROR(INDEX(IF(SD!$C$11="Create",Lap!$A$3:$BF$14,IF(SD!$C$11="Per Uploaded File",Lap!$A$19:$BF$30,"")),MATCH(W80,Lap!$A$3:$A$14,0),MATCH(VALUE(D80),Lap!$A$3:$BF$3,0)+IF(IFERROR(FIND("Grade 60",J80),0)&gt;0,0,IF(IFERROR(FIND("Grade 80",J80),0),1,IF(IFERROR(FIND("Grade 75",J80),0),2,"")))),""),Data!J80)</f>
        <v>4-6</v>
      </c>
      <c r="W80" t="s">
        <v>164</v>
      </c>
      <c r="X80">
        <v>16</v>
      </c>
      <c r="Y80" t="str">
        <f t="shared" si="28"/>
        <v xml:space="preserve">18 </v>
      </c>
      <c r="Z80" t="str">
        <f t="shared" si="29"/>
        <v xml:space="preserve"> 72</v>
      </c>
      <c r="AA80" s="24">
        <f t="shared" si="30"/>
        <v>10.583333333333334</v>
      </c>
      <c r="BB80" t="e" cm="1">
        <f t="array" ref="BB80">_xlfn.LET(_xlpm.PartF,(_xlfn.LET(_xlpm.grade, Q80,_xlpm.gradeRange, IF(_xlpm.grade=SD!$H$3, A615GR60, IF(_xlpm.grade=SD!$H$4, A615GR75, IF(_xlpm.grade=SD!$H$5, A615GR80, IF(_xlpm.grade=SD!$H$6, A615GR100, IF(_xlpm.grade=SD!$H$7, A706GR60, IF(_xlpm.grade=SD!$H$8, A706GR80)))))),_xlpm.matchValue, MATCH(1, (SD!$AW:$AW=AS80)*(SD!$AX:$AX=SD!$C$8), 0),INDEX(_xlpm.gradeRange, _xlpm.matchValue))),IF(AM80="Spiral",CONCATENATE("SP",_xlpm.PartF),_xlpm.PartF))</f>
        <v>#N/A</v>
      </c>
      <c r="BC80" cm="1">
        <f t="array" ref="BC80">_xlfn.LET(_xlpm.leftPart, LEFT(O80, FIND("@", O80) - 2),_xlpm.grade,Q80,_xlpm.gradeRange,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0" cm="1">
        <f t="array" ref="BD80">_xlfn.LET(_xlpm.leftPart, LEFT(P80, FIND("@", P80) - 2),_xlpm.grade, Q80,_xlpm.gradeRange,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0">
        <f t="shared" si="31"/>
        <v>6</v>
      </c>
      <c r="BF80">
        <f>IF(SD!$C$32=SD!$I$2,BE80,IF(SD!$C$32=SD!$I$3,DO80,IF(SD!$C$32=SD!$I$5,BA80,IF(SD!$C$32=SD!$I$6,(LEFT(SD!$C$35,FIND("-",SD!$C$35)-1)+RIGHT(SD!$C$35,LEN(SD!$C$35)-FIND("-",SD!$C$35))/12),IF(SD!$C$32=SD!$I$4,(AU80-(BG80+BH80)))))))</f>
        <v>0</v>
      </c>
      <c r="BG80">
        <f>IF(SD!$C$33=SD!$I$2,BE80,IF(SD!$C$33=SD!$I$3,DO80,IF(SD!$C$33=SD!$I$5,BA80,IF(SD!$C$33=SD!$I$6,(LEFT(SD!$C$35,FIND("-",SD!$C$35)-1)+RIGHT(SD!$C$35,LEN(SD!$C$35)-FIND("-",SD!$C$35))/12),IF(SD!$C$33=SD!$I$4,(AU80-(BF80+BH80)))))))</f>
        <v>-1</v>
      </c>
      <c r="BH80">
        <f>IF(SD!$C$34=SD!$I$2,BE80,IF(SD!$C$34=SD!$I$3,DO80,IF(SD!$C$34=SD!$I$5,BA80,IF(SD!$C$34=SD!$I$6,(LEFT(SD!$C$35,FIND("-",SD!$C$35)-1)+RIGHT(SD!$C$35,LEN(SD!$C$35)-FIND("-",SD!$C$35))/12),IF(SD!$C$34=SD!$I$4,(AU80-(BF80+BG80)))))))</f>
        <v>1</v>
      </c>
      <c r="BJ80">
        <f>IF(AM80="Spiral","1",MAX(ROUNDUP(IF(SD!$C$32="",AT80,BF80/(LEFT(RIGHT(N80,LEN(N80)-FIND("@",N80)),LEN(RIGHT(N80,LEN(N80)-FIND("@",N80)))-1)/12)+1),0),0))</f>
        <v>1</v>
      </c>
      <c r="BK80">
        <f>MAX(ROUNDUP(IF(SD!$C$33="","",BG80/(LEFT(RIGHT(O80,LEN(O80)-FIND("@",O80)),LEN(RIGHT(O80,LEN(O80)-FIND("@",O80)))-1)/12)+1),0),0)</f>
        <v>0</v>
      </c>
      <c r="BL80">
        <f>MAX(ROUNDUP(IF(SD!$C$34="","",BH80/(LEFT(RIGHT(P80,LEN(P80)-FIND("@",P80)),LEN(RIGHT(P80,LEN(P80)-FIND("@",P80)))-1)/12)+1),0),0)</f>
        <v>3</v>
      </c>
      <c r="BN80" t="e">
        <f t="shared" si="32"/>
        <v>#N/A</v>
      </c>
      <c r="BO80" t="e">
        <f t="shared" si="33"/>
        <v>#N/A</v>
      </c>
      <c r="BP80" t="e">
        <f t="shared" si="34"/>
        <v>#N/A</v>
      </c>
      <c r="BQ80" s="24" t="e">
        <f>IF(AM80=TRUE,(((Y80-(SD!$E$12*2))*3.14159265359)+BN80+BO80+BP80)/12+AL80,SUM(AF80:AG80,BN80,BO80,BP80,AO80,AQ80)/12)</f>
        <v>#N/A</v>
      </c>
      <c r="BR80" t="e">
        <f t="shared" si="35"/>
        <v>#N/A</v>
      </c>
      <c r="BS80" t="e">
        <f t="shared" si="36"/>
        <v>#N/A</v>
      </c>
      <c r="BT80" t="e">
        <f t="shared" si="37"/>
        <v>#N/A</v>
      </c>
      <c r="BU80" s="24" t="e">
        <f>IF(AM80=TRUE,(((Y80-(SD!$E$12*2))*3.14159265359)+BR80+BS80+BT80)/12+AL80,SUM(AF80:AG80,BR80,BS80,BT80,AO80,AQ80)/12)</f>
        <v>#N/A</v>
      </c>
      <c r="BW80" t="str">
        <f>IFERROR(LEFT(Data!L80,FIND(" -",Data!L80)-1),"")</f>
        <v/>
      </c>
      <c r="BX80" t="str">
        <f>IFERROR(IF(SD!$C$40=SD!$U$2,W80,IF(SD!$C$40=SD!$U$3,RIGHT(Data!L80,LEN(Data!L80)-(FIND("-",Data!L80)+1)),SD!$C$40)),"")</f>
        <v>#9</v>
      </c>
      <c r="BY80" t="str" cm="1">
        <f t="array" ref="BY80">IFERROR(_xlfn.LET(_xlpm.GRR,IF(AND(SD!$C$19=SD!$H$2,Grade!$G$1="Per level"),VLOOKUP(B80,Grade!$E$1:$F$200,2,FALSE),IF(AND(SD!$C$19=SD!$H$2,Grade!$G$1="Per Bar Size"),VLOOKUP(BX80,Grade!$B$1:$C$12,2,0),SD!$C$19)),_xlpm.is_equal, A79=A80,_xlpm.grade_range, IF(_xlpm.GRR=SD!$H$3, A615GR60,IF(_xlpm.GRR=SD!$H$4, A615GR75,IF(_xlpm.GRR=SD!$H$5, A615GR80,IF(_xlpm.GRR=SD!H84, A615GR100,IF(_xlpm.GRR=SD!$H$7, A706GR60,IF(_xlpm.GRR=SD!$H$8, A706GR80)))))),_xlpm.match_result, MATCH(1, (BSize=BX80)*(BCName=SD!$C$8), 0),_xlpm.final_result, INDEX(_xlpm.grade_range, _xlpm.match_result),IF(_xlpm.is_equal, "", _xlpm.final_result)),"")</f>
        <v/>
      </c>
      <c r="BZ80" t="str">
        <f>IF(A79=A80,"",IF(SD!$C$41="Match Vertical Bars ",X80,IF(SD!$C$41=SD!$V$3,BW80,SD!$C$41)))</f>
        <v/>
      </c>
      <c r="CA80" t="str" cm="1">
        <f t="array" ref="CA80">IF(A79=A80,"",IF(SD!$C$44="No T-Head",IF(SD!$C$42=SD!$Q$3,VLOOKUP(BX80,S90Range,3,FALSE),LEFT(SD!$C$42,FIND("-",SD!$C$42)-1)+(RIGHT(SD!$C$42,LEN(SD!$C$42)-FIND("-",SD!$C$42))/12)),IF(SD!$C$44="T-Head",_xlfn._xlws.FILTER(THead,(TCName=SD!$C$8)*(TSize=BX80)),IF(SD!$C$44="Level Wise",_xlfn.LET(_xlpm.result,_xlfn.XLOOKUP(B80,VDLevel,VDLevelStatus,"No"),IF(_xlpm.result="Yes",_xlfn._xlws.FILTER(THead,(TCName=SD!$C$8)*(TSize=BX80)),IF(SD!$C$42=SD!$Q$3,VLOOKUP(BX80,S90Range,3,FALSE),LEFT(SD!$C$42,FIND("-",SD!$C$42)-1)+(RIGHT(SD!$C$42,LEN(SD!$C$42)-FIND("-", SD!$C$42))/12)))),IF(SD!$C$44="BarSize Wise",_xlfn.LET(_xlpm.result,_xlfn.XLOOKUP(BX80,VDBarSize,VDBarSizeStatus,"No"),IF(_xlpm.result="Yes",_xlfn._xlws.FILTER(THead,(TCName=SD!$C$8)*(TSize=BX80)),IF(SD!$C$42=SD!$Q$3,VLOOKUP(BX80,S90Range,3,FALSE),LEFT(SD!$C$42,FIND("-",SD!$C$42)-1)+(RIGHT(SD!$C$42,LEN(SD!$C$42)-FIND("-",SD!$C$42))/12)))), "")))))</f>
        <v/>
      </c>
      <c r="CB80" t="str" cm="1">
        <f t="array" ref="CB80">_xlfn.LET(_xlpm.GRR,IF(AND(SD!$C$19=SD!$H$2,Grade!$G$1="Per level"),VLOOKUP(B80,Grade!$E$1:$F$200,2,FALSE),IF(AND(SD!$C$19=SD!$H$2,Grade!$G$1="Per Bar Size"),VLOOKUP(BX80,Grade!$B$1:$C$12,2,0),SD!$C$19)),_xlpm.is_coupler, K80="Coupler",_xlpm.condition1, SD!$C$43=SD!$W$2,_xlpm.data_j2_empty, Data!$J80="",_xlpm.lookup_table, IF(SD!$C$11="Create", Lap!$A$3:$BF$14, IF(SD!$C$11="Per Uploaded File", Lap!$A$19:$BF$30, "")),_xlpm.row_match, MATCH(BX80, Lap!$A$3:$A$14, 0),_xlpm.grade_offset, IF(IFERROR(FIND("Grade 60",_xlpm.GRR), 0) &gt; 0, 0, IF(IFERROR(FIND("Grade 80",_xlpm.GRR), 0), 1, IF(IFERROR(FIND("Grade 75",_xlpm.GRR), 0), 2, ""))),_xlpm.col_match, MATCH(VALUE(D80), Lap!$A$3:$BF$3, 0) + _xlpm.grade_offset,_xlpm.index_result, IFERROR(INDEX(_xlpm.lookup_table, _xlpm.row_match, _xlpm.col_match), Data!$J80),_xlpm.result_if_condition1, IF(_xlpm.data_j2_empty, _xlpm.index_result, Data!$J80),IF(_xlpm.is_coupler, 0, IF(_xlpm.condition1, _xlpm.result_if_condition1, SD!$C$43)))</f>
        <v>4-6</v>
      </c>
      <c r="CC80" s="24">
        <f t="shared" si="38"/>
        <v>4.5</v>
      </c>
      <c r="CD80">
        <f t="shared" si="39"/>
        <v>5.166666666666667</v>
      </c>
      <c r="CE80" t="str" cm="1">
        <f t="array" ref="CE80">IF(BY80="","",_xlfn._xlws.FILTER(SAC,(CName=SD!$C$8)*(EName="Vert Dowels")))</f>
        <v/>
      </c>
      <c r="CF80" t="str" cm="1">
        <f t="array" ref="CF80">IFERROR(IF(BY80="","",IF(K80="Coupler",_xlfn._xlws.FILTER(CCoupler,(CCName=SD!$C$8)*(CBSize=IF(A79=A80,W79&amp;W80,BX80&amp;W80))*(CCMFM="Male")),"")),"N/A")</f>
        <v/>
      </c>
      <c r="CG80" t="str">
        <f t="shared" si="40"/>
        <v/>
      </c>
      <c r="CH80" t="str">
        <f t="shared" si="41"/>
        <v/>
      </c>
      <c r="CI80" t="str">
        <f>_xlfn.LET(_xlpm.u3_value, U81,_xlpm.hyphen_pos,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K81="Coupler",_xlpm.coupler_value, IF(_xlpm.is_coupler, 0, _xlpm.calculated_value),_xlpm.final_value, _xlpm.calculated_value + SD!$E$13 + _xlpm.coupler_value,IF(CG80="", "", _xlpm.final_value))</f>
        <v/>
      </c>
      <c r="CJ80" t="str" cm="1">
        <f t="array" ref="CJ80">IF(CG80="","",_xlfn._xlws.FILTER(SAC,(CName=SD!$C$8)*(EName="Loose Dowels")))</f>
        <v/>
      </c>
      <c r="CK80" t="str" cm="1">
        <f t="array" ref="CK80">IFERROR(IF(CG80="","",IF(K81="Coupler",_xlfn._xlws.FILTER(CCoupler,(CCName=SD!$C$8)*(CBSize=IF(A80=A81,W80&amp;W81,""))*(CCMFM="Male")),"")),"N/A")</f>
        <v/>
      </c>
      <c r="CL80" t="str">
        <f>IFERROR(IF(AM80="Spiral","",IF(A79=A80,"",IF(SD!$C$37=0,"",SD!$C$37))),"")</f>
        <v/>
      </c>
      <c r="CN80">
        <f>IF(AM80="Spiral","",IFERROR(IF(SD!$C$36=0,"",SD!$C$36),""))</f>
        <v>5</v>
      </c>
      <c r="CP80" t="str">
        <f>IFERROR(IF(SD!$C$42=SD!$Q$3,'Take-off'!CA80,""),"")</f>
        <v/>
      </c>
      <c r="CR80">
        <f>IFERROR(IF(SD!$C$22=SD!$U$2,W80,SD!$C$22),"")</f>
        <v>0</v>
      </c>
      <c r="CS80" t="str" cm="1">
        <f t="array" ref="CS80">_xlfn.LET(_xlpm.GR,IF(AND(SD!$C$19=SD!$H$2,Grade!$G$1="Per level"),VLOOKUP(B80,Grade!$E$1:$F$200,2,FALSE),IF(AND(SD!$C$19=SD!$H$2,Grade!$G$1="Per Bar Size"),VLOOKUP(CR80,Grade!$B$1:$C$12,2,0),SD!$C$19)),IF(SD!$C$20=SD!$R$4,IF(A81=A80,"",INDEX(IF(_xlpm.GR=SD!$H$3,A615GR60,IF(_xlpm.GR=SD!$H$4,A615GR75,IF(_xlpm.GR=SD!$H$5,A615GR80,IF(_xlpm.GR=SD!H84,A615GR100,IF(_xlpm.GR=SD!$H$7,A706GR60,IF(_xlpm.GR=SD!$H$8,A706GR80)))))), MATCH(1, (BSize=CR80)*(BCName=SD!$C$8), 0))),""))</f>
        <v/>
      </c>
      <c r="CT80">
        <f>IF(A81=A80,"",IF(SD!$C$23="Match Vertical Bars ",X80,SD!$C$23))</f>
        <v>0</v>
      </c>
      <c r="CU80" t="str" cm="1">
        <f t="array" ref="CU80">IF(A81=A80,"",IF(SD!$C$20="Top dowels",IF(SD!$E$25="No T-Head",IF(SD!$C$24=SD!$Q$3,VLOOKUP(CR80,S90Range,3,FALSE),LEFT(SD!$C$24,FIND("-",SD!$C$24)-1)+(RIGHT(SD!$C$24,LEN(SD!$C$24)-FIND("-",SD!$C$24))/12)),IF(SD!$E$25="T-Head",_xlfn._xlws.FILTER(THead,(TCName=SD!$C$8)*(TSize=CR80)),IF(SD!$E$25="Level Wise",_xlfn.LET(_xlpm.result,_xlfn.XLOOKUP(B80,TDLevel,TDLevelStatus,"No"),IF(_xlpm.result="Yes",_xlfn._xlws.FILTER(THead,(TCName=SD!$C$8)*(TSize=CR80)),IF(SD!$C$24=SD!$Q$3,VLOOKUP(CR80,S90Range,3,FALSE),LEFT(SD!$C$24,FIND("-",SD!$C$24)-1)+(RIGHT(SD!$C$24,LEN(SD!$C$24)-FIND("-", SD!$C$24))/12)))),IF(SD!$E$25="BarSize Wise",_xlfn.LET(_xlpm.result,_xlfn.XLOOKUP(CR80,TDBarSize,TDBarSizeStatus,"No"),IF(_xlpm.result="Yes",_xlfn._xlws.FILTER(THead,(TCName=SD!$C$8)*(TSize=CR80)),IF(SD!$C$24=SD!$Q$3,VLOOKUP(CR80,S90Range,3,FALSE),LEFT(SD!$C$24,FIND("-",SD!$C$24)-1)+(RIGHT(SD!$C$24,LEN(SD!$C$24)-FIND("-",SD!$C$24))/12)))), "")))),""))</f>
        <v/>
      </c>
      <c r="CV80" t="str">
        <f>_xlfn.LET(_xlpm.GRR,IF(AND(SD!$C$19=SD!$H$2,Grade!$G$1="Per level"),VLOOKUP(B80,Grade!$E$1:$F$200,2,FALSE),IF(AND(SD!$C$19=SD!$H$2,Grade!$G$1="Per Bar Size"),VLOOKUP(CR80,Grade!$B$1:$C$12,2,0),SD!$C$19)),IF(SD!$C$25=SD!$W$2,IF(Data!$J80="",IFERROR(INDEX(IF(SD!$C$11="Create",Lap!$A$3:$BF$14,IF(SD!$C$11="Per Uploaded File",Lap!$A$19:$BF$30,"")),MATCH(CR80,Lap!$A$3:$A$14,0),MATCH(VALUE(D80),Lap!$A$3:$BF$3,0)+IF(IFERROR(FIND("Grade 60",_xlpm.GRR),0)&gt;0,0,IF(IFERROR(FIND("Grade 80",_xlpm.GRR),0),1,IF(IFERROR(FIND("Grade 75",_xlpm.GRR),0),2,"")))),""),Data!J80),SD!$C$43))</f>
        <v>Match Lap</v>
      </c>
      <c r="CW80">
        <f t="shared" si="42"/>
        <v>0</v>
      </c>
      <c r="CX80">
        <f t="shared" si="43"/>
        <v>0</v>
      </c>
      <c r="CY80" t="str">
        <f t="shared" si="44"/>
        <v/>
      </c>
      <c r="DA80" t="str">
        <f t="shared" si="45"/>
        <v/>
      </c>
      <c r="DB80" t="str">
        <f t="shared" si="46"/>
        <v/>
      </c>
      <c r="DC80" s="24" t="str">
        <f t="shared" si="47"/>
        <v/>
      </c>
      <c r="DD80">
        <f t="shared" si="48"/>
        <v>10.583333333333334</v>
      </c>
      <c r="DE80" t="s">
        <v>785</v>
      </c>
      <c r="DF80" t="s">
        <v>67</v>
      </c>
      <c r="DG80" t="str">
        <f>VLOOKUP(W80,'Level Wise PSI'!$F$2:$G$12,2,FALSE)</f>
        <v>Double Lift</v>
      </c>
      <c r="DI80" t="str" cm="1">
        <f t="array" ref="DI80">_xlfn.LET(_xlpm.Coup,IFERROR(IF(BY80="","",IF(K80="Coupler",_xlfn._xlws.FILTER(CCFCoupler,(CCName=SD!$C$8)*(CBSize=IF(A79=A80,W79&amp;W80,BX80&amp;W80))),"")),"N/A"),IF(_xlpm.Coup=0,"",_xlpm.Coup))</f>
        <v/>
      </c>
      <c r="DJ80" t="str" cm="1">
        <f t="array" ref="DJ80">_xlfn.LET(_xlpm.Coup3,IFERROR(IF(CG80="","",IF(K81="Coupler",_xlfn._xlws.FILTER(CCFCoupler,(CCName=SD!$C$8)*(CBSize=IF(A80=A81,W80&amp;W81,""))),"")),"N/A"),IF(_xlpm.Coup3=0,"",_xlpm.Coup3))</f>
        <v/>
      </c>
      <c r="DK80" t="str" cm="1">
        <f t="array" ref="DK80">_xlfn.LET(_xlpm.Coup2,IFERROR(IF(A80&lt;&gt;A81,"",IF(DF80="No Lap","",IF(K81="Coupler",_xlfn._xlws.FILTER(CCFCoupler,(CCName=SD!$C$8)*(CBSize=IF(A79=A80,W80&amp;W81,W80&amp;W80))),""))),"N/A"),IF(_xlpm.Coup2=0,"",_xlpm.Coup2))</f>
        <v/>
      </c>
      <c r="DM80" t="str">
        <f>IF(AM80="Spiral","",IF(SD!$C$31=SD!$Y$3,SD!$E$32*2,""))</f>
        <v/>
      </c>
      <c r="DO80" s="24">
        <f t="shared" si="49"/>
        <v>6</v>
      </c>
      <c r="DQ80" t="str">
        <f t="shared" si="50"/>
        <v>Lig</v>
      </c>
      <c r="DR80" t="str">
        <f>IF(AM80="Spiral",((Y80-(SD!$E$12*2))/12),"")</f>
        <v/>
      </c>
      <c r="DS80" t="str">
        <f t="shared" si="51"/>
        <v/>
      </c>
      <c r="DT80" t="str">
        <f t="shared" si="52"/>
        <v/>
      </c>
      <c r="DU80" t="str">
        <f t="shared" si="53"/>
        <v/>
      </c>
    </row>
    <row r="81" spans="1:125" x14ac:dyDescent="0.25">
      <c r="A81">
        <v>32</v>
      </c>
      <c r="B81" t="s">
        <v>664</v>
      </c>
      <c r="C81" s="15">
        <v>2429</v>
      </c>
      <c r="D81" s="15">
        <v>10000</v>
      </c>
      <c r="E81" t="str">
        <f>IF(B81=Level!$A$2,SD!$C$14,SD!$C$13)</f>
        <v>3-0</v>
      </c>
      <c r="F81" s="15" t="s">
        <v>787</v>
      </c>
      <c r="G81" t="s">
        <v>733</v>
      </c>
      <c r="H81" s="15" t="s">
        <v>790</v>
      </c>
      <c r="I81" t="s">
        <v>723</v>
      </c>
      <c r="J81" t="str">
        <f>IF(AND(SD!$C$19=SD!$H$2,Grade!$G$1="Per level"),VLOOKUP(B81,Grade!$E$1:$F$200,2,FALSE),IF(AND(SD!$C$19=SD!$H$2,Grade!$G$1="Per Bar Size"),VLOOKUP(W81,Grade!$B$1:$C$12,2,0),SD!$C$19))</f>
        <v>A615 Grade 60</v>
      </c>
      <c r="K81" t="s">
        <v>67</v>
      </c>
      <c r="L81" t="str">
        <f>IFERROR(IF(A81&lt;&gt;A82,"",IF(DF81="No Lap","",IF(K82="Lap",U81,IF(K82="Coupler",_xlfn._xlws.FILTER(CCoupler,(CCName=SD!$C$8)*(CBSize=IF(A80=A81,W81&amp;W82,W81&amp;W81))*(CCMFM="Male")),"")))),"N/A")</f>
        <v/>
      </c>
      <c r="M81" t="str">
        <f t="shared" si="27"/>
        <v/>
      </c>
      <c r="N81" t="s">
        <v>719</v>
      </c>
      <c r="O81" t="s">
        <v>720</v>
      </c>
      <c r="P81" t="s">
        <v>719</v>
      </c>
      <c r="Q81" t="str">
        <f>IF(AND(SD!$C$29=SD!$P$2,Grade!$O$1="Per level"),VLOOKUP(B81,Grade!$M$1:$N$200,2,FALSE),IF(AND(SD!$C$29=SD!$P$2,Grade!$O$1="Per Bar Size"),VLOOKUP(LEFT(N81,FIND("@",N81)-2),Grade!$J$1:$K$12,2,0),SD!$C$29))</f>
        <v>A615 Grade 60</v>
      </c>
      <c r="R81" t="s">
        <v>725</v>
      </c>
      <c r="S81" s="57">
        <v>81</v>
      </c>
      <c r="U81" t="str">
        <f>IF(Data!$J81="",IFERROR(INDEX(IF(SD!$C$11="Create",Lap!$A$3:$BF$14,IF(SD!$C$11="Per Uploaded File",Lap!$A$19:$BF$30,"")),MATCH(W81,Lap!$A$3:$A$14,0),MATCH(VALUE(D81),Lap!$A$3:$BF$3,0)+IF(IFERROR(FIND("Grade 60",J81),0)&gt;0,0,IF(IFERROR(FIND("Grade 80",J81),0),1,IF(IFERROR(FIND("Grade 75",J81),0),2,"")))),""),Data!J81)</f>
        <v>3-6</v>
      </c>
      <c r="W81" t="s">
        <v>139</v>
      </c>
      <c r="X81">
        <v>6</v>
      </c>
      <c r="Y81" t="str">
        <f t="shared" si="28"/>
        <v xml:space="preserve">14 </v>
      </c>
      <c r="Z81" t="str">
        <f t="shared" si="29"/>
        <v xml:space="preserve"> 24</v>
      </c>
      <c r="AA81" s="24">
        <f t="shared" si="30"/>
        <v>12.25</v>
      </c>
      <c r="BB81" t="e" cm="1">
        <f t="array" ref="BB81">_xlfn.LET(_xlpm.PartF,(_xlfn.LET(_xlpm.grade, Q81,_xlpm.gradeRange, IF(_xlpm.grade=SD!$H$3, A615GR60, IF(_xlpm.grade=SD!$H$4, A615GR75, IF(_xlpm.grade=SD!$H$5, A615GR80, IF(_xlpm.grade=SD!$H$6, A615GR100, IF(_xlpm.grade=SD!$H$7, A706GR60, IF(_xlpm.grade=SD!$H$8, A706GR80)))))),_xlpm.matchValue, MATCH(1, (SD!$AW:$AW=AS81)*(SD!$AX:$AX=SD!$C$8), 0),INDEX(_xlpm.gradeRange, _xlpm.matchValue))),IF(AM81="Spiral",CONCATENATE("SP",_xlpm.PartF),_xlpm.PartF))</f>
        <v>#N/A</v>
      </c>
      <c r="BC81" cm="1">
        <f t="array" ref="BC81">_xlfn.LET(_xlpm.leftPart, LEFT(O81, FIND("@", O81) - 2),_xlpm.grade,Q81,_xlpm.gradeRange,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1" cm="1">
        <f t="array" ref="BD81">_xlfn.LET(_xlpm.leftPart, LEFT(P81, FIND("@", P81) - 2),_xlpm.grade, Q81,_xlpm.gradeRange,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1">
        <f t="shared" si="31"/>
        <v>2</v>
      </c>
      <c r="BF81">
        <f>IF(SD!$C$32=SD!$I$2,BE81,IF(SD!$C$32=SD!$I$3,DO81,IF(SD!$C$32=SD!$I$5,BA81,IF(SD!$C$32=SD!$I$6,(LEFT(SD!$C$35,FIND("-",SD!$C$35)-1)+RIGHT(SD!$C$35,LEN(SD!$C$35)-FIND("-",SD!$C$35))/12),IF(SD!$C$32=SD!$I$4,(AU81-(BG81+BH81)))))))</f>
        <v>0</v>
      </c>
      <c r="BG81">
        <f>IF(SD!$C$33=SD!$I$2,BE81,IF(SD!$C$33=SD!$I$3,DO81,IF(SD!$C$33=SD!$I$5,BA81,IF(SD!$C$33=SD!$I$6,(LEFT(SD!$C$35,FIND("-",SD!$C$35)-1)+RIGHT(SD!$C$35,LEN(SD!$C$35)-FIND("-",SD!$C$35))/12),IF(SD!$C$33=SD!$I$4,(AU81-(BF81+BH81)))))))</f>
        <v>-1</v>
      </c>
      <c r="BH81">
        <f>IF(SD!$C$34=SD!$I$2,BE81,IF(SD!$C$34=SD!$I$3,DO81,IF(SD!$C$34=SD!$I$5,BA81,IF(SD!$C$34=SD!$I$6,(LEFT(SD!$C$35,FIND("-",SD!$C$35)-1)+RIGHT(SD!$C$35,LEN(SD!$C$35)-FIND("-",SD!$C$35))/12),IF(SD!$C$34=SD!$I$4,(AU81-(BF81+BG81)))))))</f>
        <v>1</v>
      </c>
      <c r="BJ81">
        <f>IF(AM81="Spiral","1",MAX(ROUNDUP(IF(SD!$C$32="",AT81,BF81/(LEFT(RIGHT(N81,LEN(N81)-FIND("@",N81)),LEN(RIGHT(N81,LEN(N81)-FIND("@",N81)))-1)/12)+1),0),0))</f>
        <v>1</v>
      </c>
      <c r="BK81">
        <f>MAX(ROUNDUP(IF(SD!$C$33="","",BG81/(LEFT(RIGHT(O81,LEN(O81)-FIND("@",O81)),LEN(RIGHT(O81,LEN(O81)-FIND("@",O81)))-1)/12)+1),0),0)</f>
        <v>0</v>
      </c>
      <c r="BL81">
        <f>MAX(ROUNDUP(IF(SD!$C$34="","",BH81/(LEFT(RIGHT(P81,LEN(P81)-FIND("@",P81)),LEN(RIGHT(P81,LEN(P81)-FIND("@",P81)))-1)/12)+1),0),0)</f>
        <v>3</v>
      </c>
      <c r="BN81" t="e">
        <f t="shared" si="32"/>
        <v>#N/A</v>
      </c>
      <c r="BO81" t="e">
        <f t="shared" si="33"/>
        <v>#N/A</v>
      </c>
      <c r="BP81" t="e">
        <f t="shared" si="34"/>
        <v>#N/A</v>
      </c>
      <c r="BQ81" s="24" t="e">
        <f>IF(AM81=TRUE,(((Y81-(SD!$E$12*2))*3.14159265359)+BN81+BO81+BP81)/12+AL81,SUM(AF81:AG81,BN81,BO81,BP81,AO81,AQ81)/12)</f>
        <v>#N/A</v>
      </c>
      <c r="BR81" t="e">
        <f t="shared" si="35"/>
        <v>#N/A</v>
      </c>
      <c r="BS81" t="e">
        <f t="shared" si="36"/>
        <v>#N/A</v>
      </c>
      <c r="BT81" t="e">
        <f t="shared" si="37"/>
        <v>#N/A</v>
      </c>
      <c r="BU81" s="24" t="e">
        <f>IF(AM81=TRUE,(((Y81-(SD!$E$12*2))*3.14159265359)+BR81+BS81+BT81)/12+AL81,SUM(AF81:AG81,BR81,BS81,BT81,AO81,AQ81)/12)</f>
        <v>#N/A</v>
      </c>
      <c r="BW81" t="str">
        <f>IFERROR(LEFT(Data!L81,FIND(" -",Data!L81)-1),"")</f>
        <v/>
      </c>
      <c r="BX81" t="str">
        <f>IFERROR(IF(SD!$C$40=SD!$U$2,W81,IF(SD!$C$40=SD!$U$3,RIGHT(Data!L81,LEN(Data!L81)-(FIND("-",Data!L81)+1)),SD!$C$40)),"")</f>
        <v>#7</v>
      </c>
      <c r="BY81" cm="1">
        <f t="array" ref="BY81">IFERROR(_xlfn.LET(_xlpm.GRR,IF(AND(SD!$C$19=SD!$H$2,Grade!$G$1="Per level"),VLOOKUP(B81,Grade!$E$1:$F$200,2,FALSE),IF(AND(SD!$C$19=SD!$H$2,Grade!$G$1="Per Bar Size"),VLOOKUP(BX81,Grade!$B$1:$C$12,2,0),SD!$C$19)),_xlpm.is_equal, A80=A81,_xlpm.grade_range, IF(_xlpm.GRR=SD!$H$3, A615GR60,IF(_xlpm.GRR=SD!$H$4, A615GR75,IF(_xlpm.GRR=SD!$H$5, A615GR80,IF(_xlpm.GRR=SD!H85, A615GR100,IF(_xlpm.GRR=SD!$H$7, A706GR60,IF(_xlpm.GRR=SD!$H$8, A706GR80)))))),_xlpm.match_result, MATCH(1, (BSize=BX81)*(BCName=SD!$C$8), 0),_xlpm.final_result, INDEX(_xlpm.grade_range, _xlpm.match_result),IF(_xlpm.is_equal, "", _xlpm.final_result)),"")</f>
        <v>7</v>
      </c>
      <c r="BZ81">
        <f>IF(A80=A81,"",IF(SD!$C$41="Match Vertical Bars ",X81,IF(SD!$C$41=SD!$V$3,BW81,SD!$C$41)))</f>
        <v>6</v>
      </c>
      <c r="CA81" cm="1">
        <f t="array" ref="CA81">IF(A80=A81,"",IF(SD!$C$44="No T-Head",IF(SD!$C$42=SD!$Q$3,VLOOKUP(BX81,S90Range,3,FALSE),LEFT(SD!$C$42,FIND("-",SD!$C$42)-1)+(RIGHT(SD!$C$42,LEN(SD!$C$42)-FIND("-",SD!$C$42))/12)),IF(SD!$C$44="T-Head",_xlfn._xlws.FILTER(THead,(TCName=SD!$C$8)*(TSize=BX81)),IF(SD!$C$44="Level Wise",_xlfn.LET(_xlpm.result,_xlfn.XLOOKUP(B81,VDLevel,VDLevelStatus,"No"),IF(_xlpm.result="Yes",_xlfn._xlws.FILTER(THead,(TCName=SD!$C$8)*(TSize=BX81)),IF(SD!$C$42=SD!$Q$3,VLOOKUP(BX81,S90Range,3,FALSE),LEFT(SD!$C$42,FIND("-",SD!$C$42)-1)+(RIGHT(SD!$C$42,LEN(SD!$C$42)-FIND("-", SD!$C$42))/12)))),IF(SD!$C$44="BarSize Wise",_xlfn.LET(_xlpm.result,_xlfn.XLOOKUP(BX81,VDBarSize,VDBarSizeStatus,"No"),IF(_xlpm.result="Yes",_xlfn._xlws.FILTER(THead,(TCName=SD!$C$8)*(TSize=BX81)),IF(SD!$C$42=SD!$Q$3,VLOOKUP(BX81,S90Range,3,FALSE),LEFT(SD!$C$42,FIND("-",SD!$C$42)-1)+(RIGHT(SD!$C$42,LEN(SD!$C$42)-FIND("-",SD!$C$42))/12)))), "")))))</f>
        <v>1.1666666666666667</v>
      </c>
      <c r="CB81" t="str" cm="1">
        <f t="array" ref="CB81">_xlfn.LET(_xlpm.GRR,IF(AND(SD!$C$19=SD!$H$2,Grade!$G$1="Per level"),VLOOKUP(B81,Grade!$E$1:$F$200,2,FALSE),IF(AND(SD!$C$19=SD!$H$2,Grade!$G$1="Per Bar Size"),VLOOKUP(BX81,Grade!$B$1:$C$12,2,0),SD!$C$19)),_xlpm.is_coupler, K81="Coupler",_xlpm.condition1, SD!$C$43=SD!$W$2,_xlpm.data_j2_empty, Data!$J81="",_xlpm.lookup_table, IF(SD!$C$11="Create", Lap!$A$3:$BF$14, IF(SD!$C$11="Per Uploaded File", Lap!$A$19:$BF$30, "")),_xlpm.row_match, MATCH(BX81, Lap!$A$3:$A$14, 0),_xlpm.grade_offset, IF(IFERROR(FIND("Grade 60",_xlpm.GRR), 0) &gt; 0, 0, IF(IFERROR(FIND("Grade 80",_xlpm.GRR), 0), 1, IF(IFERROR(FIND("Grade 75",_xlpm.GRR), 0), 2, ""))),_xlpm.col_match, MATCH(VALUE(D81), Lap!$A$3:$BF$3, 0) + _xlpm.grade_offset,_xlpm.index_result, IFERROR(INDEX(_xlpm.lookup_table, _xlpm.row_match, _xlpm.col_match), Data!$J81),_xlpm.result_if_condition1, IF(_xlpm.data_j2_empty, _xlpm.index_result, Data!$J81),IF(_xlpm.is_coupler, 0, IF(_xlpm.condition1, _xlpm.result_if_condition1, SD!$C$43)))</f>
        <v>3-6</v>
      </c>
      <c r="CC81" s="24">
        <f t="shared" si="38"/>
        <v>3.5</v>
      </c>
      <c r="CD81">
        <f t="shared" si="39"/>
        <v>7.666666666666667</v>
      </c>
      <c r="CE81" t="str" cm="1">
        <f t="array" ref="CE81">IF(BY81="","",_xlfn._xlws.FILTER(SAC,(CName=SD!$C$8)*(EName="Vert Dowels")))</f>
        <v>2200 CD</v>
      </c>
      <c r="CF81" t="str" cm="1">
        <f t="array" ref="CF81">IFERROR(IF(BY81="","",IF(K81="Coupler",_xlfn._xlws.FILTER(CCoupler,(CCName=SD!$C$8)*(CBSize=IF(A80=A81,W80&amp;W81,BX81&amp;W81))*(CCMFM="Male")),"")),"N/A")</f>
        <v/>
      </c>
      <c r="CG81" t="str">
        <f t="shared" si="40"/>
        <v/>
      </c>
      <c r="CH81" t="str">
        <f t="shared" si="41"/>
        <v/>
      </c>
      <c r="CI81" t="str">
        <f>_xlfn.LET(_xlpm.u3_value, U82,_xlpm.hyphen_pos,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K82="Coupler",_xlpm.coupler_value, IF(_xlpm.is_coupler, 0, _xlpm.calculated_value),_xlpm.final_value, _xlpm.calculated_value + SD!$E$13 + _xlpm.coupler_value,IF(CG81="", "", _xlpm.final_value))</f>
        <v/>
      </c>
      <c r="CJ81" t="str" cm="1">
        <f t="array" ref="CJ81">IF(CG81="","",_xlfn._xlws.FILTER(SAC,(CName=SD!$C$8)*(EName="Loose Dowels")))</f>
        <v/>
      </c>
      <c r="CK81" t="str" cm="1">
        <f t="array" ref="CK81">IFERROR(IF(CG81="","",IF(K82="Coupler",_xlfn._xlws.FILTER(CCoupler,(CCName=SD!$C$8)*(CBSize=IF(A81=A82,W81&amp;W82,""))*(CCMFM="Male")),"")),"N/A")</f>
        <v/>
      </c>
      <c r="CL81">
        <f>IFERROR(IF(AM81="Spiral","",IF(A80=A81,"",IF(SD!$C$37=0,"",SD!$C$37))),"")</f>
        <v>3</v>
      </c>
      <c r="CN81">
        <f>IF(AM81="Spiral","",IFERROR(IF(SD!$C$36=0,"",SD!$C$36),""))</f>
        <v>5</v>
      </c>
      <c r="CP81">
        <f>IFERROR(IF(SD!$C$42=SD!$Q$3,'Take-off'!CA81,""),"")</f>
        <v>1.1666666666666667</v>
      </c>
      <c r="CR81">
        <f>IFERROR(IF(SD!$C$22=SD!$U$2,W81,SD!$C$22),"")</f>
        <v>0</v>
      </c>
      <c r="CS81" t="str" cm="1">
        <f t="array" ref="CS81">_xlfn.LET(_xlpm.GR,IF(AND(SD!$C$19=SD!$H$2,Grade!$G$1="Per level"),VLOOKUP(B81,Grade!$E$1:$F$200,2,FALSE),IF(AND(SD!$C$19=SD!$H$2,Grade!$G$1="Per Bar Size"),VLOOKUP(CR81,Grade!$B$1:$C$12,2,0),SD!$C$19)),IF(SD!$C$20=SD!$R$4,IF(A82=A81,"",INDEX(IF(_xlpm.GR=SD!$H$3,A615GR60,IF(_xlpm.GR=SD!$H$4,A615GR75,IF(_xlpm.GR=SD!$H$5,A615GR80,IF(_xlpm.GR=SD!H85,A615GR100,IF(_xlpm.GR=SD!$H$7,A706GR60,IF(_xlpm.GR=SD!$H$8,A706GR80)))))), MATCH(1, (BSize=CR81)*(BCName=SD!$C$8), 0))),""))</f>
        <v/>
      </c>
      <c r="CT81">
        <f>IF(A82=A81,"",IF(SD!$C$23="Match Vertical Bars ",X81,SD!$C$23))</f>
        <v>0</v>
      </c>
      <c r="CU81" t="str" cm="1">
        <f t="array" ref="CU81">IF(A82=A81,"",IF(SD!$C$20="Top dowels",IF(SD!$E$25="No T-Head",IF(SD!$C$24=SD!$Q$3,VLOOKUP(CR81,S90Range,3,FALSE),LEFT(SD!$C$24,FIND("-",SD!$C$24)-1)+(RIGHT(SD!$C$24,LEN(SD!$C$24)-FIND("-",SD!$C$24))/12)),IF(SD!$E$25="T-Head",_xlfn._xlws.FILTER(THead,(TCName=SD!$C$8)*(TSize=CR81)),IF(SD!$E$25="Level Wise",_xlfn.LET(_xlpm.result,_xlfn.XLOOKUP(B81,TDLevel,TDLevelStatus,"No"),IF(_xlpm.result="Yes",_xlfn._xlws.FILTER(THead,(TCName=SD!$C$8)*(TSize=CR81)),IF(SD!$C$24=SD!$Q$3,VLOOKUP(CR81,S90Range,3,FALSE),LEFT(SD!$C$24,FIND("-",SD!$C$24)-1)+(RIGHT(SD!$C$24,LEN(SD!$C$24)-FIND("-", SD!$C$24))/12)))),IF(SD!$E$25="BarSize Wise",_xlfn.LET(_xlpm.result,_xlfn.XLOOKUP(CR81,TDBarSize,TDBarSizeStatus,"No"),IF(_xlpm.result="Yes",_xlfn._xlws.FILTER(THead,(TCName=SD!$C$8)*(TSize=CR81)),IF(SD!$C$24=SD!$Q$3,VLOOKUP(CR81,S90Range,3,FALSE),LEFT(SD!$C$24,FIND("-",SD!$C$24)-1)+(RIGHT(SD!$C$24,LEN(SD!$C$24)-FIND("-",SD!$C$24))/12)))), "")))),""))</f>
        <v/>
      </c>
      <c r="CV81" t="str">
        <f>_xlfn.LET(_xlpm.GRR,IF(AND(SD!$C$19=SD!$H$2,Grade!$G$1="Per level"),VLOOKUP(B81,Grade!$E$1:$F$200,2,FALSE),IF(AND(SD!$C$19=SD!$H$2,Grade!$G$1="Per Bar Size"),VLOOKUP(CR81,Grade!$B$1:$C$12,2,0),SD!$C$19)),IF(SD!$C$25=SD!$W$2,IF(Data!$J81="",IFERROR(INDEX(IF(SD!$C$11="Create",Lap!$A$3:$BF$14,IF(SD!$C$11="Per Uploaded File",Lap!$A$19:$BF$30,"")),MATCH(CR81,Lap!$A$3:$A$14,0),MATCH(VALUE(D81),Lap!$A$3:$BF$3,0)+IF(IFERROR(FIND("Grade 60",_xlpm.GRR),0)&gt;0,0,IF(IFERROR(FIND("Grade 80",_xlpm.GRR),0),1,IF(IFERROR(FIND("Grade 75",_xlpm.GRR),0),2,"")))),""),Data!J81),SD!$C$43))</f>
        <v>Match Lap</v>
      </c>
      <c r="CW81">
        <f t="shared" si="42"/>
        <v>0</v>
      </c>
      <c r="CX81">
        <f t="shared" si="43"/>
        <v>0</v>
      </c>
      <c r="CY81" t="str">
        <f t="shared" si="44"/>
        <v/>
      </c>
      <c r="DA81">
        <f t="shared" si="45"/>
        <v>32</v>
      </c>
      <c r="DB81" t="str">
        <f t="shared" si="46"/>
        <v>12-3</v>
      </c>
      <c r="DC81" s="24">
        <f t="shared" si="47"/>
        <v>12.25</v>
      </c>
      <c r="DD81">
        <f t="shared" si="48"/>
        <v>12.25</v>
      </c>
      <c r="DE81" t="s">
        <v>733</v>
      </c>
      <c r="DF81" t="s">
        <v>67</v>
      </c>
      <c r="DG81" t="str">
        <f>VLOOKUP(W81,'Level Wise PSI'!$F$2:$G$12,2,FALSE)</f>
        <v>Double Lift</v>
      </c>
      <c r="DI81" t="str" cm="1">
        <f t="array" ref="DI81">_xlfn.LET(_xlpm.Coup,IFERROR(IF(BY81="","",IF(K81="Coupler",_xlfn._xlws.FILTER(CCFCoupler,(CCName=SD!$C$8)*(CBSize=IF(A80=A81,W80&amp;W81,BX81&amp;W81))),"")),"N/A"),IF(_xlpm.Coup=0,"",_xlpm.Coup))</f>
        <v/>
      </c>
      <c r="DJ81" t="str" cm="1">
        <f t="array" ref="DJ81">_xlfn.LET(_xlpm.Coup3,IFERROR(IF(CG81="","",IF(K82="Coupler",_xlfn._xlws.FILTER(CCFCoupler,(CCName=SD!$C$8)*(CBSize=IF(A81=A82,W81&amp;W82,""))),"")),"N/A"),IF(_xlpm.Coup3=0,"",_xlpm.Coup3))</f>
        <v/>
      </c>
      <c r="DK81" t="str" cm="1">
        <f t="array" ref="DK81">_xlfn.LET(_xlpm.Coup2,IFERROR(IF(A81&lt;&gt;A82,"",IF(DF81="No Lap","",IF(K82="Coupler",_xlfn._xlws.FILTER(CCFCoupler,(CCName=SD!$C$8)*(CBSize=IF(A80=A81,W81&amp;W82,W81&amp;W81))),""))),"N/A"),IF(_xlpm.Coup2=0,"",_xlpm.Coup2))</f>
        <v/>
      </c>
      <c r="DM81" t="str">
        <f>IF(AM81="Spiral","",IF(SD!$C$31=SD!$Y$3,SD!$E$32*2,""))</f>
        <v/>
      </c>
      <c r="DO81" s="24">
        <f t="shared" si="49"/>
        <v>2</v>
      </c>
      <c r="DQ81" t="str">
        <f t="shared" si="50"/>
        <v>Lig</v>
      </c>
      <c r="DR81" t="str">
        <f>IF(AM81="Spiral",((Y81-(SD!$E$12*2))/12),"")</f>
        <v/>
      </c>
      <c r="DS81" t="str">
        <f t="shared" si="51"/>
        <v/>
      </c>
      <c r="DT81" t="str">
        <f t="shared" si="52"/>
        <v/>
      </c>
      <c r="DU81" t="str">
        <f t="shared" si="53"/>
        <v/>
      </c>
    </row>
    <row r="82" spans="1:125" x14ac:dyDescent="0.25">
      <c r="A82">
        <v>33</v>
      </c>
      <c r="B82" t="s">
        <v>664</v>
      </c>
      <c r="C82" s="15">
        <v>2429</v>
      </c>
      <c r="D82" s="15">
        <v>10000</v>
      </c>
      <c r="E82" t="str">
        <f>IF(B82=Level!$A$2,SD!$C$14,SD!$C$13)</f>
        <v>3-0</v>
      </c>
      <c r="F82" s="15" t="s">
        <v>787</v>
      </c>
      <c r="G82" t="s">
        <v>733</v>
      </c>
      <c r="H82" s="15" t="s">
        <v>788</v>
      </c>
      <c r="I82" t="s">
        <v>723</v>
      </c>
      <c r="J82" t="str">
        <f>IF(AND(SD!$C$19=SD!$H$2,Grade!$G$1="Per level"),VLOOKUP(B82,Grade!$E$1:$F$200,2,FALSE),IF(AND(SD!$C$19=SD!$H$2,Grade!$G$1="Per Bar Size"),VLOOKUP(W82,Grade!$B$1:$C$12,2,0),SD!$C$19))</f>
        <v>A615 Grade 60</v>
      </c>
      <c r="K82" t="s">
        <v>67</v>
      </c>
      <c r="L82" t="str">
        <f>IFERROR(IF(A82&lt;&gt;A83,"",IF(DF82="No Lap","",IF(K83="Lap",U82,IF(K83="Coupler",_xlfn._xlws.FILTER(CCoupler,(CCName=SD!$C$8)*(CBSize=IF(A81=A82,W82&amp;W83,W82&amp;W82))*(CCMFM="Male")),"")))),"N/A")</f>
        <v/>
      </c>
      <c r="M82" t="str">
        <f t="shared" si="27"/>
        <v/>
      </c>
      <c r="N82" t="s">
        <v>719</v>
      </c>
      <c r="O82" t="s">
        <v>720</v>
      </c>
      <c r="P82" t="s">
        <v>719</v>
      </c>
      <c r="Q82" t="str">
        <f>IF(AND(SD!$C$29=SD!$P$2,Grade!$O$1="Per level"),VLOOKUP(B82,Grade!$M$1:$N$200,2,FALSE),IF(AND(SD!$C$29=SD!$P$2,Grade!$O$1="Per Bar Size"),VLOOKUP(LEFT(N82,FIND("@",N82)-2),Grade!$J$1:$K$12,2,0),SD!$C$29))</f>
        <v>A615 Grade 60</v>
      </c>
      <c r="R82" t="s">
        <v>725</v>
      </c>
      <c r="S82" s="57">
        <v>82</v>
      </c>
      <c r="U82" t="str">
        <f>IF(Data!$J82="",IFERROR(INDEX(IF(SD!$C$11="Create",Lap!$A$3:$BF$14,IF(SD!$C$11="Per Uploaded File",Lap!$A$19:$BF$30,"")),MATCH(W82,Lap!$A$3:$A$14,0),MATCH(VALUE(D82),Lap!$A$3:$BF$3,0)+IF(IFERROR(FIND("Grade 60",J82),0)&gt;0,0,IF(IFERROR(FIND("Grade 80",J82),0),1,IF(IFERROR(FIND("Grade 75",J82),0),2,"")))),""),Data!J82)</f>
        <v>3-6</v>
      </c>
      <c r="W82" t="s">
        <v>139</v>
      </c>
      <c r="X82">
        <v>6</v>
      </c>
      <c r="Y82" t="str">
        <f t="shared" si="28"/>
        <v xml:space="preserve">14 </v>
      </c>
      <c r="Z82" t="str">
        <f t="shared" si="29"/>
        <v xml:space="preserve"> 24</v>
      </c>
      <c r="AA82" s="24">
        <f t="shared" si="30"/>
        <v>19.583333333333332</v>
      </c>
      <c r="BB82" t="e" cm="1">
        <f t="array" ref="BB82">_xlfn.LET(_xlpm.PartF,(_xlfn.LET(_xlpm.grade, Q82,_xlpm.gradeRange, IF(_xlpm.grade=SD!$H$3, A615GR60, IF(_xlpm.grade=SD!$H$4, A615GR75, IF(_xlpm.grade=SD!$H$5, A615GR80, IF(_xlpm.grade=SD!$H$6, A615GR100, IF(_xlpm.grade=SD!$H$7, A706GR60, IF(_xlpm.grade=SD!$H$8, A706GR80)))))),_xlpm.matchValue, MATCH(1, (SD!$AW:$AW=AS82)*(SD!$AX:$AX=SD!$C$8), 0),INDEX(_xlpm.gradeRange, _xlpm.matchValue))),IF(AM82="Spiral",CONCATENATE("SP",_xlpm.PartF),_xlpm.PartF))</f>
        <v>#N/A</v>
      </c>
      <c r="BC82" cm="1">
        <f t="array" ref="BC82">_xlfn.LET(_xlpm.leftPart, LEFT(O82, FIND("@", O82) - 2),_xlpm.grade,Q82,_xlpm.gradeRange,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2" cm="1">
        <f t="array" ref="BD82">_xlfn.LET(_xlpm.leftPart, LEFT(P82, FIND("@", P82) - 2),_xlpm.grade, Q82,_xlpm.gradeRange,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2">
        <f t="shared" si="31"/>
        <v>2</v>
      </c>
      <c r="BF82">
        <f>IF(SD!$C$32=SD!$I$2,BE82,IF(SD!$C$32=SD!$I$3,DO82,IF(SD!$C$32=SD!$I$5,BA82,IF(SD!$C$32=SD!$I$6,(LEFT(SD!$C$35,FIND("-",SD!$C$35)-1)+RIGHT(SD!$C$35,LEN(SD!$C$35)-FIND("-",SD!$C$35))/12),IF(SD!$C$32=SD!$I$4,(AU82-(BG82+BH82)))))))</f>
        <v>0</v>
      </c>
      <c r="BG82">
        <f>IF(SD!$C$33=SD!$I$2,BE82,IF(SD!$C$33=SD!$I$3,DO82,IF(SD!$C$33=SD!$I$5,BA82,IF(SD!$C$33=SD!$I$6,(LEFT(SD!$C$35,FIND("-",SD!$C$35)-1)+RIGHT(SD!$C$35,LEN(SD!$C$35)-FIND("-",SD!$C$35))/12),IF(SD!$C$33=SD!$I$4,(AU82-(BF82+BH82)))))))</f>
        <v>-1</v>
      </c>
      <c r="BH82">
        <f>IF(SD!$C$34=SD!$I$2,BE82,IF(SD!$C$34=SD!$I$3,DO82,IF(SD!$C$34=SD!$I$5,BA82,IF(SD!$C$34=SD!$I$6,(LEFT(SD!$C$35,FIND("-",SD!$C$35)-1)+RIGHT(SD!$C$35,LEN(SD!$C$35)-FIND("-",SD!$C$35))/12),IF(SD!$C$34=SD!$I$4,(AU82-(BF82+BG82)))))))</f>
        <v>1</v>
      </c>
      <c r="BJ82">
        <f>IF(AM82="Spiral","1",MAX(ROUNDUP(IF(SD!$C$32="",AT82,BF82/(LEFT(RIGHT(N82,LEN(N82)-FIND("@",N82)),LEN(RIGHT(N82,LEN(N82)-FIND("@",N82)))-1)/12)+1),0),0))</f>
        <v>1</v>
      </c>
      <c r="BK82">
        <f>MAX(ROUNDUP(IF(SD!$C$33="","",BG82/(LEFT(RIGHT(O82,LEN(O82)-FIND("@",O82)),LEN(RIGHT(O82,LEN(O82)-FIND("@",O82)))-1)/12)+1),0),0)</f>
        <v>0</v>
      </c>
      <c r="BL82">
        <f>MAX(ROUNDUP(IF(SD!$C$34="","",BH82/(LEFT(RIGHT(P82,LEN(P82)-FIND("@",P82)),LEN(RIGHT(P82,LEN(P82)-FIND("@",P82)))-1)/12)+1),0),0)</f>
        <v>3</v>
      </c>
      <c r="BN82" t="e">
        <f t="shared" si="32"/>
        <v>#N/A</v>
      </c>
      <c r="BO82" t="e">
        <f t="shared" si="33"/>
        <v>#N/A</v>
      </c>
      <c r="BP82" t="e">
        <f t="shared" si="34"/>
        <v>#N/A</v>
      </c>
      <c r="BQ82" s="24" t="e">
        <f>IF(AM82=TRUE,(((Y82-(SD!$E$12*2))*3.14159265359)+BN82+BO82+BP82)/12+AL82,SUM(AF82:AG82,BN82,BO82,BP82,AO82,AQ82)/12)</f>
        <v>#N/A</v>
      </c>
      <c r="BR82" t="e">
        <f t="shared" si="35"/>
        <v>#N/A</v>
      </c>
      <c r="BS82" t="e">
        <f t="shared" si="36"/>
        <v>#N/A</v>
      </c>
      <c r="BT82" t="e">
        <f t="shared" si="37"/>
        <v>#N/A</v>
      </c>
      <c r="BU82" s="24" t="e">
        <f>IF(AM82=TRUE,(((Y82-(SD!$E$12*2))*3.14159265359)+BR82+BS82+BT82)/12+AL82,SUM(AF82:AG82,BR82,BS82,BT82,AO82,AQ82)/12)</f>
        <v>#N/A</v>
      </c>
      <c r="BW82" t="str">
        <f>IFERROR(LEFT(Data!L82,FIND(" -",Data!L82)-1),"")</f>
        <v/>
      </c>
      <c r="BX82" t="str">
        <f>IFERROR(IF(SD!$C$40=SD!$U$2,W82,IF(SD!$C$40=SD!$U$3,RIGHT(Data!L82,LEN(Data!L82)-(FIND("-",Data!L82)+1)),SD!$C$40)),"")</f>
        <v>#7</v>
      </c>
      <c r="BY82" cm="1">
        <f t="array" ref="BY82">IFERROR(_xlfn.LET(_xlpm.GRR,IF(AND(SD!$C$19=SD!$H$2,Grade!$G$1="Per level"),VLOOKUP(B82,Grade!$E$1:$F$200,2,FALSE),IF(AND(SD!$C$19=SD!$H$2,Grade!$G$1="Per Bar Size"),VLOOKUP(BX82,Grade!$B$1:$C$12,2,0),SD!$C$19)),_xlpm.is_equal, A81=A82,_xlpm.grade_range, IF(_xlpm.GRR=SD!$H$3, A615GR60,IF(_xlpm.GRR=SD!$H$4, A615GR75,IF(_xlpm.GRR=SD!$H$5, A615GR80,IF(_xlpm.GRR=SD!H86, A615GR100,IF(_xlpm.GRR=SD!$H$7, A706GR60,IF(_xlpm.GRR=SD!$H$8, A706GR80)))))),_xlpm.match_result, MATCH(1, (BSize=BX82)*(BCName=SD!$C$8), 0),_xlpm.final_result, INDEX(_xlpm.grade_range, _xlpm.match_result),IF(_xlpm.is_equal, "", _xlpm.final_result)),"")</f>
        <v>7</v>
      </c>
      <c r="BZ82">
        <f>IF(A81=A82,"",IF(SD!$C$41="Match Vertical Bars ",X82,IF(SD!$C$41=SD!$V$3,BW82,SD!$C$41)))</f>
        <v>6</v>
      </c>
      <c r="CA82" cm="1">
        <f t="array" ref="CA82">IF(A81=A82,"",IF(SD!$C$44="No T-Head",IF(SD!$C$42=SD!$Q$3,VLOOKUP(BX82,S90Range,3,FALSE),LEFT(SD!$C$42,FIND("-",SD!$C$42)-1)+(RIGHT(SD!$C$42,LEN(SD!$C$42)-FIND("-",SD!$C$42))/12)),IF(SD!$C$44="T-Head",_xlfn._xlws.FILTER(THead,(TCName=SD!$C$8)*(TSize=BX82)),IF(SD!$C$44="Level Wise",_xlfn.LET(_xlpm.result,_xlfn.XLOOKUP(B82,VDLevel,VDLevelStatus,"No"),IF(_xlpm.result="Yes",_xlfn._xlws.FILTER(THead,(TCName=SD!$C$8)*(TSize=BX82)),IF(SD!$C$42=SD!$Q$3,VLOOKUP(BX82,S90Range,3,FALSE),LEFT(SD!$C$42,FIND("-",SD!$C$42)-1)+(RIGHT(SD!$C$42,LEN(SD!$C$42)-FIND("-", SD!$C$42))/12)))),IF(SD!$C$44="BarSize Wise",_xlfn.LET(_xlpm.result,_xlfn.XLOOKUP(BX82,VDBarSize,VDBarSizeStatus,"No"),IF(_xlpm.result="Yes",_xlfn._xlws.FILTER(THead,(TCName=SD!$C$8)*(TSize=BX82)),IF(SD!$C$42=SD!$Q$3,VLOOKUP(BX82,S90Range,3,FALSE),LEFT(SD!$C$42,FIND("-",SD!$C$42)-1)+(RIGHT(SD!$C$42,LEN(SD!$C$42)-FIND("-",SD!$C$42))/12)))), "")))))</f>
        <v>1.1666666666666667</v>
      </c>
      <c r="CB82" t="str" cm="1">
        <f t="array" ref="CB82">_xlfn.LET(_xlpm.GRR,IF(AND(SD!$C$19=SD!$H$2,Grade!$G$1="Per level"),VLOOKUP(B82,Grade!$E$1:$F$200,2,FALSE),IF(AND(SD!$C$19=SD!$H$2,Grade!$G$1="Per Bar Size"),VLOOKUP(BX82,Grade!$B$1:$C$12,2,0),SD!$C$19)),_xlpm.is_coupler, K82="Coupler",_xlpm.condition1, SD!$C$43=SD!$W$2,_xlpm.data_j2_empty, Data!$J82="",_xlpm.lookup_table, IF(SD!$C$11="Create", Lap!$A$3:$BF$14, IF(SD!$C$11="Per Uploaded File", Lap!$A$19:$BF$30, "")),_xlpm.row_match, MATCH(BX82, Lap!$A$3:$A$14, 0),_xlpm.grade_offset, IF(IFERROR(FIND("Grade 60",_xlpm.GRR), 0) &gt; 0, 0, IF(IFERROR(FIND("Grade 80",_xlpm.GRR), 0), 1, IF(IFERROR(FIND("Grade 75",_xlpm.GRR), 0), 2, ""))),_xlpm.col_match, MATCH(VALUE(D82), Lap!$A$3:$BF$3, 0) + _xlpm.grade_offset,_xlpm.index_result, IFERROR(INDEX(_xlpm.lookup_table, _xlpm.row_match, _xlpm.col_match), Data!$J82),_xlpm.result_if_condition1, IF(_xlpm.data_j2_empty, _xlpm.index_result, Data!$J82),IF(_xlpm.is_coupler, 0, IF(_xlpm.condition1, _xlpm.result_if_condition1, SD!$C$43)))</f>
        <v>3-6</v>
      </c>
      <c r="CC82" s="24">
        <f t="shared" si="38"/>
        <v>3.5</v>
      </c>
      <c r="CD82">
        <f t="shared" si="39"/>
        <v>7.666666666666667</v>
      </c>
      <c r="CE82" t="str" cm="1">
        <f t="array" ref="CE82">IF(BY82="","",_xlfn._xlws.FILTER(SAC,(CName=SD!$C$8)*(EName="Vert Dowels")))</f>
        <v>2200 CD</v>
      </c>
      <c r="CF82" t="str" cm="1">
        <f t="array" ref="CF82">IFERROR(IF(BY82="","",IF(K82="Coupler",_xlfn._xlws.FILTER(CCoupler,(CCName=SD!$C$8)*(CBSize=IF(A81=A82,W81&amp;W82,BX82&amp;W82))*(CCMFM="Male")),"")),"N/A")</f>
        <v/>
      </c>
      <c r="CG82" t="str">
        <f t="shared" si="40"/>
        <v/>
      </c>
      <c r="CH82" t="str">
        <f t="shared" si="41"/>
        <v/>
      </c>
      <c r="CI82" t="str">
        <f>_xlfn.LET(_xlpm.u3_value, U83,_xlpm.hyphen_pos,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K83="Coupler",_xlpm.coupler_value, IF(_xlpm.is_coupler, 0, _xlpm.calculated_value),_xlpm.final_value, _xlpm.calculated_value + SD!$E$13 + _xlpm.coupler_value,IF(CG82="", "", _xlpm.final_value))</f>
        <v/>
      </c>
      <c r="CJ82" t="str" cm="1">
        <f t="array" ref="CJ82">IF(CG82="","",_xlfn._xlws.FILTER(SAC,(CName=SD!$C$8)*(EName="Loose Dowels")))</f>
        <v/>
      </c>
      <c r="CK82" t="str" cm="1">
        <f t="array" ref="CK82">IFERROR(IF(CG82="","",IF(K83="Coupler",_xlfn._xlws.FILTER(CCoupler,(CCName=SD!$C$8)*(CBSize=IF(A82=A83,W82&amp;W83,""))*(CCMFM="Male")),"")),"N/A")</f>
        <v/>
      </c>
      <c r="CL82">
        <f>IFERROR(IF(AM82="Spiral","",IF(A81=A82,"",IF(SD!$C$37=0,"",SD!$C$37))),"")</f>
        <v>3</v>
      </c>
      <c r="CN82">
        <f>IF(AM82="Spiral","",IFERROR(IF(SD!$C$36=0,"",SD!$C$36),""))</f>
        <v>5</v>
      </c>
      <c r="CP82">
        <f>IFERROR(IF(SD!$C$42=SD!$Q$3,'Take-off'!CA82,""),"")</f>
        <v>1.1666666666666667</v>
      </c>
      <c r="CR82">
        <f>IFERROR(IF(SD!$C$22=SD!$U$2,W82,SD!$C$22),"")</f>
        <v>0</v>
      </c>
      <c r="CS82" t="str" cm="1">
        <f t="array" ref="CS82">_xlfn.LET(_xlpm.GR,IF(AND(SD!$C$19=SD!$H$2,Grade!$G$1="Per level"),VLOOKUP(B82,Grade!$E$1:$F$200,2,FALSE),IF(AND(SD!$C$19=SD!$H$2,Grade!$G$1="Per Bar Size"),VLOOKUP(CR82,Grade!$B$1:$C$12,2,0),SD!$C$19)),IF(SD!$C$20=SD!$R$4,IF(A83=A82,"",INDEX(IF(_xlpm.GR=SD!$H$3,A615GR60,IF(_xlpm.GR=SD!$H$4,A615GR75,IF(_xlpm.GR=SD!$H$5,A615GR80,IF(_xlpm.GR=SD!H86,A615GR100,IF(_xlpm.GR=SD!$H$7,A706GR60,IF(_xlpm.GR=SD!$H$8,A706GR80)))))), MATCH(1, (BSize=CR82)*(BCName=SD!$C$8), 0))),""))</f>
        <v/>
      </c>
      <c r="CT82">
        <f>IF(A83=A82,"",IF(SD!$C$23="Match Vertical Bars ",X82,SD!$C$23))</f>
        <v>0</v>
      </c>
      <c r="CU82" t="str" cm="1">
        <f t="array" ref="CU82">IF(A83=A82,"",IF(SD!$C$20="Top dowels",IF(SD!$E$25="No T-Head",IF(SD!$C$24=SD!$Q$3,VLOOKUP(CR82,S90Range,3,FALSE),LEFT(SD!$C$24,FIND("-",SD!$C$24)-1)+(RIGHT(SD!$C$24,LEN(SD!$C$24)-FIND("-",SD!$C$24))/12)),IF(SD!$E$25="T-Head",_xlfn._xlws.FILTER(THead,(TCName=SD!$C$8)*(TSize=CR82)),IF(SD!$E$25="Level Wise",_xlfn.LET(_xlpm.result,_xlfn.XLOOKUP(B82,TDLevel,TDLevelStatus,"No"),IF(_xlpm.result="Yes",_xlfn._xlws.FILTER(THead,(TCName=SD!$C$8)*(TSize=CR82)),IF(SD!$C$24=SD!$Q$3,VLOOKUP(CR82,S90Range,3,FALSE),LEFT(SD!$C$24,FIND("-",SD!$C$24)-1)+(RIGHT(SD!$C$24,LEN(SD!$C$24)-FIND("-", SD!$C$24))/12)))),IF(SD!$E$25="BarSize Wise",_xlfn.LET(_xlpm.result,_xlfn.XLOOKUP(CR82,TDBarSize,TDBarSizeStatus,"No"),IF(_xlpm.result="Yes",_xlfn._xlws.FILTER(THead,(TCName=SD!$C$8)*(TSize=CR82)),IF(SD!$C$24=SD!$Q$3,VLOOKUP(CR82,S90Range,3,FALSE),LEFT(SD!$C$24,FIND("-",SD!$C$24)-1)+(RIGHT(SD!$C$24,LEN(SD!$C$24)-FIND("-",SD!$C$24))/12)))), "")))),""))</f>
        <v/>
      </c>
      <c r="CV82" t="str">
        <f>_xlfn.LET(_xlpm.GRR,IF(AND(SD!$C$19=SD!$H$2,Grade!$G$1="Per level"),VLOOKUP(B82,Grade!$E$1:$F$200,2,FALSE),IF(AND(SD!$C$19=SD!$H$2,Grade!$G$1="Per Bar Size"),VLOOKUP(CR82,Grade!$B$1:$C$12,2,0),SD!$C$19)),IF(SD!$C$25=SD!$W$2,IF(Data!$J82="",IFERROR(INDEX(IF(SD!$C$11="Create",Lap!$A$3:$BF$14,IF(SD!$C$11="Per Uploaded File",Lap!$A$19:$BF$30,"")),MATCH(CR82,Lap!$A$3:$A$14,0),MATCH(VALUE(D82),Lap!$A$3:$BF$3,0)+IF(IFERROR(FIND("Grade 60",_xlpm.GRR),0)&gt;0,0,IF(IFERROR(FIND("Grade 80",_xlpm.GRR),0),1,IF(IFERROR(FIND("Grade 75",_xlpm.GRR),0),2,"")))),""),Data!J82),SD!$C$43))</f>
        <v>Match Lap</v>
      </c>
      <c r="CW82">
        <f t="shared" si="42"/>
        <v>0</v>
      </c>
      <c r="CX82">
        <f t="shared" si="43"/>
        <v>0</v>
      </c>
      <c r="CY82" t="str">
        <f t="shared" si="44"/>
        <v/>
      </c>
      <c r="DA82">
        <f t="shared" si="45"/>
        <v>33</v>
      </c>
      <c r="DB82" t="str">
        <f t="shared" si="46"/>
        <v>19-7</v>
      </c>
      <c r="DC82" s="24">
        <f t="shared" si="47"/>
        <v>19.583333333333332</v>
      </c>
      <c r="DD82">
        <f t="shared" si="48"/>
        <v>19.583333333333332</v>
      </c>
      <c r="DE82" t="s">
        <v>733</v>
      </c>
      <c r="DF82" t="s">
        <v>67</v>
      </c>
      <c r="DG82" t="str">
        <f>VLOOKUP(W82,'Level Wise PSI'!$F$2:$G$12,2,FALSE)</f>
        <v>Double Lift</v>
      </c>
      <c r="DI82" t="str" cm="1">
        <f t="array" ref="DI82">_xlfn.LET(_xlpm.Coup,IFERROR(IF(BY82="","",IF(K82="Coupler",_xlfn._xlws.FILTER(CCFCoupler,(CCName=SD!$C$8)*(CBSize=IF(A81=A82,W81&amp;W82,BX82&amp;W82))),"")),"N/A"),IF(_xlpm.Coup=0,"",_xlpm.Coup))</f>
        <v/>
      </c>
      <c r="DJ82" t="str" cm="1">
        <f t="array" ref="DJ82">_xlfn.LET(_xlpm.Coup3,IFERROR(IF(CG82="","",IF(K83="Coupler",_xlfn._xlws.FILTER(CCFCoupler,(CCName=SD!$C$8)*(CBSize=IF(A82=A83,W82&amp;W83,""))),"")),"N/A"),IF(_xlpm.Coup3=0,"",_xlpm.Coup3))</f>
        <v/>
      </c>
      <c r="DK82" t="str" cm="1">
        <f t="array" ref="DK82">_xlfn.LET(_xlpm.Coup2,IFERROR(IF(A82&lt;&gt;A83,"",IF(DF82="No Lap","",IF(K83="Coupler",_xlfn._xlws.FILTER(CCFCoupler,(CCName=SD!$C$8)*(CBSize=IF(A81=A82,W82&amp;W83,W82&amp;W82))),""))),"N/A"),IF(_xlpm.Coup2=0,"",_xlpm.Coup2))</f>
        <v/>
      </c>
      <c r="DM82" t="str">
        <f>IF(AM82="Spiral","",IF(SD!$C$31=SD!$Y$3,SD!$E$32*2,""))</f>
        <v/>
      </c>
      <c r="DO82" s="24">
        <f t="shared" si="49"/>
        <v>2</v>
      </c>
      <c r="DQ82" t="str">
        <f t="shared" si="50"/>
        <v>Lig</v>
      </c>
      <c r="DR82" t="str">
        <f>IF(AM82="Spiral",((Y82-(SD!$E$12*2))/12),"")</f>
        <v/>
      </c>
      <c r="DS82" t="str">
        <f t="shared" si="51"/>
        <v/>
      </c>
      <c r="DT82" t="str">
        <f t="shared" si="52"/>
        <v/>
      </c>
      <c r="DU82" t="str">
        <f t="shared" si="53"/>
        <v/>
      </c>
    </row>
    <row r="83" spans="1:125" x14ac:dyDescent="0.25">
      <c r="A83">
        <v>34</v>
      </c>
      <c r="B83" t="s">
        <v>664</v>
      </c>
      <c r="C83" s="15">
        <v>2429</v>
      </c>
      <c r="D83" s="15">
        <v>10000</v>
      </c>
      <c r="E83" s="15" t="s">
        <v>791</v>
      </c>
      <c r="F83" s="15" t="s">
        <v>787</v>
      </c>
      <c r="G83" t="s">
        <v>740</v>
      </c>
      <c r="H83" s="15" t="s">
        <v>789</v>
      </c>
      <c r="I83" t="s">
        <v>741</v>
      </c>
      <c r="J83" t="str">
        <f>IF(AND(SD!$C$19=SD!$H$2,Grade!$G$1="Per level"),VLOOKUP(B83,Grade!$E$1:$F$200,2,FALSE),IF(AND(SD!$C$19=SD!$H$2,Grade!$G$1="Per Bar Size"),VLOOKUP(W83,Grade!$B$1:$C$12,2,0),SD!$C$19))</f>
        <v>A615 Grade 60</v>
      </c>
      <c r="K83" t="s">
        <v>67</v>
      </c>
      <c r="L83" t="str">
        <f>IFERROR(IF(A83&lt;&gt;A84,"",IF(DF83="No Lap","",IF(K84="Lap",U83,IF(K84="Coupler",_xlfn._xlws.FILTER(CCoupler,(CCName=SD!$C$8)*(CBSize=IF(A82=A83,W83&amp;W84,W83&amp;W83))*(CCMFM="Male")),"")))),"N/A")</f>
        <v>5-1</v>
      </c>
      <c r="M83" t="str">
        <f t="shared" si="27"/>
        <v/>
      </c>
      <c r="N83" t="s">
        <v>719</v>
      </c>
      <c r="O83" t="s">
        <v>720</v>
      </c>
      <c r="P83" t="s">
        <v>719</v>
      </c>
      <c r="Q83" t="str">
        <f>IF(AND(SD!$C$29=SD!$P$2,Grade!$O$1="Per level"),VLOOKUP(B83,Grade!$M$1:$N$200,2,FALSE),IF(AND(SD!$C$29=SD!$P$2,Grade!$O$1="Per Bar Size"),VLOOKUP(LEFT(N83,FIND("@",N83)-2),Grade!$J$1:$K$12,2,0),SD!$C$29))</f>
        <v>A615 Grade 60</v>
      </c>
      <c r="R83" t="s">
        <v>740</v>
      </c>
      <c r="S83" s="57">
        <v>83</v>
      </c>
      <c r="U83" t="str">
        <f>IF(Data!$J83="",IFERROR(INDEX(IF(SD!$C$11="Create",Lap!$A$3:$BF$14,IF(SD!$C$11="Per Uploaded File",Lap!$A$19:$BF$30,"")),MATCH(W83,Lap!$A$3:$A$14,0),MATCH(VALUE(D83),Lap!$A$3:$BF$3,0)+IF(IFERROR(FIND("Grade 60",J83),0)&gt;0,0,IF(IFERROR(FIND("Grade 80",J83),0),1,IF(IFERROR(FIND("Grade 75",J83),0),2,"")))),""),Data!J83)</f>
        <v>5-1</v>
      </c>
      <c r="W83" t="s">
        <v>176</v>
      </c>
      <c r="X83">
        <v>10</v>
      </c>
      <c r="Y83" t="str">
        <f t="shared" si="28"/>
        <v>36</v>
      </c>
      <c r="Z83">
        <f t="shared" si="29"/>
        <v>0</v>
      </c>
      <c r="AA83" s="24">
        <f t="shared" si="30"/>
        <v>26.666666666666668</v>
      </c>
      <c r="BB83" t="e" cm="1">
        <f t="array" ref="BB83">_xlfn.LET(_xlpm.PartF,(_xlfn.LET(_xlpm.grade, Q83,_xlpm.gradeRange, IF(_xlpm.grade=SD!$H$3, A615GR60, IF(_xlpm.grade=SD!$H$4, A615GR75, IF(_xlpm.grade=SD!$H$5, A615GR80, IF(_xlpm.grade=SD!$H$6, A615GR100, IF(_xlpm.grade=SD!$H$7, A706GR60, IF(_xlpm.grade=SD!$H$8, A706GR80)))))),_xlpm.matchValue, MATCH(1, (SD!$AW:$AW=AS83)*(SD!$AX:$AX=SD!$C$8), 0),INDEX(_xlpm.gradeRange, _xlpm.matchValue))),IF(AM83="Spiral",CONCATENATE("SP",_xlpm.PartF),_xlpm.PartF))</f>
        <v>#N/A</v>
      </c>
      <c r="BC83" cm="1">
        <f t="array" ref="BC83">_xlfn.LET(_xlpm.leftPart, LEFT(O83, FIND("@", O83) - 2),_xlpm.grade,Q83,_xlpm.gradeRange,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3" cm="1">
        <f t="array" ref="BD83">_xlfn.LET(_xlpm.leftPart, LEFT(P83, FIND("@", P83) - 2),_xlpm.grade, Q83,_xlpm.gradeRange,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3">
        <f t="shared" si="31"/>
        <v>3</v>
      </c>
      <c r="BF83">
        <f>IF(SD!$C$32=SD!$I$2,BE83,IF(SD!$C$32=SD!$I$3,DO83,IF(SD!$C$32=SD!$I$5,BA83,IF(SD!$C$32=SD!$I$6,(LEFT(SD!$C$35,FIND("-",SD!$C$35)-1)+RIGHT(SD!$C$35,LEN(SD!$C$35)-FIND("-",SD!$C$35))/12),IF(SD!$C$32=SD!$I$4,(AU83-(BG83+BH83)))))))</f>
        <v>0</v>
      </c>
      <c r="BG83">
        <f>IF(SD!$C$33=SD!$I$2,BE83,IF(SD!$C$33=SD!$I$3,DO83,IF(SD!$C$33=SD!$I$5,BA83,IF(SD!$C$33=SD!$I$6,(LEFT(SD!$C$35,FIND("-",SD!$C$35)-1)+RIGHT(SD!$C$35,LEN(SD!$C$35)-FIND("-",SD!$C$35))/12),IF(SD!$C$33=SD!$I$4,(AU83-(BF83+BH83)))))))</f>
        <v>-1</v>
      </c>
      <c r="BH83">
        <f>IF(SD!$C$34=SD!$I$2,BE83,IF(SD!$C$34=SD!$I$3,DO83,IF(SD!$C$34=SD!$I$5,BA83,IF(SD!$C$34=SD!$I$6,(LEFT(SD!$C$35,FIND("-",SD!$C$35)-1)+RIGHT(SD!$C$35,LEN(SD!$C$35)-FIND("-",SD!$C$35))/12),IF(SD!$C$34=SD!$I$4,(AU83-(BF83+BG83)))))))</f>
        <v>1</v>
      </c>
      <c r="BJ83">
        <f>IF(AM83="Spiral","1",MAX(ROUNDUP(IF(SD!$C$32="",AT83,BF83/(LEFT(RIGHT(N83,LEN(N83)-FIND("@",N83)),LEN(RIGHT(N83,LEN(N83)-FIND("@",N83)))-1)/12)+1),0),0))</f>
        <v>1</v>
      </c>
      <c r="BK83">
        <f>MAX(ROUNDUP(IF(SD!$C$33="","",BG83/(LEFT(RIGHT(O83,LEN(O83)-FIND("@",O83)),LEN(RIGHT(O83,LEN(O83)-FIND("@",O83)))-1)/12)+1),0),0)</f>
        <v>0</v>
      </c>
      <c r="BL83">
        <f>MAX(ROUNDUP(IF(SD!$C$34="","",BH83/(LEFT(RIGHT(P83,LEN(P83)-FIND("@",P83)),LEN(RIGHT(P83,LEN(P83)-FIND("@",P83)))-1)/12)+1),0),0)</f>
        <v>3</v>
      </c>
      <c r="BN83" t="e">
        <f t="shared" si="32"/>
        <v>#N/A</v>
      </c>
      <c r="BO83" t="e">
        <f t="shared" si="33"/>
        <v>#N/A</v>
      </c>
      <c r="BP83" t="e">
        <f t="shared" si="34"/>
        <v>#N/A</v>
      </c>
      <c r="BQ83" s="24" t="e">
        <f>IF(AM83=TRUE,(((Y83-(SD!$E$12*2))*3.14159265359)+BN83+BO83+BP83)/12+AL83,SUM(AF83:AG83,BN83,BO83,BP83,AO83,AQ83)/12)</f>
        <v>#N/A</v>
      </c>
      <c r="BR83" t="e">
        <f t="shared" si="35"/>
        <v>#N/A</v>
      </c>
      <c r="BS83" t="e">
        <f t="shared" si="36"/>
        <v>#N/A</v>
      </c>
      <c r="BT83" t="e">
        <f t="shared" si="37"/>
        <v>#N/A</v>
      </c>
      <c r="BU83" s="24" t="e">
        <f>IF(AM83=TRUE,(((Y83-(SD!$E$12*2))*3.14159265359)+BR83+BS83+BT83)/12+AL83,SUM(AF83:AG83,BR83,BS83,BT83,AO83,AQ83)/12)</f>
        <v>#N/A</v>
      </c>
      <c r="BW83" t="str">
        <f>IFERROR(LEFT(Data!L83,FIND(" -",Data!L83)-1),"")</f>
        <v/>
      </c>
      <c r="BX83" t="str">
        <f>IFERROR(IF(SD!$C$40=SD!$U$2,W83,IF(SD!$C$40=SD!$U$3,RIGHT(Data!L83,LEN(Data!L83)-(FIND("-",Data!L83)+1)),SD!$C$40)),"")</f>
        <v>#10</v>
      </c>
      <c r="BY83" cm="1">
        <f t="array" ref="BY83">IFERROR(_xlfn.LET(_xlpm.GRR,IF(AND(SD!$C$19=SD!$H$2,Grade!$G$1="Per level"),VLOOKUP(B83,Grade!$E$1:$F$200,2,FALSE),IF(AND(SD!$C$19=SD!$H$2,Grade!$G$1="Per Bar Size"),VLOOKUP(BX83,Grade!$B$1:$C$12,2,0),SD!$C$19)),_xlpm.is_equal, A82=A83,_xlpm.grade_range, IF(_xlpm.GRR=SD!$H$3, A615GR60,IF(_xlpm.GRR=SD!$H$4, A615GR75,IF(_xlpm.GRR=SD!$H$5, A615GR80,IF(_xlpm.GRR=SD!H87, A615GR100,IF(_xlpm.GRR=SD!$H$7, A706GR60,IF(_xlpm.GRR=SD!$H$8, A706GR80)))))),_xlpm.match_result, MATCH(1, (BSize=BX83)*(BCName=SD!$C$8), 0),_xlpm.final_result, INDEX(_xlpm.grade_range, _xlpm.match_result),IF(_xlpm.is_equal, "", _xlpm.final_result)),"")</f>
        <v>10</v>
      </c>
      <c r="BZ83">
        <f>IF(A82=A83,"",IF(SD!$C$41="Match Vertical Bars ",X83,IF(SD!$C$41=SD!$V$3,BW83,SD!$C$41)))</f>
        <v>10</v>
      </c>
      <c r="CA83" cm="1">
        <f t="array" ref="CA83">IF(A82=A83,"",IF(SD!$C$44="No T-Head",IF(SD!$C$42=SD!$Q$3,VLOOKUP(BX83,S90Range,3,FALSE),LEFT(SD!$C$42,FIND("-",SD!$C$42)-1)+(RIGHT(SD!$C$42,LEN(SD!$C$42)-FIND("-",SD!$C$42))/12)),IF(SD!$C$44="T-Head",_xlfn._xlws.FILTER(THead,(TCName=SD!$C$8)*(TSize=BX83)),IF(SD!$C$44="Level Wise",_xlfn.LET(_xlpm.result,_xlfn.XLOOKUP(B83,VDLevel,VDLevelStatus,"No"),IF(_xlpm.result="Yes",_xlfn._xlws.FILTER(THead,(TCName=SD!$C$8)*(TSize=BX83)),IF(SD!$C$42=SD!$Q$3,VLOOKUP(BX83,S90Range,3,FALSE),LEFT(SD!$C$42,FIND("-",SD!$C$42)-1)+(RIGHT(SD!$C$42,LEN(SD!$C$42)-FIND("-", SD!$C$42))/12)))),IF(SD!$C$44="BarSize Wise",_xlfn.LET(_xlpm.result,_xlfn.XLOOKUP(BX83,VDBarSize,VDBarSizeStatus,"No"),IF(_xlpm.result="Yes",_xlfn._xlws.FILTER(THead,(TCName=SD!$C$8)*(TSize=BX83)),IF(SD!$C$42=SD!$Q$3,VLOOKUP(BX83,S90Range,3,FALSE),LEFT(SD!$C$42,FIND("-",SD!$C$42)-1)+(RIGHT(SD!$C$42,LEN(SD!$C$42)-FIND("-",SD!$C$42))/12)))), "")))))</f>
        <v>1.8333333333333335</v>
      </c>
      <c r="CB83" t="str" cm="1">
        <f t="array" ref="CB83">_xlfn.LET(_xlpm.GRR,IF(AND(SD!$C$19=SD!$H$2,Grade!$G$1="Per level"),VLOOKUP(B83,Grade!$E$1:$F$200,2,FALSE),IF(AND(SD!$C$19=SD!$H$2,Grade!$G$1="Per Bar Size"),VLOOKUP(BX83,Grade!$B$1:$C$12,2,0),SD!$C$19)),_xlpm.is_coupler, K83="Coupler",_xlpm.condition1, SD!$C$43=SD!$W$2,_xlpm.data_j2_empty, Data!$J83="",_xlpm.lookup_table, IF(SD!$C$11="Create", Lap!$A$3:$BF$14, IF(SD!$C$11="Per Uploaded File", Lap!$A$19:$BF$30, "")),_xlpm.row_match, MATCH(BX83, Lap!$A$3:$A$14, 0),_xlpm.grade_offset, IF(IFERROR(FIND("Grade 60",_xlpm.GRR), 0) &gt; 0, 0, IF(IFERROR(FIND("Grade 80",_xlpm.GRR), 0), 1, IF(IFERROR(FIND("Grade 75",_xlpm.GRR), 0), 2, ""))),_xlpm.col_match, MATCH(VALUE(D83), Lap!$A$3:$BF$3, 0) + _xlpm.grade_offset,_xlpm.index_result, IFERROR(INDEX(_xlpm.lookup_table, _xlpm.row_match, _xlpm.col_match), Data!$J83),_xlpm.result_if_condition1, IF(_xlpm.data_j2_empty, _xlpm.index_result, Data!$J83),IF(_xlpm.is_coupler, 0, IF(_xlpm.condition1, _xlpm.result_if_condition1, SD!$C$43)))</f>
        <v>5-1</v>
      </c>
      <c r="CC83" s="24">
        <f t="shared" si="38"/>
        <v>5.083333333333333</v>
      </c>
      <c r="CD83">
        <f t="shared" si="39"/>
        <v>12.75</v>
      </c>
      <c r="CE83" t="str" cm="1">
        <f t="array" ref="CE83">IF(BY83="","",_xlfn._xlws.FILTER(SAC,(CName=SD!$C$8)*(EName="Vert Dowels")))</f>
        <v>2200 CD</v>
      </c>
      <c r="CF83" t="str" cm="1">
        <f t="array" ref="CF83">IFERROR(IF(BY83="","",IF(K83="Coupler",_xlfn._xlws.FILTER(CCoupler,(CCName=SD!$C$8)*(CBSize=IF(A82=A83,W82&amp;W83,BX83&amp;W83))*(CCMFM="Male")),"")),"N/A")</f>
        <v/>
      </c>
      <c r="CG83" t="str">
        <f t="shared" si="40"/>
        <v/>
      </c>
      <c r="CH83" t="str">
        <f t="shared" si="41"/>
        <v/>
      </c>
      <c r="CI83" t="str">
        <f>_xlfn.LET(_xlpm.u3_value, U84,_xlpm.hyphen_pos,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K84="Coupler",_xlpm.coupler_value, IF(_xlpm.is_coupler, 0, _xlpm.calculated_value),_xlpm.final_value, _xlpm.calculated_value + SD!$E$13 + _xlpm.coupler_value,IF(CG83="", "", _xlpm.final_value))</f>
        <v/>
      </c>
      <c r="CJ83" t="str" cm="1">
        <f t="array" ref="CJ83">IF(CG83="","",_xlfn._xlws.FILTER(SAC,(CName=SD!$C$8)*(EName="Loose Dowels")))</f>
        <v/>
      </c>
      <c r="CK83" t="str" cm="1">
        <f t="array" ref="CK83">IFERROR(IF(CG83="","",IF(K84="Coupler",_xlfn._xlws.FILTER(CCoupler,(CCName=SD!$C$8)*(CBSize=IF(A83=A84,W83&amp;W84,""))*(CCMFM="Male")),"")),"N/A")</f>
        <v/>
      </c>
      <c r="CL83">
        <f>IFERROR(IF(AM83="Spiral","",IF(A82=A83,"",IF(SD!$C$37=0,"",SD!$C$37))),"")</f>
        <v>3</v>
      </c>
      <c r="CN83">
        <f>IF(AM83="Spiral","",IFERROR(IF(SD!$C$36=0,"",SD!$C$36),""))</f>
        <v>5</v>
      </c>
      <c r="CP83">
        <f>IFERROR(IF(SD!$C$42=SD!$Q$3,'Take-off'!CA83,""),"")</f>
        <v>1.8333333333333335</v>
      </c>
      <c r="CR83">
        <f>IFERROR(IF(SD!$C$22=SD!$U$2,W83,SD!$C$22),"")</f>
        <v>0</v>
      </c>
      <c r="CS83" t="str" cm="1">
        <f t="array" ref="CS83">_xlfn.LET(_xlpm.GR,IF(AND(SD!$C$19=SD!$H$2,Grade!$G$1="Per level"),VLOOKUP(B83,Grade!$E$1:$F$200,2,FALSE),IF(AND(SD!$C$19=SD!$H$2,Grade!$G$1="Per Bar Size"),VLOOKUP(CR83,Grade!$B$1:$C$12,2,0),SD!$C$19)),IF(SD!$C$20=SD!$R$4,IF(A84=A83,"",INDEX(IF(_xlpm.GR=SD!$H$3,A615GR60,IF(_xlpm.GR=SD!$H$4,A615GR75,IF(_xlpm.GR=SD!$H$5,A615GR80,IF(_xlpm.GR=SD!H87,A615GR100,IF(_xlpm.GR=SD!$H$7,A706GR60,IF(_xlpm.GR=SD!$H$8,A706GR80)))))), MATCH(1, (BSize=CR83)*(BCName=SD!$C$8), 0))),""))</f>
        <v/>
      </c>
      <c r="CT83" t="str">
        <f>IF(A84=A83,"",IF(SD!$C$23="Match Vertical Bars ",X83,SD!$C$23))</f>
        <v/>
      </c>
      <c r="CU83" t="str" cm="1">
        <f t="array" ref="CU83">IF(A84=A83,"",IF(SD!$C$20="Top dowels",IF(SD!$E$25="No T-Head",IF(SD!$C$24=SD!$Q$3,VLOOKUP(CR83,S90Range,3,FALSE),LEFT(SD!$C$24,FIND("-",SD!$C$24)-1)+(RIGHT(SD!$C$24,LEN(SD!$C$24)-FIND("-",SD!$C$24))/12)),IF(SD!$E$25="T-Head",_xlfn._xlws.FILTER(THead,(TCName=SD!$C$8)*(TSize=CR83)),IF(SD!$E$25="Level Wise",_xlfn.LET(_xlpm.result,_xlfn.XLOOKUP(B83,TDLevel,TDLevelStatus,"No"),IF(_xlpm.result="Yes",_xlfn._xlws.FILTER(THead,(TCName=SD!$C$8)*(TSize=CR83)),IF(SD!$C$24=SD!$Q$3,VLOOKUP(CR83,S90Range,3,FALSE),LEFT(SD!$C$24,FIND("-",SD!$C$24)-1)+(RIGHT(SD!$C$24,LEN(SD!$C$24)-FIND("-", SD!$C$24))/12)))),IF(SD!$E$25="BarSize Wise",_xlfn.LET(_xlpm.result,_xlfn.XLOOKUP(CR83,TDBarSize,TDBarSizeStatus,"No"),IF(_xlpm.result="Yes",_xlfn._xlws.FILTER(THead,(TCName=SD!$C$8)*(TSize=CR83)),IF(SD!$C$24=SD!$Q$3,VLOOKUP(CR83,S90Range,3,FALSE),LEFT(SD!$C$24,FIND("-",SD!$C$24)-1)+(RIGHT(SD!$C$24,LEN(SD!$C$24)-FIND("-",SD!$C$24))/12)))), "")))),""))</f>
        <v/>
      </c>
      <c r="CV83" t="str">
        <f>_xlfn.LET(_xlpm.GRR,IF(AND(SD!$C$19=SD!$H$2,Grade!$G$1="Per level"),VLOOKUP(B83,Grade!$E$1:$F$200,2,FALSE),IF(AND(SD!$C$19=SD!$H$2,Grade!$G$1="Per Bar Size"),VLOOKUP(CR83,Grade!$B$1:$C$12,2,0),SD!$C$19)),IF(SD!$C$25=SD!$W$2,IF(Data!$J83="",IFERROR(INDEX(IF(SD!$C$11="Create",Lap!$A$3:$BF$14,IF(SD!$C$11="Per Uploaded File",Lap!$A$19:$BF$30,"")),MATCH(CR83,Lap!$A$3:$A$14,0),MATCH(VALUE(D83),Lap!$A$3:$BF$3,0)+IF(IFERROR(FIND("Grade 60",_xlpm.GRR),0)&gt;0,0,IF(IFERROR(FIND("Grade 80",_xlpm.GRR),0),1,IF(IFERROR(FIND("Grade 75",_xlpm.GRR),0),2,"")))),""),Data!J83),SD!$C$43))</f>
        <v>Match Lap</v>
      </c>
      <c r="CW83">
        <f t="shared" si="42"/>
        <v>0</v>
      </c>
      <c r="CX83">
        <f t="shared" si="43"/>
        <v>0</v>
      </c>
      <c r="CY83" t="str">
        <f t="shared" si="44"/>
        <v/>
      </c>
      <c r="DA83">
        <f t="shared" si="45"/>
        <v>34</v>
      </c>
      <c r="DB83" t="str">
        <f t="shared" si="46"/>
        <v>138-0</v>
      </c>
      <c r="DC83" s="24">
        <f t="shared" si="47"/>
        <v>137.99999999999997</v>
      </c>
      <c r="DD83">
        <f t="shared" si="48"/>
        <v>21.583333333333332</v>
      </c>
      <c r="DE83" t="s">
        <v>785</v>
      </c>
      <c r="DF83" t="s">
        <v>67</v>
      </c>
      <c r="DG83" t="str">
        <f>VLOOKUP(W83,'Level Wise PSI'!$F$2:$G$12,2,FALSE)</f>
        <v>Double Lift</v>
      </c>
      <c r="DI83" t="str" cm="1">
        <f t="array" ref="DI83">_xlfn.LET(_xlpm.Coup,IFERROR(IF(BY83="","",IF(K83="Coupler",_xlfn._xlws.FILTER(CCFCoupler,(CCName=SD!$C$8)*(CBSize=IF(A82=A83,W82&amp;W83,BX83&amp;W83))),"")),"N/A"),IF(_xlpm.Coup=0,"",_xlpm.Coup))</f>
        <v/>
      </c>
      <c r="DJ83" t="str" cm="1">
        <f t="array" ref="DJ83">_xlfn.LET(_xlpm.Coup3,IFERROR(IF(CG83="","",IF(K84="Coupler",_xlfn._xlws.FILTER(CCFCoupler,(CCName=SD!$C$8)*(CBSize=IF(A83=A84,W83&amp;W84,""))),"")),"N/A"),IF(_xlpm.Coup3=0,"",_xlpm.Coup3))</f>
        <v/>
      </c>
      <c r="DK83" t="str" cm="1">
        <f t="array" ref="DK83">_xlfn.LET(_xlpm.Coup2,IFERROR(IF(A83&lt;&gt;A84,"",IF(DF83="No Lap","",IF(K84="Coupler",_xlfn._xlws.FILTER(CCFCoupler,(CCName=SD!$C$8)*(CBSize=IF(A82=A83,W83&amp;W84,W83&amp;W83))),""))),"N/A"),IF(_xlpm.Coup2=0,"",_xlpm.Coup2))</f>
        <v/>
      </c>
      <c r="DM83" t="str">
        <f>IF(AM83="Spiral","",IF(SD!$C$31=SD!$Y$3,SD!$E$32*2,""))</f>
        <v/>
      </c>
      <c r="DO83" s="24">
        <f t="shared" si="49"/>
        <v>3</v>
      </c>
      <c r="DQ83" t="str">
        <f t="shared" si="50"/>
        <v>Lig</v>
      </c>
      <c r="DR83" t="str">
        <f>IF(AM83="Spiral",((Y83-(SD!$E$12*2))/12),"")</f>
        <v/>
      </c>
      <c r="DS83" t="str">
        <f t="shared" si="51"/>
        <v/>
      </c>
      <c r="DT83" t="str">
        <f t="shared" si="52"/>
        <v/>
      </c>
      <c r="DU83" t="str">
        <f t="shared" si="53"/>
        <v/>
      </c>
    </row>
    <row r="84" spans="1:125" x14ac:dyDescent="0.25">
      <c r="A84">
        <v>34</v>
      </c>
      <c r="B84" t="s">
        <v>667</v>
      </c>
      <c r="C84" s="15">
        <v>2429</v>
      </c>
      <c r="D84" s="15">
        <v>10000</v>
      </c>
      <c r="E84" t="str">
        <f>IF(B84=Level!$A$2,SD!$C$14,SD!$C$13)</f>
        <v>0-8</v>
      </c>
      <c r="F84" s="15" t="s">
        <v>787</v>
      </c>
      <c r="G84" t="s">
        <v>740</v>
      </c>
      <c r="H84" t="str">
        <f>RIGHT(VLOOKUP(B84,Level!A:C,3,FALSE),LEN(VLOOKUP(B84,Level!A:C,3,FALSE))-1)</f>
        <v>10-7</v>
      </c>
      <c r="I84" t="s">
        <v>741</v>
      </c>
      <c r="J84" t="str">
        <f>IF(AND(SD!$C$19=SD!$H$2,Grade!$G$1="Per level"),VLOOKUP(B84,Grade!$E$1:$F$200,2,FALSE),IF(AND(SD!$C$19=SD!$H$2,Grade!$G$1="Per Bar Size"),VLOOKUP(W84,Grade!$B$1:$C$12,2,0),SD!$C$19))</f>
        <v>A615 Grade 60</v>
      </c>
      <c r="K84" t="s">
        <v>67</v>
      </c>
      <c r="L84" t="str">
        <f>IFERROR(IF(A84&lt;&gt;A85,"",IF(DF84="No Lap","",IF(K85="Lap",U84,IF(K85="Coupler",_xlfn._xlws.FILTER(CCoupler,(CCName=SD!$C$8)*(CBSize=IF(A83=A84,W84&amp;W85,W84&amp;W84))*(CCMFM="Male")),"")))),"N/A")</f>
        <v>5-1</v>
      </c>
      <c r="M84" t="str">
        <f t="shared" si="27"/>
        <v/>
      </c>
      <c r="N84" t="s">
        <v>719</v>
      </c>
      <c r="O84" t="s">
        <v>720</v>
      </c>
      <c r="P84" t="s">
        <v>719</v>
      </c>
      <c r="Q84" t="str">
        <f>IF(AND(SD!$C$29=SD!$P$2,Grade!$O$1="Per level"),VLOOKUP(B84,Grade!$M$1:$N$200,2,FALSE),IF(AND(SD!$C$29=SD!$P$2,Grade!$O$1="Per Bar Size"),VLOOKUP(LEFT(N84,FIND("@",N84)-2),Grade!$J$1:$K$12,2,0),SD!$C$29))</f>
        <v>A615 Grade 60</v>
      </c>
      <c r="R84" t="s">
        <v>740</v>
      </c>
      <c r="S84" s="57">
        <v>84</v>
      </c>
      <c r="U84" t="str">
        <f>IF(Data!$J84="",IFERROR(INDEX(IF(SD!$C$11="Create",Lap!$A$3:$BF$14,IF(SD!$C$11="Per Uploaded File",Lap!$A$19:$BF$30,"")),MATCH(W84,Lap!$A$3:$A$14,0),MATCH(VALUE(D84),Lap!$A$3:$BF$3,0)+IF(IFERROR(FIND("Grade 60",J84),0)&gt;0,0,IF(IFERROR(FIND("Grade 80",J84),0),1,IF(IFERROR(FIND("Grade 75",J84),0),2,"")))),""),Data!J84)</f>
        <v>5-1</v>
      </c>
      <c r="W84" t="s">
        <v>176</v>
      </c>
      <c r="X84">
        <v>10</v>
      </c>
      <c r="Y84" t="str">
        <f t="shared" si="28"/>
        <v>36</v>
      </c>
      <c r="Z84">
        <f t="shared" si="29"/>
        <v>0</v>
      </c>
      <c r="AA84" s="24">
        <f t="shared" si="30"/>
        <v>15.666666666666666</v>
      </c>
      <c r="BB84" t="e" cm="1">
        <f t="array" ref="BB84">_xlfn.LET(_xlpm.PartF,(_xlfn.LET(_xlpm.grade, Q84,_xlpm.gradeRange, IF(_xlpm.grade=SD!$H$3, A615GR60, IF(_xlpm.grade=SD!$H$4, A615GR75, IF(_xlpm.grade=SD!$H$5, A615GR80, IF(_xlpm.grade=SD!$H$6, A615GR100, IF(_xlpm.grade=SD!$H$7, A706GR60, IF(_xlpm.grade=SD!$H$8, A706GR80)))))),_xlpm.matchValue, MATCH(1, (SD!$AW:$AW=AS84)*(SD!$AX:$AX=SD!$C$8), 0),INDEX(_xlpm.gradeRange, _xlpm.matchValue))),IF(AM84="Spiral",CONCATENATE("SP",_xlpm.PartF),_xlpm.PartF))</f>
        <v>#N/A</v>
      </c>
      <c r="BC84" cm="1">
        <f t="array" ref="BC84">_xlfn.LET(_xlpm.leftPart, LEFT(O84, FIND("@", O84) - 2),_xlpm.grade,Q84,_xlpm.gradeRange,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4" cm="1">
        <f t="array" ref="BD84">_xlfn.LET(_xlpm.leftPart, LEFT(P84, FIND("@", P84) - 2),_xlpm.grade, Q84,_xlpm.gradeRange,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4">
        <f t="shared" si="31"/>
        <v>3</v>
      </c>
      <c r="BF84">
        <f>IF(SD!$C$32=SD!$I$2,BE84,IF(SD!$C$32=SD!$I$3,DO84,IF(SD!$C$32=SD!$I$5,BA84,IF(SD!$C$32=SD!$I$6,(LEFT(SD!$C$35,FIND("-",SD!$C$35)-1)+RIGHT(SD!$C$35,LEN(SD!$C$35)-FIND("-",SD!$C$35))/12),IF(SD!$C$32=SD!$I$4,(AU84-(BG84+BH84)))))))</f>
        <v>0</v>
      </c>
      <c r="BG84">
        <f>IF(SD!$C$33=SD!$I$2,BE84,IF(SD!$C$33=SD!$I$3,DO84,IF(SD!$C$33=SD!$I$5,BA84,IF(SD!$C$33=SD!$I$6,(LEFT(SD!$C$35,FIND("-",SD!$C$35)-1)+RIGHT(SD!$C$35,LEN(SD!$C$35)-FIND("-",SD!$C$35))/12),IF(SD!$C$33=SD!$I$4,(AU84-(BF84+BH84)))))))</f>
        <v>-1</v>
      </c>
      <c r="BH84">
        <f>IF(SD!$C$34=SD!$I$2,BE84,IF(SD!$C$34=SD!$I$3,DO84,IF(SD!$C$34=SD!$I$5,BA84,IF(SD!$C$34=SD!$I$6,(LEFT(SD!$C$35,FIND("-",SD!$C$35)-1)+RIGHT(SD!$C$35,LEN(SD!$C$35)-FIND("-",SD!$C$35))/12),IF(SD!$C$34=SD!$I$4,(AU84-(BF84+BG84)))))))</f>
        <v>1</v>
      </c>
      <c r="BJ84">
        <f>IF(AM84="Spiral","1",MAX(ROUNDUP(IF(SD!$C$32="",AT84,BF84/(LEFT(RIGHT(N84,LEN(N84)-FIND("@",N84)),LEN(RIGHT(N84,LEN(N84)-FIND("@",N84)))-1)/12)+1),0),0))</f>
        <v>1</v>
      </c>
      <c r="BK84">
        <f>MAX(ROUNDUP(IF(SD!$C$33="","",BG84/(LEFT(RIGHT(O84,LEN(O84)-FIND("@",O84)),LEN(RIGHT(O84,LEN(O84)-FIND("@",O84)))-1)/12)+1),0),0)</f>
        <v>0</v>
      </c>
      <c r="BL84">
        <f>MAX(ROUNDUP(IF(SD!$C$34="","",BH84/(LEFT(RIGHT(P84,LEN(P84)-FIND("@",P84)),LEN(RIGHT(P84,LEN(P84)-FIND("@",P84)))-1)/12)+1),0),0)</f>
        <v>3</v>
      </c>
      <c r="BN84" t="e">
        <f t="shared" si="32"/>
        <v>#N/A</v>
      </c>
      <c r="BO84" t="e">
        <f t="shared" si="33"/>
        <v>#N/A</v>
      </c>
      <c r="BP84" t="e">
        <f t="shared" si="34"/>
        <v>#N/A</v>
      </c>
      <c r="BQ84" s="24" t="e">
        <f>IF(AM84=TRUE,(((Y84-(SD!$E$12*2))*3.14159265359)+BN84+BO84+BP84)/12+AL84,SUM(AF84:AG84,BN84,BO84,BP84,AO84,AQ84)/12)</f>
        <v>#N/A</v>
      </c>
      <c r="BR84" t="e">
        <f t="shared" si="35"/>
        <v>#N/A</v>
      </c>
      <c r="BS84" t="e">
        <f t="shared" si="36"/>
        <v>#N/A</v>
      </c>
      <c r="BT84" t="e">
        <f t="shared" si="37"/>
        <v>#N/A</v>
      </c>
      <c r="BU84" s="24" t="e">
        <f>IF(AM84=TRUE,(((Y84-(SD!$E$12*2))*3.14159265359)+BR84+BS84+BT84)/12+AL84,SUM(AF84:AG84,BR84,BS84,BT84,AO84,AQ84)/12)</f>
        <v>#N/A</v>
      </c>
      <c r="BW84" t="str">
        <f>IFERROR(LEFT(Data!L84,FIND(" -",Data!L84)-1),"")</f>
        <v/>
      </c>
      <c r="BX84" t="str">
        <f>IFERROR(IF(SD!$C$40=SD!$U$2,W84,IF(SD!$C$40=SD!$U$3,RIGHT(Data!L84,LEN(Data!L84)-(FIND("-",Data!L84)+1)),SD!$C$40)),"")</f>
        <v>#10</v>
      </c>
      <c r="BY84" t="str" cm="1">
        <f t="array" ref="BY84">IFERROR(_xlfn.LET(_xlpm.GRR,IF(AND(SD!$C$19=SD!$H$2,Grade!$G$1="Per level"),VLOOKUP(B84,Grade!$E$1:$F$200,2,FALSE),IF(AND(SD!$C$19=SD!$H$2,Grade!$G$1="Per Bar Size"),VLOOKUP(BX84,Grade!$B$1:$C$12,2,0),SD!$C$19)),_xlpm.is_equal, A83=A84,_xlpm.grade_range, IF(_xlpm.GRR=SD!$H$3, A615GR60,IF(_xlpm.GRR=SD!$H$4, A615GR75,IF(_xlpm.GRR=SD!$H$5, A615GR80,IF(_xlpm.GRR=SD!H88, A615GR100,IF(_xlpm.GRR=SD!$H$7, A706GR60,IF(_xlpm.GRR=SD!$H$8, A706GR80)))))),_xlpm.match_result, MATCH(1, (BSize=BX84)*(BCName=SD!$C$8), 0),_xlpm.final_result, INDEX(_xlpm.grade_range, _xlpm.match_result),IF(_xlpm.is_equal, "", _xlpm.final_result)),"")</f>
        <v/>
      </c>
      <c r="BZ84" t="str">
        <f>IF(A83=A84,"",IF(SD!$C$41="Match Vertical Bars ",X84,IF(SD!$C$41=SD!$V$3,BW84,SD!$C$41)))</f>
        <v/>
      </c>
      <c r="CA84" t="str" cm="1">
        <f t="array" ref="CA84">IF(A83=A84,"",IF(SD!$C$44="No T-Head",IF(SD!$C$42=SD!$Q$3,VLOOKUP(BX84,S90Range,3,FALSE),LEFT(SD!$C$42,FIND("-",SD!$C$42)-1)+(RIGHT(SD!$C$42,LEN(SD!$C$42)-FIND("-",SD!$C$42))/12)),IF(SD!$C$44="T-Head",_xlfn._xlws.FILTER(THead,(TCName=SD!$C$8)*(TSize=BX84)),IF(SD!$C$44="Level Wise",_xlfn.LET(_xlpm.result,_xlfn.XLOOKUP(B84,VDLevel,VDLevelStatus,"No"),IF(_xlpm.result="Yes",_xlfn._xlws.FILTER(THead,(TCName=SD!$C$8)*(TSize=BX84)),IF(SD!$C$42=SD!$Q$3,VLOOKUP(BX84,S90Range,3,FALSE),LEFT(SD!$C$42,FIND("-",SD!$C$42)-1)+(RIGHT(SD!$C$42,LEN(SD!$C$42)-FIND("-", SD!$C$42))/12)))),IF(SD!$C$44="BarSize Wise",_xlfn.LET(_xlpm.result,_xlfn.XLOOKUP(BX84,VDBarSize,VDBarSizeStatus,"No"),IF(_xlpm.result="Yes",_xlfn._xlws.FILTER(THead,(TCName=SD!$C$8)*(TSize=BX84)),IF(SD!$C$42=SD!$Q$3,VLOOKUP(BX84,S90Range,3,FALSE),LEFT(SD!$C$42,FIND("-",SD!$C$42)-1)+(RIGHT(SD!$C$42,LEN(SD!$C$42)-FIND("-",SD!$C$42))/12)))), "")))))</f>
        <v/>
      </c>
      <c r="CB84" t="str" cm="1">
        <f t="array" ref="CB84">_xlfn.LET(_xlpm.GRR,IF(AND(SD!$C$19=SD!$H$2,Grade!$G$1="Per level"),VLOOKUP(B84,Grade!$E$1:$F$200,2,FALSE),IF(AND(SD!$C$19=SD!$H$2,Grade!$G$1="Per Bar Size"),VLOOKUP(BX84,Grade!$B$1:$C$12,2,0),SD!$C$19)),_xlpm.is_coupler, K84="Coupler",_xlpm.condition1, SD!$C$43=SD!$W$2,_xlpm.data_j2_empty, Data!$J84="",_xlpm.lookup_table, IF(SD!$C$11="Create", Lap!$A$3:$BF$14, IF(SD!$C$11="Per Uploaded File", Lap!$A$19:$BF$30, "")),_xlpm.row_match, MATCH(BX84, Lap!$A$3:$A$14, 0),_xlpm.grade_offset, IF(IFERROR(FIND("Grade 60",_xlpm.GRR), 0) &gt; 0, 0, IF(IFERROR(FIND("Grade 80",_xlpm.GRR), 0), 1, IF(IFERROR(FIND("Grade 75",_xlpm.GRR), 0), 2, ""))),_xlpm.col_match, MATCH(VALUE(D84), Lap!$A$3:$BF$3, 0) + _xlpm.grade_offset,_xlpm.index_result, IFERROR(INDEX(_xlpm.lookup_table, _xlpm.row_match, _xlpm.col_match), Data!$J84),_xlpm.result_if_condition1, IF(_xlpm.data_j2_empty, _xlpm.index_result, Data!$J84),IF(_xlpm.is_coupler, 0, IF(_xlpm.condition1, _xlpm.result_if_condition1, SD!$C$43)))</f>
        <v>5-1</v>
      </c>
      <c r="CC84" s="24">
        <f t="shared" si="38"/>
        <v>5.083333333333333</v>
      </c>
      <c r="CD84">
        <f t="shared" si="39"/>
        <v>5.75</v>
      </c>
      <c r="CE84" t="str" cm="1">
        <f t="array" ref="CE84">IF(BY84="","",_xlfn._xlws.FILTER(SAC,(CName=SD!$C$8)*(EName="Vert Dowels")))</f>
        <v/>
      </c>
      <c r="CF84" t="str" cm="1">
        <f t="array" ref="CF84">IFERROR(IF(BY84="","",IF(K84="Coupler",_xlfn._xlws.FILTER(CCoupler,(CCName=SD!$C$8)*(CBSize=IF(A83=A84,W83&amp;W84,BX84&amp;W84))*(CCMFM="Male")),"")),"N/A")</f>
        <v/>
      </c>
      <c r="CG84" t="str">
        <f t="shared" si="40"/>
        <v/>
      </c>
      <c r="CH84" t="str">
        <f t="shared" si="41"/>
        <v/>
      </c>
      <c r="CI84" t="str">
        <f>_xlfn.LET(_xlpm.u3_value, U85,_xlpm.hyphen_pos,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K85="Coupler",_xlpm.coupler_value, IF(_xlpm.is_coupler, 0, _xlpm.calculated_value),_xlpm.final_value, _xlpm.calculated_value + SD!$E$13 + _xlpm.coupler_value,IF(CG84="", "", _xlpm.final_value))</f>
        <v/>
      </c>
      <c r="CJ84" t="str" cm="1">
        <f t="array" ref="CJ84">IF(CG84="","",_xlfn._xlws.FILTER(SAC,(CName=SD!$C$8)*(EName="Loose Dowels")))</f>
        <v/>
      </c>
      <c r="CK84" t="str" cm="1">
        <f t="array" ref="CK84">IFERROR(IF(CG84="","",IF(K85="Coupler",_xlfn._xlws.FILTER(CCoupler,(CCName=SD!$C$8)*(CBSize=IF(A84=A85,W84&amp;W85,""))*(CCMFM="Male")),"")),"N/A")</f>
        <v/>
      </c>
      <c r="CL84" t="str">
        <f>IFERROR(IF(AM84="Spiral","",IF(A83=A84,"",IF(SD!$C$37=0,"",SD!$C$37))),"")</f>
        <v/>
      </c>
      <c r="CN84">
        <f>IF(AM84="Spiral","",IFERROR(IF(SD!$C$36=0,"",SD!$C$36),""))</f>
        <v>5</v>
      </c>
      <c r="CP84" t="str">
        <f>IFERROR(IF(SD!$C$42=SD!$Q$3,'Take-off'!CA84,""),"")</f>
        <v/>
      </c>
      <c r="CR84">
        <f>IFERROR(IF(SD!$C$22=SD!$U$2,W84,SD!$C$22),"")</f>
        <v>0</v>
      </c>
      <c r="CS84" t="str" cm="1">
        <f t="array" ref="CS84">_xlfn.LET(_xlpm.GR,IF(AND(SD!$C$19=SD!$H$2,Grade!$G$1="Per level"),VLOOKUP(B84,Grade!$E$1:$F$200,2,FALSE),IF(AND(SD!$C$19=SD!$H$2,Grade!$G$1="Per Bar Size"),VLOOKUP(CR84,Grade!$B$1:$C$12,2,0),SD!$C$19)),IF(SD!$C$20=SD!$R$4,IF(A85=A84,"",INDEX(IF(_xlpm.GR=SD!$H$3,A615GR60,IF(_xlpm.GR=SD!$H$4,A615GR75,IF(_xlpm.GR=SD!$H$5,A615GR80,IF(_xlpm.GR=SD!H88,A615GR100,IF(_xlpm.GR=SD!$H$7,A706GR60,IF(_xlpm.GR=SD!$H$8,A706GR80)))))), MATCH(1, (BSize=CR84)*(BCName=SD!$C$8), 0))),""))</f>
        <v/>
      </c>
      <c r="CT84" t="str">
        <f>IF(A85=A84,"",IF(SD!$C$23="Match Vertical Bars ",X84,SD!$C$23))</f>
        <v/>
      </c>
      <c r="CU84" t="str" cm="1">
        <f t="array" ref="CU84">IF(A85=A84,"",IF(SD!$C$20="Top dowels",IF(SD!$E$25="No T-Head",IF(SD!$C$24=SD!$Q$3,VLOOKUP(CR84,S90Range,3,FALSE),LEFT(SD!$C$24,FIND("-",SD!$C$24)-1)+(RIGHT(SD!$C$24,LEN(SD!$C$24)-FIND("-",SD!$C$24))/12)),IF(SD!$E$25="T-Head",_xlfn._xlws.FILTER(THead,(TCName=SD!$C$8)*(TSize=CR84)),IF(SD!$E$25="Level Wise",_xlfn.LET(_xlpm.result,_xlfn.XLOOKUP(B84,TDLevel,TDLevelStatus,"No"),IF(_xlpm.result="Yes",_xlfn._xlws.FILTER(THead,(TCName=SD!$C$8)*(TSize=CR84)),IF(SD!$C$24=SD!$Q$3,VLOOKUP(CR84,S90Range,3,FALSE),LEFT(SD!$C$24,FIND("-",SD!$C$24)-1)+(RIGHT(SD!$C$24,LEN(SD!$C$24)-FIND("-", SD!$C$24))/12)))),IF(SD!$E$25="BarSize Wise",_xlfn.LET(_xlpm.result,_xlfn.XLOOKUP(CR84,TDBarSize,TDBarSizeStatus,"No"),IF(_xlpm.result="Yes",_xlfn._xlws.FILTER(THead,(TCName=SD!$C$8)*(TSize=CR84)),IF(SD!$C$24=SD!$Q$3,VLOOKUP(CR84,S90Range,3,FALSE),LEFT(SD!$C$24,FIND("-",SD!$C$24)-1)+(RIGHT(SD!$C$24,LEN(SD!$C$24)-FIND("-",SD!$C$24))/12)))), "")))),""))</f>
        <v/>
      </c>
      <c r="CV84" t="str">
        <f>_xlfn.LET(_xlpm.GRR,IF(AND(SD!$C$19=SD!$H$2,Grade!$G$1="Per level"),VLOOKUP(B84,Grade!$E$1:$F$200,2,FALSE),IF(AND(SD!$C$19=SD!$H$2,Grade!$G$1="Per Bar Size"),VLOOKUP(CR84,Grade!$B$1:$C$12,2,0),SD!$C$19)),IF(SD!$C$25=SD!$W$2,IF(Data!$J84="",IFERROR(INDEX(IF(SD!$C$11="Create",Lap!$A$3:$BF$14,IF(SD!$C$11="Per Uploaded File",Lap!$A$19:$BF$30,"")),MATCH(CR84,Lap!$A$3:$A$14,0),MATCH(VALUE(D84),Lap!$A$3:$BF$3,0)+IF(IFERROR(FIND("Grade 60",_xlpm.GRR),0)&gt;0,0,IF(IFERROR(FIND("Grade 80",_xlpm.GRR),0),1,IF(IFERROR(FIND("Grade 75",_xlpm.GRR),0),2,"")))),""),Data!J84),SD!$C$43))</f>
        <v>Match Lap</v>
      </c>
      <c r="CW84">
        <f t="shared" si="42"/>
        <v>0</v>
      </c>
      <c r="CX84">
        <f t="shared" si="43"/>
        <v>0</v>
      </c>
      <c r="CY84" t="str">
        <f t="shared" si="44"/>
        <v/>
      </c>
      <c r="DA84" t="str">
        <f t="shared" si="45"/>
        <v/>
      </c>
      <c r="DB84" t="str">
        <f t="shared" si="46"/>
        <v/>
      </c>
      <c r="DC84" s="24" t="str">
        <f t="shared" si="47"/>
        <v/>
      </c>
      <c r="DD84">
        <f t="shared" si="48"/>
        <v>10.583333333333334</v>
      </c>
      <c r="DE84" t="s">
        <v>785</v>
      </c>
      <c r="DF84" t="s">
        <v>67</v>
      </c>
      <c r="DG84" t="str">
        <f>VLOOKUP(W84,'Level Wise PSI'!$F$2:$G$12,2,FALSE)</f>
        <v>Double Lift</v>
      </c>
      <c r="DI84" t="str" cm="1">
        <f t="array" ref="DI84">_xlfn.LET(_xlpm.Coup,IFERROR(IF(BY84="","",IF(K84="Coupler",_xlfn._xlws.FILTER(CCFCoupler,(CCName=SD!$C$8)*(CBSize=IF(A83=A84,W83&amp;W84,BX84&amp;W84))),"")),"N/A"),IF(_xlpm.Coup=0,"",_xlpm.Coup))</f>
        <v/>
      </c>
      <c r="DJ84" t="str" cm="1">
        <f t="array" ref="DJ84">_xlfn.LET(_xlpm.Coup3,IFERROR(IF(CG84="","",IF(K85="Coupler",_xlfn._xlws.FILTER(CCFCoupler,(CCName=SD!$C$8)*(CBSize=IF(A84=A85,W84&amp;W85,""))),"")),"N/A"),IF(_xlpm.Coup3=0,"",_xlpm.Coup3))</f>
        <v/>
      </c>
      <c r="DK84" t="str" cm="1">
        <f t="array" ref="DK84">_xlfn.LET(_xlpm.Coup2,IFERROR(IF(A84&lt;&gt;A85,"",IF(DF84="No Lap","",IF(K85="Coupler",_xlfn._xlws.FILTER(CCFCoupler,(CCName=SD!$C$8)*(CBSize=IF(A83=A84,W84&amp;W85,W84&amp;W84))),""))),"N/A"),IF(_xlpm.Coup2=0,"",_xlpm.Coup2))</f>
        <v/>
      </c>
      <c r="DM84" t="str">
        <f>IF(AM84="Spiral","",IF(SD!$C$31=SD!$Y$3,SD!$E$32*2,""))</f>
        <v/>
      </c>
      <c r="DO84" s="24">
        <f t="shared" si="49"/>
        <v>3</v>
      </c>
      <c r="DQ84" t="str">
        <f t="shared" si="50"/>
        <v>Lig</v>
      </c>
      <c r="DR84" t="str">
        <f>IF(AM84="Spiral",((Y84-(SD!$E$12*2))/12),"")</f>
        <v/>
      </c>
      <c r="DS84" t="str">
        <f t="shared" si="51"/>
        <v/>
      </c>
      <c r="DT84" t="str">
        <f t="shared" si="52"/>
        <v/>
      </c>
      <c r="DU84" t="str">
        <f t="shared" si="53"/>
        <v/>
      </c>
    </row>
    <row r="85" spans="1:125" x14ac:dyDescent="0.25">
      <c r="A85">
        <v>34</v>
      </c>
      <c r="B85" t="s">
        <v>670</v>
      </c>
      <c r="C85" s="15">
        <v>2429</v>
      </c>
      <c r="D85" s="15">
        <v>10000</v>
      </c>
      <c r="E85" t="str">
        <f>IF(B85=Level!$A$2,SD!$C$14,SD!$C$13)</f>
        <v>0-8</v>
      </c>
      <c r="F85" s="15" t="s">
        <v>787</v>
      </c>
      <c r="G85" t="s">
        <v>742</v>
      </c>
      <c r="H85" t="str">
        <f>RIGHT(VLOOKUP(B85,Level!A:C,3,FALSE),LEN(VLOOKUP(B85,Level!A:C,3,FALSE))-1)</f>
        <v>10-7</v>
      </c>
      <c r="I85" t="s">
        <v>743</v>
      </c>
      <c r="J85" t="str">
        <f>IF(AND(SD!$C$19=SD!$H$2,Grade!$G$1="Per level"),VLOOKUP(B85,Grade!$E$1:$F$200,2,FALSE),IF(AND(SD!$C$19=SD!$H$2,Grade!$G$1="Per Bar Size"),VLOOKUP(W85,Grade!$B$1:$C$12,2,0),SD!$C$19))</f>
        <v>A615 Grade 60</v>
      </c>
      <c r="K85" t="s">
        <v>67</v>
      </c>
      <c r="L85" t="str">
        <f>IFERROR(IF(A85&lt;&gt;A86,"",IF(DF85="No Lap","",IF(K86="Lap",U85,IF(K86="Coupler",_xlfn._xlws.FILTER(CCoupler,(CCName=SD!$C$8)*(CBSize=IF(A84=A85,W85&amp;W86,W85&amp;W85))*(CCMFM="Male")),"")))),"N/A")</f>
        <v>5-1</v>
      </c>
      <c r="M85" t="str">
        <f t="shared" si="27"/>
        <v/>
      </c>
      <c r="N85" t="s">
        <v>719</v>
      </c>
      <c r="O85" t="s">
        <v>720</v>
      </c>
      <c r="P85" t="s">
        <v>719</v>
      </c>
      <c r="Q85" t="str">
        <f>IF(AND(SD!$C$29=SD!$P$2,Grade!$O$1="Per level"),VLOOKUP(B85,Grade!$M$1:$N$200,2,FALSE),IF(AND(SD!$C$29=SD!$P$2,Grade!$O$1="Per Bar Size"),VLOOKUP(LEFT(N85,FIND("@",N85)-2),Grade!$J$1:$K$12,2,0),SD!$C$29))</f>
        <v>A615 Grade 60</v>
      </c>
      <c r="R85" t="s">
        <v>742</v>
      </c>
      <c r="S85" s="57">
        <v>85</v>
      </c>
      <c r="U85" t="str">
        <f>IF(Data!$J85="",IFERROR(INDEX(IF(SD!$C$11="Create",Lap!$A$3:$BF$14,IF(SD!$C$11="Per Uploaded File",Lap!$A$19:$BF$30,"")),MATCH(W85,Lap!$A$3:$A$14,0),MATCH(VALUE(D85),Lap!$A$3:$BF$3,0)+IF(IFERROR(FIND("Grade 60",J85),0)&gt;0,0,IF(IFERROR(FIND("Grade 80",J85),0),1,IF(IFERROR(FIND("Grade 75",J85),0),2,"")))),""),Data!J85)</f>
        <v>5-1</v>
      </c>
      <c r="W85" t="s">
        <v>176</v>
      </c>
      <c r="X85">
        <v>6</v>
      </c>
      <c r="Y85" t="str">
        <f t="shared" si="28"/>
        <v>30</v>
      </c>
      <c r="Z85">
        <f t="shared" si="29"/>
        <v>0</v>
      </c>
      <c r="AA85" s="24">
        <f t="shared" si="30"/>
        <v>15.666666666666666</v>
      </c>
      <c r="BB85" t="e" cm="1">
        <f t="array" ref="BB85">_xlfn.LET(_xlpm.PartF,(_xlfn.LET(_xlpm.grade, Q85,_xlpm.gradeRange, IF(_xlpm.grade=SD!$H$3, A615GR60, IF(_xlpm.grade=SD!$H$4, A615GR75, IF(_xlpm.grade=SD!$H$5, A615GR80, IF(_xlpm.grade=SD!$H$6, A615GR100, IF(_xlpm.grade=SD!$H$7, A706GR60, IF(_xlpm.grade=SD!$H$8, A706GR80)))))),_xlpm.matchValue, MATCH(1, (SD!$AW:$AW=AS85)*(SD!$AX:$AX=SD!$C$8), 0),INDEX(_xlpm.gradeRange, _xlpm.matchValue))),IF(AM85="Spiral",CONCATENATE("SP",_xlpm.PartF),_xlpm.PartF))</f>
        <v>#N/A</v>
      </c>
      <c r="BC85" cm="1">
        <f t="array" ref="BC85">_xlfn.LET(_xlpm.leftPart, LEFT(O85, FIND("@", O85) - 2),_xlpm.grade,Q85,_xlpm.gradeRange,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5" cm="1">
        <f t="array" ref="BD85">_xlfn.LET(_xlpm.leftPart, LEFT(P85, FIND("@", P85) - 2),_xlpm.grade, Q85,_xlpm.gradeRange,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5">
        <f t="shared" si="31"/>
        <v>2.5</v>
      </c>
      <c r="BF85">
        <f>IF(SD!$C$32=SD!$I$2,BE85,IF(SD!$C$32=SD!$I$3,DO85,IF(SD!$C$32=SD!$I$5,BA85,IF(SD!$C$32=SD!$I$6,(LEFT(SD!$C$35,FIND("-",SD!$C$35)-1)+RIGHT(SD!$C$35,LEN(SD!$C$35)-FIND("-",SD!$C$35))/12),IF(SD!$C$32=SD!$I$4,(AU85-(BG85+BH85)))))))</f>
        <v>0</v>
      </c>
      <c r="BG85">
        <f>IF(SD!$C$33=SD!$I$2,BE85,IF(SD!$C$33=SD!$I$3,DO85,IF(SD!$C$33=SD!$I$5,BA85,IF(SD!$C$33=SD!$I$6,(LEFT(SD!$C$35,FIND("-",SD!$C$35)-1)+RIGHT(SD!$C$35,LEN(SD!$C$35)-FIND("-",SD!$C$35))/12),IF(SD!$C$33=SD!$I$4,(AU85-(BF85+BH85)))))))</f>
        <v>-1</v>
      </c>
      <c r="BH85">
        <f>IF(SD!$C$34=SD!$I$2,BE85,IF(SD!$C$34=SD!$I$3,DO85,IF(SD!$C$34=SD!$I$5,BA85,IF(SD!$C$34=SD!$I$6,(LEFT(SD!$C$35,FIND("-",SD!$C$35)-1)+RIGHT(SD!$C$35,LEN(SD!$C$35)-FIND("-",SD!$C$35))/12),IF(SD!$C$34=SD!$I$4,(AU85-(BF85+BG85)))))))</f>
        <v>1</v>
      </c>
      <c r="BJ85">
        <f>IF(AM85="Spiral","1",MAX(ROUNDUP(IF(SD!$C$32="",AT85,BF85/(LEFT(RIGHT(N85,LEN(N85)-FIND("@",N85)),LEN(RIGHT(N85,LEN(N85)-FIND("@",N85)))-1)/12)+1),0),0))</f>
        <v>1</v>
      </c>
      <c r="BK85">
        <f>MAX(ROUNDUP(IF(SD!$C$33="","",BG85/(LEFT(RIGHT(O85,LEN(O85)-FIND("@",O85)),LEN(RIGHT(O85,LEN(O85)-FIND("@",O85)))-1)/12)+1),0),0)</f>
        <v>0</v>
      </c>
      <c r="BL85">
        <f>MAX(ROUNDUP(IF(SD!$C$34="","",BH85/(LEFT(RIGHT(P85,LEN(P85)-FIND("@",P85)),LEN(RIGHT(P85,LEN(P85)-FIND("@",P85)))-1)/12)+1),0),0)</f>
        <v>3</v>
      </c>
      <c r="BN85" t="e">
        <f t="shared" si="32"/>
        <v>#N/A</v>
      </c>
      <c r="BO85" t="e">
        <f t="shared" si="33"/>
        <v>#N/A</v>
      </c>
      <c r="BP85" t="e">
        <f t="shared" si="34"/>
        <v>#N/A</v>
      </c>
      <c r="BQ85" s="24" t="e">
        <f>IF(AM85=TRUE,(((Y85-(SD!$E$12*2))*3.14159265359)+BN85+BO85+BP85)/12+AL85,SUM(AF85:AG85,BN85,BO85,BP85,AO85,AQ85)/12)</f>
        <v>#N/A</v>
      </c>
      <c r="BR85" t="e">
        <f t="shared" si="35"/>
        <v>#N/A</v>
      </c>
      <c r="BS85" t="e">
        <f t="shared" si="36"/>
        <v>#N/A</v>
      </c>
      <c r="BT85" t="e">
        <f t="shared" si="37"/>
        <v>#N/A</v>
      </c>
      <c r="BU85" s="24" t="e">
        <f>IF(AM85=TRUE,(((Y85-(SD!$E$12*2))*3.14159265359)+BR85+BS85+BT85)/12+AL85,SUM(AF85:AG85,BR85,BS85,BT85,AO85,AQ85)/12)</f>
        <v>#N/A</v>
      </c>
      <c r="BW85" t="str">
        <f>IFERROR(LEFT(Data!L85,FIND(" -",Data!L85)-1),"")</f>
        <v/>
      </c>
      <c r="BX85" t="str">
        <f>IFERROR(IF(SD!$C$40=SD!$U$2,W85,IF(SD!$C$40=SD!$U$3,RIGHT(Data!L85,LEN(Data!L85)-(FIND("-",Data!L85)+1)),SD!$C$40)),"")</f>
        <v>#10</v>
      </c>
      <c r="BY85" t="str" cm="1">
        <f t="array" ref="BY85">IFERROR(_xlfn.LET(_xlpm.GRR,IF(AND(SD!$C$19=SD!$H$2,Grade!$G$1="Per level"),VLOOKUP(B85,Grade!$E$1:$F$200,2,FALSE),IF(AND(SD!$C$19=SD!$H$2,Grade!$G$1="Per Bar Size"),VLOOKUP(BX85,Grade!$B$1:$C$12,2,0),SD!$C$19)),_xlpm.is_equal, A84=A85,_xlpm.grade_range, IF(_xlpm.GRR=SD!$H$3, A615GR60,IF(_xlpm.GRR=SD!$H$4, A615GR75,IF(_xlpm.GRR=SD!$H$5, A615GR80,IF(_xlpm.GRR=SD!H89, A615GR100,IF(_xlpm.GRR=SD!$H$7, A706GR60,IF(_xlpm.GRR=SD!$H$8, A706GR80)))))),_xlpm.match_result, MATCH(1, (BSize=BX85)*(BCName=SD!$C$8), 0),_xlpm.final_result, INDEX(_xlpm.grade_range, _xlpm.match_result),IF(_xlpm.is_equal, "", _xlpm.final_result)),"")</f>
        <v/>
      </c>
      <c r="BZ85" t="str">
        <f>IF(A84=A85,"",IF(SD!$C$41="Match Vertical Bars ",X85,IF(SD!$C$41=SD!$V$3,BW85,SD!$C$41)))</f>
        <v/>
      </c>
      <c r="CA85" t="str" cm="1">
        <f t="array" ref="CA85">IF(A84=A85,"",IF(SD!$C$44="No T-Head",IF(SD!$C$42=SD!$Q$3,VLOOKUP(BX85,S90Range,3,FALSE),LEFT(SD!$C$42,FIND("-",SD!$C$42)-1)+(RIGHT(SD!$C$42,LEN(SD!$C$42)-FIND("-",SD!$C$42))/12)),IF(SD!$C$44="T-Head",_xlfn._xlws.FILTER(THead,(TCName=SD!$C$8)*(TSize=BX85)),IF(SD!$C$44="Level Wise",_xlfn.LET(_xlpm.result,_xlfn.XLOOKUP(B85,VDLevel,VDLevelStatus,"No"),IF(_xlpm.result="Yes",_xlfn._xlws.FILTER(THead,(TCName=SD!$C$8)*(TSize=BX85)),IF(SD!$C$42=SD!$Q$3,VLOOKUP(BX85,S90Range,3,FALSE),LEFT(SD!$C$42,FIND("-",SD!$C$42)-1)+(RIGHT(SD!$C$42,LEN(SD!$C$42)-FIND("-", SD!$C$42))/12)))),IF(SD!$C$44="BarSize Wise",_xlfn.LET(_xlpm.result,_xlfn.XLOOKUP(BX85,VDBarSize,VDBarSizeStatus,"No"),IF(_xlpm.result="Yes",_xlfn._xlws.FILTER(THead,(TCName=SD!$C$8)*(TSize=BX85)),IF(SD!$C$42=SD!$Q$3,VLOOKUP(BX85,S90Range,3,FALSE),LEFT(SD!$C$42,FIND("-",SD!$C$42)-1)+(RIGHT(SD!$C$42,LEN(SD!$C$42)-FIND("-",SD!$C$42))/12)))), "")))))</f>
        <v/>
      </c>
      <c r="CB85" t="str" cm="1">
        <f t="array" ref="CB85">_xlfn.LET(_xlpm.GRR,IF(AND(SD!$C$19=SD!$H$2,Grade!$G$1="Per level"),VLOOKUP(B85,Grade!$E$1:$F$200,2,FALSE),IF(AND(SD!$C$19=SD!$H$2,Grade!$G$1="Per Bar Size"),VLOOKUP(BX85,Grade!$B$1:$C$12,2,0),SD!$C$19)),_xlpm.is_coupler, K85="Coupler",_xlpm.condition1, SD!$C$43=SD!$W$2,_xlpm.data_j2_empty, Data!$J85="",_xlpm.lookup_table, IF(SD!$C$11="Create", Lap!$A$3:$BF$14, IF(SD!$C$11="Per Uploaded File", Lap!$A$19:$BF$30, "")),_xlpm.row_match, MATCH(BX85, Lap!$A$3:$A$14, 0),_xlpm.grade_offset, IF(IFERROR(FIND("Grade 60",_xlpm.GRR), 0) &gt; 0, 0, IF(IFERROR(FIND("Grade 80",_xlpm.GRR), 0), 1, IF(IFERROR(FIND("Grade 75",_xlpm.GRR), 0), 2, ""))),_xlpm.col_match, MATCH(VALUE(D85), Lap!$A$3:$BF$3, 0) + _xlpm.grade_offset,_xlpm.index_result, IFERROR(INDEX(_xlpm.lookup_table, _xlpm.row_match, _xlpm.col_match), Data!$J85),_xlpm.result_if_condition1, IF(_xlpm.data_j2_empty, _xlpm.index_result, Data!$J85),IF(_xlpm.is_coupler, 0, IF(_xlpm.condition1, _xlpm.result_if_condition1, SD!$C$43)))</f>
        <v>5-1</v>
      </c>
      <c r="CC85" s="24">
        <f t="shared" si="38"/>
        <v>5.083333333333333</v>
      </c>
      <c r="CD85">
        <f t="shared" si="39"/>
        <v>5.75</v>
      </c>
      <c r="CE85" t="str" cm="1">
        <f t="array" ref="CE85">IF(BY85="","",_xlfn._xlws.FILTER(SAC,(CName=SD!$C$8)*(EName="Vert Dowels")))</f>
        <v/>
      </c>
      <c r="CF85" t="str" cm="1">
        <f t="array" ref="CF85">IFERROR(IF(BY85="","",IF(K85="Coupler",_xlfn._xlws.FILTER(CCoupler,(CCName=SD!$C$8)*(CBSize=IF(A84=A85,W84&amp;W85,BX85&amp;W85))*(CCMFM="Male")),"")),"N/A")</f>
        <v/>
      </c>
      <c r="CG85" t="str">
        <f t="shared" si="40"/>
        <v/>
      </c>
      <c r="CH85" t="str">
        <f t="shared" si="41"/>
        <v/>
      </c>
      <c r="CI85" t="str">
        <f>_xlfn.LET(_xlpm.u3_value, U86,_xlpm.hyphen_pos,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K86="Coupler",_xlpm.coupler_value, IF(_xlpm.is_coupler, 0, _xlpm.calculated_value),_xlpm.final_value, _xlpm.calculated_value + SD!$E$13 + _xlpm.coupler_value,IF(CG85="", "", _xlpm.final_value))</f>
        <v/>
      </c>
      <c r="CJ85" t="str" cm="1">
        <f t="array" ref="CJ85">IF(CG85="","",_xlfn._xlws.FILTER(SAC,(CName=SD!$C$8)*(EName="Loose Dowels")))</f>
        <v/>
      </c>
      <c r="CK85" t="str" cm="1">
        <f t="array" ref="CK85">IFERROR(IF(CG85="","",IF(K86="Coupler",_xlfn._xlws.FILTER(CCoupler,(CCName=SD!$C$8)*(CBSize=IF(A85=A86,W85&amp;W86,""))*(CCMFM="Male")),"")),"N/A")</f>
        <v/>
      </c>
      <c r="CL85" t="str">
        <f>IFERROR(IF(AM85="Spiral","",IF(A84=A85,"",IF(SD!$C$37=0,"",SD!$C$37))),"")</f>
        <v/>
      </c>
      <c r="CN85">
        <f>IF(AM85="Spiral","",IFERROR(IF(SD!$C$36=0,"",SD!$C$36),""))</f>
        <v>5</v>
      </c>
      <c r="CP85" t="str">
        <f>IFERROR(IF(SD!$C$42=SD!$Q$3,'Take-off'!CA85,""),"")</f>
        <v/>
      </c>
      <c r="CR85">
        <f>IFERROR(IF(SD!$C$22=SD!$U$2,W85,SD!$C$22),"")</f>
        <v>0</v>
      </c>
      <c r="CS85" t="str" cm="1">
        <f t="array" ref="CS85">_xlfn.LET(_xlpm.GR,IF(AND(SD!$C$19=SD!$H$2,Grade!$G$1="Per level"),VLOOKUP(B85,Grade!$E$1:$F$200,2,FALSE),IF(AND(SD!$C$19=SD!$H$2,Grade!$G$1="Per Bar Size"),VLOOKUP(CR85,Grade!$B$1:$C$12,2,0),SD!$C$19)),IF(SD!$C$20=SD!$R$4,IF(A86=A85,"",INDEX(IF(_xlpm.GR=SD!$H$3,A615GR60,IF(_xlpm.GR=SD!$H$4,A615GR75,IF(_xlpm.GR=SD!$H$5,A615GR80,IF(_xlpm.GR=SD!H89,A615GR100,IF(_xlpm.GR=SD!$H$7,A706GR60,IF(_xlpm.GR=SD!$H$8,A706GR80)))))), MATCH(1, (BSize=CR85)*(BCName=SD!$C$8), 0))),""))</f>
        <v/>
      </c>
      <c r="CT85" t="str">
        <f>IF(A86=A85,"",IF(SD!$C$23="Match Vertical Bars ",X85,SD!$C$23))</f>
        <v/>
      </c>
      <c r="CU85" t="str" cm="1">
        <f t="array" ref="CU85">IF(A86=A85,"",IF(SD!$C$20="Top dowels",IF(SD!$E$25="No T-Head",IF(SD!$C$24=SD!$Q$3,VLOOKUP(CR85,S90Range,3,FALSE),LEFT(SD!$C$24,FIND("-",SD!$C$24)-1)+(RIGHT(SD!$C$24,LEN(SD!$C$24)-FIND("-",SD!$C$24))/12)),IF(SD!$E$25="T-Head",_xlfn._xlws.FILTER(THead,(TCName=SD!$C$8)*(TSize=CR85)),IF(SD!$E$25="Level Wise",_xlfn.LET(_xlpm.result,_xlfn.XLOOKUP(B85,TDLevel,TDLevelStatus,"No"),IF(_xlpm.result="Yes",_xlfn._xlws.FILTER(THead,(TCName=SD!$C$8)*(TSize=CR85)),IF(SD!$C$24=SD!$Q$3,VLOOKUP(CR85,S90Range,3,FALSE),LEFT(SD!$C$24,FIND("-",SD!$C$24)-1)+(RIGHT(SD!$C$24,LEN(SD!$C$24)-FIND("-", SD!$C$24))/12)))),IF(SD!$E$25="BarSize Wise",_xlfn.LET(_xlpm.result,_xlfn.XLOOKUP(CR85,TDBarSize,TDBarSizeStatus,"No"),IF(_xlpm.result="Yes",_xlfn._xlws.FILTER(THead,(TCName=SD!$C$8)*(TSize=CR85)),IF(SD!$C$24=SD!$Q$3,VLOOKUP(CR85,S90Range,3,FALSE),LEFT(SD!$C$24,FIND("-",SD!$C$24)-1)+(RIGHT(SD!$C$24,LEN(SD!$C$24)-FIND("-",SD!$C$24))/12)))), "")))),""))</f>
        <v/>
      </c>
      <c r="CV85" t="str">
        <f>_xlfn.LET(_xlpm.GRR,IF(AND(SD!$C$19=SD!$H$2,Grade!$G$1="Per level"),VLOOKUP(B85,Grade!$E$1:$F$200,2,FALSE),IF(AND(SD!$C$19=SD!$H$2,Grade!$G$1="Per Bar Size"),VLOOKUP(CR85,Grade!$B$1:$C$12,2,0),SD!$C$19)),IF(SD!$C$25=SD!$W$2,IF(Data!$J85="",IFERROR(INDEX(IF(SD!$C$11="Create",Lap!$A$3:$BF$14,IF(SD!$C$11="Per Uploaded File",Lap!$A$19:$BF$30,"")),MATCH(CR85,Lap!$A$3:$A$14,0),MATCH(VALUE(D85),Lap!$A$3:$BF$3,0)+IF(IFERROR(FIND("Grade 60",_xlpm.GRR),0)&gt;0,0,IF(IFERROR(FIND("Grade 80",_xlpm.GRR),0),1,IF(IFERROR(FIND("Grade 75",_xlpm.GRR),0),2,"")))),""),Data!J85),SD!$C$43))</f>
        <v>Match Lap</v>
      </c>
      <c r="CW85">
        <f t="shared" si="42"/>
        <v>0</v>
      </c>
      <c r="CX85">
        <f t="shared" si="43"/>
        <v>0</v>
      </c>
      <c r="CY85" t="str">
        <f t="shared" si="44"/>
        <v/>
      </c>
      <c r="DA85" t="str">
        <f t="shared" si="45"/>
        <v/>
      </c>
      <c r="DB85" t="str">
        <f t="shared" si="46"/>
        <v/>
      </c>
      <c r="DC85" s="24" t="str">
        <f t="shared" si="47"/>
        <v/>
      </c>
      <c r="DD85">
        <f t="shared" si="48"/>
        <v>10.583333333333334</v>
      </c>
      <c r="DE85" t="s">
        <v>785</v>
      </c>
      <c r="DF85" t="s">
        <v>67</v>
      </c>
      <c r="DG85" t="str">
        <f>VLOOKUP(W85,'Level Wise PSI'!$F$2:$G$12,2,FALSE)</f>
        <v>Double Lift</v>
      </c>
      <c r="DI85" t="str" cm="1">
        <f t="array" ref="DI85">_xlfn.LET(_xlpm.Coup,IFERROR(IF(BY85="","",IF(K85="Coupler",_xlfn._xlws.FILTER(CCFCoupler,(CCName=SD!$C$8)*(CBSize=IF(A84=A85,W84&amp;W85,BX85&amp;W85))),"")),"N/A"),IF(_xlpm.Coup=0,"",_xlpm.Coup))</f>
        <v/>
      </c>
      <c r="DJ85" t="str" cm="1">
        <f t="array" ref="DJ85">_xlfn.LET(_xlpm.Coup3,IFERROR(IF(CG85="","",IF(K86="Coupler",_xlfn._xlws.FILTER(CCFCoupler,(CCName=SD!$C$8)*(CBSize=IF(A85=A86,W85&amp;W86,""))),"")),"N/A"),IF(_xlpm.Coup3=0,"",_xlpm.Coup3))</f>
        <v/>
      </c>
      <c r="DK85" t="str" cm="1">
        <f t="array" ref="DK85">_xlfn.LET(_xlpm.Coup2,IFERROR(IF(A85&lt;&gt;A86,"",IF(DF85="No Lap","",IF(K86="Coupler",_xlfn._xlws.FILTER(CCFCoupler,(CCName=SD!$C$8)*(CBSize=IF(A84=A85,W85&amp;W86,W85&amp;W85))),""))),"N/A"),IF(_xlpm.Coup2=0,"",_xlpm.Coup2))</f>
        <v/>
      </c>
      <c r="DM85" t="str">
        <f>IF(AM85="Spiral","",IF(SD!$C$31=SD!$Y$3,SD!$E$32*2,""))</f>
        <v/>
      </c>
      <c r="DO85" s="24">
        <f t="shared" si="49"/>
        <v>2.5</v>
      </c>
      <c r="DQ85" t="str">
        <f t="shared" si="50"/>
        <v>Lig</v>
      </c>
      <c r="DR85" t="str">
        <f>IF(AM85="Spiral",((Y85-(SD!$E$12*2))/12),"")</f>
        <v/>
      </c>
      <c r="DS85" t="str">
        <f t="shared" si="51"/>
        <v/>
      </c>
      <c r="DT85" t="str">
        <f t="shared" si="52"/>
        <v/>
      </c>
      <c r="DU85" t="str">
        <f t="shared" si="53"/>
        <v/>
      </c>
    </row>
    <row r="86" spans="1:125" x14ac:dyDescent="0.25">
      <c r="A86">
        <v>34</v>
      </c>
      <c r="B86" t="s">
        <v>672</v>
      </c>
      <c r="C86" s="15">
        <v>2429</v>
      </c>
      <c r="D86" s="15">
        <v>10000</v>
      </c>
      <c r="E86" t="str">
        <f>IF(B86=Level!$A$2,SD!$C$14,SD!$C$13)</f>
        <v>0-8</v>
      </c>
      <c r="F86" s="15" t="s">
        <v>787</v>
      </c>
      <c r="G86" t="s">
        <v>742</v>
      </c>
      <c r="H86" t="str">
        <f>RIGHT(VLOOKUP(B86,Level!A:C,3,FALSE),LEN(VLOOKUP(B86,Level!A:C,3,FALSE))-1)</f>
        <v>10-7</v>
      </c>
      <c r="I86" t="s">
        <v>743</v>
      </c>
      <c r="J86" t="str">
        <f>IF(AND(SD!$C$19=SD!$H$2,Grade!$G$1="Per level"),VLOOKUP(B86,Grade!$E$1:$F$200,2,FALSE),IF(AND(SD!$C$19=SD!$H$2,Grade!$G$1="Per Bar Size"),VLOOKUP(W86,Grade!$B$1:$C$12,2,0),SD!$C$19))</f>
        <v>A615 Grade 60</v>
      </c>
      <c r="K86" t="s">
        <v>67</v>
      </c>
      <c r="L86" t="str">
        <f>IFERROR(IF(A86&lt;&gt;A87,"",IF(DF86="No Lap","",IF(K87="Lap",U86,IF(K87="Coupler",_xlfn._xlws.FILTER(CCoupler,(CCName=SD!$C$8)*(CBSize=IF(A85=A86,W86&amp;W87,W86&amp;W86))*(CCMFM="Male")),"")))),"N/A")</f>
        <v>5-1</v>
      </c>
      <c r="M86" t="str">
        <f t="shared" si="27"/>
        <v/>
      </c>
      <c r="N86" t="s">
        <v>719</v>
      </c>
      <c r="O86" t="s">
        <v>720</v>
      </c>
      <c r="P86" t="s">
        <v>719</v>
      </c>
      <c r="Q86" t="str">
        <f>IF(AND(SD!$C$29=SD!$P$2,Grade!$O$1="Per level"),VLOOKUP(B86,Grade!$M$1:$N$200,2,FALSE),IF(AND(SD!$C$29=SD!$P$2,Grade!$O$1="Per Bar Size"),VLOOKUP(LEFT(N86,FIND("@",N86)-2),Grade!$J$1:$K$12,2,0),SD!$C$29))</f>
        <v>A615 Grade 60</v>
      </c>
      <c r="R86" t="s">
        <v>742</v>
      </c>
      <c r="S86" s="57">
        <v>86</v>
      </c>
      <c r="U86" t="str">
        <f>IF(Data!$J86="",IFERROR(INDEX(IF(SD!$C$11="Create",Lap!$A$3:$BF$14,IF(SD!$C$11="Per Uploaded File",Lap!$A$19:$BF$30,"")),MATCH(W86,Lap!$A$3:$A$14,0),MATCH(VALUE(D86),Lap!$A$3:$BF$3,0)+IF(IFERROR(FIND("Grade 60",J86),0)&gt;0,0,IF(IFERROR(FIND("Grade 80",J86),0),1,IF(IFERROR(FIND("Grade 75",J86),0),2,"")))),""),Data!J86)</f>
        <v>5-1</v>
      </c>
      <c r="W86" t="s">
        <v>176</v>
      </c>
      <c r="X86">
        <v>6</v>
      </c>
      <c r="Y86" t="str">
        <f t="shared" si="28"/>
        <v>30</v>
      </c>
      <c r="Z86">
        <f t="shared" si="29"/>
        <v>0</v>
      </c>
      <c r="AA86" s="24">
        <f t="shared" si="30"/>
        <v>15.666666666666666</v>
      </c>
      <c r="BB86" t="e" cm="1">
        <f t="array" ref="BB86">_xlfn.LET(_xlpm.PartF,(_xlfn.LET(_xlpm.grade, Q86,_xlpm.gradeRange, IF(_xlpm.grade=SD!$H$3, A615GR60, IF(_xlpm.grade=SD!$H$4, A615GR75, IF(_xlpm.grade=SD!$H$5, A615GR80, IF(_xlpm.grade=SD!$H$6, A615GR100, IF(_xlpm.grade=SD!$H$7, A706GR60, IF(_xlpm.grade=SD!$H$8, A706GR80)))))),_xlpm.matchValue, MATCH(1, (SD!$AW:$AW=AS86)*(SD!$AX:$AX=SD!$C$8), 0),INDEX(_xlpm.gradeRange, _xlpm.matchValue))),IF(AM86="Spiral",CONCATENATE("SP",_xlpm.PartF),_xlpm.PartF))</f>
        <v>#N/A</v>
      </c>
      <c r="BC86" cm="1">
        <f t="array" ref="BC86">_xlfn.LET(_xlpm.leftPart, LEFT(O86, FIND("@", O86) - 2),_xlpm.grade,Q86,_xlpm.gradeRange,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6" cm="1">
        <f t="array" ref="BD86">_xlfn.LET(_xlpm.leftPart, LEFT(P86, FIND("@", P86) - 2),_xlpm.grade, Q86,_xlpm.gradeRange,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6">
        <f t="shared" si="31"/>
        <v>2.5</v>
      </c>
      <c r="BF86">
        <f>IF(SD!$C$32=SD!$I$2,BE86,IF(SD!$C$32=SD!$I$3,DO86,IF(SD!$C$32=SD!$I$5,BA86,IF(SD!$C$32=SD!$I$6,(LEFT(SD!$C$35,FIND("-",SD!$C$35)-1)+RIGHT(SD!$C$35,LEN(SD!$C$35)-FIND("-",SD!$C$35))/12),IF(SD!$C$32=SD!$I$4,(AU86-(BG86+BH86)))))))</f>
        <v>0</v>
      </c>
      <c r="BG86">
        <f>IF(SD!$C$33=SD!$I$2,BE86,IF(SD!$C$33=SD!$I$3,DO86,IF(SD!$C$33=SD!$I$5,BA86,IF(SD!$C$33=SD!$I$6,(LEFT(SD!$C$35,FIND("-",SD!$C$35)-1)+RIGHT(SD!$C$35,LEN(SD!$C$35)-FIND("-",SD!$C$35))/12),IF(SD!$C$33=SD!$I$4,(AU86-(BF86+BH86)))))))</f>
        <v>-1</v>
      </c>
      <c r="BH86">
        <f>IF(SD!$C$34=SD!$I$2,BE86,IF(SD!$C$34=SD!$I$3,DO86,IF(SD!$C$34=SD!$I$5,BA86,IF(SD!$C$34=SD!$I$6,(LEFT(SD!$C$35,FIND("-",SD!$C$35)-1)+RIGHT(SD!$C$35,LEN(SD!$C$35)-FIND("-",SD!$C$35))/12),IF(SD!$C$34=SD!$I$4,(AU86-(BF86+BG86)))))))</f>
        <v>1</v>
      </c>
      <c r="BJ86">
        <f>IF(AM86="Spiral","1",MAX(ROUNDUP(IF(SD!$C$32="",AT86,BF86/(LEFT(RIGHT(N86,LEN(N86)-FIND("@",N86)),LEN(RIGHT(N86,LEN(N86)-FIND("@",N86)))-1)/12)+1),0),0))</f>
        <v>1</v>
      </c>
      <c r="BK86">
        <f>MAX(ROUNDUP(IF(SD!$C$33="","",BG86/(LEFT(RIGHT(O86,LEN(O86)-FIND("@",O86)),LEN(RIGHT(O86,LEN(O86)-FIND("@",O86)))-1)/12)+1),0),0)</f>
        <v>0</v>
      </c>
      <c r="BL86">
        <f>MAX(ROUNDUP(IF(SD!$C$34="","",BH86/(LEFT(RIGHT(P86,LEN(P86)-FIND("@",P86)),LEN(RIGHT(P86,LEN(P86)-FIND("@",P86)))-1)/12)+1),0),0)</f>
        <v>3</v>
      </c>
      <c r="BN86" t="e">
        <f t="shared" si="32"/>
        <v>#N/A</v>
      </c>
      <c r="BO86" t="e">
        <f t="shared" si="33"/>
        <v>#N/A</v>
      </c>
      <c r="BP86" t="e">
        <f t="shared" si="34"/>
        <v>#N/A</v>
      </c>
      <c r="BQ86" s="24" t="e">
        <f>IF(AM86=TRUE,(((Y86-(SD!$E$12*2))*3.14159265359)+BN86+BO86+BP86)/12+AL86,SUM(AF86:AG86,BN86,BO86,BP86,AO86,AQ86)/12)</f>
        <v>#N/A</v>
      </c>
      <c r="BR86" t="e">
        <f t="shared" si="35"/>
        <v>#N/A</v>
      </c>
      <c r="BS86" t="e">
        <f t="shared" si="36"/>
        <v>#N/A</v>
      </c>
      <c r="BT86" t="e">
        <f t="shared" si="37"/>
        <v>#N/A</v>
      </c>
      <c r="BU86" s="24" t="e">
        <f>IF(AM86=TRUE,(((Y86-(SD!$E$12*2))*3.14159265359)+BR86+BS86+BT86)/12+AL86,SUM(AF86:AG86,BR86,BS86,BT86,AO86,AQ86)/12)</f>
        <v>#N/A</v>
      </c>
      <c r="BW86" t="str">
        <f>IFERROR(LEFT(Data!L86,FIND(" -",Data!L86)-1),"")</f>
        <v/>
      </c>
      <c r="BX86" t="str">
        <f>IFERROR(IF(SD!$C$40=SD!$U$2,W86,IF(SD!$C$40=SD!$U$3,RIGHT(Data!L86,LEN(Data!L86)-(FIND("-",Data!L86)+1)),SD!$C$40)),"")</f>
        <v>#10</v>
      </c>
      <c r="BY86" t="str" cm="1">
        <f t="array" ref="BY86">IFERROR(_xlfn.LET(_xlpm.GRR,IF(AND(SD!$C$19=SD!$H$2,Grade!$G$1="Per level"),VLOOKUP(B86,Grade!$E$1:$F$200,2,FALSE),IF(AND(SD!$C$19=SD!$H$2,Grade!$G$1="Per Bar Size"),VLOOKUP(BX86,Grade!$B$1:$C$12,2,0),SD!$C$19)),_xlpm.is_equal, A85=A86,_xlpm.grade_range, IF(_xlpm.GRR=SD!$H$3, A615GR60,IF(_xlpm.GRR=SD!$H$4, A615GR75,IF(_xlpm.GRR=SD!$H$5, A615GR80,IF(_xlpm.GRR=SD!H90, A615GR100,IF(_xlpm.GRR=SD!$H$7, A706GR60,IF(_xlpm.GRR=SD!$H$8, A706GR80)))))),_xlpm.match_result, MATCH(1, (BSize=BX86)*(BCName=SD!$C$8), 0),_xlpm.final_result, INDEX(_xlpm.grade_range, _xlpm.match_result),IF(_xlpm.is_equal, "", _xlpm.final_result)),"")</f>
        <v/>
      </c>
      <c r="BZ86" t="str">
        <f>IF(A85=A86,"",IF(SD!$C$41="Match Vertical Bars ",X86,IF(SD!$C$41=SD!$V$3,BW86,SD!$C$41)))</f>
        <v/>
      </c>
      <c r="CA86" t="str" cm="1">
        <f t="array" ref="CA86">IF(A85=A86,"",IF(SD!$C$44="No T-Head",IF(SD!$C$42=SD!$Q$3,VLOOKUP(BX86,S90Range,3,FALSE),LEFT(SD!$C$42,FIND("-",SD!$C$42)-1)+(RIGHT(SD!$C$42,LEN(SD!$C$42)-FIND("-",SD!$C$42))/12)),IF(SD!$C$44="T-Head",_xlfn._xlws.FILTER(THead,(TCName=SD!$C$8)*(TSize=BX86)),IF(SD!$C$44="Level Wise",_xlfn.LET(_xlpm.result,_xlfn.XLOOKUP(B86,VDLevel,VDLevelStatus,"No"),IF(_xlpm.result="Yes",_xlfn._xlws.FILTER(THead,(TCName=SD!$C$8)*(TSize=BX86)),IF(SD!$C$42=SD!$Q$3,VLOOKUP(BX86,S90Range,3,FALSE),LEFT(SD!$C$42,FIND("-",SD!$C$42)-1)+(RIGHT(SD!$C$42,LEN(SD!$C$42)-FIND("-", SD!$C$42))/12)))),IF(SD!$C$44="BarSize Wise",_xlfn.LET(_xlpm.result,_xlfn.XLOOKUP(BX86,VDBarSize,VDBarSizeStatus,"No"),IF(_xlpm.result="Yes",_xlfn._xlws.FILTER(THead,(TCName=SD!$C$8)*(TSize=BX86)),IF(SD!$C$42=SD!$Q$3,VLOOKUP(BX86,S90Range,3,FALSE),LEFT(SD!$C$42,FIND("-",SD!$C$42)-1)+(RIGHT(SD!$C$42,LEN(SD!$C$42)-FIND("-",SD!$C$42))/12)))), "")))))</f>
        <v/>
      </c>
      <c r="CB86" t="str" cm="1">
        <f t="array" ref="CB86">_xlfn.LET(_xlpm.GRR,IF(AND(SD!$C$19=SD!$H$2,Grade!$G$1="Per level"),VLOOKUP(B86,Grade!$E$1:$F$200,2,FALSE),IF(AND(SD!$C$19=SD!$H$2,Grade!$G$1="Per Bar Size"),VLOOKUP(BX86,Grade!$B$1:$C$12,2,0),SD!$C$19)),_xlpm.is_coupler, K86="Coupler",_xlpm.condition1, SD!$C$43=SD!$W$2,_xlpm.data_j2_empty, Data!$J86="",_xlpm.lookup_table, IF(SD!$C$11="Create", Lap!$A$3:$BF$14, IF(SD!$C$11="Per Uploaded File", Lap!$A$19:$BF$30, "")),_xlpm.row_match, MATCH(BX86, Lap!$A$3:$A$14, 0),_xlpm.grade_offset, IF(IFERROR(FIND("Grade 60",_xlpm.GRR), 0) &gt; 0, 0, IF(IFERROR(FIND("Grade 80",_xlpm.GRR), 0), 1, IF(IFERROR(FIND("Grade 75",_xlpm.GRR), 0), 2, ""))),_xlpm.col_match, MATCH(VALUE(D86), Lap!$A$3:$BF$3, 0) + _xlpm.grade_offset,_xlpm.index_result, IFERROR(INDEX(_xlpm.lookup_table, _xlpm.row_match, _xlpm.col_match), Data!$J86),_xlpm.result_if_condition1, IF(_xlpm.data_j2_empty, _xlpm.index_result, Data!$J86),IF(_xlpm.is_coupler, 0, IF(_xlpm.condition1, _xlpm.result_if_condition1, SD!$C$43)))</f>
        <v>5-1</v>
      </c>
      <c r="CC86" s="24">
        <f t="shared" si="38"/>
        <v>5.083333333333333</v>
      </c>
      <c r="CD86">
        <f t="shared" si="39"/>
        <v>5.75</v>
      </c>
      <c r="CE86" t="str" cm="1">
        <f t="array" ref="CE86">IF(BY86="","",_xlfn._xlws.FILTER(SAC,(CName=SD!$C$8)*(EName="Vert Dowels")))</f>
        <v/>
      </c>
      <c r="CF86" t="str" cm="1">
        <f t="array" ref="CF86">IFERROR(IF(BY86="","",IF(K86="Coupler",_xlfn._xlws.FILTER(CCoupler,(CCName=SD!$C$8)*(CBSize=IF(A85=A86,W85&amp;W86,BX86&amp;W86))*(CCMFM="Male")),"")),"N/A")</f>
        <v/>
      </c>
      <c r="CG86" t="str">
        <f t="shared" si="40"/>
        <v/>
      </c>
      <c r="CH86" t="str">
        <f t="shared" si="41"/>
        <v/>
      </c>
      <c r="CI86" t="str">
        <f>_xlfn.LET(_xlpm.u3_value, U87,_xlpm.hyphen_pos,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K87="Coupler",_xlpm.coupler_value, IF(_xlpm.is_coupler, 0, _xlpm.calculated_value),_xlpm.final_value, _xlpm.calculated_value + SD!$E$13 + _xlpm.coupler_value,IF(CG86="", "", _xlpm.final_value))</f>
        <v/>
      </c>
      <c r="CJ86" t="str" cm="1">
        <f t="array" ref="CJ86">IF(CG86="","",_xlfn._xlws.FILTER(SAC,(CName=SD!$C$8)*(EName="Loose Dowels")))</f>
        <v/>
      </c>
      <c r="CK86" t="str" cm="1">
        <f t="array" ref="CK86">IFERROR(IF(CG86="","",IF(K87="Coupler",_xlfn._xlws.FILTER(CCoupler,(CCName=SD!$C$8)*(CBSize=IF(A86=A87,W86&amp;W87,""))*(CCMFM="Male")),"")),"N/A")</f>
        <v/>
      </c>
      <c r="CL86" t="str">
        <f>IFERROR(IF(AM86="Spiral","",IF(A85=A86,"",IF(SD!$C$37=0,"",SD!$C$37))),"")</f>
        <v/>
      </c>
      <c r="CN86">
        <f>IF(AM86="Spiral","",IFERROR(IF(SD!$C$36=0,"",SD!$C$36),""))</f>
        <v>5</v>
      </c>
      <c r="CP86" t="str">
        <f>IFERROR(IF(SD!$C$42=SD!$Q$3,'Take-off'!CA86,""),"")</f>
        <v/>
      </c>
      <c r="CR86">
        <f>IFERROR(IF(SD!$C$22=SD!$U$2,W86,SD!$C$22),"")</f>
        <v>0</v>
      </c>
      <c r="CS86" t="str" cm="1">
        <f t="array" ref="CS86">_xlfn.LET(_xlpm.GR,IF(AND(SD!$C$19=SD!$H$2,Grade!$G$1="Per level"),VLOOKUP(B86,Grade!$E$1:$F$200,2,FALSE),IF(AND(SD!$C$19=SD!$H$2,Grade!$G$1="Per Bar Size"),VLOOKUP(CR86,Grade!$B$1:$C$12,2,0),SD!$C$19)),IF(SD!$C$20=SD!$R$4,IF(A87=A86,"",INDEX(IF(_xlpm.GR=SD!$H$3,A615GR60,IF(_xlpm.GR=SD!$H$4,A615GR75,IF(_xlpm.GR=SD!$H$5,A615GR80,IF(_xlpm.GR=SD!H90,A615GR100,IF(_xlpm.GR=SD!$H$7,A706GR60,IF(_xlpm.GR=SD!$H$8,A706GR80)))))), MATCH(1, (BSize=CR86)*(BCName=SD!$C$8), 0))),""))</f>
        <v/>
      </c>
      <c r="CT86" t="str">
        <f>IF(A87=A86,"",IF(SD!$C$23="Match Vertical Bars ",X86,SD!$C$23))</f>
        <v/>
      </c>
      <c r="CU86" t="str" cm="1">
        <f t="array" ref="CU86">IF(A87=A86,"",IF(SD!$C$20="Top dowels",IF(SD!$E$25="No T-Head",IF(SD!$C$24=SD!$Q$3,VLOOKUP(CR86,S90Range,3,FALSE),LEFT(SD!$C$24,FIND("-",SD!$C$24)-1)+(RIGHT(SD!$C$24,LEN(SD!$C$24)-FIND("-",SD!$C$24))/12)),IF(SD!$E$25="T-Head",_xlfn._xlws.FILTER(THead,(TCName=SD!$C$8)*(TSize=CR86)),IF(SD!$E$25="Level Wise",_xlfn.LET(_xlpm.result,_xlfn.XLOOKUP(B86,TDLevel,TDLevelStatus,"No"),IF(_xlpm.result="Yes",_xlfn._xlws.FILTER(THead,(TCName=SD!$C$8)*(TSize=CR86)),IF(SD!$C$24=SD!$Q$3,VLOOKUP(CR86,S90Range,3,FALSE),LEFT(SD!$C$24,FIND("-",SD!$C$24)-1)+(RIGHT(SD!$C$24,LEN(SD!$C$24)-FIND("-", SD!$C$24))/12)))),IF(SD!$E$25="BarSize Wise",_xlfn.LET(_xlpm.result,_xlfn.XLOOKUP(CR86,TDBarSize,TDBarSizeStatus,"No"),IF(_xlpm.result="Yes",_xlfn._xlws.FILTER(THead,(TCName=SD!$C$8)*(TSize=CR86)),IF(SD!$C$24=SD!$Q$3,VLOOKUP(CR86,S90Range,3,FALSE),LEFT(SD!$C$24,FIND("-",SD!$C$24)-1)+(RIGHT(SD!$C$24,LEN(SD!$C$24)-FIND("-",SD!$C$24))/12)))), "")))),""))</f>
        <v/>
      </c>
      <c r="CV86" t="str">
        <f>_xlfn.LET(_xlpm.GRR,IF(AND(SD!$C$19=SD!$H$2,Grade!$G$1="Per level"),VLOOKUP(B86,Grade!$E$1:$F$200,2,FALSE),IF(AND(SD!$C$19=SD!$H$2,Grade!$G$1="Per Bar Size"),VLOOKUP(CR86,Grade!$B$1:$C$12,2,0),SD!$C$19)),IF(SD!$C$25=SD!$W$2,IF(Data!$J86="",IFERROR(INDEX(IF(SD!$C$11="Create",Lap!$A$3:$BF$14,IF(SD!$C$11="Per Uploaded File",Lap!$A$19:$BF$30,"")),MATCH(CR86,Lap!$A$3:$A$14,0),MATCH(VALUE(D86),Lap!$A$3:$BF$3,0)+IF(IFERROR(FIND("Grade 60",_xlpm.GRR),0)&gt;0,0,IF(IFERROR(FIND("Grade 80",_xlpm.GRR),0),1,IF(IFERROR(FIND("Grade 75",_xlpm.GRR),0),2,"")))),""),Data!J86),SD!$C$43))</f>
        <v>Match Lap</v>
      </c>
      <c r="CW86">
        <f t="shared" si="42"/>
        <v>0</v>
      </c>
      <c r="CX86">
        <f t="shared" si="43"/>
        <v>0</v>
      </c>
      <c r="CY86" t="str">
        <f t="shared" si="44"/>
        <v/>
      </c>
      <c r="DA86" t="str">
        <f t="shared" si="45"/>
        <v/>
      </c>
      <c r="DB86" t="str">
        <f t="shared" si="46"/>
        <v/>
      </c>
      <c r="DC86" s="24" t="str">
        <f t="shared" si="47"/>
        <v/>
      </c>
      <c r="DD86">
        <f t="shared" si="48"/>
        <v>10.583333333333334</v>
      </c>
      <c r="DE86" t="s">
        <v>785</v>
      </c>
      <c r="DF86" t="s">
        <v>67</v>
      </c>
      <c r="DG86" t="str">
        <f>VLOOKUP(W86,'Level Wise PSI'!$F$2:$G$12,2,FALSE)</f>
        <v>Double Lift</v>
      </c>
      <c r="DI86" t="str" cm="1">
        <f t="array" ref="DI86">_xlfn.LET(_xlpm.Coup,IFERROR(IF(BY86="","",IF(K86="Coupler",_xlfn._xlws.FILTER(CCFCoupler,(CCName=SD!$C$8)*(CBSize=IF(A85=A86,W85&amp;W86,BX86&amp;W86))),"")),"N/A"),IF(_xlpm.Coup=0,"",_xlpm.Coup))</f>
        <v/>
      </c>
      <c r="DJ86" t="str" cm="1">
        <f t="array" ref="DJ86">_xlfn.LET(_xlpm.Coup3,IFERROR(IF(CG86="","",IF(K87="Coupler",_xlfn._xlws.FILTER(CCFCoupler,(CCName=SD!$C$8)*(CBSize=IF(A86=A87,W86&amp;W87,""))),"")),"N/A"),IF(_xlpm.Coup3=0,"",_xlpm.Coup3))</f>
        <v/>
      </c>
      <c r="DK86" t="str" cm="1">
        <f t="array" ref="DK86">_xlfn.LET(_xlpm.Coup2,IFERROR(IF(A86&lt;&gt;A87,"",IF(DF86="No Lap","",IF(K87="Coupler",_xlfn._xlws.FILTER(CCFCoupler,(CCName=SD!$C$8)*(CBSize=IF(A85=A86,W86&amp;W87,W86&amp;W86))),""))),"N/A"),IF(_xlpm.Coup2=0,"",_xlpm.Coup2))</f>
        <v/>
      </c>
      <c r="DM86" t="str">
        <f>IF(AM86="Spiral","",IF(SD!$C$31=SD!$Y$3,SD!$E$32*2,""))</f>
        <v/>
      </c>
      <c r="DO86" s="24">
        <f t="shared" si="49"/>
        <v>2.5</v>
      </c>
      <c r="DQ86" t="str">
        <f t="shared" si="50"/>
        <v>Lig</v>
      </c>
      <c r="DR86" t="str">
        <f>IF(AM86="Spiral",((Y86-(SD!$E$12*2))/12),"")</f>
        <v/>
      </c>
      <c r="DS86" t="str">
        <f t="shared" si="51"/>
        <v/>
      </c>
      <c r="DT86" t="str">
        <f t="shared" si="52"/>
        <v/>
      </c>
      <c r="DU86" t="str">
        <f t="shared" si="53"/>
        <v/>
      </c>
    </row>
    <row r="87" spans="1:125" x14ac:dyDescent="0.25">
      <c r="A87">
        <v>34</v>
      </c>
      <c r="B87" t="s">
        <v>674</v>
      </c>
      <c r="C87" s="15">
        <v>2429</v>
      </c>
      <c r="D87" s="15">
        <v>10000</v>
      </c>
      <c r="E87" t="str">
        <f>IF(B87=Level!$A$2,SD!$C$14,SD!$C$13)</f>
        <v>0-8</v>
      </c>
      <c r="F87" s="15" t="s">
        <v>787</v>
      </c>
      <c r="G87" t="s">
        <v>742</v>
      </c>
      <c r="H87" t="str">
        <f>RIGHT(VLOOKUP(B87,Level!A:C,3,FALSE),LEN(VLOOKUP(B87,Level!A:C,3,FALSE))-1)</f>
        <v>10-7</v>
      </c>
      <c r="I87" t="s">
        <v>743</v>
      </c>
      <c r="J87" t="str">
        <f>IF(AND(SD!$C$19=SD!$H$2,Grade!$G$1="Per level"),VLOOKUP(B87,Grade!$E$1:$F$200,2,FALSE),IF(AND(SD!$C$19=SD!$H$2,Grade!$G$1="Per Bar Size"),VLOOKUP(W87,Grade!$B$1:$C$12,2,0),SD!$C$19))</f>
        <v>A615 Grade 60</v>
      </c>
      <c r="K87" t="s">
        <v>67</v>
      </c>
      <c r="L87" t="str">
        <f>IFERROR(IF(A87&lt;&gt;A88,"",IF(DF87="No Lap","",IF(K88="Lap",U87,IF(K88="Coupler",_xlfn._xlws.FILTER(CCoupler,(CCName=SD!$C$8)*(CBSize=IF(A86=A87,W87&amp;W88,W87&amp;W87))*(CCMFM="Male")),"")))),"N/A")</f>
        <v>5-1</v>
      </c>
      <c r="M87" t="str">
        <f t="shared" si="27"/>
        <v/>
      </c>
      <c r="N87" t="s">
        <v>719</v>
      </c>
      <c r="O87" t="s">
        <v>720</v>
      </c>
      <c r="P87" t="s">
        <v>719</v>
      </c>
      <c r="Q87" t="str">
        <f>IF(AND(SD!$C$29=SD!$P$2,Grade!$O$1="Per level"),VLOOKUP(B87,Grade!$M$1:$N$200,2,FALSE),IF(AND(SD!$C$29=SD!$P$2,Grade!$O$1="Per Bar Size"),VLOOKUP(LEFT(N87,FIND("@",N87)-2),Grade!$J$1:$K$12,2,0),SD!$C$29))</f>
        <v>A615 Grade 60</v>
      </c>
      <c r="R87" t="s">
        <v>742</v>
      </c>
      <c r="S87" s="57">
        <v>87</v>
      </c>
      <c r="U87" t="str">
        <f>IF(Data!$J87="",IFERROR(INDEX(IF(SD!$C$11="Create",Lap!$A$3:$BF$14,IF(SD!$C$11="Per Uploaded File",Lap!$A$19:$BF$30,"")),MATCH(W87,Lap!$A$3:$A$14,0),MATCH(VALUE(D87),Lap!$A$3:$BF$3,0)+IF(IFERROR(FIND("Grade 60",J87),0)&gt;0,0,IF(IFERROR(FIND("Grade 80",J87),0),1,IF(IFERROR(FIND("Grade 75",J87),0),2,"")))),""),Data!J87)</f>
        <v>5-1</v>
      </c>
      <c r="W87" t="s">
        <v>176</v>
      </c>
      <c r="X87">
        <v>6</v>
      </c>
      <c r="Y87" t="str">
        <f t="shared" si="28"/>
        <v>30</v>
      </c>
      <c r="Z87">
        <f t="shared" si="29"/>
        <v>0</v>
      </c>
      <c r="AA87" s="24">
        <f t="shared" si="30"/>
        <v>15.666666666666666</v>
      </c>
      <c r="BB87" t="e" cm="1">
        <f t="array" ref="BB87">_xlfn.LET(_xlpm.PartF,(_xlfn.LET(_xlpm.grade, Q87,_xlpm.gradeRange, IF(_xlpm.grade=SD!$H$3, A615GR60, IF(_xlpm.grade=SD!$H$4, A615GR75, IF(_xlpm.grade=SD!$H$5, A615GR80, IF(_xlpm.grade=SD!$H$6, A615GR100, IF(_xlpm.grade=SD!$H$7, A706GR60, IF(_xlpm.grade=SD!$H$8, A706GR80)))))),_xlpm.matchValue, MATCH(1, (SD!$AW:$AW=AS87)*(SD!$AX:$AX=SD!$C$8), 0),INDEX(_xlpm.gradeRange, _xlpm.matchValue))),IF(AM87="Spiral",CONCATENATE("SP",_xlpm.PartF),_xlpm.PartF))</f>
        <v>#N/A</v>
      </c>
      <c r="BC87" cm="1">
        <f t="array" ref="BC87">_xlfn.LET(_xlpm.leftPart, LEFT(O87, FIND("@", O87) - 2),_xlpm.grade,Q87,_xlpm.gradeRange,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7" cm="1">
        <f t="array" ref="BD87">_xlfn.LET(_xlpm.leftPart, LEFT(P87, FIND("@", P87) - 2),_xlpm.grade, Q87,_xlpm.gradeRange,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7">
        <f t="shared" si="31"/>
        <v>2.5</v>
      </c>
      <c r="BF87">
        <f>IF(SD!$C$32=SD!$I$2,BE87,IF(SD!$C$32=SD!$I$3,DO87,IF(SD!$C$32=SD!$I$5,BA87,IF(SD!$C$32=SD!$I$6,(LEFT(SD!$C$35,FIND("-",SD!$C$35)-1)+RIGHT(SD!$C$35,LEN(SD!$C$35)-FIND("-",SD!$C$35))/12),IF(SD!$C$32=SD!$I$4,(AU87-(BG87+BH87)))))))</f>
        <v>0</v>
      </c>
      <c r="BG87">
        <f>IF(SD!$C$33=SD!$I$2,BE87,IF(SD!$C$33=SD!$I$3,DO87,IF(SD!$C$33=SD!$I$5,BA87,IF(SD!$C$33=SD!$I$6,(LEFT(SD!$C$35,FIND("-",SD!$C$35)-1)+RIGHT(SD!$C$35,LEN(SD!$C$35)-FIND("-",SD!$C$35))/12),IF(SD!$C$33=SD!$I$4,(AU87-(BF87+BH87)))))))</f>
        <v>-1</v>
      </c>
      <c r="BH87">
        <f>IF(SD!$C$34=SD!$I$2,BE87,IF(SD!$C$34=SD!$I$3,DO87,IF(SD!$C$34=SD!$I$5,BA87,IF(SD!$C$34=SD!$I$6,(LEFT(SD!$C$35,FIND("-",SD!$C$35)-1)+RIGHT(SD!$C$35,LEN(SD!$C$35)-FIND("-",SD!$C$35))/12),IF(SD!$C$34=SD!$I$4,(AU87-(BF87+BG87)))))))</f>
        <v>1</v>
      </c>
      <c r="BJ87">
        <f>IF(AM87="Spiral","1",MAX(ROUNDUP(IF(SD!$C$32="",AT87,BF87/(LEFT(RIGHT(N87,LEN(N87)-FIND("@",N87)),LEN(RIGHT(N87,LEN(N87)-FIND("@",N87)))-1)/12)+1),0),0))</f>
        <v>1</v>
      </c>
      <c r="BK87">
        <f>MAX(ROUNDUP(IF(SD!$C$33="","",BG87/(LEFT(RIGHT(O87,LEN(O87)-FIND("@",O87)),LEN(RIGHT(O87,LEN(O87)-FIND("@",O87)))-1)/12)+1),0),0)</f>
        <v>0</v>
      </c>
      <c r="BL87">
        <f>MAX(ROUNDUP(IF(SD!$C$34="","",BH87/(LEFT(RIGHT(P87,LEN(P87)-FIND("@",P87)),LEN(RIGHT(P87,LEN(P87)-FIND("@",P87)))-1)/12)+1),0),0)</f>
        <v>3</v>
      </c>
      <c r="BN87" t="e">
        <f t="shared" si="32"/>
        <v>#N/A</v>
      </c>
      <c r="BO87" t="e">
        <f t="shared" si="33"/>
        <v>#N/A</v>
      </c>
      <c r="BP87" t="e">
        <f t="shared" si="34"/>
        <v>#N/A</v>
      </c>
      <c r="BQ87" s="24" t="e">
        <f>IF(AM87=TRUE,(((Y87-(SD!$E$12*2))*3.14159265359)+BN87+BO87+BP87)/12+AL87,SUM(AF87:AG87,BN87,BO87,BP87,AO87,AQ87)/12)</f>
        <v>#N/A</v>
      </c>
      <c r="BR87" t="e">
        <f t="shared" si="35"/>
        <v>#N/A</v>
      </c>
      <c r="BS87" t="e">
        <f t="shared" si="36"/>
        <v>#N/A</v>
      </c>
      <c r="BT87" t="e">
        <f t="shared" si="37"/>
        <v>#N/A</v>
      </c>
      <c r="BU87" s="24" t="e">
        <f>IF(AM87=TRUE,(((Y87-(SD!$E$12*2))*3.14159265359)+BR87+BS87+BT87)/12+AL87,SUM(AF87:AG87,BR87,BS87,BT87,AO87,AQ87)/12)</f>
        <v>#N/A</v>
      </c>
      <c r="BW87" t="str">
        <f>IFERROR(LEFT(Data!L87,FIND(" -",Data!L87)-1),"")</f>
        <v/>
      </c>
      <c r="BX87" t="str">
        <f>IFERROR(IF(SD!$C$40=SD!$U$2,W87,IF(SD!$C$40=SD!$U$3,RIGHT(Data!L87,LEN(Data!L87)-(FIND("-",Data!L87)+1)),SD!$C$40)),"")</f>
        <v>#10</v>
      </c>
      <c r="BY87" t="str" cm="1">
        <f t="array" ref="BY87">IFERROR(_xlfn.LET(_xlpm.GRR,IF(AND(SD!$C$19=SD!$H$2,Grade!$G$1="Per level"),VLOOKUP(B87,Grade!$E$1:$F$200,2,FALSE),IF(AND(SD!$C$19=SD!$H$2,Grade!$G$1="Per Bar Size"),VLOOKUP(BX87,Grade!$B$1:$C$12,2,0),SD!$C$19)),_xlpm.is_equal, A86=A87,_xlpm.grade_range, IF(_xlpm.GRR=SD!$H$3, A615GR60,IF(_xlpm.GRR=SD!$H$4, A615GR75,IF(_xlpm.GRR=SD!$H$5, A615GR80,IF(_xlpm.GRR=SD!H91, A615GR100,IF(_xlpm.GRR=SD!$H$7, A706GR60,IF(_xlpm.GRR=SD!$H$8, A706GR80)))))),_xlpm.match_result, MATCH(1, (BSize=BX87)*(BCName=SD!$C$8), 0),_xlpm.final_result, INDEX(_xlpm.grade_range, _xlpm.match_result),IF(_xlpm.is_equal, "", _xlpm.final_result)),"")</f>
        <v/>
      </c>
      <c r="BZ87" t="str">
        <f>IF(A86=A87,"",IF(SD!$C$41="Match Vertical Bars ",X87,IF(SD!$C$41=SD!$V$3,BW87,SD!$C$41)))</f>
        <v/>
      </c>
      <c r="CA87" t="str" cm="1">
        <f t="array" ref="CA87">IF(A86=A87,"",IF(SD!$C$44="No T-Head",IF(SD!$C$42=SD!$Q$3,VLOOKUP(BX87,S90Range,3,FALSE),LEFT(SD!$C$42,FIND("-",SD!$C$42)-1)+(RIGHT(SD!$C$42,LEN(SD!$C$42)-FIND("-",SD!$C$42))/12)),IF(SD!$C$44="T-Head",_xlfn._xlws.FILTER(THead,(TCName=SD!$C$8)*(TSize=BX87)),IF(SD!$C$44="Level Wise",_xlfn.LET(_xlpm.result,_xlfn.XLOOKUP(B87,VDLevel,VDLevelStatus,"No"),IF(_xlpm.result="Yes",_xlfn._xlws.FILTER(THead,(TCName=SD!$C$8)*(TSize=BX87)),IF(SD!$C$42=SD!$Q$3,VLOOKUP(BX87,S90Range,3,FALSE),LEFT(SD!$C$42,FIND("-",SD!$C$42)-1)+(RIGHT(SD!$C$42,LEN(SD!$C$42)-FIND("-", SD!$C$42))/12)))),IF(SD!$C$44="BarSize Wise",_xlfn.LET(_xlpm.result,_xlfn.XLOOKUP(BX87,VDBarSize,VDBarSizeStatus,"No"),IF(_xlpm.result="Yes",_xlfn._xlws.FILTER(THead,(TCName=SD!$C$8)*(TSize=BX87)),IF(SD!$C$42=SD!$Q$3,VLOOKUP(BX87,S90Range,3,FALSE),LEFT(SD!$C$42,FIND("-",SD!$C$42)-1)+(RIGHT(SD!$C$42,LEN(SD!$C$42)-FIND("-",SD!$C$42))/12)))), "")))))</f>
        <v/>
      </c>
      <c r="CB87" t="str" cm="1">
        <f t="array" ref="CB87">_xlfn.LET(_xlpm.GRR,IF(AND(SD!$C$19=SD!$H$2,Grade!$G$1="Per level"),VLOOKUP(B87,Grade!$E$1:$F$200,2,FALSE),IF(AND(SD!$C$19=SD!$H$2,Grade!$G$1="Per Bar Size"),VLOOKUP(BX87,Grade!$B$1:$C$12,2,0),SD!$C$19)),_xlpm.is_coupler, K87="Coupler",_xlpm.condition1, SD!$C$43=SD!$W$2,_xlpm.data_j2_empty, Data!$J87="",_xlpm.lookup_table, IF(SD!$C$11="Create", Lap!$A$3:$BF$14, IF(SD!$C$11="Per Uploaded File", Lap!$A$19:$BF$30, "")),_xlpm.row_match, MATCH(BX87, Lap!$A$3:$A$14, 0),_xlpm.grade_offset, IF(IFERROR(FIND("Grade 60",_xlpm.GRR), 0) &gt; 0, 0, IF(IFERROR(FIND("Grade 80",_xlpm.GRR), 0), 1, IF(IFERROR(FIND("Grade 75",_xlpm.GRR), 0), 2, ""))),_xlpm.col_match, MATCH(VALUE(D87), Lap!$A$3:$BF$3, 0) + _xlpm.grade_offset,_xlpm.index_result, IFERROR(INDEX(_xlpm.lookup_table, _xlpm.row_match, _xlpm.col_match), Data!$J87),_xlpm.result_if_condition1, IF(_xlpm.data_j2_empty, _xlpm.index_result, Data!$J87),IF(_xlpm.is_coupler, 0, IF(_xlpm.condition1, _xlpm.result_if_condition1, SD!$C$43)))</f>
        <v>5-1</v>
      </c>
      <c r="CC87" s="24">
        <f t="shared" si="38"/>
        <v>5.083333333333333</v>
      </c>
      <c r="CD87">
        <f t="shared" si="39"/>
        <v>5.75</v>
      </c>
      <c r="CE87" t="str" cm="1">
        <f t="array" ref="CE87">IF(BY87="","",_xlfn._xlws.FILTER(SAC,(CName=SD!$C$8)*(EName="Vert Dowels")))</f>
        <v/>
      </c>
      <c r="CF87" t="str" cm="1">
        <f t="array" ref="CF87">IFERROR(IF(BY87="","",IF(K87="Coupler",_xlfn._xlws.FILTER(CCoupler,(CCName=SD!$C$8)*(CBSize=IF(A86=A87,W86&amp;W87,BX87&amp;W87))*(CCMFM="Male")),"")),"N/A")</f>
        <v/>
      </c>
      <c r="CG87" t="str">
        <f t="shared" si="40"/>
        <v/>
      </c>
      <c r="CH87" t="str">
        <f t="shared" si="41"/>
        <v/>
      </c>
      <c r="CI87" t="str">
        <f>_xlfn.LET(_xlpm.u3_value, U88,_xlpm.hyphen_pos,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K88="Coupler",_xlpm.coupler_value, IF(_xlpm.is_coupler, 0, _xlpm.calculated_value),_xlpm.final_value, _xlpm.calculated_value + SD!$E$13 + _xlpm.coupler_value,IF(CG87="", "", _xlpm.final_value))</f>
        <v/>
      </c>
      <c r="CJ87" t="str" cm="1">
        <f t="array" ref="CJ87">IF(CG87="","",_xlfn._xlws.FILTER(SAC,(CName=SD!$C$8)*(EName="Loose Dowels")))</f>
        <v/>
      </c>
      <c r="CK87" t="str" cm="1">
        <f t="array" ref="CK87">IFERROR(IF(CG87="","",IF(K88="Coupler",_xlfn._xlws.FILTER(CCoupler,(CCName=SD!$C$8)*(CBSize=IF(A87=A88,W87&amp;W88,""))*(CCMFM="Male")),"")),"N/A")</f>
        <v/>
      </c>
      <c r="CL87" t="str">
        <f>IFERROR(IF(AM87="Spiral","",IF(A86=A87,"",IF(SD!$C$37=0,"",SD!$C$37))),"")</f>
        <v/>
      </c>
      <c r="CN87">
        <f>IF(AM87="Spiral","",IFERROR(IF(SD!$C$36=0,"",SD!$C$36),""))</f>
        <v>5</v>
      </c>
      <c r="CP87" t="str">
        <f>IFERROR(IF(SD!$C$42=SD!$Q$3,'Take-off'!CA87,""),"")</f>
        <v/>
      </c>
      <c r="CR87">
        <f>IFERROR(IF(SD!$C$22=SD!$U$2,W87,SD!$C$22),"")</f>
        <v>0</v>
      </c>
      <c r="CS87" t="str" cm="1">
        <f t="array" ref="CS87">_xlfn.LET(_xlpm.GR,IF(AND(SD!$C$19=SD!$H$2,Grade!$G$1="Per level"),VLOOKUP(B87,Grade!$E$1:$F$200,2,FALSE),IF(AND(SD!$C$19=SD!$H$2,Grade!$G$1="Per Bar Size"),VLOOKUP(CR87,Grade!$B$1:$C$12,2,0),SD!$C$19)),IF(SD!$C$20=SD!$R$4,IF(A88=A87,"",INDEX(IF(_xlpm.GR=SD!$H$3,A615GR60,IF(_xlpm.GR=SD!$H$4,A615GR75,IF(_xlpm.GR=SD!$H$5,A615GR80,IF(_xlpm.GR=SD!H91,A615GR100,IF(_xlpm.GR=SD!$H$7,A706GR60,IF(_xlpm.GR=SD!$H$8,A706GR80)))))), MATCH(1, (BSize=CR87)*(BCName=SD!$C$8), 0))),""))</f>
        <v/>
      </c>
      <c r="CT87" t="str">
        <f>IF(A88=A87,"",IF(SD!$C$23="Match Vertical Bars ",X87,SD!$C$23))</f>
        <v/>
      </c>
      <c r="CU87" t="str" cm="1">
        <f t="array" ref="CU87">IF(A88=A87,"",IF(SD!$C$20="Top dowels",IF(SD!$E$25="No T-Head",IF(SD!$C$24=SD!$Q$3,VLOOKUP(CR87,S90Range,3,FALSE),LEFT(SD!$C$24,FIND("-",SD!$C$24)-1)+(RIGHT(SD!$C$24,LEN(SD!$C$24)-FIND("-",SD!$C$24))/12)),IF(SD!$E$25="T-Head",_xlfn._xlws.FILTER(THead,(TCName=SD!$C$8)*(TSize=CR87)),IF(SD!$E$25="Level Wise",_xlfn.LET(_xlpm.result,_xlfn.XLOOKUP(B87,TDLevel,TDLevelStatus,"No"),IF(_xlpm.result="Yes",_xlfn._xlws.FILTER(THead,(TCName=SD!$C$8)*(TSize=CR87)),IF(SD!$C$24=SD!$Q$3,VLOOKUP(CR87,S90Range,3,FALSE),LEFT(SD!$C$24,FIND("-",SD!$C$24)-1)+(RIGHT(SD!$C$24,LEN(SD!$C$24)-FIND("-", SD!$C$24))/12)))),IF(SD!$E$25="BarSize Wise",_xlfn.LET(_xlpm.result,_xlfn.XLOOKUP(CR87,TDBarSize,TDBarSizeStatus,"No"),IF(_xlpm.result="Yes",_xlfn._xlws.FILTER(THead,(TCName=SD!$C$8)*(TSize=CR87)),IF(SD!$C$24=SD!$Q$3,VLOOKUP(CR87,S90Range,3,FALSE),LEFT(SD!$C$24,FIND("-",SD!$C$24)-1)+(RIGHT(SD!$C$24,LEN(SD!$C$24)-FIND("-",SD!$C$24))/12)))), "")))),""))</f>
        <v/>
      </c>
      <c r="CV87" t="str">
        <f>_xlfn.LET(_xlpm.GRR,IF(AND(SD!$C$19=SD!$H$2,Grade!$G$1="Per level"),VLOOKUP(B87,Grade!$E$1:$F$200,2,FALSE),IF(AND(SD!$C$19=SD!$H$2,Grade!$G$1="Per Bar Size"),VLOOKUP(CR87,Grade!$B$1:$C$12,2,0),SD!$C$19)),IF(SD!$C$25=SD!$W$2,IF(Data!$J87="",IFERROR(INDEX(IF(SD!$C$11="Create",Lap!$A$3:$BF$14,IF(SD!$C$11="Per Uploaded File",Lap!$A$19:$BF$30,"")),MATCH(CR87,Lap!$A$3:$A$14,0),MATCH(VALUE(D87),Lap!$A$3:$BF$3,0)+IF(IFERROR(FIND("Grade 60",_xlpm.GRR),0)&gt;0,0,IF(IFERROR(FIND("Grade 80",_xlpm.GRR),0),1,IF(IFERROR(FIND("Grade 75",_xlpm.GRR),0),2,"")))),""),Data!J87),SD!$C$43))</f>
        <v>Match Lap</v>
      </c>
      <c r="CW87">
        <f t="shared" si="42"/>
        <v>0</v>
      </c>
      <c r="CX87">
        <f t="shared" si="43"/>
        <v>0</v>
      </c>
      <c r="CY87" t="str">
        <f t="shared" si="44"/>
        <v/>
      </c>
      <c r="DA87" t="str">
        <f t="shared" si="45"/>
        <v/>
      </c>
      <c r="DB87" t="str">
        <f t="shared" si="46"/>
        <v/>
      </c>
      <c r="DC87" s="24" t="str">
        <f t="shared" si="47"/>
        <v/>
      </c>
      <c r="DD87">
        <f t="shared" si="48"/>
        <v>10.583333333333334</v>
      </c>
      <c r="DE87" t="s">
        <v>785</v>
      </c>
      <c r="DF87" t="s">
        <v>67</v>
      </c>
      <c r="DG87" t="str">
        <f>VLOOKUP(W87,'Level Wise PSI'!$F$2:$G$12,2,FALSE)</f>
        <v>Double Lift</v>
      </c>
      <c r="DI87" t="str" cm="1">
        <f t="array" ref="DI87">_xlfn.LET(_xlpm.Coup,IFERROR(IF(BY87="","",IF(K87="Coupler",_xlfn._xlws.FILTER(CCFCoupler,(CCName=SD!$C$8)*(CBSize=IF(A86=A87,W86&amp;W87,BX87&amp;W87))),"")),"N/A"),IF(_xlpm.Coup=0,"",_xlpm.Coup))</f>
        <v/>
      </c>
      <c r="DJ87" t="str" cm="1">
        <f t="array" ref="DJ87">_xlfn.LET(_xlpm.Coup3,IFERROR(IF(CG87="","",IF(K88="Coupler",_xlfn._xlws.FILTER(CCFCoupler,(CCName=SD!$C$8)*(CBSize=IF(A87=A88,W87&amp;W88,""))),"")),"N/A"),IF(_xlpm.Coup3=0,"",_xlpm.Coup3))</f>
        <v/>
      </c>
      <c r="DK87" t="str" cm="1">
        <f t="array" ref="DK87">_xlfn.LET(_xlpm.Coup2,IFERROR(IF(A87&lt;&gt;A88,"",IF(DF87="No Lap","",IF(K88="Coupler",_xlfn._xlws.FILTER(CCFCoupler,(CCName=SD!$C$8)*(CBSize=IF(A86=A87,W87&amp;W88,W87&amp;W87))),""))),"N/A"),IF(_xlpm.Coup2=0,"",_xlpm.Coup2))</f>
        <v/>
      </c>
      <c r="DM87" t="str">
        <f>IF(AM87="Spiral","",IF(SD!$C$31=SD!$Y$3,SD!$E$32*2,""))</f>
        <v/>
      </c>
      <c r="DO87" s="24">
        <f t="shared" si="49"/>
        <v>2.5</v>
      </c>
      <c r="DQ87" t="str">
        <f t="shared" si="50"/>
        <v>Lig</v>
      </c>
      <c r="DR87" t="str">
        <f>IF(AM87="Spiral",((Y87-(SD!$E$12*2))/12),"")</f>
        <v/>
      </c>
      <c r="DS87" t="str">
        <f t="shared" si="51"/>
        <v/>
      </c>
      <c r="DT87" t="str">
        <f t="shared" si="52"/>
        <v/>
      </c>
      <c r="DU87" t="str">
        <f t="shared" si="53"/>
        <v/>
      </c>
    </row>
    <row r="88" spans="1:125" x14ac:dyDescent="0.25">
      <c r="A88">
        <v>34</v>
      </c>
      <c r="B88" t="s">
        <v>676</v>
      </c>
      <c r="C88" s="15">
        <v>2429</v>
      </c>
      <c r="D88" s="15">
        <v>10000</v>
      </c>
      <c r="E88" t="str">
        <f>IF(B88=Level!$A$2,SD!$C$14,SD!$C$13)</f>
        <v>0-8</v>
      </c>
      <c r="F88" s="15" t="s">
        <v>787</v>
      </c>
      <c r="G88" t="s">
        <v>742</v>
      </c>
      <c r="H88" t="str">
        <f>RIGHT(VLOOKUP(B88,Level!A:C,3,FALSE),LEN(VLOOKUP(B88,Level!A:C,3,FALSE))-1)</f>
        <v>10-7</v>
      </c>
      <c r="I88" t="s">
        <v>743</v>
      </c>
      <c r="J88" t="str">
        <f>IF(AND(SD!$C$19=SD!$H$2,Grade!$G$1="Per level"),VLOOKUP(B88,Grade!$E$1:$F$200,2,FALSE),IF(AND(SD!$C$19=SD!$H$2,Grade!$G$1="Per Bar Size"),VLOOKUP(W88,Grade!$B$1:$C$12,2,0),SD!$C$19))</f>
        <v>A615 Grade 60</v>
      </c>
      <c r="K88" t="s">
        <v>67</v>
      </c>
      <c r="L88" t="str">
        <f>IFERROR(IF(A88&lt;&gt;A89,"",IF(DF88="No Lap","",IF(K89="Lap",U88,IF(K89="Coupler",_xlfn._xlws.FILTER(CCoupler,(CCName=SD!$C$8)*(CBSize=IF(A87=A88,W88&amp;W89,W88&amp;W88))*(CCMFM="Male")),"")))),"N/A")</f>
        <v>5-1</v>
      </c>
      <c r="M88" t="str">
        <f t="shared" si="27"/>
        <v/>
      </c>
      <c r="N88" t="s">
        <v>719</v>
      </c>
      <c r="O88" t="s">
        <v>720</v>
      </c>
      <c r="P88" t="s">
        <v>719</v>
      </c>
      <c r="Q88" t="str">
        <f>IF(AND(SD!$C$29=SD!$P$2,Grade!$O$1="Per level"),VLOOKUP(B88,Grade!$M$1:$N$200,2,FALSE),IF(AND(SD!$C$29=SD!$P$2,Grade!$O$1="Per Bar Size"),VLOOKUP(LEFT(N88,FIND("@",N88)-2),Grade!$J$1:$K$12,2,0),SD!$C$29))</f>
        <v>A615 Grade 60</v>
      </c>
      <c r="R88" t="s">
        <v>742</v>
      </c>
      <c r="S88" s="57">
        <v>88</v>
      </c>
      <c r="U88" t="str">
        <f>IF(Data!$J88="",IFERROR(INDEX(IF(SD!$C$11="Create",Lap!$A$3:$BF$14,IF(SD!$C$11="Per Uploaded File",Lap!$A$19:$BF$30,"")),MATCH(W88,Lap!$A$3:$A$14,0),MATCH(VALUE(D88),Lap!$A$3:$BF$3,0)+IF(IFERROR(FIND("Grade 60",J88),0)&gt;0,0,IF(IFERROR(FIND("Grade 80",J88),0),1,IF(IFERROR(FIND("Grade 75",J88),0),2,"")))),""),Data!J88)</f>
        <v>5-1</v>
      </c>
      <c r="W88" t="s">
        <v>176</v>
      </c>
      <c r="X88">
        <v>6</v>
      </c>
      <c r="Y88" t="str">
        <f t="shared" si="28"/>
        <v>30</v>
      </c>
      <c r="Z88">
        <f t="shared" si="29"/>
        <v>0</v>
      </c>
      <c r="AA88" s="24">
        <f t="shared" si="30"/>
        <v>15.666666666666666</v>
      </c>
      <c r="BB88" t="e" cm="1">
        <f t="array" ref="BB88">_xlfn.LET(_xlpm.PartF,(_xlfn.LET(_xlpm.grade, Q88,_xlpm.gradeRange, IF(_xlpm.grade=SD!$H$3, A615GR60, IF(_xlpm.grade=SD!$H$4, A615GR75, IF(_xlpm.grade=SD!$H$5, A615GR80, IF(_xlpm.grade=SD!$H$6, A615GR100, IF(_xlpm.grade=SD!$H$7, A706GR60, IF(_xlpm.grade=SD!$H$8, A706GR80)))))),_xlpm.matchValue, MATCH(1, (SD!$AW:$AW=AS88)*(SD!$AX:$AX=SD!$C$8), 0),INDEX(_xlpm.gradeRange, _xlpm.matchValue))),IF(AM88="Spiral",CONCATENATE("SP",_xlpm.PartF),_xlpm.PartF))</f>
        <v>#N/A</v>
      </c>
      <c r="BC88" cm="1">
        <f t="array" ref="BC88">_xlfn.LET(_xlpm.leftPart, LEFT(O88, FIND("@", O88) - 2),_xlpm.grade,Q88,_xlpm.gradeRange,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8" cm="1">
        <f t="array" ref="BD88">_xlfn.LET(_xlpm.leftPart, LEFT(P88, FIND("@", P88) - 2),_xlpm.grade, Q88,_xlpm.gradeRange,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8">
        <f t="shared" si="31"/>
        <v>2.5</v>
      </c>
      <c r="BF88">
        <f>IF(SD!$C$32=SD!$I$2,BE88,IF(SD!$C$32=SD!$I$3,DO88,IF(SD!$C$32=SD!$I$5,BA88,IF(SD!$C$32=SD!$I$6,(LEFT(SD!$C$35,FIND("-",SD!$C$35)-1)+RIGHT(SD!$C$35,LEN(SD!$C$35)-FIND("-",SD!$C$35))/12),IF(SD!$C$32=SD!$I$4,(AU88-(BG88+BH88)))))))</f>
        <v>0</v>
      </c>
      <c r="BG88">
        <f>IF(SD!$C$33=SD!$I$2,BE88,IF(SD!$C$33=SD!$I$3,DO88,IF(SD!$C$33=SD!$I$5,BA88,IF(SD!$C$33=SD!$I$6,(LEFT(SD!$C$35,FIND("-",SD!$C$35)-1)+RIGHT(SD!$C$35,LEN(SD!$C$35)-FIND("-",SD!$C$35))/12),IF(SD!$C$33=SD!$I$4,(AU88-(BF88+BH88)))))))</f>
        <v>-1</v>
      </c>
      <c r="BH88">
        <f>IF(SD!$C$34=SD!$I$2,BE88,IF(SD!$C$34=SD!$I$3,DO88,IF(SD!$C$34=SD!$I$5,BA88,IF(SD!$C$34=SD!$I$6,(LEFT(SD!$C$35,FIND("-",SD!$C$35)-1)+RIGHT(SD!$C$35,LEN(SD!$C$35)-FIND("-",SD!$C$35))/12),IF(SD!$C$34=SD!$I$4,(AU88-(BF88+BG88)))))))</f>
        <v>1</v>
      </c>
      <c r="BJ88">
        <f>IF(AM88="Spiral","1",MAX(ROUNDUP(IF(SD!$C$32="",AT88,BF88/(LEFT(RIGHT(N88,LEN(N88)-FIND("@",N88)),LEN(RIGHT(N88,LEN(N88)-FIND("@",N88)))-1)/12)+1),0),0))</f>
        <v>1</v>
      </c>
      <c r="BK88">
        <f>MAX(ROUNDUP(IF(SD!$C$33="","",BG88/(LEFT(RIGHT(O88,LEN(O88)-FIND("@",O88)),LEN(RIGHT(O88,LEN(O88)-FIND("@",O88)))-1)/12)+1),0),0)</f>
        <v>0</v>
      </c>
      <c r="BL88">
        <f>MAX(ROUNDUP(IF(SD!$C$34="","",BH88/(LEFT(RIGHT(P88,LEN(P88)-FIND("@",P88)),LEN(RIGHT(P88,LEN(P88)-FIND("@",P88)))-1)/12)+1),0),0)</f>
        <v>3</v>
      </c>
      <c r="BN88" t="e">
        <f t="shared" si="32"/>
        <v>#N/A</v>
      </c>
      <c r="BO88" t="e">
        <f t="shared" si="33"/>
        <v>#N/A</v>
      </c>
      <c r="BP88" t="e">
        <f t="shared" si="34"/>
        <v>#N/A</v>
      </c>
      <c r="BQ88" s="24" t="e">
        <f>IF(AM88=TRUE,(((Y88-(SD!$E$12*2))*3.14159265359)+BN88+BO88+BP88)/12+AL88,SUM(AF88:AG88,BN88,BO88,BP88,AO88,AQ88)/12)</f>
        <v>#N/A</v>
      </c>
      <c r="BR88" t="e">
        <f t="shared" si="35"/>
        <v>#N/A</v>
      </c>
      <c r="BS88" t="e">
        <f t="shared" si="36"/>
        <v>#N/A</v>
      </c>
      <c r="BT88" t="e">
        <f t="shared" si="37"/>
        <v>#N/A</v>
      </c>
      <c r="BU88" s="24" t="e">
        <f>IF(AM88=TRUE,(((Y88-(SD!$E$12*2))*3.14159265359)+BR88+BS88+BT88)/12+AL88,SUM(AF88:AG88,BR88,BS88,BT88,AO88,AQ88)/12)</f>
        <v>#N/A</v>
      </c>
      <c r="BW88" t="str">
        <f>IFERROR(LEFT(Data!L88,FIND(" -",Data!L88)-1),"")</f>
        <v/>
      </c>
      <c r="BX88" t="str">
        <f>IFERROR(IF(SD!$C$40=SD!$U$2,W88,IF(SD!$C$40=SD!$U$3,RIGHT(Data!L88,LEN(Data!L88)-(FIND("-",Data!L88)+1)),SD!$C$40)),"")</f>
        <v>#10</v>
      </c>
      <c r="BY88" t="str" cm="1">
        <f t="array" ref="BY88">IFERROR(_xlfn.LET(_xlpm.GRR,IF(AND(SD!$C$19=SD!$H$2,Grade!$G$1="Per level"),VLOOKUP(B88,Grade!$E$1:$F$200,2,FALSE),IF(AND(SD!$C$19=SD!$H$2,Grade!$G$1="Per Bar Size"),VLOOKUP(BX88,Grade!$B$1:$C$12,2,0),SD!$C$19)),_xlpm.is_equal, A87=A88,_xlpm.grade_range, IF(_xlpm.GRR=SD!$H$3, A615GR60,IF(_xlpm.GRR=SD!$H$4, A615GR75,IF(_xlpm.GRR=SD!$H$5, A615GR80,IF(_xlpm.GRR=SD!H92, A615GR100,IF(_xlpm.GRR=SD!$H$7, A706GR60,IF(_xlpm.GRR=SD!$H$8, A706GR80)))))),_xlpm.match_result, MATCH(1, (BSize=BX88)*(BCName=SD!$C$8), 0),_xlpm.final_result, INDEX(_xlpm.grade_range, _xlpm.match_result),IF(_xlpm.is_equal, "", _xlpm.final_result)),"")</f>
        <v/>
      </c>
      <c r="BZ88" t="str">
        <f>IF(A87=A88,"",IF(SD!$C$41="Match Vertical Bars ",X88,IF(SD!$C$41=SD!$V$3,BW88,SD!$C$41)))</f>
        <v/>
      </c>
      <c r="CA88" t="str" cm="1">
        <f t="array" ref="CA88">IF(A87=A88,"",IF(SD!$C$44="No T-Head",IF(SD!$C$42=SD!$Q$3,VLOOKUP(BX88,S90Range,3,FALSE),LEFT(SD!$C$42,FIND("-",SD!$C$42)-1)+(RIGHT(SD!$C$42,LEN(SD!$C$42)-FIND("-",SD!$C$42))/12)),IF(SD!$C$44="T-Head",_xlfn._xlws.FILTER(THead,(TCName=SD!$C$8)*(TSize=BX88)),IF(SD!$C$44="Level Wise",_xlfn.LET(_xlpm.result,_xlfn.XLOOKUP(B88,VDLevel,VDLevelStatus,"No"),IF(_xlpm.result="Yes",_xlfn._xlws.FILTER(THead,(TCName=SD!$C$8)*(TSize=BX88)),IF(SD!$C$42=SD!$Q$3,VLOOKUP(BX88,S90Range,3,FALSE),LEFT(SD!$C$42,FIND("-",SD!$C$42)-1)+(RIGHT(SD!$C$42,LEN(SD!$C$42)-FIND("-", SD!$C$42))/12)))),IF(SD!$C$44="BarSize Wise",_xlfn.LET(_xlpm.result,_xlfn.XLOOKUP(BX88,VDBarSize,VDBarSizeStatus,"No"),IF(_xlpm.result="Yes",_xlfn._xlws.FILTER(THead,(TCName=SD!$C$8)*(TSize=BX88)),IF(SD!$C$42=SD!$Q$3,VLOOKUP(BX88,S90Range,3,FALSE),LEFT(SD!$C$42,FIND("-",SD!$C$42)-1)+(RIGHT(SD!$C$42,LEN(SD!$C$42)-FIND("-",SD!$C$42))/12)))), "")))))</f>
        <v/>
      </c>
      <c r="CB88" t="str" cm="1">
        <f t="array" ref="CB88">_xlfn.LET(_xlpm.GRR,IF(AND(SD!$C$19=SD!$H$2,Grade!$G$1="Per level"),VLOOKUP(B88,Grade!$E$1:$F$200,2,FALSE),IF(AND(SD!$C$19=SD!$H$2,Grade!$G$1="Per Bar Size"),VLOOKUP(BX88,Grade!$B$1:$C$12,2,0),SD!$C$19)),_xlpm.is_coupler, K88="Coupler",_xlpm.condition1, SD!$C$43=SD!$W$2,_xlpm.data_j2_empty, Data!$J88="",_xlpm.lookup_table, IF(SD!$C$11="Create", Lap!$A$3:$BF$14, IF(SD!$C$11="Per Uploaded File", Lap!$A$19:$BF$30, "")),_xlpm.row_match, MATCH(BX88, Lap!$A$3:$A$14, 0),_xlpm.grade_offset, IF(IFERROR(FIND("Grade 60",_xlpm.GRR), 0) &gt; 0, 0, IF(IFERROR(FIND("Grade 80",_xlpm.GRR), 0), 1, IF(IFERROR(FIND("Grade 75",_xlpm.GRR), 0), 2, ""))),_xlpm.col_match, MATCH(VALUE(D88), Lap!$A$3:$BF$3, 0) + _xlpm.grade_offset,_xlpm.index_result, IFERROR(INDEX(_xlpm.lookup_table, _xlpm.row_match, _xlpm.col_match), Data!$J88),_xlpm.result_if_condition1, IF(_xlpm.data_j2_empty, _xlpm.index_result, Data!$J88),IF(_xlpm.is_coupler, 0, IF(_xlpm.condition1, _xlpm.result_if_condition1, SD!$C$43)))</f>
        <v>5-1</v>
      </c>
      <c r="CC88" s="24">
        <f t="shared" si="38"/>
        <v>5.083333333333333</v>
      </c>
      <c r="CD88">
        <f t="shared" si="39"/>
        <v>5.75</v>
      </c>
      <c r="CE88" t="str" cm="1">
        <f t="array" ref="CE88">IF(BY88="","",_xlfn._xlws.FILTER(SAC,(CName=SD!$C$8)*(EName="Vert Dowels")))</f>
        <v/>
      </c>
      <c r="CF88" t="str" cm="1">
        <f t="array" ref="CF88">IFERROR(IF(BY88="","",IF(K88="Coupler",_xlfn._xlws.FILTER(CCoupler,(CCName=SD!$C$8)*(CBSize=IF(A87=A88,W87&amp;W88,BX88&amp;W88))*(CCMFM="Male")),"")),"N/A")</f>
        <v/>
      </c>
      <c r="CG88" t="str">
        <f t="shared" si="40"/>
        <v/>
      </c>
      <c r="CH88" t="str">
        <f t="shared" si="41"/>
        <v/>
      </c>
      <c r="CI88" t="str">
        <f>_xlfn.LET(_xlpm.u3_value, U89,_xlpm.hyphen_pos,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K89="Coupler",_xlpm.coupler_value, IF(_xlpm.is_coupler, 0, _xlpm.calculated_value),_xlpm.final_value, _xlpm.calculated_value + SD!$E$13 + _xlpm.coupler_value,IF(CG88="", "", _xlpm.final_value))</f>
        <v/>
      </c>
      <c r="CJ88" t="str" cm="1">
        <f t="array" ref="CJ88">IF(CG88="","",_xlfn._xlws.FILTER(SAC,(CName=SD!$C$8)*(EName="Loose Dowels")))</f>
        <v/>
      </c>
      <c r="CK88" t="str" cm="1">
        <f t="array" ref="CK88">IFERROR(IF(CG88="","",IF(K89="Coupler",_xlfn._xlws.FILTER(CCoupler,(CCName=SD!$C$8)*(CBSize=IF(A88=A89,W88&amp;W89,""))*(CCMFM="Male")),"")),"N/A")</f>
        <v/>
      </c>
      <c r="CL88" t="str">
        <f>IFERROR(IF(AM88="Spiral","",IF(A87=A88,"",IF(SD!$C$37=0,"",SD!$C$37))),"")</f>
        <v/>
      </c>
      <c r="CN88">
        <f>IF(AM88="Spiral","",IFERROR(IF(SD!$C$36=0,"",SD!$C$36),""))</f>
        <v>5</v>
      </c>
      <c r="CP88" t="str">
        <f>IFERROR(IF(SD!$C$42=SD!$Q$3,'Take-off'!CA88,""),"")</f>
        <v/>
      </c>
      <c r="CR88">
        <f>IFERROR(IF(SD!$C$22=SD!$U$2,W88,SD!$C$22),"")</f>
        <v>0</v>
      </c>
      <c r="CS88" t="str" cm="1">
        <f t="array" ref="CS88">_xlfn.LET(_xlpm.GR,IF(AND(SD!$C$19=SD!$H$2,Grade!$G$1="Per level"),VLOOKUP(B88,Grade!$E$1:$F$200,2,FALSE),IF(AND(SD!$C$19=SD!$H$2,Grade!$G$1="Per Bar Size"),VLOOKUP(CR88,Grade!$B$1:$C$12,2,0),SD!$C$19)),IF(SD!$C$20=SD!$R$4,IF(A89=A88,"",INDEX(IF(_xlpm.GR=SD!$H$3,A615GR60,IF(_xlpm.GR=SD!$H$4,A615GR75,IF(_xlpm.GR=SD!$H$5,A615GR80,IF(_xlpm.GR=SD!H92,A615GR100,IF(_xlpm.GR=SD!$H$7,A706GR60,IF(_xlpm.GR=SD!$H$8,A706GR80)))))), MATCH(1, (BSize=CR88)*(BCName=SD!$C$8), 0))),""))</f>
        <v/>
      </c>
      <c r="CT88" t="str">
        <f>IF(A89=A88,"",IF(SD!$C$23="Match Vertical Bars ",X88,SD!$C$23))</f>
        <v/>
      </c>
      <c r="CU88" t="str" cm="1">
        <f t="array" ref="CU88">IF(A89=A88,"",IF(SD!$C$20="Top dowels",IF(SD!$E$25="No T-Head",IF(SD!$C$24=SD!$Q$3,VLOOKUP(CR88,S90Range,3,FALSE),LEFT(SD!$C$24,FIND("-",SD!$C$24)-1)+(RIGHT(SD!$C$24,LEN(SD!$C$24)-FIND("-",SD!$C$24))/12)),IF(SD!$E$25="T-Head",_xlfn._xlws.FILTER(THead,(TCName=SD!$C$8)*(TSize=CR88)),IF(SD!$E$25="Level Wise",_xlfn.LET(_xlpm.result,_xlfn.XLOOKUP(B88,TDLevel,TDLevelStatus,"No"),IF(_xlpm.result="Yes",_xlfn._xlws.FILTER(THead,(TCName=SD!$C$8)*(TSize=CR88)),IF(SD!$C$24=SD!$Q$3,VLOOKUP(CR88,S90Range,3,FALSE),LEFT(SD!$C$24,FIND("-",SD!$C$24)-1)+(RIGHT(SD!$C$24,LEN(SD!$C$24)-FIND("-", SD!$C$24))/12)))),IF(SD!$E$25="BarSize Wise",_xlfn.LET(_xlpm.result,_xlfn.XLOOKUP(CR88,TDBarSize,TDBarSizeStatus,"No"),IF(_xlpm.result="Yes",_xlfn._xlws.FILTER(THead,(TCName=SD!$C$8)*(TSize=CR88)),IF(SD!$C$24=SD!$Q$3,VLOOKUP(CR88,S90Range,3,FALSE),LEFT(SD!$C$24,FIND("-",SD!$C$24)-1)+(RIGHT(SD!$C$24,LEN(SD!$C$24)-FIND("-",SD!$C$24))/12)))), "")))),""))</f>
        <v/>
      </c>
      <c r="CV88" t="str">
        <f>_xlfn.LET(_xlpm.GRR,IF(AND(SD!$C$19=SD!$H$2,Grade!$G$1="Per level"),VLOOKUP(B88,Grade!$E$1:$F$200,2,FALSE),IF(AND(SD!$C$19=SD!$H$2,Grade!$G$1="Per Bar Size"),VLOOKUP(CR88,Grade!$B$1:$C$12,2,0),SD!$C$19)),IF(SD!$C$25=SD!$W$2,IF(Data!$J88="",IFERROR(INDEX(IF(SD!$C$11="Create",Lap!$A$3:$BF$14,IF(SD!$C$11="Per Uploaded File",Lap!$A$19:$BF$30,"")),MATCH(CR88,Lap!$A$3:$A$14,0),MATCH(VALUE(D88),Lap!$A$3:$BF$3,0)+IF(IFERROR(FIND("Grade 60",_xlpm.GRR),0)&gt;0,0,IF(IFERROR(FIND("Grade 80",_xlpm.GRR),0),1,IF(IFERROR(FIND("Grade 75",_xlpm.GRR),0),2,"")))),""),Data!J88),SD!$C$43))</f>
        <v>Match Lap</v>
      </c>
      <c r="CW88">
        <f t="shared" si="42"/>
        <v>0</v>
      </c>
      <c r="CX88">
        <f t="shared" si="43"/>
        <v>0</v>
      </c>
      <c r="CY88" t="str">
        <f t="shared" si="44"/>
        <v/>
      </c>
      <c r="DA88" t="str">
        <f t="shared" si="45"/>
        <v/>
      </c>
      <c r="DB88" t="str">
        <f t="shared" si="46"/>
        <v/>
      </c>
      <c r="DC88" s="24" t="str">
        <f t="shared" si="47"/>
        <v/>
      </c>
      <c r="DD88">
        <f t="shared" si="48"/>
        <v>10.583333333333334</v>
      </c>
      <c r="DE88" t="s">
        <v>785</v>
      </c>
      <c r="DF88" t="s">
        <v>67</v>
      </c>
      <c r="DG88" t="str">
        <f>VLOOKUP(W88,'Level Wise PSI'!$F$2:$G$12,2,FALSE)</f>
        <v>Double Lift</v>
      </c>
      <c r="DI88" t="str" cm="1">
        <f t="array" ref="DI88">_xlfn.LET(_xlpm.Coup,IFERROR(IF(BY88="","",IF(K88="Coupler",_xlfn._xlws.FILTER(CCFCoupler,(CCName=SD!$C$8)*(CBSize=IF(A87=A88,W87&amp;W88,BX88&amp;W88))),"")),"N/A"),IF(_xlpm.Coup=0,"",_xlpm.Coup))</f>
        <v/>
      </c>
      <c r="DJ88" t="str" cm="1">
        <f t="array" ref="DJ88">_xlfn.LET(_xlpm.Coup3,IFERROR(IF(CG88="","",IF(K89="Coupler",_xlfn._xlws.FILTER(CCFCoupler,(CCName=SD!$C$8)*(CBSize=IF(A88=A89,W88&amp;W89,""))),"")),"N/A"),IF(_xlpm.Coup3=0,"",_xlpm.Coup3))</f>
        <v/>
      </c>
      <c r="DK88" t="str" cm="1">
        <f t="array" ref="DK88">_xlfn.LET(_xlpm.Coup2,IFERROR(IF(A88&lt;&gt;A89,"",IF(DF88="No Lap","",IF(K89="Coupler",_xlfn._xlws.FILTER(CCFCoupler,(CCName=SD!$C$8)*(CBSize=IF(A87=A88,W88&amp;W89,W88&amp;W88))),""))),"N/A"),IF(_xlpm.Coup2=0,"",_xlpm.Coup2))</f>
        <v/>
      </c>
      <c r="DM88" t="str">
        <f>IF(AM88="Spiral","",IF(SD!$C$31=SD!$Y$3,SD!$E$32*2,""))</f>
        <v/>
      </c>
      <c r="DO88" s="24">
        <f t="shared" si="49"/>
        <v>2.5</v>
      </c>
      <c r="DQ88" t="str">
        <f t="shared" si="50"/>
        <v>Lig</v>
      </c>
      <c r="DR88" t="str">
        <f>IF(AM88="Spiral",((Y88-(SD!$E$12*2))/12),"")</f>
        <v/>
      </c>
      <c r="DS88" t="str">
        <f t="shared" si="51"/>
        <v/>
      </c>
      <c r="DT88" t="str">
        <f t="shared" si="52"/>
        <v/>
      </c>
      <c r="DU88" t="str">
        <f t="shared" si="53"/>
        <v/>
      </c>
    </row>
    <row r="89" spans="1:125" x14ac:dyDescent="0.25">
      <c r="A89">
        <v>34</v>
      </c>
      <c r="B89" t="s">
        <v>678</v>
      </c>
      <c r="C89" s="15">
        <v>2429</v>
      </c>
      <c r="D89" s="15">
        <v>10000</v>
      </c>
      <c r="E89" t="str">
        <f>IF(B89=Level!$A$2,SD!$C$14,SD!$C$13)</f>
        <v>0-8</v>
      </c>
      <c r="F89" s="15" t="s">
        <v>787</v>
      </c>
      <c r="G89" t="s">
        <v>742</v>
      </c>
      <c r="H89" t="str">
        <f>RIGHT(VLOOKUP(B89,Level!A:C,3,FALSE),LEN(VLOOKUP(B89,Level!A:C,3,FALSE))-1)</f>
        <v>10-7</v>
      </c>
      <c r="I89" t="s">
        <v>743</v>
      </c>
      <c r="J89" t="str">
        <f>IF(AND(SD!$C$19=SD!$H$2,Grade!$G$1="Per level"),VLOOKUP(B89,Grade!$E$1:$F$200,2,FALSE),IF(AND(SD!$C$19=SD!$H$2,Grade!$G$1="Per Bar Size"),VLOOKUP(W89,Grade!$B$1:$C$12,2,0),SD!$C$19))</f>
        <v>A615 Grade 60</v>
      </c>
      <c r="K89" t="s">
        <v>67</v>
      </c>
      <c r="L89" t="str">
        <f>IFERROR(IF(A89&lt;&gt;A90,"",IF(DF89="No Lap","",IF(K90="Lap",U89,IF(K90="Coupler",_xlfn._xlws.FILTER(CCoupler,(CCName=SD!$C$8)*(CBSize=IF(A88=A89,W89&amp;W90,W89&amp;W89))*(CCMFM="Male")),"")))),"N/A")</f>
        <v>5-1</v>
      </c>
      <c r="M89" t="str">
        <f t="shared" si="27"/>
        <v/>
      </c>
      <c r="N89" t="s">
        <v>719</v>
      </c>
      <c r="O89" t="s">
        <v>720</v>
      </c>
      <c r="P89" t="s">
        <v>719</v>
      </c>
      <c r="Q89" t="str">
        <f>IF(AND(SD!$C$29=SD!$P$2,Grade!$O$1="Per level"),VLOOKUP(B89,Grade!$M$1:$N$200,2,FALSE),IF(AND(SD!$C$29=SD!$P$2,Grade!$O$1="Per Bar Size"),VLOOKUP(LEFT(N89,FIND("@",N89)-2),Grade!$J$1:$K$12,2,0),SD!$C$29))</f>
        <v>A615 Grade 60</v>
      </c>
      <c r="R89" t="s">
        <v>742</v>
      </c>
      <c r="S89" s="57">
        <v>89</v>
      </c>
      <c r="U89" t="str">
        <f>IF(Data!$J89="",IFERROR(INDEX(IF(SD!$C$11="Create",Lap!$A$3:$BF$14,IF(SD!$C$11="Per Uploaded File",Lap!$A$19:$BF$30,"")),MATCH(W89,Lap!$A$3:$A$14,0),MATCH(VALUE(D89),Lap!$A$3:$BF$3,0)+IF(IFERROR(FIND("Grade 60",J89),0)&gt;0,0,IF(IFERROR(FIND("Grade 80",J89),0),1,IF(IFERROR(FIND("Grade 75",J89),0),2,"")))),""),Data!J89)</f>
        <v>5-1</v>
      </c>
      <c r="W89" t="s">
        <v>176</v>
      </c>
      <c r="X89">
        <v>6</v>
      </c>
      <c r="Y89" t="str">
        <f t="shared" si="28"/>
        <v>30</v>
      </c>
      <c r="Z89">
        <f t="shared" si="29"/>
        <v>0</v>
      </c>
      <c r="AA89" s="24">
        <f t="shared" si="30"/>
        <v>15.666666666666666</v>
      </c>
      <c r="BB89" t="e" cm="1">
        <f t="array" ref="BB89">_xlfn.LET(_xlpm.PartF,(_xlfn.LET(_xlpm.grade, Q89,_xlpm.gradeRange, IF(_xlpm.grade=SD!$H$3, A615GR60, IF(_xlpm.grade=SD!$H$4, A615GR75, IF(_xlpm.grade=SD!$H$5, A615GR80, IF(_xlpm.grade=SD!$H$6, A615GR100, IF(_xlpm.grade=SD!$H$7, A706GR60, IF(_xlpm.grade=SD!$H$8, A706GR80)))))),_xlpm.matchValue, MATCH(1, (SD!$AW:$AW=AS89)*(SD!$AX:$AX=SD!$C$8), 0),INDEX(_xlpm.gradeRange, _xlpm.matchValue))),IF(AM89="Spiral",CONCATENATE("SP",_xlpm.PartF),_xlpm.PartF))</f>
        <v>#N/A</v>
      </c>
      <c r="BC89" cm="1">
        <f t="array" ref="BC89">_xlfn.LET(_xlpm.leftPart, LEFT(O89, FIND("@", O89) - 2),_xlpm.grade,Q89,_xlpm.gradeRange,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89" cm="1">
        <f t="array" ref="BD89">_xlfn.LET(_xlpm.leftPart, LEFT(P89, FIND("@", P89) - 2),_xlpm.grade, Q89,_xlpm.gradeRange,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89">
        <f t="shared" si="31"/>
        <v>2.5</v>
      </c>
      <c r="BF89">
        <f>IF(SD!$C$32=SD!$I$2,BE89,IF(SD!$C$32=SD!$I$3,DO89,IF(SD!$C$32=SD!$I$5,BA89,IF(SD!$C$32=SD!$I$6,(LEFT(SD!$C$35,FIND("-",SD!$C$35)-1)+RIGHT(SD!$C$35,LEN(SD!$C$35)-FIND("-",SD!$C$35))/12),IF(SD!$C$32=SD!$I$4,(AU89-(BG89+BH89)))))))</f>
        <v>0</v>
      </c>
      <c r="BG89">
        <f>IF(SD!$C$33=SD!$I$2,BE89,IF(SD!$C$33=SD!$I$3,DO89,IF(SD!$C$33=SD!$I$5,BA89,IF(SD!$C$33=SD!$I$6,(LEFT(SD!$C$35,FIND("-",SD!$C$35)-1)+RIGHT(SD!$C$35,LEN(SD!$C$35)-FIND("-",SD!$C$35))/12),IF(SD!$C$33=SD!$I$4,(AU89-(BF89+BH89)))))))</f>
        <v>-1</v>
      </c>
      <c r="BH89">
        <f>IF(SD!$C$34=SD!$I$2,BE89,IF(SD!$C$34=SD!$I$3,DO89,IF(SD!$C$34=SD!$I$5,BA89,IF(SD!$C$34=SD!$I$6,(LEFT(SD!$C$35,FIND("-",SD!$C$35)-1)+RIGHT(SD!$C$35,LEN(SD!$C$35)-FIND("-",SD!$C$35))/12),IF(SD!$C$34=SD!$I$4,(AU89-(BF89+BG89)))))))</f>
        <v>1</v>
      </c>
      <c r="BJ89">
        <f>IF(AM89="Spiral","1",MAX(ROUNDUP(IF(SD!$C$32="",AT89,BF89/(LEFT(RIGHT(N89,LEN(N89)-FIND("@",N89)),LEN(RIGHT(N89,LEN(N89)-FIND("@",N89)))-1)/12)+1),0),0))</f>
        <v>1</v>
      </c>
      <c r="BK89">
        <f>MAX(ROUNDUP(IF(SD!$C$33="","",BG89/(LEFT(RIGHT(O89,LEN(O89)-FIND("@",O89)),LEN(RIGHT(O89,LEN(O89)-FIND("@",O89)))-1)/12)+1),0),0)</f>
        <v>0</v>
      </c>
      <c r="BL89">
        <f>MAX(ROUNDUP(IF(SD!$C$34="","",BH89/(LEFT(RIGHT(P89,LEN(P89)-FIND("@",P89)),LEN(RIGHT(P89,LEN(P89)-FIND("@",P89)))-1)/12)+1),0),0)</f>
        <v>3</v>
      </c>
      <c r="BN89" t="e">
        <f t="shared" si="32"/>
        <v>#N/A</v>
      </c>
      <c r="BO89" t="e">
        <f t="shared" si="33"/>
        <v>#N/A</v>
      </c>
      <c r="BP89" t="e">
        <f t="shared" si="34"/>
        <v>#N/A</v>
      </c>
      <c r="BQ89" s="24" t="e">
        <f>IF(AM89=TRUE,(((Y89-(SD!$E$12*2))*3.14159265359)+BN89+BO89+BP89)/12+AL89,SUM(AF89:AG89,BN89,BO89,BP89,AO89,AQ89)/12)</f>
        <v>#N/A</v>
      </c>
      <c r="BR89" t="e">
        <f t="shared" si="35"/>
        <v>#N/A</v>
      </c>
      <c r="BS89" t="e">
        <f t="shared" si="36"/>
        <v>#N/A</v>
      </c>
      <c r="BT89" t="e">
        <f t="shared" si="37"/>
        <v>#N/A</v>
      </c>
      <c r="BU89" s="24" t="e">
        <f>IF(AM89=TRUE,(((Y89-(SD!$E$12*2))*3.14159265359)+BR89+BS89+BT89)/12+AL89,SUM(AF89:AG89,BR89,BS89,BT89,AO89,AQ89)/12)</f>
        <v>#N/A</v>
      </c>
      <c r="BW89" t="str">
        <f>IFERROR(LEFT(Data!L89,FIND(" -",Data!L89)-1),"")</f>
        <v/>
      </c>
      <c r="BX89" t="str">
        <f>IFERROR(IF(SD!$C$40=SD!$U$2,W89,IF(SD!$C$40=SD!$U$3,RIGHT(Data!L89,LEN(Data!L89)-(FIND("-",Data!L89)+1)),SD!$C$40)),"")</f>
        <v>#10</v>
      </c>
      <c r="BY89" t="str" cm="1">
        <f t="array" ref="BY89">IFERROR(_xlfn.LET(_xlpm.GRR,IF(AND(SD!$C$19=SD!$H$2,Grade!$G$1="Per level"),VLOOKUP(B89,Grade!$E$1:$F$200,2,FALSE),IF(AND(SD!$C$19=SD!$H$2,Grade!$G$1="Per Bar Size"),VLOOKUP(BX89,Grade!$B$1:$C$12,2,0),SD!$C$19)),_xlpm.is_equal, A88=A89,_xlpm.grade_range, IF(_xlpm.GRR=SD!$H$3, A615GR60,IF(_xlpm.GRR=SD!$H$4, A615GR75,IF(_xlpm.GRR=SD!$H$5, A615GR80,IF(_xlpm.GRR=SD!H93, A615GR100,IF(_xlpm.GRR=SD!$H$7, A706GR60,IF(_xlpm.GRR=SD!$H$8, A706GR80)))))),_xlpm.match_result, MATCH(1, (BSize=BX89)*(BCName=SD!$C$8), 0),_xlpm.final_result, INDEX(_xlpm.grade_range, _xlpm.match_result),IF(_xlpm.is_equal, "", _xlpm.final_result)),"")</f>
        <v/>
      </c>
      <c r="BZ89" t="str">
        <f>IF(A88=A89,"",IF(SD!$C$41="Match Vertical Bars ",X89,IF(SD!$C$41=SD!$V$3,BW89,SD!$C$41)))</f>
        <v/>
      </c>
      <c r="CA89" t="str" cm="1">
        <f t="array" ref="CA89">IF(A88=A89,"",IF(SD!$C$44="No T-Head",IF(SD!$C$42=SD!$Q$3,VLOOKUP(BX89,S90Range,3,FALSE),LEFT(SD!$C$42,FIND("-",SD!$C$42)-1)+(RIGHT(SD!$C$42,LEN(SD!$C$42)-FIND("-",SD!$C$42))/12)),IF(SD!$C$44="T-Head",_xlfn._xlws.FILTER(THead,(TCName=SD!$C$8)*(TSize=BX89)),IF(SD!$C$44="Level Wise",_xlfn.LET(_xlpm.result,_xlfn.XLOOKUP(B89,VDLevel,VDLevelStatus,"No"),IF(_xlpm.result="Yes",_xlfn._xlws.FILTER(THead,(TCName=SD!$C$8)*(TSize=BX89)),IF(SD!$C$42=SD!$Q$3,VLOOKUP(BX89,S90Range,3,FALSE),LEFT(SD!$C$42,FIND("-",SD!$C$42)-1)+(RIGHT(SD!$C$42,LEN(SD!$C$42)-FIND("-", SD!$C$42))/12)))),IF(SD!$C$44="BarSize Wise",_xlfn.LET(_xlpm.result,_xlfn.XLOOKUP(BX89,VDBarSize,VDBarSizeStatus,"No"),IF(_xlpm.result="Yes",_xlfn._xlws.FILTER(THead,(TCName=SD!$C$8)*(TSize=BX89)),IF(SD!$C$42=SD!$Q$3,VLOOKUP(BX89,S90Range,3,FALSE),LEFT(SD!$C$42,FIND("-",SD!$C$42)-1)+(RIGHT(SD!$C$42,LEN(SD!$C$42)-FIND("-",SD!$C$42))/12)))), "")))))</f>
        <v/>
      </c>
      <c r="CB89" t="str" cm="1">
        <f t="array" ref="CB89">_xlfn.LET(_xlpm.GRR,IF(AND(SD!$C$19=SD!$H$2,Grade!$G$1="Per level"),VLOOKUP(B89,Grade!$E$1:$F$200,2,FALSE),IF(AND(SD!$C$19=SD!$H$2,Grade!$G$1="Per Bar Size"),VLOOKUP(BX89,Grade!$B$1:$C$12,2,0),SD!$C$19)),_xlpm.is_coupler, K89="Coupler",_xlpm.condition1, SD!$C$43=SD!$W$2,_xlpm.data_j2_empty, Data!$J89="",_xlpm.lookup_table, IF(SD!$C$11="Create", Lap!$A$3:$BF$14, IF(SD!$C$11="Per Uploaded File", Lap!$A$19:$BF$30, "")),_xlpm.row_match, MATCH(BX89, Lap!$A$3:$A$14, 0),_xlpm.grade_offset, IF(IFERROR(FIND("Grade 60",_xlpm.GRR), 0) &gt; 0, 0, IF(IFERROR(FIND("Grade 80",_xlpm.GRR), 0), 1, IF(IFERROR(FIND("Grade 75",_xlpm.GRR), 0), 2, ""))),_xlpm.col_match, MATCH(VALUE(D89), Lap!$A$3:$BF$3, 0) + _xlpm.grade_offset,_xlpm.index_result, IFERROR(INDEX(_xlpm.lookup_table, _xlpm.row_match, _xlpm.col_match), Data!$J89),_xlpm.result_if_condition1, IF(_xlpm.data_j2_empty, _xlpm.index_result, Data!$J89),IF(_xlpm.is_coupler, 0, IF(_xlpm.condition1, _xlpm.result_if_condition1, SD!$C$43)))</f>
        <v>5-1</v>
      </c>
      <c r="CC89" s="24">
        <f t="shared" si="38"/>
        <v>5.083333333333333</v>
      </c>
      <c r="CD89">
        <f t="shared" si="39"/>
        <v>5.75</v>
      </c>
      <c r="CE89" t="str" cm="1">
        <f t="array" ref="CE89">IF(BY89="","",_xlfn._xlws.FILTER(SAC,(CName=SD!$C$8)*(EName="Vert Dowels")))</f>
        <v/>
      </c>
      <c r="CF89" t="str" cm="1">
        <f t="array" ref="CF89">IFERROR(IF(BY89="","",IF(K89="Coupler",_xlfn._xlws.FILTER(CCoupler,(CCName=SD!$C$8)*(CBSize=IF(A88=A89,W88&amp;W89,BX89&amp;W89))*(CCMFM="Male")),"")),"N/A")</f>
        <v/>
      </c>
      <c r="CG89" t="str">
        <f t="shared" si="40"/>
        <v/>
      </c>
      <c r="CH89" t="str">
        <f t="shared" si="41"/>
        <v/>
      </c>
      <c r="CI89" t="str">
        <f>_xlfn.LET(_xlpm.u3_value, U90,_xlpm.hyphen_pos,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K90="Coupler",_xlpm.coupler_value, IF(_xlpm.is_coupler, 0, _xlpm.calculated_value),_xlpm.final_value, _xlpm.calculated_value + SD!$E$13 + _xlpm.coupler_value,IF(CG89="", "", _xlpm.final_value))</f>
        <v/>
      </c>
      <c r="CJ89" t="str" cm="1">
        <f t="array" ref="CJ89">IF(CG89="","",_xlfn._xlws.FILTER(SAC,(CName=SD!$C$8)*(EName="Loose Dowels")))</f>
        <v/>
      </c>
      <c r="CK89" t="str" cm="1">
        <f t="array" ref="CK89">IFERROR(IF(CG89="","",IF(K90="Coupler",_xlfn._xlws.FILTER(CCoupler,(CCName=SD!$C$8)*(CBSize=IF(A89=A90,W89&amp;W90,""))*(CCMFM="Male")),"")),"N/A")</f>
        <v/>
      </c>
      <c r="CL89" t="str">
        <f>IFERROR(IF(AM89="Spiral","",IF(A88=A89,"",IF(SD!$C$37=0,"",SD!$C$37))),"")</f>
        <v/>
      </c>
      <c r="CN89">
        <f>IF(AM89="Spiral","",IFERROR(IF(SD!$C$36=0,"",SD!$C$36),""))</f>
        <v>5</v>
      </c>
      <c r="CP89" t="str">
        <f>IFERROR(IF(SD!$C$42=SD!$Q$3,'Take-off'!CA89,""),"")</f>
        <v/>
      </c>
      <c r="CR89">
        <f>IFERROR(IF(SD!$C$22=SD!$U$2,W89,SD!$C$22),"")</f>
        <v>0</v>
      </c>
      <c r="CS89" t="str" cm="1">
        <f t="array" ref="CS89">_xlfn.LET(_xlpm.GR,IF(AND(SD!$C$19=SD!$H$2,Grade!$G$1="Per level"),VLOOKUP(B89,Grade!$E$1:$F$200,2,FALSE),IF(AND(SD!$C$19=SD!$H$2,Grade!$G$1="Per Bar Size"),VLOOKUP(CR89,Grade!$B$1:$C$12,2,0),SD!$C$19)),IF(SD!$C$20=SD!$R$4,IF(A90=A89,"",INDEX(IF(_xlpm.GR=SD!$H$3,A615GR60,IF(_xlpm.GR=SD!$H$4,A615GR75,IF(_xlpm.GR=SD!$H$5,A615GR80,IF(_xlpm.GR=SD!H93,A615GR100,IF(_xlpm.GR=SD!$H$7,A706GR60,IF(_xlpm.GR=SD!$H$8,A706GR80)))))), MATCH(1, (BSize=CR89)*(BCName=SD!$C$8), 0))),""))</f>
        <v/>
      </c>
      <c r="CT89" t="str">
        <f>IF(A90=A89,"",IF(SD!$C$23="Match Vertical Bars ",X89,SD!$C$23))</f>
        <v/>
      </c>
      <c r="CU89" t="str" cm="1">
        <f t="array" ref="CU89">IF(A90=A89,"",IF(SD!$C$20="Top dowels",IF(SD!$E$25="No T-Head",IF(SD!$C$24=SD!$Q$3,VLOOKUP(CR89,S90Range,3,FALSE),LEFT(SD!$C$24,FIND("-",SD!$C$24)-1)+(RIGHT(SD!$C$24,LEN(SD!$C$24)-FIND("-",SD!$C$24))/12)),IF(SD!$E$25="T-Head",_xlfn._xlws.FILTER(THead,(TCName=SD!$C$8)*(TSize=CR89)),IF(SD!$E$25="Level Wise",_xlfn.LET(_xlpm.result,_xlfn.XLOOKUP(B89,TDLevel,TDLevelStatus,"No"),IF(_xlpm.result="Yes",_xlfn._xlws.FILTER(THead,(TCName=SD!$C$8)*(TSize=CR89)),IF(SD!$C$24=SD!$Q$3,VLOOKUP(CR89,S90Range,3,FALSE),LEFT(SD!$C$24,FIND("-",SD!$C$24)-1)+(RIGHT(SD!$C$24,LEN(SD!$C$24)-FIND("-", SD!$C$24))/12)))),IF(SD!$E$25="BarSize Wise",_xlfn.LET(_xlpm.result,_xlfn.XLOOKUP(CR89,TDBarSize,TDBarSizeStatus,"No"),IF(_xlpm.result="Yes",_xlfn._xlws.FILTER(THead,(TCName=SD!$C$8)*(TSize=CR89)),IF(SD!$C$24=SD!$Q$3,VLOOKUP(CR89,S90Range,3,FALSE),LEFT(SD!$C$24,FIND("-",SD!$C$24)-1)+(RIGHT(SD!$C$24,LEN(SD!$C$24)-FIND("-",SD!$C$24))/12)))), "")))),""))</f>
        <v/>
      </c>
      <c r="CV89" t="str">
        <f>_xlfn.LET(_xlpm.GRR,IF(AND(SD!$C$19=SD!$H$2,Grade!$G$1="Per level"),VLOOKUP(B89,Grade!$E$1:$F$200,2,FALSE),IF(AND(SD!$C$19=SD!$H$2,Grade!$G$1="Per Bar Size"),VLOOKUP(CR89,Grade!$B$1:$C$12,2,0),SD!$C$19)),IF(SD!$C$25=SD!$W$2,IF(Data!$J89="",IFERROR(INDEX(IF(SD!$C$11="Create",Lap!$A$3:$BF$14,IF(SD!$C$11="Per Uploaded File",Lap!$A$19:$BF$30,"")),MATCH(CR89,Lap!$A$3:$A$14,0),MATCH(VALUE(D89),Lap!$A$3:$BF$3,0)+IF(IFERROR(FIND("Grade 60",_xlpm.GRR),0)&gt;0,0,IF(IFERROR(FIND("Grade 80",_xlpm.GRR),0),1,IF(IFERROR(FIND("Grade 75",_xlpm.GRR),0),2,"")))),""),Data!J89),SD!$C$43))</f>
        <v>Match Lap</v>
      </c>
      <c r="CW89">
        <f t="shared" si="42"/>
        <v>0</v>
      </c>
      <c r="CX89">
        <f t="shared" si="43"/>
        <v>0</v>
      </c>
      <c r="CY89" t="str">
        <f t="shared" si="44"/>
        <v/>
      </c>
      <c r="DA89" t="str">
        <f t="shared" si="45"/>
        <v/>
      </c>
      <c r="DB89" t="str">
        <f t="shared" si="46"/>
        <v/>
      </c>
      <c r="DC89" s="24" t="str">
        <f t="shared" si="47"/>
        <v/>
      </c>
      <c r="DD89">
        <f t="shared" si="48"/>
        <v>10.583333333333334</v>
      </c>
      <c r="DE89" t="s">
        <v>785</v>
      </c>
      <c r="DF89" t="s">
        <v>67</v>
      </c>
      <c r="DG89" t="str">
        <f>VLOOKUP(W89,'Level Wise PSI'!$F$2:$G$12,2,FALSE)</f>
        <v>Double Lift</v>
      </c>
      <c r="DI89" t="str" cm="1">
        <f t="array" ref="DI89">_xlfn.LET(_xlpm.Coup,IFERROR(IF(BY89="","",IF(K89="Coupler",_xlfn._xlws.FILTER(CCFCoupler,(CCName=SD!$C$8)*(CBSize=IF(A88=A89,W88&amp;W89,BX89&amp;W89))),"")),"N/A"),IF(_xlpm.Coup=0,"",_xlpm.Coup))</f>
        <v/>
      </c>
      <c r="DJ89" t="str" cm="1">
        <f t="array" ref="DJ89">_xlfn.LET(_xlpm.Coup3,IFERROR(IF(CG89="","",IF(K90="Coupler",_xlfn._xlws.FILTER(CCFCoupler,(CCName=SD!$C$8)*(CBSize=IF(A89=A90,W89&amp;W90,""))),"")),"N/A"),IF(_xlpm.Coup3=0,"",_xlpm.Coup3))</f>
        <v/>
      </c>
      <c r="DK89" t="str" cm="1">
        <f t="array" ref="DK89">_xlfn.LET(_xlpm.Coup2,IFERROR(IF(A89&lt;&gt;A90,"",IF(DF89="No Lap","",IF(K90="Coupler",_xlfn._xlws.FILTER(CCFCoupler,(CCName=SD!$C$8)*(CBSize=IF(A88=A89,W89&amp;W90,W89&amp;W89))),""))),"N/A"),IF(_xlpm.Coup2=0,"",_xlpm.Coup2))</f>
        <v/>
      </c>
      <c r="DM89" t="str">
        <f>IF(AM89="Spiral","",IF(SD!$C$31=SD!$Y$3,SD!$E$32*2,""))</f>
        <v/>
      </c>
      <c r="DO89" s="24">
        <f t="shared" si="49"/>
        <v>2.5</v>
      </c>
      <c r="DQ89" t="str">
        <f t="shared" si="50"/>
        <v>Lig</v>
      </c>
      <c r="DR89" t="str">
        <f>IF(AM89="Spiral",((Y89-(SD!$E$12*2))/12),"")</f>
        <v/>
      </c>
      <c r="DS89" t="str">
        <f t="shared" si="51"/>
        <v/>
      </c>
      <c r="DT89" t="str">
        <f t="shared" si="52"/>
        <v/>
      </c>
      <c r="DU89" t="str">
        <f t="shared" si="53"/>
        <v/>
      </c>
    </row>
    <row r="90" spans="1:125" x14ac:dyDescent="0.25">
      <c r="A90">
        <v>34</v>
      </c>
      <c r="B90" t="s">
        <v>680</v>
      </c>
      <c r="C90" s="15">
        <v>2429</v>
      </c>
      <c r="D90" s="15">
        <v>10000</v>
      </c>
      <c r="E90" t="str">
        <f>IF(B90=Level!$A$2,SD!$C$14,SD!$C$13)</f>
        <v>0-8</v>
      </c>
      <c r="F90" s="15" t="s">
        <v>787</v>
      </c>
      <c r="G90" t="s">
        <v>742</v>
      </c>
      <c r="H90" t="str">
        <f>RIGHT(VLOOKUP(B90,Level!A:C,3,FALSE),LEN(VLOOKUP(B90,Level!A:C,3,FALSE))-1)</f>
        <v>10-7</v>
      </c>
      <c r="I90" t="s">
        <v>743</v>
      </c>
      <c r="J90" t="str">
        <f>IF(AND(SD!$C$19=SD!$H$2,Grade!$G$1="Per level"),VLOOKUP(B90,Grade!$E$1:$F$200,2,FALSE),IF(AND(SD!$C$19=SD!$H$2,Grade!$G$1="Per Bar Size"),VLOOKUP(W90,Grade!$B$1:$C$12,2,0),SD!$C$19))</f>
        <v>A615 Grade 60</v>
      </c>
      <c r="K90" t="s">
        <v>67</v>
      </c>
      <c r="L90" t="str">
        <f>IFERROR(IF(A90&lt;&gt;A91,"",IF(DF90="No Lap","",IF(K91="Lap",U90,IF(K91="Coupler",_xlfn._xlws.FILTER(CCoupler,(CCName=SD!$C$8)*(CBSize=IF(A89=A90,W90&amp;W91,W90&amp;W90))*(CCMFM="Male")),"")))),"N/A")</f>
        <v>5-1</v>
      </c>
      <c r="M90" t="str">
        <f t="shared" si="27"/>
        <v/>
      </c>
      <c r="N90" t="s">
        <v>719</v>
      </c>
      <c r="O90" t="s">
        <v>720</v>
      </c>
      <c r="P90" t="s">
        <v>719</v>
      </c>
      <c r="Q90" t="str">
        <f>IF(AND(SD!$C$29=SD!$P$2,Grade!$O$1="Per level"),VLOOKUP(B90,Grade!$M$1:$N$200,2,FALSE),IF(AND(SD!$C$29=SD!$P$2,Grade!$O$1="Per Bar Size"),VLOOKUP(LEFT(N90,FIND("@",N90)-2),Grade!$J$1:$K$12,2,0),SD!$C$29))</f>
        <v>A615 Grade 60</v>
      </c>
      <c r="R90" t="s">
        <v>742</v>
      </c>
      <c r="S90" s="57">
        <v>90</v>
      </c>
      <c r="U90" t="str">
        <f>IF(Data!$J90="",IFERROR(INDEX(IF(SD!$C$11="Create",Lap!$A$3:$BF$14,IF(SD!$C$11="Per Uploaded File",Lap!$A$19:$BF$30,"")),MATCH(W90,Lap!$A$3:$A$14,0),MATCH(VALUE(D90),Lap!$A$3:$BF$3,0)+IF(IFERROR(FIND("Grade 60",J90),0)&gt;0,0,IF(IFERROR(FIND("Grade 80",J90),0),1,IF(IFERROR(FIND("Grade 75",J90),0),2,"")))),""),Data!J90)</f>
        <v>5-1</v>
      </c>
      <c r="W90" t="s">
        <v>176</v>
      </c>
      <c r="X90">
        <v>6</v>
      </c>
      <c r="Y90" t="str">
        <f t="shared" si="28"/>
        <v>30</v>
      </c>
      <c r="Z90">
        <f t="shared" si="29"/>
        <v>0</v>
      </c>
      <c r="AA90" s="24">
        <f t="shared" si="30"/>
        <v>15.666666666666666</v>
      </c>
      <c r="BB90" t="e" cm="1">
        <f t="array" ref="BB90">_xlfn.LET(_xlpm.PartF,(_xlfn.LET(_xlpm.grade, Q90,_xlpm.gradeRange, IF(_xlpm.grade=SD!$H$3, A615GR60, IF(_xlpm.grade=SD!$H$4, A615GR75, IF(_xlpm.grade=SD!$H$5, A615GR80, IF(_xlpm.grade=SD!$H$6, A615GR100, IF(_xlpm.grade=SD!$H$7, A706GR60, IF(_xlpm.grade=SD!$H$8, A706GR80)))))),_xlpm.matchValue, MATCH(1, (SD!$AW:$AW=AS90)*(SD!$AX:$AX=SD!$C$8), 0),INDEX(_xlpm.gradeRange, _xlpm.matchValue))),IF(AM90="Spiral",CONCATENATE("SP",_xlpm.PartF),_xlpm.PartF))</f>
        <v>#N/A</v>
      </c>
      <c r="BC90" cm="1">
        <f t="array" ref="BC90">_xlfn.LET(_xlpm.leftPart, LEFT(O90, FIND("@", O90) - 2),_xlpm.grade,Q90,_xlpm.gradeRange,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0" cm="1">
        <f t="array" ref="BD90">_xlfn.LET(_xlpm.leftPart, LEFT(P90, FIND("@", P90) - 2),_xlpm.grade, Q90,_xlpm.gradeRange,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0">
        <f t="shared" si="31"/>
        <v>2.5</v>
      </c>
      <c r="BF90">
        <f>IF(SD!$C$32=SD!$I$2,BE90,IF(SD!$C$32=SD!$I$3,DO90,IF(SD!$C$32=SD!$I$5,BA90,IF(SD!$C$32=SD!$I$6,(LEFT(SD!$C$35,FIND("-",SD!$C$35)-1)+RIGHT(SD!$C$35,LEN(SD!$C$35)-FIND("-",SD!$C$35))/12),IF(SD!$C$32=SD!$I$4,(AU90-(BG90+BH90)))))))</f>
        <v>0</v>
      </c>
      <c r="BG90">
        <f>IF(SD!$C$33=SD!$I$2,BE90,IF(SD!$C$33=SD!$I$3,DO90,IF(SD!$C$33=SD!$I$5,BA90,IF(SD!$C$33=SD!$I$6,(LEFT(SD!$C$35,FIND("-",SD!$C$35)-1)+RIGHT(SD!$C$35,LEN(SD!$C$35)-FIND("-",SD!$C$35))/12),IF(SD!$C$33=SD!$I$4,(AU90-(BF90+BH90)))))))</f>
        <v>-1</v>
      </c>
      <c r="BH90">
        <f>IF(SD!$C$34=SD!$I$2,BE90,IF(SD!$C$34=SD!$I$3,DO90,IF(SD!$C$34=SD!$I$5,BA90,IF(SD!$C$34=SD!$I$6,(LEFT(SD!$C$35,FIND("-",SD!$C$35)-1)+RIGHT(SD!$C$35,LEN(SD!$C$35)-FIND("-",SD!$C$35))/12),IF(SD!$C$34=SD!$I$4,(AU90-(BF90+BG90)))))))</f>
        <v>1</v>
      </c>
      <c r="BJ90">
        <f>IF(AM90="Spiral","1",MAX(ROUNDUP(IF(SD!$C$32="",AT90,BF90/(LEFT(RIGHT(N90,LEN(N90)-FIND("@",N90)),LEN(RIGHT(N90,LEN(N90)-FIND("@",N90)))-1)/12)+1),0),0))</f>
        <v>1</v>
      </c>
      <c r="BK90">
        <f>MAX(ROUNDUP(IF(SD!$C$33="","",BG90/(LEFT(RIGHT(O90,LEN(O90)-FIND("@",O90)),LEN(RIGHT(O90,LEN(O90)-FIND("@",O90)))-1)/12)+1),0),0)</f>
        <v>0</v>
      </c>
      <c r="BL90">
        <f>MAX(ROUNDUP(IF(SD!$C$34="","",BH90/(LEFT(RIGHT(P90,LEN(P90)-FIND("@",P90)),LEN(RIGHT(P90,LEN(P90)-FIND("@",P90)))-1)/12)+1),0),0)</f>
        <v>3</v>
      </c>
      <c r="BN90" t="e">
        <f t="shared" si="32"/>
        <v>#N/A</v>
      </c>
      <c r="BO90" t="e">
        <f t="shared" si="33"/>
        <v>#N/A</v>
      </c>
      <c r="BP90" t="e">
        <f t="shared" si="34"/>
        <v>#N/A</v>
      </c>
      <c r="BQ90" s="24" t="e">
        <f>IF(AM90=TRUE,(((Y90-(SD!$E$12*2))*3.14159265359)+BN90+BO90+BP90)/12+AL90,SUM(AF90:AG90,BN90,BO90,BP90,AO90,AQ90)/12)</f>
        <v>#N/A</v>
      </c>
      <c r="BR90" t="e">
        <f t="shared" si="35"/>
        <v>#N/A</v>
      </c>
      <c r="BS90" t="e">
        <f t="shared" si="36"/>
        <v>#N/A</v>
      </c>
      <c r="BT90" t="e">
        <f t="shared" si="37"/>
        <v>#N/A</v>
      </c>
      <c r="BU90" s="24" t="e">
        <f>IF(AM90=TRUE,(((Y90-(SD!$E$12*2))*3.14159265359)+BR90+BS90+BT90)/12+AL90,SUM(AF90:AG90,BR90,BS90,BT90,AO90,AQ90)/12)</f>
        <v>#N/A</v>
      </c>
      <c r="BW90" t="str">
        <f>IFERROR(LEFT(Data!L90,FIND(" -",Data!L90)-1),"")</f>
        <v/>
      </c>
      <c r="BX90" t="str">
        <f>IFERROR(IF(SD!$C$40=SD!$U$2,W90,IF(SD!$C$40=SD!$U$3,RIGHT(Data!L90,LEN(Data!L90)-(FIND("-",Data!L90)+1)),SD!$C$40)),"")</f>
        <v>#10</v>
      </c>
      <c r="BY90" t="str" cm="1">
        <f t="array" ref="BY90">IFERROR(_xlfn.LET(_xlpm.GRR,IF(AND(SD!$C$19=SD!$H$2,Grade!$G$1="Per level"),VLOOKUP(B90,Grade!$E$1:$F$200,2,FALSE),IF(AND(SD!$C$19=SD!$H$2,Grade!$G$1="Per Bar Size"),VLOOKUP(BX90,Grade!$B$1:$C$12,2,0),SD!$C$19)),_xlpm.is_equal, A89=A90,_xlpm.grade_range, IF(_xlpm.GRR=SD!$H$3, A615GR60,IF(_xlpm.GRR=SD!$H$4, A615GR75,IF(_xlpm.GRR=SD!$H$5, A615GR80,IF(_xlpm.GRR=SD!H94, A615GR100,IF(_xlpm.GRR=SD!$H$7, A706GR60,IF(_xlpm.GRR=SD!$H$8, A706GR80)))))),_xlpm.match_result, MATCH(1, (BSize=BX90)*(BCName=SD!$C$8), 0),_xlpm.final_result, INDEX(_xlpm.grade_range, _xlpm.match_result),IF(_xlpm.is_equal, "", _xlpm.final_result)),"")</f>
        <v/>
      </c>
      <c r="BZ90" t="str">
        <f>IF(A89=A90,"",IF(SD!$C$41="Match Vertical Bars ",X90,IF(SD!$C$41=SD!$V$3,BW90,SD!$C$41)))</f>
        <v/>
      </c>
      <c r="CA90" t="str" cm="1">
        <f t="array" ref="CA90">IF(A89=A90,"",IF(SD!$C$44="No T-Head",IF(SD!$C$42=SD!$Q$3,VLOOKUP(BX90,S90Range,3,FALSE),LEFT(SD!$C$42,FIND("-",SD!$C$42)-1)+(RIGHT(SD!$C$42,LEN(SD!$C$42)-FIND("-",SD!$C$42))/12)),IF(SD!$C$44="T-Head",_xlfn._xlws.FILTER(THead,(TCName=SD!$C$8)*(TSize=BX90)),IF(SD!$C$44="Level Wise",_xlfn.LET(_xlpm.result,_xlfn.XLOOKUP(B90,VDLevel,VDLevelStatus,"No"),IF(_xlpm.result="Yes",_xlfn._xlws.FILTER(THead,(TCName=SD!$C$8)*(TSize=BX90)),IF(SD!$C$42=SD!$Q$3,VLOOKUP(BX90,S90Range,3,FALSE),LEFT(SD!$C$42,FIND("-",SD!$C$42)-1)+(RIGHT(SD!$C$42,LEN(SD!$C$42)-FIND("-", SD!$C$42))/12)))),IF(SD!$C$44="BarSize Wise",_xlfn.LET(_xlpm.result,_xlfn.XLOOKUP(BX90,VDBarSize,VDBarSizeStatus,"No"),IF(_xlpm.result="Yes",_xlfn._xlws.FILTER(THead,(TCName=SD!$C$8)*(TSize=BX90)),IF(SD!$C$42=SD!$Q$3,VLOOKUP(BX90,S90Range,3,FALSE),LEFT(SD!$C$42,FIND("-",SD!$C$42)-1)+(RIGHT(SD!$C$42,LEN(SD!$C$42)-FIND("-",SD!$C$42))/12)))), "")))))</f>
        <v/>
      </c>
      <c r="CB90" t="str" cm="1">
        <f t="array" ref="CB90">_xlfn.LET(_xlpm.GRR,IF(AND(SD!$C$19=SD!$H$2,Grade!$G$1="Per level"),VLOOKUP(B90,Grade!$E$1:$F$200,2,FALSE),IF(AND(SD!$C$19=SD!$H$2,Grade!$G$1="Per Bar Size"),VLOOKUP(BX90,Grade!$B$1:$C$12,2,0),SD!$C$19)),_xlpm.is_coupler, K90="Coupler",_xlpm.condition1, SD!$C$43=SD!$W$2,_xlpm.data_j2_empty, Data!$J90="",_xlpm.lookup_table, IF(SD!$C$11="Create", Lap!$A$3:$BF$14, IF(SD!$C$11="Per Uploaded File", Lap!$A$19:$BF$30, "")),_xlpm.row_match, MATCH(BX90, Lap!$A$3:$A$14, 0),_xlpm.grade_offset, IF(IFERROR(FIND("Grade 60",_xlpm.GRR), 0) &gt; 0, 0, IF(IFERROR(FIND("Grade 80",_xlpm.GRR), 0), 1, IF(IFERROR(FIND("Grade 75",_xlpm.GRR), 0), 2, ""))),_xlpm.col_match, MATCH(VALUE(D90), Lap!$A$3:$BF$3, 0) + _xlpm.grade_offset,_xlpm.index_result, IFERROR(INDEX(_xlpm.lookup_table, _xlpm.row_match, _xlpm.col_match), Data!$J90),_xlpm.result_if_condition1, IF(_xlpm.data_j2_empty, _xlpm.index_result, Data!$J90),IF(_xlpm.is_coupler, 0, IF(_xlpm.condition1, _xlpm.result_if_condition1, SD!$C$43)))</f>
        <v>5-1</v>
      </c>
      <c r="CC90" s="24">
        <f t="shared" si="38"/>
        <v>5.083333333333333</v>
      </c>
      <c r="CD90">
        <f t="shared" si="39"/>
        <v>5.75</v>
      </c>
      <c r="CE90" t="str" cm="1">
        <f t="array" ref="CE90">IF(BY90="","",_xlfn._xlws.FILTER(SAC,(CName=SD!$C$8)*(EName="Vert Dowels")))</f>
        <v/>
      </c>
      <c r="CF90" t="str" cm="1">
        <f t="array" ref="CF90">IFERROR(IF(BY90="","",IF(K90="Coupler",_xlfn._xlws.FILTER(CCoupler,(CCName=SD!$C$8)*(CBSize=IF(A89=A90,W89&amp;W90,BX90&amp;W90))*(CCMFM="Male")),"")),"N/A")</f>
        <v/>
      </c>
      <c r="CG90" t="str">
        <f t="shared" si="40"/>
        <v/>
      </c>
      <c r="CH90" t="str">
        <f t="shared" si="41"/>
        <v/>
      </c>
      <c r="CI90" t="str">
        <f>_xlfn.LET(_xlpm.u3_value, U91,_xlpm.hyphen_pos,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K91="Coupler",_xlpm.coupler_value, IF(_xlpm.is_coupler, 0, _xlpm.calculated_value),_xlpm.final_value, _xlpm.calculated_value + SD!$E$13 + _xlpm.coupler_value,IF(CG90="", "", _xlpm.final_value))</f>
        <v/>
      </c>
      <c r="CJ90" t="str" cm="1">
        <f t="array" ref="CJ90">IF(CG90="","",_xlfn._xlws.FILTER(SAC,(CName=SD!$C$8)*(EName="Loose Dowels")))</f>
        <v/>
      </c>
      <c r="CK90" t="str" cm="1">
        <f t="array" ref="CK90">IFERROR(IF(CG90="","",IF(K91="Coupler",_xlfn._xlws.FILTER(CCoupler,(CCName=SD!$C$8)*(CBSize=IF(A90=A91,W90&amp;W91,""))*(CCMFM="Male")),"")),"N/A")</f>
        <v/>
      </c>
      <c r="CL90" t="str">
        <f>IFERROR(IF(AM90="Spiral","",IF(A89=A90,"",IF(SD!$C$37=0,"",SD!$C$37))),"")</f>
        <v/>
      </c>
      <c r="CN90">
        <f>IF(AM90="Spiral","",IFERROR(IF(SD!$C$36=0,"",SD!$C$36),""))</f>
        <v>5</v>
      </c>
      <c r="CP90" t="str">
        <f>IFERROR(IF(SD!$C$42=SD!$Q$3,'Take-off'!CA90,""),"")</f>
        <v/>
      </c>
      <c r="CR90">
        <f>IFERROR(IF(SD!$C$22=SD!$U$2,W90,SD!$C$22),"")</f>
        <v>0</v>
      </c>
      <c r="CS90" t="str" cm="1">
        <f t="array" ref="CS90">_xlfn.LET(_xlpm.GR,IF(AND(SD!$C$19=SD!$H$2,Grade!$G$1="Per level"),VLOOKUP(B90,Grade!$E$1:$F$200,2,FALSE),IF(AND(SD!$C$19=SD!$H$2,Grade!$G$1="Per Bar Size"),VLOOKUP(CR90,Grade!$B$1:$C$12,2,0),SD!$C$19)),IF(SD!$C$20=SD!$R$4,IF(A91=A90,"",INDEX(IF(_xlpm.GR=SD!$H$3,A615GR60,IF(_xlpm.GR=SD!$H$4,A615GR75,IF(_xlpm.GR=SD!$H$5,A615GR80,IF(_xlpm.GR=SD!H94,A615GR100,IF(_xlpm.GR=SD!$H$7,A706GR60,IF(_xlpm.GR=SD!$H$8,A706GR80)))))), MATCH(1, (BSize=CR90)*(BCName=SD!$C$8), 0))),""))</f>
        <v/>
      </c>
      <c r="CT90" t="str">
        <f>IF(A91=A90,"",IF(SD!$C$23="Match Vertical Bars ",X90,SD!$C$23))</f>
        <v/>
      </c>
      <c r="CU90" t="str" cm="1">
        <f t="array" ref="CU90">IF(A91=A90,"",IF(SD!$C$20="Top dowels",IF(SD!$E$25="No T-Head",IF(SD!$C$24=SD!$Q$3,VLOOKUP(CR90,S90Range,3,FALSE),LEFT(SD!$C$24,FIND("-",SD!$C$24)-1)+(RIGHT(SD!$C$24,LEN(SD!$C$24)-FIND("-",SD!$C$24))/12)),IF(SD!$E$25="T-Head",_xlfn._xlws.FILTER(THead,(TCName=SD!$C$8)*(TSize=CR90)),IF(SD!$E$25="Level Wise",_xlfn.LET(_xlpm.result,_xlfn.XLOOKUP(B90,TDLevel,TDLevelStatus,"No"),IF(_xlpm.result="Yes",_xlfn._xlws.FILTER(THead,(TCName=SD!$C$8)*(TSize=CR90)),IF(SD!$C$24=SD!$Q$3,VLOOKUP(CR90,S90Range,3,FALSE),LEFT(SD!$C$24,FIND("-",SD!$C$24)-1)+(RIGHT(SD!$C$24,LEN(SD!$C$24)-FIND("-", SD!$C$24))/12)))),IF(SD!$E$25="BarSize Wise",_xlfn.LET(_xlpm.result,_xlfn.XLOOKUP(CR90,TDBarSize,TDBarSizeStatus,"No"),IF(_xlpm.result="Yes",_xlfn._xlws.FILTER(THead,(TCName=SD!$C$8)*(TSize=CR90)),IF(SD!$C$24=SD!$Q$3,VLOOKUP(CR90,S90Range,3,FALSE),LEFT(SD!$C$24,FIND("-",SD!$C$24)-1)+(RIGHT(SD!$C$24,LEN(SD!$C$24)-FIND("-",SD!$C$24))/12)))), "")))),""))</f>
        <v/>
      </c>
      <c r="CV90" t="str">
        <f>_xlfn.LET(_xlpm.GRR,IF(AND(SD!$C$19=SD!$H$2,Grade!$G$1="Per level"),VLOOKUP(B90,Grade!$E$1:$F$200,2,FALSE),IF(AND(SD!$C$19=SD!$H$2,Grade!$G$1="Per Bar Size"),VLOOKUP(CR90,Grade!$B$1:$C$12,2,0),SD!$C$19)),IF(SD!$C$25=SD!$W$2,IF(Data!$J90="",IFERROR(INDEX(IF(SD!$C$11="Create",Lap!$A$3:$BF$14,IF(SD!$C$11="Per Uploaded File",Lap!$A$19:$BF$30,"")),MATCH(CR90,Lap!$A$3:$A$14,0),MATCH(VALUE(D90),Lap!$A$3:$BF$3,0)+IF(IFERROR(FIND("Grade 60",_xlpm.GRR),0)&gt;0,0,IF(IFERROR(FIND("Grade 80",_xlpm.GRR),0),1,IF(IFERROR(FIND("Grade 75",_xlpm.GRR),0),2,"")))),""),Data!J90),SD!$C$43))</f>
        <v>Match Lap</v>
      </c>
      <c r="CW90">
        <f t="shared" si="42"/>
        <v>0</v>
      </c>
      <c r="CX90">
        <f t="shared" si="43"/>
        <v>0</v>
      </c>
      <c r="CY90" t="str">
        <f t="shared" si="44"/>
        <v/>
      </c>
      <c r="DA90" t="str">
        <f t="shared" si="45"/>
        <v/>
      </c>
      <c r="DB90" t="str">
        <f t="shared" si="46"/>
        <v/>
      </c>
      <c r="DC90" s="24" t="str">
        <f t="shared" si="47"/>
        <v/>
      </c>
      <c r="DD90">
        <f t="shared" si="48"/>
        <v>10.583333333333334</v>
      </c>
      <c r="DE90" t="s">
        <v>785</v>
      </c>
      <c r="DF90" t="s">
        <v>67</v>
      </c>
      <c r="DG90" t="str">
        <f>VLOOKUP(W90,'Level Wise PSI'!$F$2:$G$12,2,FALSE)</f>
        <v>Double Lift</v>
      </c>
      <c r="DI90" t="str" cm="1">
        <f t="array" ref="DI90">_xlfn.LET(_xlpm.Coup,IFERROR(IF(BY90="","",IF(K90="Coupler",_xlfn._xlws.FILTER(CCFCoupler,(CCName=SD!$C$8)*(CBSize=IF(A89=A90,W89&amp;W90,BX90&amp;W90))),"")),"N/A"),IF(_xlpm.Coup=0,"",_xlpm.Coup))</f>
        <v/>
      </c>
      <c r="DJ90" t="str" cm="1">
        <f t="array" ref="DJ90">_xlfn.LET(_xlpm.Coup3,IFERROR(IF(CG90="","",IF(K91="Coupler",_xlfn._xlws.FILTER(CCFCoupler,(CCName=SD!$C$8)*(CBSize=IF(A90=A91,W90&amp;W91,""))),"")),"N/A"),IF(_xlpm.Coup3=0,"",_xlpm.Coup3))</f>
        <v/>
      </c>
      <c r="DK90" t="str" cm="1">
        <f t="array" ref="DK90">_xlfn.LET(_xlpm.Coup2,IFERROR(IF(A90&lt;&gt;A91,"",IF(DF90="No Lap","",IF(K91="Coupler",_xlfn._xlws.FILTER(CCFCoupler,(CCName=SD!$C$8)*(CBSize=IF(A89=A90,W90&amp;W91,W90&amp;W90))),""))),"N/A"),IF(_xlpm.Coup2=0,"",_xlpm.Coup2))</f>
        <v/>
      </c>
      <c r="DM90" t="str">
        <f>IF(AM90="Spiral","",IF(SD!$C$31=SD!$Y$3,SD!$E$32*2,""))</f>
        <v/>
      </c>
      <c r="DO90" s="24">
        <f t="shared" si="49"/>
        <v>2.5</v>
      </c>
      <c r="DQ90" t="str">
        <f t="shared" si="50"/>
        <v>Lig</v>
      </c>
      <c r="DR90" t="str">
        <f>IF(AM90="Spiral",((Y90-(SD!$E$12*2))/12),"")</f>
        <v/>
      </c>
      <c r="DS90" t="str">
        <f t="shared" si="51"/>
        <v/>
      </c>
      <c r="DT90" t="str">
        <f t="shared" si="52"/>
        <v/>
      </c>
      <c r="DU90" t="str">
        <f t="shared" si="53"/>
        <v/>
      </c>
    </row>
    <row r="91" spans="1:125" x14ac:dyDescent="0.25">
      <c r="A91">
        <v>34</v>
      </c>
      <c r="B91" t="s">
        <v>682</v>
      </c>
      <c r="C91" s="15">
        <v>2429</v>
      </c>
      <c r="D91" s="15">
        <v>10000</v>
      </c>
      <c r="E91" t="str">
        <f>IF(B91=Level!$A$2,SD!$C$14,SD!$C$13)</f>
        <v>0-8</v>
      </c>
      <c r="F91" s="15" t="s">
        <v>787</v>
      </c>
      <c r="G91" t="s">
        <v>742</v>
      </c>
      <c r="H91" t="str">
        <f>RIGHT(VLOOKUP(B91,Level!A:C,3,FALSE),LEN(VLOOKUP(B91,Level!A:C,3,FALSE))-1)</f>
        <v>10-7</v>
      </c>
      <c r="I91" t="s">
        <v>743</v>
      </c>
      <c r="J91" t="str">
        <f>IF(AND(SD!$C$19=SD!$H$2,Grade!$G$1="Per level"),VLOOKUP(B91,Grade!$E$1:$F$200,2,FALSE),IF(AND(SD!$C$19=SD!$H$2,Grade!$G$1="Per Bar Size"),VLOOKUP(W91,Grade!$B$1:$C$12,2,0),SD!$C$19))</f>
        <v>A615 Grade 60</v>
      </c>
      <c r="K91" t="s">
        <v>67</v>
      </c>
      <c r="L91" t="str">
        <f>IFERROR(IF(A91&lt;&gt;A92,"",IF(DF91="No Lap","",IF(K92="Lap",U91,IF(K92="Coupler",_xlfn._xlws.FILTER(CCoupler,(CCName=SD!$C$8)*(CBSize=IF(A90=A91,W91&amp;W92,W91&amp;W91))*(CCMFM="Male")),"")))),"N/A")</f>
        <v>5-1</v>
      </c>
      <c r="M91" t="str">
        <f t="shared" si="27"/>
        <v/>
      </c>
      <c r="N91" t="s">
        <v>719</v>
      </c>
      <c r="O91" t="s">
        <v>720</v>
      </c>
      <c r="P91" t="s">
        <v>719</v>
      </c>
      <c r="Q91" t="str">
        <f>IF(AND(SD!$C$29=SD!$P$2,Grade!$O$1="Per level"),VLOOKUP(B91,Grade!$M$1:$N$200,2,FALSE),IF(AND(SD!$C$29=SD!$P$2,Grade!$O$1="Per Bar Size"),VLOOKUP(LEFT(N91,FIND("@",N91)-2),Grade!$J$1:$K$12,2,0),SD!$C$29))</f>
        <v>A615 Grade 60</v>
      </c>
      <c r="R91" t="s">
        <v>742</v>
      </c>
      <c r="S91" s="57">
        <v>91</v>
      </c>
      <c r="U91" t="str">
        <f>IF(Data!$J91="",IFERROR(INDEX(IF(SD!$C$11="Create",Lap!$A$3:$BF$14,IF(SD!$C$11="Per Uploaded File",Lap!$A$19:$BF$30,"")),MATCH(W91,Lap!$A$3:$A$14,0),MATCH(VALUE(D91),Lap!$A$3:$BF$3,0)+IF(IFERROR(FIND("Grade 60",J91),0)&gt;0,0,IF(IFERROR(FIND("Grade 80",J91),0),1,IF(IFERROR(FIND("Grade 75",J91),0),2,"")))),""),Data!J91)</f>
        <v>5-1</v>
      </c>
      <c r="W91" t="s">
        <v>176</v>
      </c>
      <c r="X91">
        <v>6</v>
      </c>
      <c r="Y91" t="str">
        <f t="shared" si="28"/>
        <v>30</v>
      </c>
      <c r="Z91">
        <f t="shared" si="29"/>
        <v>0</v>
      </c>
      <c r="AA91" s="24">
        <f t="shared" si="30"/>
        <v>15.666666666666666</v>
      </c>
      <c r="BB91" t="e" cm="1">
        <f t="array" ref="BB91">_xlfn.LET(_xlpm.PartF,(_xlfn.LET(_xlpm.grade, Q91,_xlpm.gradeRange, IF(_xlpm.grade=SD!$H$3, A615GR60, IF(_xlpm.grade=SD!$H$4, A615GR75, IF(_xlpm.grade=SD!$H$5, A615GR80, IF(_xlpm.grade=SD!$H$6, A615GR100, IF(_xlpm.grade=SD!$H$7, A706GR60, IF(_xlpm.grade=SD!$H$8, A706GR80)))))),_xlpm.matchValue, MATCH(1, (SD!$AW:$AW=AS91)*(SD!$AX:$AX=SD!$C$8), 0),INDEX(_xlpm.gradeRange, _xlpm.matchValue))),IF(AM91="Spiral",CONCATENATE("SP",_xlpm.PartF),_xlpm.PartF))</f>
        <v>#N/A</v>
      </c>
      <c r="BC91" cm="1">
        <f t="array" ref="BC91">_xlfn.LET(_xlpm.leftPart, LEFT(O91, FIND("@", O91) - 2),_xlpm.grade,Q91,_xlpm.gradeRange,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1" cm="1">
        <f t="array" ref="BD91">_xlfn.LET(_xlpm.leftPart, LEFT(P91, FIND("@", P91) - 2),_xlpm.grade, Q91,_xlpm.gradeRange,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1">
        <f t="shared" si="31"/>
        <v>2.5</v>
      </c>
      <c r="BF91">
        <f>IF(SD!$C$32=SD!$I$2,BE91,IF(SD!$C$32=SD!$I$3,DO91,IF(SD!$C$32=SD!$I$5,BA91,IF(SD!$C$32=SD!$I$6,(LEFT(SD!$C$35,FIND("-",SD!$C$35)-1)+RIGHT(SD!$C$35,LEN(SD!$C$35)-FIND("-",SD!$C$35))/12),IF(SD!$C$32=SD!$I$4,(AU91-(BG91+BH91)))))))</f>
        <v>0</v>
      </c>
      <c r="BG91">
        <f>IF(SD!$C$33=SD!$I$2,BE91,IF(SD!$C$33=SD!$I$3,DO91,IF(SD!$C$33=SD!$I$5,BA91,IF(SD!$C$33=SD!$I$6,(LEFT(SD!$C$35,FIND("-",SD!$C$35)-1)+RIGHT(SD!$C$35,LEN(SD!$C$35)-FIND("-",SD!$C$35))/12),IF(SD!$C$33=SD!$I$4,(AU91-(BF91+BH91)))))))</f>
        <v>-1</v>
      </c>
      <c r="BH91">
        <f>IF(SD!$C$34=SD!$I$2,BE91,IF(SD!$C$34=SD!$I$3,DO91,IF(SD!$C$34=SD!$I$5,BA91,IF(SD!$C$34=SD!$I$6,(LEFT(SD!$C$35,FIND("-",SD!$C$35)-1)+RIGHT(SD!$C$35,LEN(SD!$C$35)-FIND("-",SD!$C$35))/12),IF(SD!$C$34=SD!$I$4,(AU91-(BF91+BG91)))))))</f>
        <v>1</v>
      </c>
      <c r="BJ91">
        <f>IF(AM91="Spiral","1",MAX(ROUNDUP(IF(SD!$C$32="",AT91,BF91/(LEFT(RIGHT(N91,LEN(N91)-FIND("@",N91)),LEN(RIGHT(N91,LEN(N91)-FIND("@",N91)))-1)/12)+1),0),0))</f>
        <v>1</v>
      </c>
      <c r="BK91">
        <f>MAX(ROUNDUP(IF(SD!$C$33="","",BG91/(LEFT(RIGHT(O91,LEN(O91)-FIND("@",O91)),LEN(RIGHT(O91,LEN(O91)-FIND("@",O91)))-1)/12)+1),0),0)</f>
        <v>0</v>
      </c>
      <c r="BL91">
        <f>MAX(ROUNDUP(IF(SD!$C$34="","",BH91/(LEFT(RIGHT(P91,LEN(P91)-FIND("@",P91)),LEN(RIGHT(P91,LEN(P91)-FIND("@",P91)))-1)/12)+1),0),0)</f>
        <v>3</v>
      </c>
      <c r="BN91" t="e">
        <f t="shared" si="32"/>
        <v>#N/A</v>
      </c>
      <c r="BO91" t="e">
        <f t="shared" si="33"/>
        <v>#N/A</v>
      </c>
      <c r="BP91" t="e">
        <f t="shared" si="34"/>
        <v>#N/A</v>
      </c>
      <c r="BQ91" s="24" t="e">
        <f>IF(AM91=TRUE,(((Y91-(SD!$E$12*2))*3.14159265359)+BN91+BO91+BP91)/12+AL91,SUM(AF91:AG91,BN91,BO91,BP91,AO91,AQ91)/12)</f>
        <v>#N/A</v>
      </c>
      <c r="BR91" t="e">
        <f t="shared" si="35"/>
        <v>#N/A</v>
      </c>
      <c r="BS91" t="e">
        <f t="shared" si="36"/>
        <v>#N/A</v>
      </c>
      <c r="BT91" t="e">
        <f t="shared" si="37"/>
        <v>#N/A</v>
      </c>
      <c r="BU91" s="24" t="e">
        <f>IF(AM91=TRUE,(((Y91-(SD!$E$12*2))*3.14159265359)+BR91+BS91+BT91)/12+AL91,SUM(AF91:AG91,BR91,BS91,BT91,AO91,AQ91)/12)</f>
        <v>#N/A</v>
      </c>
      <c r="BW91" t="str">
        <f>IFERROR(LEFT(Data!L91,FIND(" -",Data!L91)-1),"")</f>
        <v/>
      </c>
      <c r="BX91" t="str">
        <f>IFERROR(IF(SD!$C$40=SD!$U$2,W91,IF(SD!$C$40=SD!$U$3,RIGHT(Data!L91,LEN(Data!L91)-(FIND("-",Data!L91)+1)),SD!$C$40)),"")</f>
        <v>#10</v>
      </c>
      <c r="BY91" t="str" cm="1">
        <f t="array" ref="BY91">IFERROR(_xlfn.LET(_xlpm.GRR,IF(AND(SD!$C$19=SD!$H$2,Grade!$G$1="Per level"),VLOOKUP(B91,Grade!$E$1:$F$200,2,FALSE),IF(AND(SD!$C$19=SD!$H$2,Grade!$G$1="Per Bar Size"),VLOOKUP(BX91,Grade!$B$1:$C$12,2,0),SD!$C$19)),_xlpm.is_equal, A90=A91,_xlpm.grade_range, IF(_xlpm.GRR=SD!$H$3, A615GR60,IF(_xlpm.GRR=SD!$H$4, A615GR75,IF(_xlpm.GRR=SD!$H$5, A615GR80,IF(_xlpm.GRR=SD!H95, A615GR100,IF(_xlpm.GRR=SD!$H$7, A706GR60,IF(_xlpm.GRR=SD!$H$8, A706GR80)))))),_xlpm.match_result, MATCH(1, (BSize=BX91)*(BCName=SD!$C$8), 0),_xlpm.final_result, INDEX(_xlpm.grade_range, _xlpm.match_result),IF(_xlpm.is_equal, "", _xlpm.final_result)),"")</f>
        <v/>
      </c>
      <c r="BZ91" t="str">
        <f>IF(A90=A91,"",IF(SD!$C$41="Match Vertical Bars ",X91,IF(SD!$C$41=SD!$V$3,BW91,SD!$C$41)))</f>
        <v/>
      </c>
      <c r="CA91" t="str" cm="1">
        <f t="array" ref="CA91">IF(A90=A91,"",IF(SD!$C$44="No T-Head",IF(SD!$C$42=SD!$Q$3,VLOOKUP(BX91,S90Range,3,FALSE),LEFT(SD!$C$42,FIND("-",SD!$C$42)-1)+(RIGHT(SD!$C$42,LEN(SD!$C$42)-FIND("-",SD!$C$42))/12)),IF(SD!$C$44="T-Head",_xlfn._xlws.FILTER(THead,(TCName=SD!$C$8)*(TSize=BX91)),IF(SD!$C$44="Level Wise",_xlfn.LET(_xlpm.result,_xlfn.XLOOKUP(B91,VDLevel,VDLevelStatus,"No"),IF(_xlpm.result="Yes",_xlfn._xlws.FILTER(THead,(TCName=SD!$C$8)*(TSize=BX91)),IF(SD!$C$42=SD!$Q$3,VLOOKUP(BX91,S90Range,3,FALSE),LEFT(SD!$C$42,FIND("-",SD!$C$42)-1)+(RIGHT(SD!$C$42,LEN(SD!$C$42)-FIND("-", SD!$C$42))/12)))),IF(SD!$C$44="BarSize Wise",_xlfn.LET(_xlpm.result,_xlfn.XLOOKUP(BX91,VDBarSize,VDBarSizeStatus,"No"),IF(_xlpm.result="Yes",_xlfn._xlws.FILTER(THead,(TCName=SD!$C$8)*(TSize=BX91)),IF(SD!$C$42=SD!$Q$3,VLOOKUP(BX91,S90Range,3,FALSE),LEFT(SD!$C$42,FIND("-",SD!$C$42)-1)+(RIGHT(SD!$C$42,LEN(SD!$C$42)-FIND("-",SD!$C$42))/12)))), "")))))</f>
        <v/>
      </c>
      <c r="CB91" t="str" cm="1">
        <f t="array" ref="CB91">_xlfn.LET(_xlpm.GRR,IF(AND(SD!$C$19=SD!$H$2,Grade!$G$1="Per level"),VLOOKUP(B91,Grade!$E$1:$F$200,2,FALSE),IF(AND(SD!$C$19=SD!$H$2,Grade!$G$1="Per Bar Size"),VLOOKUP(BX91,Grade!$B$1:$C$12,2,0),SD!$C$19)),_xlpm.is_coupler, K91="Coupler",_xlpm.condition1, SD!$C$43=SD!$W$2,_xlpm.data_j2_empty, Data!$J91="",_xlpm.lookup_table, IF(SD!$C$11="Create", Lap!$A$3:$BF$14, IF(SD!$C$11="Per Uploaded File", Lap!$A$19:$BF$30, "")),_xlpm.row_match, MATCH(BX91, Lap!$A$3:$A$14, 0),_xlpm.grade_offset, IF(IFERROR(FIND("Grade 60",_xlpm.GRR), 0) &gt; 0, 0, IF(IFERROR(FIND("Grade 80",_xlpm.GRR), 0), 1, IF(IFERROR(FIND("Grade 75",_xlpm.GRR), 0), 2, ""))),_xlpm.col_match, MATCH(VALUE(D91), Lap!$A$3:$BF$3, 0) + _xlpm.grade_offset,_xlpm.index_result, IFERROR(INDEX(_xlpm.lookup_table, _xlpm.row_match, _xlpm.col_match), Data!$J91),_xlpm.result_if_condition1, IF(_xlpm.data_j2_empty, _xlpm.index_result, Data!$J91),IF(_xlpm.is_coupler, 0, IF(_xlpm.condition1, _xlpm.result_if_condition1, SD!$C$43)))</f>
        <v>5-1</v>
      </c>
      <c r="CC91" s="24">
        <f t="shared" si="38"/>
        <v>5.083333333333333</v>
      </c>
      <c r="CD91">
        <f t="shared" si="39"/>
        <v>5.75</v>
      </c>
      <c r="CE91" t="str" cm="1">
        <f t="array" ref="CE91">IF(BY91="","",_xlfn._xlws.FILTER(SAC,(CName=SD!$C$8)*(EName="Vert Dowels")))</f>
        <v/>
      </c>
      <c r="CF91" t="str" cm="1">
        <f t="array" ref="CF91">IFERROR(IF(BY91="","",IF(K91="Coupler",_xlfn._xlws.FILTER(CCoupler,(CCName=SD!$C$8)*(CBSize=IF(A90=A91,W90&amp;W91,BX91&amp;W91))*(CCMFM="Male")),"")),"N/A")</f>
        <v/>
      </c>
      <c r="CG91" t="str">
        <f t="shared" si="40"/>
        <v/>
      </c>
      <c r="CH91" t="str">
        <f t="shared" si="41"/>
        <v/>
      </c>
      <c r="CI91" t="str">
        <f>_xlfn.LET(_xlpm.u3_value, U92,_xlpm.hyphen_pos,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K92="Coupler",_xlpm.coupler_value, IF(_xlpm.is_coupler, 0, _xlpm.calculated_value),_xlpm.final_value, _xlpm.calculated_value + SD!$E$13 + _xlpm.coupler_value,IF(CG91="", "", _xlpm.final_value))</f>
        <v/>
      </c>
      <c r="CJ91" t="str" cm="1">
        <f t="array" ref="CJ91">IF(CG91="","",_xlfn._xlws.FILTER(SAC,(CName=SD!$C$8)*(EName="Loose Dowels")))</f>
        <v/>
      </c>
      <c r="CK91" t="str" cm="1">
        <f t="array" ref="CK91">IFERROR(IF(CG91="","",IF(K92="Coupler",_xlfn._xlws.FILTER(CCoupler,(CCName=SD!$C$8)*(CBSize=IF(A91=A92,W91&amp;W92,""))*(CCMFM="Male")),"")),"N/A")</f>
        <v/>
      </c>
      <c r="CL91" t="str">
        <f>IFERROR(IF(AM91="Spiral","",IF(A90=A91,"",IF(SD!$C$37=0,"",SD!$C$37))),"")</f>
        <v/>
      </c>
      <c r="CN91">
        <f>IF(AM91="Spiral","",IFERROR(IF(SD!$C$36=0,"",SD!$C$36),""))</f>
        <v>5</v>
      </c>
      <c r="CP91" t="str">
        <f>IFERROR(IF(SD!$C$42=SD!$Q$3,'Take-off'!CA91,""),"")</f>
        <v/>
      </c>
      <c r="CR91">
        <f>IFERROR(IF(SD!$C$22=SD!$U$2,W91,SD!$C$22),"")</f>
        <v>0</v>
      </c>
      <c r="CS91" t="str" cm="1">
        <f t="array" ref="CS91">_xlfn.LET(_xlpm.GR,IF(AND(SD!$C$19=SD!$H$2,Grade!$G$1="Per level"),VLOOKUP(B91,Grade!$E$1:$F$200,2,FALSE),IF(AND(SD!$C$19=SD!$H$2,Grade!$G$1="Per Bar Size"),VLOOKUP(CR91,Grade!$B$1:$C$12,2,0),SD!$C$19)),IF(SD!$C$20=SD!$R$4,IF(A92=A91,"",INDEX(IF(_xlpm.GR=SD!$H$3,A615GR60,IF(_xlpm.GR=SD!$H$4,A615GR75,IF(_xlpm.GR=SD!$H$5,A615GR80,IF(_xlpm.GR=SD!H95,A615GR100,IF(_xlpm.GR=SD!$H$7,A706GR60,IF(_xlpm.GR=SD!$H$8,A706GR80)))))), MATCH(1, (BSize=CR91)*(BCName=SD!$C$8), 0))),""))</f>
        <v/>
      </c>
      <c r="CT91" t="str">
        <f>IF(A92=A91,"",IF(SD!$C$23="Match Vertical Bars ",X91,SD!$C$23))</f>
        <v/>
      </c>
      <c r="CU91" t="str" cm="1">
        <f t="array" ref="CU91">IF(A92=A91,"",IF(SD!$C$20="Top dowels",IF(SD!$E$25="No T-Head",IF(SD!$C$24=SD!$Q$3,VLOOKUP(CR91,S90Range,3,FALSE),LEFT(SD!$C$24,FIND("-",SD!$C$24)-1)+(RIGHT(SD!$C$24,LEN(SD!$C$24)-FIND("-",SD!$C$24))/12)),IF(SD!$E$25="T-Head",_xlfn._xlws.FILTER(THead,(TCName=SD!$C$8)*(TSize=CR91)),IF(SD!$E$25="Level Wise",_xlfn.LET(_xlpm.result,_xlfn.XLOOKUP(B91,TDLevel,TDLevelStatus,"No"),IF(_xlpm.result="Yes",_xlfn._xlws.FILTER(THead,(TCName=SD!$C$8)*(TSize=CR91)),IF(SD!$C$24=SD!$Q$3,VLOOKUP(CR91,S90Range,3,FALSE),LEFT(SD!$C$24,FIND("-",SD!$C$24)-1)+(RIGHT(SD!$C$24,LEN(SD!$C$24)-FIND("-", SD!$C$24))/12)))),IF(SD!$E$25="BarSize Wise",_xlfn.LET(_xlpm.result,_xlfn.XLOOKUP(CR91,TDBarSize,TDBarSizeStatus,"No"),IF(_xlpm.result="Yes",_xlfn._xlws.FILTER(THead,(TCName=SD!$C$8)*(TSize=CR91)),IF(SD!$C$24=SD!$Q$3,VLOOKUP(CR91,S90Range,3,FALSE),LEFT(SD!$C$24,FIND("-",SD!$C$24)-1)+(RIGHT(SD!$C$24,LEN(SD!$C$24)-FIND("-",SD!$C$24))/12)))), "")))),""))</f>
        <v/>
      </c>
      <c r="CV91" t="str">
        <f>_xlfn.LET(_xlpm.GRR,IF(AND(SD!$C$19=SD!$H$2,Grade!$G$1="Per level"),VLOOKUP(B91,Grade!$E$1:$F$200,2,FALSE),IF(AND(SD!$C$19=SD!$H$2,Grade!$G$1="Per Bar Size"),VLOOKUP(CR91,Grade!$B$1:$C$12,2,0),SD!$C$19)),IF(SD!$C$25=SD!$W$2,IF(Data!$J91="",IFERROR(INDEX(IF(SD!$C$11="Create",Lap!$A$3:$BF$14,IF(SD!$C$11="Per Uploaded File",Lap!$A$19:$BF$30,"")),MATCH(CR91,Lap!$A$3:$A$14,0),MATCH(VALUE(D91),Lap!$A$3:$BF$3,0)+IF(IFERROR(FIND("Grade 60",_xlpm.GRR),0)&gt;0,0,IF(IFERROR(FIND("Grade 80",_xlpm.GRR),0),1,IF(IFERROR(FIND("Grade 75",_xlpm.GRR),0),2,"")))),""),Data!J91),SD!$C$43))</f>
        <v>Match Lap</v>
      </c>
      <c r="CW91">
        <f t="shared" si="42"/>
        <v>0</v>
      </c>
      <c r="CX91">
        <f t="shared" si="43"/>
        <v>0</v>
      </c>
      <c r="CY91" t="str">
        <f t="shared" si="44"/>
        <v/>
      </c>
      <c r="DA91" t="str">
        <f t="shared" si="45"/>
        <v/>
      </c>
      <c r="DB91" t="str">
        <f t="shared" si="46"/>
        <v/>
      </c>
      <c r="DC91" s="24" t="str">
        <f t="shared" si="47"/>
        <v/>
      </c>
      <c r="DD91">
        <f t="shared" si="48"/>
        <v>10.583333333333334</v>
      </c>
      <c r="DE91" t="s">
        <v>785</v>
      </c>
      <c r="DF91" t="s">
        <v>67</v>
      </c>
      <c r="DG91" t="str">
        <f>VLOOKUP(W91,'Level Wise PSI'!$F$2:$G$12,2,FALSE)</f>
        <v>Double Lift</v>
      </c>
      <c r="DI91" t="str" cm="1">
        <f t="array" ref="DI91">_xlfn.LET(_xlpm.Coup,IFERROR(IF(BY91="","",IF(K91="Coupler",_xlfn._xlws.FILTER(CCFCoupler,(CCName=SD!$C$8)*(CBSize=IF(A90=A91,W90&amp;W91,BX91&amp;W91))),"")),"N/A"),IF(_xlpm.Coup=0,"",_xlpm.Coup))</f>
        <v/>
      </c>
      <c r="DJ91" t="str" cm="1">
        <f t="array" ref="DJ91">_xlfn.LET(_xlpm.Coup3,IFERROR(IF(CG91="","",IF(K92="Coupler",_xlfn._xlws.FILTER(CCFCoupler,(CCName=SD!$C$8)*(CBSize=IF(A91=A92,W91&amp;W92,""))),"")),"N/A"),IF(_xlpm.Coup3=0,"",_xlpm.Coup3))</f>
        <v/>
      </c>
      <c r="DK91" t="str" cm="1">
        <f t="array" ref="DK91">_xlfn.LET(_xlpm.Coup2,IFERROR(IF(A91&lt;&gt;A92,"",IF(DF91="No Lap","",IF(K92="Coupler",_xlfn._xlws.FILTER(CCFCoupler,(CCName=SD!$C$8)*(CBSize=IF(A90=A91,W91&amp;W92,W91&amp;W91))),""))),"N/A"),IF(_xlpm.Coup2=0,"",_xlpm.Coup2))</f>
        <v/>
      </c>
      <c r="DM91" t="str">
        <f>IF(AM91="Spiral","",IF(SD!$C$31=SD!$Y$3,SD!$E$32*2,""))</f>
        <v/>
      </c>
      <c r="DO91" s="24">
        <f t="shared" si="49"/>
        <v>2.5</v>
      </c>
      <c r="DQ91" t="str">
        <f t="shared" si="50"/>
        <v>Lig</v>
      </c>
      <c r="DR91" t="str">
        <f>IF(AM91="Spiral",((Y91-(SD!$E$12*2))/12),"")</f>
        <v/>
      </c>
      <c r="DS91" t="str">
        <f t="shared" si="51"/>
        <v/>
      </c>
      <c r="DT91" t="str">
        <f t="shared" si="52"/>
        <v/>
      </c>
      <c r="DU91" t="str">
        <f t="shared" si="53"/>
        <v/>
      </c>
    </row>
    <row r="92" spans="1:125" x14ac:dyDescent="0.25">
      <c r="A92">
        <v>34</v>
      </c>
      <c r="B92" t="s">
        <v>684</v>
      </c>
      <c r="C92" s="15">
        <v>2429</v>
      </c>
      <c r="D92" s="15">
        <v>10000</v>
      </c>
      <c r="E92" t="str">
        <f>IF(B92=Level!$A$2,SD!$C$14,SD!$C$13)</f>
        <v>0-8</v>
      </c>
      <c r="F92" s="15" t="s">
        <v>787</v>
      </c>
      <c r="G92" t="s">
        <v>742</v>
      </c>
      <c r="H92" t="str">
        <f>RIGHT(VLOOKUP(B92,Level!A:C,3,FALSE),LEN(VLOOKUP(B92,Level!A:C,3,FALSE))-1)</f>
        <v>10-7</v>
      </c>
      <c r="I92" t="s">
        <v>743</v>
      </c>
      <c r="J92" t="str">
        <f>IF(AND(SD!$C$19=SD!$H$2,Grade!$G$1="Per level"),VLOOKUP(B92,Grade!$E$1:$F$200,2,FALSE),IF(AND(SD!$C$19=SD!$H$2,Grade!$G$1="Per Bar Size"),VLOOKUP(W92,Grade!$B$1:$C$12,2,0),SD!$C$19))</f>
        <v>A615 Grade 60</v>
      </c>
      <c r="K92" t="s">
        <v>67</v>
      </c>
      <c r="L92" t="str">
        <f>IFERROR(IF(A92&lt;&gt;A93,"",IF(DF92="No Lap","",IF(K93="Lap",U92,IF(K93="Coupler",_xlfn._xlws.FILTER(CCoupler,(CCName=SD!$C$8)*(CBSize=IF(A91=A92,W92&amp;W93,W92&amp;W92))*(CCMFM="Male")),"")))),"N/A")</f>
        <v>5-1</v>
      </c>
      <c r="M92" t="str">
        <f t="shared" si="27"/>
        <v/>
      </c>
      <c r="N92" t="s">
        <v>719</v>
      </c>
      <c r="O92" t="s">
        <v>720</v>
      </c>
      <c r="P92" t="s">
        <v>719</v>
      </c>
      <c r="Q92" t="str">
        <f>IF(AND(SD!$C$29=SD!$P$2,Grade!$O$1="Per level"),VLOOKUP(B92,Grade!$M$1:$N$200,2,FALSE),IF(AND(SD!$C$29=SD!$P$2,Grade!$O$1="Per Bar Size"),VLOOKUP(LEFT(N92,FIND("@",N92)-2),Grade!$J$1:$K$12,2,0),SD!$C$29))</f>
        <v>A615 Grade 60</v>
      </c>
      <c r="R92" t="s">
        <v>742</v>
      </c>
      <c r="S92" s="57">
        <v>92</v>
      </c>
      <c r="U92" t="str">
        <f>IF(Data!$J92="",IFERROR(INDEX(IF(SD!$C$11="Create",Lap!$A$3:$BF$14,IF(SD!$C$11="Per Uploaded File",Lap!$A$19:$BF$30,"")),MATCH(W92,Lap!$A$3:$A$14,0),MATCH(VALUE(D92),Lap!$A$3:$BF$3,0)+IF(IFERROR(FIND("Grade 60",J92),0)&gt;0,0,IF(IFERROR(FIND("Grade 80",J92),0),1,IF(IFERROR(FIND("Grade 75",J92),0),2,"")))),""),Data!J92)</f>
        <v>5-1</v>
      </c>
      <c r="W92" t="s">
        <v>176</v>
      </c>
      <c r="X92">
        <v>6</v>
      </c>
      <c r="Y92" t="str">
        <f t="shared" si="28"/>
        <v>30</v>
      </c>
      <c r="Z92">
        <f t="shared" si="29"/>
        <v>0</v>
      </c>
      <c r="AA92" s="24">
        <f t="shared" si="30"/>
        <v>15.666666666666666</v>
      </c>
      <c r="BB92" t="e" cm="1">
        <f t="array" ref="BB92">_xlfn.LET(_xlpm.PartF,(_xlfn.LET(_xlpm.grade, Q92,_xlpm.gradeRange, IF(_xlpm.grade=SD!$H$3, A615GR60, IF(_xlpm.grade=SD!$H$4, A615GR75, IF(_xlpm.grade=SD!$H$5, A615GR80, IF(_xlpm.grade=SD!$H$6, A615GR100, IF(_xlpm.grade=SD!$H$7, A706GR60, IF(_xlpm.grade=SD!$H$8, A706GR80)))))),_xlpm.matchValue, MATCH(1, (SD!$AW:$AW=AS92)*(SD!$AX:$AX=SD!$C$8), 0),INDEX(_xlpm.gradeRange, _xlpm.matchValue))),IF(AM92="Spiral",CONCATENATE("SP",_xlpm.PartF),_xlpm.PartF))</f>
        <v>#N/A</v>
      </c>
      <c r="BC92" cm="1">
        <f t="array" ref="BC92">_xlfn.LET(_xlpm.leftPart, LEFT(O92, FIND("@", O92) - 2),_xlpm.grade,Q92,_xlpm.gradeRange,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2" cm="1">
        <f t="array" ref="BD92">_xlfn.LET(_xlpm.leftPart, LEFT(P92, FIND("@", P92) - 2),_xlpm.grade, Q92,_xlpm.gradeRange,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2">
        <f t="shared" si="31"/>
        <v>2.5</v>
      </c>
      <c r="BF92">
        <f>IF(SD!$C$32=SD!$I$2,BE92,IF(SD!$C$32=SD!$I$3,DO92,IF(SD!$C$32=SD!$I$5,BA92,IF(SD!$C$32=SD!$I$6,(LEFT(SD!$C$35,FIND("-",SD!$C$35)-1)+RIGHT(SD!$C$35,LEN(SD!$C$35)-FIND("-",SD!$C$35))/12),IF(SD!$C$32=SD!$I$4,(AU92-(BG92+BH92)))))))</f>
        <v>0</v>
      </c>
      <c r="BG92">
        <f>IF(SD!$C$33=SD!$I$2,BE92,IF(SD!$C$33=SD!$I$3,DO92,IF(SD!$C$33=SD!$I$5,BA92,IF(SD!$C$33=SD!$I$6,(LEFT(SD!$C$35,FIND("-",SD!$C$35)-1)+RIGHT(SD!$C$35,LEN(SD!$C$35)-FIND("-",SD!$C$35))/12),IF(SD!$C$33=SD!$I$4,(AU92-(BF92+BH92)))))))</f>
        <v>-1</v>
      </c>
      <c r="BH92">
        <f>IF(SD!$C$34=SD!$I$2,BE92,IF(SD!$C$34=SD!$I$3,DO92,IF(SD!$C$34=SD!$I$5,BA92,IF(SD!$C$34=SD!$I$6,(LEFT(SD!$C$35,FIND("-",SD!$C$35)-1)+RIGHT(SD!$C$35,LEN(SD!$C$35)-FIND("-",SD!$C$35))/12),IF(SD!$C$34=SD!$I$4,(AU92-(BF92+BG92)))))))</f>
        <v>1</v>
      </c>
      <c r="BJ92">
        <f>IF(AM92="Spiral","1",MAX(ROUNDUP(IF(SD!$C$32="",AT92,BF92/(LEFT(RIGHT(N92,LEN(N92)-FIND("@",N92)),LEN(RIGHT(N92,LEN(N92)-FIND("@",N92)))-1)/12)+1),0),0))</f>
        <v>1</v>
      </c>
      <c r="BK92">
        <f>MAX(ROUNDUP(IF(SD!$C$33="","",BG92/(LEFT(RIGHT(O92,LEN(O92)-FIND("@",O92)),LEN(RIGHT(O92,LEN(O92)-FIND("@",O92)))-1)/12)+1),0),0)</f>
        <v>0</v>
      </c>
      <c r="BL92">
        <f>MAX(ROUNDUP(IF(SD!$C$34="","",BH92/(LEFT(RIGHT(P92,LEN(P92)-FIND("@",P92)),LEN(RIGHT(P92,LEN(P92)-FIND("@",P92)))-1)/12)+1),0),0)</f>
        <v>3</v>
      </c>
      <c r="BN92" t="e">
        <f t="shared" si="32"/>
        <v>#N/A</v>
      </c>
      <c r="BO92" t="e">
        <f t="shared" si="33"/>
        <v>#N/A</v>
      </c>
      <c r="BP92" t="e">
        <f t="shared" si="34"/>
        <v>#N/A</v>
      </c>
      <c r="BQ92" s="24" t="e">
        <f>IF(AM92=TRUE,(((Y92-(SD!$E$12*2))*3.14159265359)+BN92+BO92+BP92)/12+AL92,SUM(AF92:AG92,BN92,BO92,BP92,AO92,AQ92)/12)</f>
        <v>#N/A</v>
      </c>
      <c r="BR92" t="e">
        <f t="shared" si="35"/>
        <v>#N/A</v>
      </c>
      <c r="BS92" t="e">
        <f t="shared" si="36"/>
        <v>#N/A</v>
      </c>
      <c r="BT92" t="e">
        <f t="shared" si="37"/>
        <v>#N/A</v>
      </c>
      <c r="BU92" s="24" t="e">
        <f>IF(AM92=TRUE,(((Y92-(SD!$E$12*2))*3.14159265359)+BR92+BS92+BT92)/12+AL92,SUM(AF92:AG92,BR92,BS92,BT92,AO92,AQ92)/12)</f>
        <v>#N/A</v>
      </c>
      <c r="BW92" t="str">
        <f>IFERROR(LEFT(Data!L92,FIND(" -",Data!L92)-1),"")</f>
        <v/>
      </c>
      <c r="BX92" t="str">
        <f>IFERROR(IF(SD!$C$40=SD!$U$2,W92,IF(SD!$C$40=SD!$U$3,RIGHT(Data!L92,LEN(Data!L92)-(FIND("-",Data!L92)+1)),SD!$C$40)),"")</f>
        <v>#10</v>
      </c>
      <c r="BY92" t="str" cm="1">
        <f t="array" ref="BY92">IFERROR(_xlfn.LET(_xlpm.GRR,IF(AND(SD!$C$19=SD!$H$2,Grade!$G$1="Per level"),VLOOKUP(B92,Grade!$E$1:$F$200,2,FALSE),IF(AND(SD!$C$19=SD!$H$2,Grade!$G$1="Per Bar Size"),VLOOKUP(BX92,Grade!$B$1:$C$12,2,0),SD!$C$19)),_xlpm.is_equal, A91=A92,_xlpm.grade_range, IF(_xlpm.GRR=SD!$H$3, A615GR60,IF(_xlpm.GRR=SD!$H$4, A615GR75,IF(_xlpm.GRR=SD!$H$5, A615GR80,IF(_xlpm.GRR=SD!H96, A615GR100,IF(_xlpm.GRR=SD!$H$7, A706GR60,IF(_xlpm.GRR=SD!$H$8, A706GR80)))))),_xlpm.match_result, MATCH(1, (BSize=BX92)*(BCName=SD!$C$8), 0),_xlpm.final_result, INDEX(_xlpm.grade_range, _xlpm.match_result),IF(_xlpm.is_equal, "", _xlpm.final_result)),"")</f>
        <v/>
      </c>
      <c r="BZ92" t="str">
        <f>IF(A91=A92,"",IF(SD!$C$41="Match Vertical Bars ",X92,IF(SD!$C$41=SD!$V$3,BW92,SD!$C$41)))</f>
        <v/>
      </c>
      <c r="CA92" t="str" cm="1">
        <f t="array" ref="CA92">IF(A91=A92,"",IF(SD!$C$44="No T-Head",IF(SD!$C$42=SD!$Q$3,VLOOKUP(BX92,S90Range,3,FALSE),LEFT(SD!$C$42,FIND("-",SD!$C$42)-1)+(RIGHT(SD!$C$42,LEN(SD!$C$42)-FIND("-",SD!$C$42))/12)),IF(SD!$C$44="T-Head",_xlfn._xlws.FILTER(THead,(TCName=SD!$C$8)*(TSize=BX92)),IF(SD!$C$44="Level Wise",_xlfn.LET(_xlpm.result,_xlfn.XLOOKUP(B92,VDLevel,VDLevelStatus,"No"),IF(_xlpm.result="Yes",_xlfn._xlws.FILTER(THead,(TCName=SD!$C$8)*(TSize=BX92)),IF(SD!$C$42=SD!$Q$3,VLOOKUP(BX92,S90Range,3,FALSE),LEFT(SD!$C$42,FIND("-",SD!$C$42)-1)+(RIGHT(SD!$C$42,LEN(SD!$C$42)-FIND("-", SD!$C$42))/12)))),IF(SD!$C$44="BarSize Wise",_xlfn.LET(_xlpm.result,_xlfn.XLOOKUP(BX92,VDBarSize,VDBarSizeStatus,"No"),IF(_xlpm.result="Yes",_xlfn._xlws.FILTER(THead,(TCName=SD!$C$8)*(TSize=BX92)),IF(SD!$C$42=SD!$Q$3,VLOOKUP(BX92,S90Range,3,FALSE),LEFT(SD!$C$42,FIND("-",SD!$C$42)-1)+(RIGHT(SD!$C$42,LEN(SD!$C$42)-FIND("-",SD!$C$42))/12)))), "")))))</f>
        <v/>
      </c>
      <c r="CB92" t="str" cm="1">
        <f t="array" ref="CB92">_xlfn.LET(_xlpm.GRR,IF(AND(SD!$C$19=SD!$H$2,Grade!$G$1="Per level"),VLOOKUP(B92,Grade!$E$1:$F$200,2,FALSE),IF(AND(SD!$C$19=SD!$H$2,Grade!$G$1="Per Bar Size"),VLOOKUP(BX92,Grade!$B$1:$C$12,2,0),SD!$C$19)),_xlpm.is_coupler, K92="Coupler",_xlpm.condition1, SD!$C$43=SD!$W$2,_xlpm.data_j2_empty, Data!$J92="",_xlpm.lookup_table, IF(SD!$C$11="Create", Lap!$A$3:$BF$14, IF(SD!$C$11="Per Uploaded File", Lap!$A$19:$BF$30, "")),_xlpm.row_match, MATCH(BX92, Lap!$A$3:$A$14, 0),_xlpm.grade_offset, IF(IFERROR(FIND("Grade 60",_xlpm.GRR), 0) &gt; 0, 0, IF(IFERROR(FIND("Grade 80",_xlpm.GRR), 0), 1, IF(IFERROR(FIND("Grade 75",_xlpm.GRR), 0), 2, ""))),_xlpm.col_match, MATCH(VALUE(D92), Lap!$A$3:$BF$3, 0) + _xlpm.grade_offset,_xlpm.index_result, IFERROR(INDEX(_xlpm.lookup_table, _xlpm.row_match, _xlpm.col_match), Data!$J92),_xlpm.result_if_condition1, IF(_xlpm.data_j2_empty, _xlpm.index_result, Data!$J92),IF(_xlpm.is_coupler, 0, IF(_xlpm.condition1, _xlpm.result_if_condition1, SD!$C$43)))</f>
        <v>5-1</v>
      </c>
      <c r="CC92" s="24">
        <f t="shared" si="38"/>
        <v>5.083333333333333</v>
      </c>
      <c r="CD92">
        <f t="shared" si="39"/>
        <v>5.75</v>
      </c>
      <c r="CE92" t="str" cm="1">
        <f t="array" ref="CE92">IF(BY92="","",_xlfn._xlws.FILTER(SAC,(CName=SD!$C$8)*(EName="Vert Dowels")))</f>
        <v/>
      </c>
      <c r="CF92" t="str" cm="1">
        <f t="array" ref="CF92">IFERROR(IF(BY92="","",IF(K92="Coupler",_xlfn._xlws.FILTER(CCoupler,(CCName=SD!$C$8)*(CBSize=IF(A91=A92,W91&amp;W92,BX92&amp;W92))*(CCMFM="Male")),"")),"N/A")</f>
        <v/>
      </c>
      <c r="CG92" t="str">
        <f t="shared" si="40"/>
        <v/>
      </c>
      <c r="CH92" t="str">
        <f t="shared" si="41"/>
        <v/>
      </c>
      <c r="CI92" t="str">
        <f>_xlfn.LET(_xlpm.u3_value, U93,_xlpm.hyphen_pos,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K93="Coupler",_xlpm.coupler_value, IF(_xlpm.is_coupler, 0, _xlpm.calculated_value),_xlpm.final_value, _xlpm.calculated_value + SD!$E$13 + _xlpm.coupler_value,IF(CG92="", "", _xlpm.final_value))</f>
        <v/>
      </c>
      <c r="CJ92" t="str" cm="1">
        <f t="array" ref="CJ92">IF(CG92="","",_xlfn._xlws.FILTER(SAC,(CName=SD!$C$8)*(EName="Loose Dowels")))</f>
        <v/>
      </c>
      <c r="CK92" t="str" cm="1">
        <f t="array" ref="CK92">IFERROR(IF(CG92="","",IF(K93="Coupler",_xlfn._xlws.FILTER(CCoupler,(CCName=SD!$C$8)*(CBSize=IF(A92=A93,W92&amp;W93,""))*(CCMFM="Male")),"")),"N/A")</f>
        <v/>
      </c>
      <c r="CL92" t="str">
        <f>IFERROR(IF(AM92="Spiral","",IF(A91=A92,"",IF(SD!$C$37=0,"",SD!$C$37))),"")</f>
        <v/>
      </c>
      <c r="CN92">
        <f>IF(AM92="Spiral","",IFERROR(IF(SD!$C$36=0,"",SD!$C$36),""))</f>
        <v>5</v>
      </c>
      <c r="CP92" t="str">
        <f>IFERROR(IF(SD!$C$42=SD!$Q$3,'Take-off'!CA92,""),"")</f>
        <v/>
      </c>
      <c r="CR92">
        <f>IFERROR(IF(SD!$C$22=SD!$U$2,W92,SD!$C$22),"")</f>
        <v>0</v>
      </c>
      <c r="CS92" t="str" cm="1">
        <f t="array" ref="CS92">_xlfn.LET(_xlpm.GR,IF(AND(SD!$C$19=SD!$H$2,Grade!$G$1="Per level"),VLOOKUP(B92,Grade!$E$1:$F$200,2,FALSE),IF(AND(SD!$C$19=SD!$H$2,Grade!$G$1="Per Bar Size"),VLOOKUP(CR92,Grade!$B$1:$C$12,2,0),SD!$C$19)),IF(SD!$C$20=SD!$R$4,IF(A93=A92,"",INDEX(IF(_xlpm.GR=SD!$H$3,A615GR60,IF(_xlpm.GR=SD!$H$4,A615GR75,IF(_xlpm.GR=SD!$H$5,A615GR80,IF(_xlpm.GR=SD!H96,A615GR100,IF(_xlpm.GR=SD!$H$7,A706GR60,IF(_xlpm.GR=SD!$H$8,A706GR80)))))), MATCH(1, (BSize=CR92)*(BCName=SD!$C$8), 0))),""))</f>
        <v/>
      </c>
      <c r="CT92" t="str">
        <f>IF(A93=A92,"",IF(SD!$C$23="Match Vertical Bars ",X92,SD!$C$23))</f>
        <v/>
      </c>
      <c r="CU92" t="str" cm="1">
        <f t="array" ref="CU92">IF(A93=A92,"",IF(SD!$C$20="Top dowels",IF(SD!$E$25="No T-Head",IF(SD!$C$24=SD!$Q$3,VLOOKUP(CR92,S90Range,3,FALSE),LEFT(SD!$C$24,FIND("-",SD!$C$24)-1)+(RIGHT(SD!$C$24,LEN(SD!$C$24)-FIND("-",SD!$C$24))/12)),IF(SD!$E$25="T-Head",_xlfn._xlws.FILTER(THead,(TCName=SD!$C$8)*(TSize=CR92)),IF(SD!$E$25="Level Wise",_xlfn.LET(_xlpm.result,_xlfn.XLOOKUP(B92,TDLevel,TDLevelStatus,"No"),IF(_xlpm.result="Yes",_xlfn._xlws.FILTER(THead,(TCName=SD!$C$8)*(TSize=CR92)),IF(SD!$C$24=SD!$Q$3,VLOOKUP(CR92,S90Range,3,FALSE),LEFT(SD!$C$24,FIND("-",SD!$C$24)-1)+(RIGHT(SD!$C$24,LEN(SD!$C$24)-FIND("-", SD!$C$24))/12)))),IF(SD!$E$25="BarSize Wise",_xlfn.LET(_xlpm.result,_xlfn.XLOOKUP(CR92,TDBarSize,TDBarSizeStatus,"No"),IF(_xlpm.result="Yes",_xlfn._xlws.FILTER(THead,(TCName=SD!$C$8)*(TSize=CR92)),IF(SD!$C$24=SD!$Q$3,VLOOKUP(CR92,S90Range,3,FALSE),LEFT(SD!$C$24,FIND("-",SD!$C$24)-1)+(RIGHT(SD!$C$24,LEN(SD!$C$24)-FIND("-",SD!$C$24))/12)))), "")))),""))</f>
        <v/>
      </c>
      <c r="CV92" t="str">
        <f>_xlfn.LET(_xlpm.GRR,IF(AND(SD!$C$19=SD!$H$2,Grade!$G$1="Per level"),VLOOKUP(B92,Grade!$E$1:$F$200,2,FALSE),IF(AND(SD!$C$19=SD!$H$2,Grade!$G$1="Per Bar Size"),VLOOKUP(CR92,Grade!$B$1:$C$12,2,0),SD!$C$19)),IF(SD!$C$25=SD!$W$2,IF(Data!$J92="",IFERROR(INDEX(IF(SD!$C$11="Create",Lap!$A$3:$BF$14,IF(SD!$C$11="Per Uploaded File",Lap!$A$19:$BF$30,"")),MATCH(CR92,Lap!$A$3:$A$14,0),MATCH(VALUE(D92),Lap!$A$3:$BF$3,0)+IF(IFERROR(FIND("Grade 60",_xlpm.GRR),0)&gt;0,0,IF(IFERROR(FIND("Grade 80",_xlpm.GRR),0),1,IF(IFERROR(FIND("Grade 75",_xlpm.GRR),0),2,"")))),""),Data!J92),SD!$C$43))</f>
        <v>Match Lap</v>
      </c>
      <c r="CW92">
        <f t="shared" si="42"/>
        <v>0</v>
      </c>
      <c r="CX92">
        <f t="shared" si="43"/>
        <v>0</v>
      </c>
      <c r="CY92" t="str">
        <f t="shared" si="44"/>
        <v/>
      </c>
      <c r="DA92" t="str">
        <f t="shared" si="45"/>
        <v/>
      </c>
      <c r="DB92" t="str">
        <f t="shared" si="46"/>
        <v/>
      </c>
      <c r="DC92" s="24" t="str">
        <f t="shared" si="47"/>
        <v/>
      </c>
      <c r="DD92">
        <f t="shared" si="48"/>
        <v>10.583333333333334</v>
      </c>
      <c r="DE92" t="s">
        <v>785</v>
      </c>
      <c r="DF92" t="s">
        <v>67</v>
      </c>
      <c r="DG92" t="str">
        <f>VLOOKUP(W92,'Level Wise PSI'!$F$2:$G$12,2,FALSE)</f>
        <v>Double Lift</v>
      </c>
      <c r="DI92" t="str" cm="1">
        <f t="array" ref="DI92">_xlfn.LET(_xlpm.Coup,IFERROR(IF(BY92="","",IF(K92="Coupler",_xlfn._xlws.FILTER(CCFCoupler,(CCName=SD!$C$8)*(CBSize=IF(A91=A92,W91&amp;W92,BX92&amp;W92))),"")),"N/A"),IF(_xlpm.Coup=0,"",_xlpm.Coup))</f>
        <v/>
      </c>
      <c r="DJ92" t="str" cm="1">
        <f t="array" ref="DJ92">_xlfn.LET(_xlpm.Coup3,IFERROR(IF(CG92="","",IF(K93="Coupler",_xlfn._xlws.FILTER(CCFCoupler,(CCName=SD!$C$8)*(CBSize=IF(A92=A93,W92&amp;W93,""))),"")),"N/A"),IF(_xlpm.Coup3=0,"",_xlpm.Coup3))</f>
        <v/>
      </c>
      <c r="DK92" t="str" cm="1">
        <f t="array" ref="DK92">_xlfn.LET(_xlpm.Coup2,IFERROR(IF(A92&lt;&gt;A93,"",IF(DF92="No Lap","",IF(K93="Coupler",_xlfn._xlws.FILTER(CCFCoupler,(CCName=SD!$C$8)*(CBSize=IF(A91=A92,W92&amp;W93,W92&amp;W92))),""))),"N/A"),IF(_xlpm.Coup2=0,"",_xlpm.Coup2))</f>
        <v/>
      </c>
      <c r="DM92" t="str">
        <f>IF(AM92="Spiral","",IF(SD!$C$31=SD!$Y$3,SD!$E$32*2,""))</f>
        <v/>
      </c>
      <c r="DO92" s="24">
        <f t="shared" si="49"/>
        <v>2.5</v>
      </c>
      <c r="DQ92" t="str">
        <f t="shared" si="50"/>
        <v>Lig</v>
      </c>
      <c r="DR92" t="str">
        <f>IF(AM92="Spiral",((Y92-(SD!$E$12*2))/12),"")</f>
        <v/>
      </c>
      <c r="DS92" t="str">
        <f t="shared" si="51"/>
        <v/>
      </c>
      <c r="DT92" t="str">
        <f t="shared" si="52"/>
        <v/>
      </c>
      <c r="DU92" t="str">
        <f t="shared" si="53"/>
        <v/>
      </c>
    </row>
    <row r="93" spans="1:125" x14ac:dyDescent="0.25">
      <c r="A93">
        <v>34</v>
      </c>
      <c r="B93" t="s">
        <v>686</v>
      </c>
      <c r="C93" s="15">
        <v>2429</v>
      </c>
      <c r="D93" s="15">
        <v>10000</v>
      </c>
      <c r="E93" t="str">
        <f>IF(B93=Level!$A$2,SD!$C$14,SD!$C$13)</f>
        <v>0-8</v>
      </c>
      <c r="F93" s="15" t="s">
        <v>787</v>
      </c>
      <c r="G93" t="s">
        <v>742</v>
      </c>
      <c r="H93" t="str">
        <f>RIGHT(VLOOKUP(B93,Level!A:C,3,FALSE),LEN(VLOOKUP(B93,Level!A:C,3,FALSE))-1)</f>
        <v>10-7</v>
      </c>
      <c r="I93" t="s">
        <v>743</v>
      </c>
      <c r="J93" t="str">
        <f>IF(AND(SD!$C$19=SD!$H$2,Grade!$G$1="Per level"),VLOOKUP(B93,Grade!$E$1:$F$200,2,FALSE),IF(AND(SD!$C$19=SD!$H$2,Grade!$G$1="Per Bar Size"),VLOOKUP(W93,Grade!$B$1:$C$12,2,0),SD!$C$19))</f>
        <v>A615 Grade 60</v>
      </c>
      <c r="K93" t="s">
        <v>67</v>
      </c>
      <c r="L93" t="str">
        <f>IFERROR(IF(A93&lt;&gt;A94,"",IF(DF93="No Lap","",IF(K94="Lap",U93,IF(K94="Coupler",_xlfn._xlws.FILTER(CCoupler,(CCName=SD!$C$8)*(CBSize=IF(A92=A93,W93&amp;W94,W93&amp;W93))*(CCMFM="Male")),"")))),"N/A")</f>
        <v>5-1</v>
      </c>
      <c r="M93" t="str">
        <f t="shared" si="27"/>
        <v/>
      </c>
      <c r="N93" t="s">
        <v>719</v>
      </c>
      <c r="O93" t="s">
        <v>720</v>
      </c>
      <c r="P93" t="s">
        <v>719</v>
      </c>
      <c r="Q93" t="str">
        <f>IF(AND(SD!$C$29=SD!$P$2,Grade!$O$1="Per level"),VLOOKUP(B93,Grade!$M$1:$N$200,2,FALSE),IF(AND(SD!$C$29=SD!$P$2,Grade!$O$1="Per Bar Size"),VLOOKUP(LEFT(N93,FIND("@",N93)-2),Grade!$J$1:$K$12,2,0),SD!$C$29))</f>
        <v>A615 Grade 60</v>
      </c>
      <c r="R93" t="s">
        <v>742</v>
      </c>
      <c r="S93" s="57">
        <v>93</v>
      </c>
      <c r="U93" t="str">
        <f>IF(Data!$J93="",IFERROR(INDEX(IF(SD!$C$11="Create",Lap!$A$3:$BF$14,IF(SD!$C$11="Per Uploaded File",Lap!$A$19:$BF$30,"")),MATCH(W93,Lap!$A$3:$A$14,0),MATCH(VALUE(D93),Lap!$A$3:$BF$3,0)+IF(IFERROR(FIND("Grade 60",J93),0)&gt;0,0,IF(IFERROR(FIND("Grade 80",J93),0),1,IF(IFERROR(FIND("Grade 75",J93),0),2,"")))),""),Data!J93)</f>
        <v>5-1</v>
      </c>
      <c r="W93" t="s">
        <v>176</v>
      </c>
      <c r="X93">
        <v>6</v>
      </c>
      <c r="Y93" t="str">
        <f t="shared" si="28"/>
        <v>30</v>
      </c>
      <c r="Z93">
        <f t="shared" si="29"/>
        <v>0</v>
      </c>
      <c r="AA93" s="24">
        <f t="shared" si="30"/>
        <v>15.666666666666666</v>
      </c>
      <c r="BB93" t="e" cm="1">
        <f t="array" ref="BB93">_xlfn.LET(_xlpm.PartF,(_xlfn.LET(_xlpm.grade, Q93,_xlpm.gradeRange, IF(_xlpm.grade=SD!$H$3, A615GR60, IF(_xlpm.grade=SD!$H$4, A615GR75, IF(_xlpm.grade=SD!$H$5, A615GR80, IF(_xlpm.grade=SD!$H$6, A615GR100, IF(_xlpm.grade=SD!$H$7, A706GR60, IF(_xlpm.grade=SD!$H$8, A706GR80)))))),_xlpm.matchValue, MATCH(1, (SD!$AW:$AW=AS93)*(SD!$AX:$AX=SD!$C$8), 0),INDEX(_xlpm.gradeRange, _xlpm.matchValue))),IF(AM93="Spiral",CONCATENATE("SP",_xlpm.PartF),_xlpm.PartF))</f>
        <v>#N/A</v>
      </c>
      <c r="BC93" cm="1">
        <f t="array" ref="BC93">_xlfn.LET(_xlpm.leftPart, LEFT(O93, FIND("@", O93) - 2),_xlpm.grade,Q93,_xlpm.gradeRange,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3" cm="1">
        <f t="array" ref="BD93">_xlfn.LET(_xlpm.leftPart, LEFT(P93, FIND("@", P93) - 2),_xlpm.grade, Q93,_xlpm.gradeRange,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3">
        <f t="shared" si="31"/>
        <v>2.5</v>
      </c>
      <c r="BF93">
        <f>IF(SD!$C$32=SD!$I$2,BE93,IF(SD!$C$32=SD!$I$3,DO93,IF(SD!$C$32=SD!$I$5,BA93,IF(SD!$C$32=SD!$I$6,(LEFT(SD!$C$35,FIND("-",SD!$C$35)-1)+RIGHT(SD!$C$35,LEN(SD!$C$35)-FIND("-",SD!$C$35))/12),IF(SD!$C$32=SD!$I$4,(AU93-(BG93+BH93)))))))</f>
        <v>0</v>
      </c>
      <c r="BG93">
        <f>IF(SD!$C$33=SD!$I$2,BE93,IF(SD!$C$33=SD!$I$3,DO93,IF(SD!$C$33=SD!$I$5,BA93,IF(SD!$C$33=SD!$I$6,(LEFT(SD!$C$35,FIND("-",SD!$C$35)-1)+RIGHT(SD!$C$35,LEN(SD!$C$35)-FIND("-",SD!$C$35))/12),IF(SD!$C$33=SD!$I$4,(AU93-(BF93+BH93)))))))</f>
        <v>-1</v>
      </c>
      <c r="BH93">
        <f>IF(SD!$C$34=SD!$I$2,BE93,IF(SD!$C$34=SD!$I$3,DO93,IF(SD!$C$34=SD!$I$5,BA93,IF(SD!$C$34=SD!$I$6,(LEFT(SD!$C$35,FIND("-",SD!$C$35)-1)+RIGHT(SD!$C$35,LEN(SD!$C$35)-FIND("-",SD!$C$35))/12),IF(SD!$C$34=SD!$I$4,(AU93-(BF93+BG93)))))))</f>
        <v>1</v>
      </c>
      <c r="BJ93">
        <f>IF(AM93="Spiral","1",MAX(ROUNDUP(IF(SD!$C$32="",AT93,BF93/(LEFT(RIGHT(N93,LEN(N93)-FIND("@",N93)),LEN(RIGHT(N93,LEN(N93)-FIND("@",N93)))-1)/12)+1),0),0))</f>
        <v>1</v>
      </c>
      <c r="BK93">
        <f>MAX(ROUNDUP(IF(SD!$C$33="","",BG93/(LEFT(RIGHT(O93,LEN(O93)-FIND("@",O93)),LEN(RIGHT(O93,LEN(O93)-FIND("@",O93)))-1)/12)+1),0),0)</f>
        <v>0</v>
      </c>
      <c r="BL93">
        <f>MAX(ROUNDUP(IF(SD!$C$34="","",BH93/(LEFT(RIGHT(P93,LEN(P93)-FIND("@",P93)),LEN(RIGHT(P93,LEN(P93)-FIND("@",P93)))-1)/12)+1),0),0)</f>
        <v>3</v>
      </c>
      <c r="BN93" t="e">
        <f t="shared" si="32"/>
        <v>#N/A</v>
      </c>
      <c r="BO93" t="e">
        <f t="shared" si="33"/>
        <v>#N/A</v>
      </c>
      <c r="BP93" t="e">
        <f t="shared" si="34"/>
        <v>#N/A</v>
      </c>
      <c r="BQ93" s="24" t="e">
        <f>IF(AM93=TRUE,(((Y93-(SD!$E$12*2))*3.14159265359)+BN93+BO93+BP93)/12+AL93,SUM(AF93:AG93,BN93,BO93,BP93,AO93,AQ93)/12)</f>
        <v>#N/A</v>
      </c>
      <c r="BR93" t="e">
        <f t="shared" si="35"/>
        <v>#N/A</v>
      </c>
      <c r="BS93" t="e">
        <f t="shared" si="36"/>
        <v>#N/A</v>
      </c>
      <c r="BT93" t="e">
        <f t="shared" si="37"/>
        <v>#N/A</v>
      </c>
      <c r="BU93" s="24" t="e">
        <f>IF(AM93=TRUE,(((Y93-(SD!$E$12*2))*3.14159265359)+BR93+BS93+BT93)/12+AL93,SUM(AF93:AG93,BR93,BS93,BT93,AO93,AQ93)/12)</f>
        <v>#N/A</v>
      </c>
      <c r="BW93" t="str">
        <f>IFERROR(LEFT(Data!L93,FIND(" -",Data!L93)-1),"")</f>
        <v/>
      </c>
      <c r="BX93" t="str">
        <f>IFERROR(IF(SD!$C$40=SD!$U$2,W93,IF(SD!$C$40=SD!$U$3,RIGHT(Data!L93,LEN(Data!L93)-(FIND("-",Data!L93)+1)),SD!$C$40)),"")</f>
        <v>#10</v>
      </c>
      <c r="BY93" t="str" cm="1">
        <f t="array" ref="BY93">IFERROR(_xlfn.LET(_xlpm.GRR,IF(AND(SD!$C$19=SD!$H$2,Grade!$G$1="Per level"),VLOOKUP(B93,Grade!$E$1:$F$200,2,FALSE),IF(AND(SD!$C$19=SD!$H$2,Grade!$G$1="Per Bar Size"),VLOOKUP(BX93,Grade!$B$1:$C$12,2,0),SD!$C$19)),_xlpm.is_equal, A92=A93,_xlpm.grade_range, IF(_xlpm.GRR=SD!$H$3, A615GR60,IF(_xlpm.GRR=SD!$H$4, A615GR75,IF(_xlpm.GRR=SD!$H$5, A615GR80,IF(_xlpm.GRR=SD!H97, A615GR100,IF(_xlpm.GRR=SD!$H$7, A706GR60,IF(_xlpm.GRR=SD!$H$8, A706GR80)))))),_xlpm.match_result, MATCH(1, (BSize=BX93)*(BCName=SD!$C$8), 0),_xlpm.final_result, INDEX(_xlpm.grade_range, _xlpm.match_result),IF(_xlpm.is_equal, "", _xlpm.final_result)),"")</f>
        <v/>
      </c>
      <c r="BZ93" t="str">
        <f>IF(A92=A93,"",IF(SD!$C$41="Match Vertical Bars ",X93,IF(SD!$C$41=SD!$V$3,BW93,SD!$C$41)))</f>
        <v/>
      </c>
      <c r="CA93" t="str" cm="1">
        <f t="array" ref="CA93">IF(A92=A93,"",IF(SD!$C$44="No T-Head",IF(SD!$C$42=SD!$Q$3,VLOOKUP(BX93,S90Range,3,FALSE),LEFT(SD!$C$42,FIND("-",SD!$C$42)-1)+(RIGHT(SD!$C$42,LEN(SD!$C$42)-FIND("-",SD!$C$42))/12)),IF(SD!$C$44="T-Head",_xlfn._xlws.FILTER(THead,(TCName=SD!$C$8)*(TSize=BX93)),IF(SD!$C$44="Level Wise",_xlfn.LET(_xlpm.result,_xlfn.XLOOKUP(B93,VDLevel,VDLevelStatus,"No"),IF(_xlpm.result="Yes",_xlfn._xlws.FILTER(THead,(TCName=SD!$C$8)*(TSize=BX93)),IF(SD!$C$42=SD!$Q$3,VLOOKUP(BX93,S90Range,3,FALSE),LEFT(SD!$C$42,FIND("-",SD!$C$42)-1)+(RIGHT(SD!$C$42,LEN(SD!$C$42)-FIND("-", SD!$C$42))/12)))),IF(SD!$C$44="BarSize Wise",_xlfn.LET(_xlpm.result,_xlfn.XLOOKUP(BX93,VDBarSize,VDBarSizeStatus,"No"),IF(_xlpm.result="Yes",_xlfn._xlws.FILTER(THead,(TCName=SD!$C$8)*(TSize=BX93)),IF(SD!$C$42=SD!$Q$3,VLOOKUP(BX93,S90Range,3,FALSE),LEFT(SD!$C$42,FIND("-",SD!$C$42)-1)+(RIGHT(SD!$C$42,LEN(SD!$C$42)-FIND("-",SD!$C$42))/12)))), "")))))</f>
        <v/>
      </c>
      <c r="CB93" t="str" cm="1">
        <f t="array" ref="CB93">_xlfn.LET(_xlpm.GRR,IF(AND(SD!$C$19=SD!$H$2,Grade!$G$1="Per level"),VLOOKUP(B93,Grade!$E$1:$F$200,2,FALSE),IF(AND(SD!$C$19=SD!$H$2,Grade!$G$1="Per Bar Size"),VLOOKUP(BX93,Grade!$B$1:$C$12,2,0),SD!$C$19)),_xlpm.is_coupler, K93="Coupler",_xlpm.condition1, SD!$C$43=SD!$W$2,_xlpm.data_j2_empty, Data!$J93="",_xlpm.lookup_table, IF(SD!$C$11="Create", Lap!$A$3:$BF$14, IF(SD!$C$11="Per Uploaded File", Lap!$A$19:$BF$30, "")),_xlpm.row_match, MATCH(BX93, Lap!$A$3:$A$14, 0),_xlpm.grade_offset, IF(IFERROR(FIND("Grade 60",_xlpm.GRR), 0) &gt; 0, 0, IF(IFERROR(FIND("Grade 80",_xlpm.GRR), 0), 1, IF(IFERROR(FIND("Grade 75",_xlpm.GRR), 0), 2, ""))),_xlpm.col_match, MATCH(VALUE(D93), Lap!$A$3:$BF$3, 0) + _xlpm.grade_offset,_xlpm.index_result, IFERROR(INDEX(_xlpm.lookup_table, _xlpm.row_match, _xlpm.col_match), Data!$J93),_xlpm.result_if_condition1, IF(_xlpm.data_j2_empty, _xlpm.index_result, Data!$J93),IF(_xlpm.is_coupler, 0, IF(_xlpm.condition1, _xlpm.result_if_condition1, SD!$C$43)))</f>
        <v>5-1</v>
      </c>
      <c r="CC93" s="24">
        <f t="shared" si="38"/>
        <v>5.083333333333333</v>
      </c>
      <c r="CD93">
        <f t="shared" si="39"/>
        <v>5.75</v>
      </c>
      <c r="CE93" t="str" cm="1">
        <f t="array" ref="CE93">IF(BY93="","",_xlfn._xlws.FILTER(SAC,(CName=SD!$C$8)*(EName="Vert Dowels")))</f>
        <v/>
      </c>
      <c r="CF93" t="str" cm="1">
        <f t="array" ref="CF93">IFERROR(IF(BY93="","",IF(K93="Coupler",_xlfn._xlws.FILTER(CCoupler,(CCName=SD!$C$8)*(CBSize=IF(A92=A93,W92&amp;W93,BX93&amp;W93))*(CCMFM="Male")),"")),"N/A")</f>
        <v/>
      </c>
      <c r="CG93" t="str">
        <f t="shared" si="40"/>
        <v/>
      </c>
      <c r="CH93" t="str">
        <f t="shared" si="41"/>
        <v/>
      </c>
      <c r="CI93" t="str">
        <f>_xlfn.LET(_xlpm.u3_value, U94,_xlpm.hyphen_pos,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K94="Coupler",_xlpm.coupler_value, IF(_xlpm.is_coupler, 0, _xlpm.calculated_value),_xlpm.final_value, _xlpm.calculated_value + SD!$E$13 + _xlpm.coupler_value,IF(CG93="", "", _xlpm.final_value))</f>
        <v/>
      </c>
      <c r="CJ93" t="str" cm="1">
        <f t="array" ref="CJ93">IF(CG93="","",_xlfn._xlws.FILTER(SAC,(CName=SD!$C$8)*(EName="Loose Dowels")))</f>
        <v/>
      </c>
      <c r="CK93" t="str" cm="1">
        <f t="array" ref="CK93">IFERROR(IF(CG93="","",IF(K94="Coupler",_xlfn._xlws.FILTER(CCoupler,(CCName=SD!$C$8)*(CBSize=IF(A93=A94,W93&amp;W94,""))*(CCMFM="Male")),"")),"N/A")</f>
        <v/>
      </c>
      <c r="CL93" t="str">
        <f>IFERROR(IF(AM93="Spiral","",IF(A92=A93,"",IF(SD!$C$37=0,"",SD!$C$37))),"")</f>
        <v/>
      </c>
      <c r="CN93">
        <f>IF(AM93="Spiral","",IFERROR(IF(SD!$C$36=0,"",SD!$C$36),""))</f>
        <v>5</v>
      </c>
      <c r="CP93" t="str">
        <f>IFERROR(IF(SD!$C$42=SD!$Q$3,'Take-off'!CA93,""),"")</f>
        <v/>
      </c>
      <c r="CR93">
        <f>IFERROR(IF(SD!$C$22=SD!$U$2,W93,SD!$C$22),"")</f>
        <v>0</v>
      </c>
      <c r="CS93" t="str" cm="1">
        <f t="array" ref="CS93">_xlfn.LET(_xlpm.GR,IF(AND(SD!$C$19=SD!$H$2,Grade!$G$1="Per level"),VLOOKUP(B93,Grade!$E$1:$F$200,2,FALSE),IF(AND(SD!$C$19=SD!$H$2,Grade!$G$1="Per Bar Size"),VLOOKUP(CR93,Grade!$B$1:$C$12,2,0),SD!$C$19)),IF(SD!$C$20=SD!$R$4,IF(A94=A93,"",INDEX(IF(_xlpm.GR=SD!$H$3,A615GR60,IF(_xlpm.GR=SD!$H$4,A615GR75,IF(_xlpm.GR=SD!$H$5,A615GR80,IF(_xlpm.GR=SD!H97,A615GR100,IF(_xlpm.GR=SD!$H$7,A706GR60,IF(_xlpm.GR=SD!$H$8,A706GR80)))))), MATCH(1, (BSize=CR93)*(BCName=SD!$C$8), 0))),""))</f>
        <v/>
      </c>
      <c r="CT93" t="str">
        <f>IF(A94=A93,"",IF(SD!$C$23="Match Vertical Bars ",X93,SD!$C$23))</f>
        <v/>
      </c>
      <c r="CU93" t="str" cm="1">
        <f t="array" ref="CU93">IF(A94=A93,"",IF(SD!$C$20="Top dowels",IF(SD!$E$25="No T-Head",IF(SD!$C$24=SD!$Q$3,VLOOKUP(CR93,S90Range,3,FALSE),LEFT(SD!$C$24,FIND("-",SD!$C$24)-1)+(RIGHT(SD!$C$24,LEN(SD!$C$24)-FIND("-",SD!$C$24))/12)),IF(SD!$E$25="T-Head",_xlfn._xlws.FILTER(THead,(TCName=SD!$C$8)*(TSize=CR93)),IF(SD!$E$25="Level Wise",_xlfn.LET(_xlpm.result,_xlfn.XLOOKUP(B93,TDLevel,TDLevelStatus,"No"),IF(_xlpm.result="Yes",_xlfn._xlws.FILTER(THead,(TCName=SD!$C$8)*(TSize=CR93)),IF(SD!$C$24=SD!$Q$3,VLOOKUP(CR93,S90Range,3,FALSE),LEFT(SD!$C$24,FIND("-",SD!$C$24)-1)+(RIGHT(SD!$C$24,LEN(SD!$C$24)-FIND("-", SD!$C$24))/12)))),IF(SD!$E$25="BarSize Wise",_xlfn.LET(_xlpm.result,_xlfn.XLOOKUP(CR93,TDBarSize,TDBarSizeStatus,"No"),IF(_xlpm.result="Yes",_xlfn._xlws.FILTER(THead,(TCName=SD!$C$8)*(TSize=CR93)),IF(SD!$C$24=SD!$Q$3,VLOOKUP(CR93,S90Range,3,FALSE),LEFT(SD!$C$24,FIND("-",SD!$C$24)-1)+(RIGHT(SD!$C$24,LEN(SD!$C$24)-FIND("-",SD!$C$24))/12)))), "")))),""))</f>
        <v/>
      </c>
      <c r="CV93" t="str">
        <f>_xlfn.LET(_xlpm.GRR,IF(AND(SD!$C$19=SD!$H$2,Grade!$G$1="Per level"),VLOOKUP(B93,Grade!$E$1:$F$200,2,FALSE),IF(AND(SD!$C$19=SD!$H$2,Grade!$G$1="Per Bar Size"),VLOOKUP(CR93,Grade!$B$1:$C$12,2,0),SD!$C$19)),IF(SD!$C$25=SD!$W$2,IF(Data!$J93="",IFERROR(INDEX(IF(SD!$C$11="Create",Lap!$A$3:$BF$14,IF(SD!$C$11="Per Uploaded File",Lap!$A$19:$BF$30,"")),MATCH(CR93,Lap!$A$3:$A$14,0),MATCH(VALUE(D93),Lap!$A$3:$BF$3,0)+IF(IFERROR(FIND("Grade 60",_xlpm.GRR),0)&gt;0,0,IF(IFERROR(FIND("Grade 80",_xlpm.GRR),0),1,IF(IFERROR(FIND("Grade 75",_xlpm.GRR),0),2,"")))),""),Data!J93),SD!$C$43))</f>
        <v>Match Lap</v>
      </c>
      <c r="CW93">
        <f t="shared" si="42"/>
        <v>0</v>
      </c>
      <c r="CX93">
        <f t="shared" si="43"/>
        <v>0</v>
      </c>
      <c r="CY93" t="str">
        <f t="shared" si="44"/>
        <v/>
      </c>
      <c r="DA93" t="str">
        <f t="shared" si="45"/>
        <v/>
      </c>
      <c r="DB93" t="str">
        <f t="shared" si="46"/>
        <v/>
      </c>
      <c r="DC93" s="24" t="str">
        <f t="shared" si="47"/>
        <v/>
      </c>
      <c r="DD93">
        <f t="shared" si="48"/>
        <v>10.583333333333334</v>
      </c>
      <c r="DE93" t="s">
        <v>785</v>
      </c>
      <c r="DF93" t="s">
        <v>67</v>
      </c>
      <c r="DG93" t="str">
        <f>VLOOKUP(W93,'Level Wise PSI'!$F$2:$G$12,2,FALSE)</f>
        <v>Double Lift</v>
      </c>
      <c r="DI93" t="str" cm="1">
        <f t="array" ref="DI93">_xlfn.LET(_xlpm.Coup,IFERROR(IF(BY93="","",IF(K93="Coupler",_xlfn._xlws.FILTER(CCFCoupler,(CCName=SD!$C$8)*(CBSize=IF(A92=A93,W92&amp;W93,BX93&amp;W93))),"")),"N/A"),IF(_xlpm.Coup=0,"",_xlpm.Coup))</f>
        <v/>
      </c>
      <c r="DJ93" t="str" cm="1">
        <f t="array" ref="DJ93">_xlfn.LET(_xlpm.Coup3,IFERROR(IF(CG93="","",IF(K94="Coupler",_xlfn._xlws.FILTER(CCFCoupler,(CCName=SD!$C$8)*(CBSize=IF(A93=A94,W93&amp;W94,""))),"")),"N/A"),IF(_xlpm.Coup3=0,"",_xlpm.Coup3))</f>
        <v/>
      </c>
      <c r="DK93" t="str" cm="1">
        <f t="array" ref="DK93">_xlfn.LET(_xlpm.Coup2,IFERROR(IF(A93&lt;&gt;A94,"",IF(DF93="No Lap","",IF(K94="Coupler",_xlfn._xlws.FILTER(CCFCoupler,(CCName=SD!$C$8)*(CBSize=IF(A92=A93,W93&amp;W94,W93&amp;W93))),""))),"N/A"),IF(_xlpm.Coup2=0,"",_xlpm.Coup2))</f>
        <v/>
      </c>
      <c r="DM93" t="str">
        <f>IF(AM93="Spiral","",IF(SD!$C$31=SD!$Y$3,SD!$E$32*2,""))</f>
        <v/>
      </c>
      <c r="DO93" s="24">
        <f t="shared" si="49"/>
        <v>2.5</v>
      </c>
      <c r="DQ93" t="str">
        <f t="shared" si="50"/>
        <v>Lig</v>
      </c>
      <c r="DR93" t="str">
        <f>IF(AM93="Spiral",((Y93-(SD!$E$12*2))/12),"")</f>
        <v/>
      </c>
      <c r="DS93" t="str">
        <f t="shared" si="51"/>
        <v/>
      </c>
      <c r="DT93" t="str">
        <f t="shared" si="52"/>
        <v/>
      </c>
      <c r="DU93" t="str">
        <f t="shared" si="53"/>
        <v/>
      </c>
    </row>
    <row r="94" spans="1:125" x14ac:dyDescent="0.25">
      <c r="A94">
        <v>34</v>
      </c>
      <c r="B94" t="s">
        <v>688</v>
      </c>
      <c r="C94" s="15">
        <v>2429</v>
      </c>
      <c r="D94" s="15">
        <v>10000</v>
      </c>
      <c r="E94" t="str">
        <f>IF(B94=Level!$A$2,SD!$C$14,SD!$C$13)</f>
        <v>0-8</v>
      </c>
      <c r="F94" s="15" t="s">
        <v>787</v>
      </c>
      <c r="G94" t="s">
        <v>742</v>
      </c>
      <c r="H94" t="str">
        <f>RIGHT(VLOOKUP(B94,Level!A:C,3,FALSE),LEN(VLOOKUP(B94,Level!A:C,3,FALSE))-1)</f>
        <v>10-7</v>
      </c>
      <c r="I94" t="s">
        <v>744</v>
      </c>
      <c r="J94" t="str">
        <f>IF(AND(SD!$C$19=SD!$H$2,Grade!$G$1="Per level"),VLOOKUP(B94,Grade!$E$1:$F$200,2,FALSE),IF(AND(SD!$C$19=SD!$H$2,Grade!$G$1="Per Bar Size"),VLOOKUP(W94,Grade!$B$1:$C$12,2,0),SD!$C$19))</f>
        <v>A615 Grade 60</v>
      </c>
      <c r="K94" t="s">
        <v>67</v>
      </c>
      <c r="L94" t="str">
        <f>IFERROR(IF(A94&lt;&gt;A95,"",IF(DF94="No Lap","",IF(K95="Lap",U94,IF(K95="Coupler",_xlfn._xlws.FILTER(CCoupler,(CCName=SD!$C$8)*(CBSize=IF(A93=A94,W94&amp;W95,W94&amp;W94))*(CCMFM="Male")),"")))),"N/A")</f>
        <v/>
      </c>
      <c r="M94" t="str">
        <f t="shared" si="27"/>
        <v/>
      </c>
      <c r="N94" t="s">
        <v>719</v>
      </c>
      <c r="O94" t="s">
        <v>720</v>
      </c>
      <c r="P94" t="s">
        <v>719</v>
      </c>
      <c r="Q94" t="str">
        <f>IF(AND(SD!$C$29=SD!$P$2,Grade!$O$1="Per level"),VLOOKUP(B94,Grade!$M$1:$N$200,2,FALSE),IF(AND(SD!$C$29=SD!$P$2,Grade!$O$1="Per Bar Size"),VLOOKUP(LEFT(N94,FIND("@",N94)-2),Grade!$J$1:$K$12,2,0),SD!$C$29))</f>
        <v>A615 Grade 60</v>
      </c>
      <c r="R94" t="s">
        <v>742</v>
      </c>
      <c r="S94" s="57">
        <v>94</v>
      </c>
      <c r="U94" t="str">
        <f>IF(Data!$J94="",IFERROR(INDEX(IF(SD!$C$11="Create",Lap!$A$3:$BF$14,IF(SD!$C$11="Per Uploaded File",Lap!$A$19:$BF$30,"")),MATCH(W94,Lap!$A$3:$A$14,0),MATCH(VALUE(D94),Lap!$A$3:$BF$3,0)+IF(IFERROR(FIND("Grade 60",J94),0)&gt;0,0,IF(IFERROR(FIND("Grade 80",J94),0),1,IF(IFERROR(FIND("Grade 75",J94),0),2,"")))),""),Data!J94)</f>
        <v>4-0</v>
      </c>
      <c r="W94" t="s">
        <v>151</v>
      </c>
      <c r="X94">
        <v>10</v>
      </c>
      <c r="Y94" t="str">
        <f t="shared" si="28"/>
        <v>30</v>
      </c>
      <c r="Z94">
        <f t="shared" si="29"/>
        <v>0</v>
      </c>
      <c r="AA94" s="24">
        <f t="shared" si="30"/>
        <v>10.583333333333334</v>
      </c>
      <c r="BB94" t="e" cm="1">
        <f t="array" ref="BB94">_xlfn.LET(_xlpm.PartF,(_xlfn.LET(_xlpm.grade, Q94,_xlpm.gradeRange, IF(_xlpm.grade=SD!$H$3, A615GR60, IF(_xlpm.grade=SD!$H$4, A615GR75, IF(_xlpm.grade=SD!$H$5, A615GR80, IF(_xlpm.grade=SD!$H$6, A615GR100, IF(_xlpm.grade=SD!$H$7, A706GR60, IF(_xlpm.grade=SD!$H$8, A706GR80)))))),_xlpm.matchValue, MATCH(1, (SD!$AW:$AW=AS94)*(SD!$AX:$AX=SD!$C$8), 0),INDEX(_xlpm.gradeRange, _xlpm.matchValue))),IF(AM94="Spiral",CONCATENATE("SP",_xlpm.PartF),_xlpm.PartF))</f>
        <v>#N/A</v>
      </c>
      <c r="BC94" cm="1">
        <f t="array" ref="BC94">_xlfn.LET(_xlpm.leftPart, LEFT(O94, FIND("@", O94) - 2),_xlpm.grade,Q94,_xlpm.gradeRange,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4" cm="1">
        <f t="array" ref="BD94">_xlfn.LET(_xlpm.leftPart, LEFT(P94, FIND("@", P94) - 2),_xlpm.grade, Q94,_xlpm.gradeRange,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4">
        <f t="shared" si="31"/>
        <v>2.5</v>
      </c>
      <c r="BF94">
        <f>IF(SD!$C$32=SD!$I$2,BE94,IF(SD!$C$32=SD!$I$3,DO94,IF(SD!$C$32=SD!$I$5,BA94,IF(SD!$C$32=SD!$I$6,(LEFT(SD!$C$35,FIND("-",SD!$C$35)-1)+RIGHT(SD!$C$35,LEN(SD!$C$35)-FIND("-",SD!$C$35))/12),IF(SD!$C$32=SD!$I$4,(AU94-(BG94+BH94)))))))</f>
        <v>0</v>
      </c>
      <c r="BG94">
        <f>IF(SD!$C$33=SD!$I$2,BE94,IF(SD!$C$33=SD!$I$3,DO94,IF(SD!$C$33=SD!$I$5,BA94,IF(SD!$C$33=SD!$I$6,(LEFT(SD!$C$35,FIND("-",SD!$C$35)-1)+RIGHT(SD!$C$35,LEN(SD!$C$35)-FIND("-",SD!$C$35))/12),IF(SD!$C$33=SD!$I$4,(AU94-(BF94+BH94)))))))</f>
        <v>-1</v>
      </c>
      <c r="BH94">
        <f>IF(SD!$C$34=SD!$I$2,BE94,IF(SD!$C$34=SD!$I$3,DO94,IF(SD!$C$34=SD!$I$5,BA94,IF(SD!$C$34=SD!$I$6,(LEFT(SD!$C$35,FIND("-",SD!$C$35)-1)+RIGHT(SD!$C$35,LEN(SD!$C$35)-FIND("-",SD!$C$35))/12),IF(SD!$C$34=SD!$I$4,(AU94-(BF94+BG94)))))))</f>
        <v>1</v>
      </c>
      <c r="BJ94">
        <f>IF(AM94="Spiral","1",MAX(ROUNDUP(IF(SD!$C$32="",AT94,BF94/(LEFT(RIGHT(N94,LEN(N94)-FIND("@",N94)),LEN(RIGHT(N94,LEN(N94)-FIND("@",N94)))-1)/12)+1),0),0))</f>
        <v>1</v>
      </c>
      <c r="BK94">
        <f>MAX(ROUNDUP(IF(SD!$C$33="","",BG94/(LEFT(RIGHT(O94,LEN(O94)-FIND("@",O94)),LEN(RIGHT(O94,LEN(O94)-FIND("@",O94)))-1)/12)+1),0),0)</f>
        <v>0</v>
      </c>
      <c r="BL94">
        <f>MAX(ROUNDUP(IF(SD!$C$34="","",BH94/(LEFT(RIGHT(P94,LEN(P94)-FIND("@",P94)),LEN(RIGHT(P94,LEN(P94)-FIND("@",P94)))-1)/12)+1),0),0)</f>
        <v>3</v>
      </c>
      <c r="BN94" t="e">
        <f t="shared" si="32"/>
        <v>#N/A</v>
      </c>
      <c r="BO94" t="e">
        <f t="shared" si="33"/>
        <v>#N/A</v>
      </c>
      <c r="BP94" t="e">
        <f t="shared" si="34"/>
        <v>#N/A</v>
      </c>
      <c r="BQ94" s="24" t="e">
        <f>IF(AM94=TRUE,(((Y94-(SD!$E$12*2))*3.14159265359)+BN94+BO94+BP94)/12+AL94,SUM(AF94:AG94,BN94,BO94,BP94,AO94,AQ94)/12)</f>
        <v>#N/A</v>
      </c>
      <c r="BR94" t="e">
        <f t="shared" si="35"/>
        <v>#N/A</v>
      </c>
      <c r="BS94" t="e">
        <f t="shared" si="36"/>
        <v>#N/A</v>
      </c>
      <c r="BT94" t="e">
        <f t="shared" si="37"/>
        <v>#N/A</v>
      </c>
      <c r="BU94" s="24" t="e">
        <f>IF(AM94=TRUE,(((Y94-(SD!$E$12*2))*3.14159265359)+BR94+BS94+BT94)/12+AL94,SUM(AF94:AG94,BR94,BS94,BT94,AO94,AQ94)/12)</f>
        <v>#N/A</v>
      </c>
      <c r="BW94" t="str">
        <f>IFERROR(LEFT(Data!L94,FIND(" -",Data!L94)-1),"")</f>
        <v/>
      </c>
      <c r="BX94" t="str">
        <f>IFERROR(IF(SD!$C$40=SD!$U$2,W94,IF(SD!$C$40=SD!$U$3,RIGHT(Data!L94,LEN(Data!L94)-(FIND("-",Data!L94)+1)),SD!$C$40)),"")</f>
        <v>#8</v>
      </c>
      <c r="BY94" t="str" cm="1">
        <f t="array" ref="BY94">IFERROR(_xlfn.LET(_xlpm.GRR,IF(AND(SD!$C$19=SD!$H$2,Grade!$G$1="Per level"),VLOOKUP(B94,Grade!$E$1:$F$200,2,FALSE),IF(AND(SD!$C$19=SD!$H$2,Grade!$G$1="Per Bar Size"),VLOOKUP(BX94,Grade!$B$1:$C$12,2,0),SD!$C$19)),_xlpm.is_equal, A93=A94,_xlpm.grade_range, IF(_xlpm.GRR=SD!$H$3, A615GR60,IF(_xlpm.GRR=SD!$H$4, A615GR75,IF(_xlpm.GRR=SD!$H$5, A615GR80,IF(_xlpm.GRR=SD!H98, A615GR100,IF(_xlpm.GRR=SD!$H$7, A706GR60,IF(_xlpm.GRR=SD!$H$8, A706GR80)))))),_xlpm.match_result, MATCH(1, (BSize=BX94)*(BCName=SD!$C$8), 0),_xlpm.final_result, INDEX(_xlpm.grade_range, _xlpm.match_result),IF(_xlpm.is_equal, "", _xlpm.final_result)),"")</f>
        <v/>
      </c>
      <c r="BZ94" t="str">
        <f>IF(A93=A94,"",IF(SD!$C$41="Match Vertical Bars ",X94,IF(SD!$C$41=SD!$V$3,BW94,SD!$C$41)))</f>
        <v/>
      </c>
      <c r="CA94" t="str" cm="1">
        <f t="array" ref="CA94">IF(A93=A94,"",IF(SD!$C$44="No T-Head",IF(SD!$C$42=SD!$Q$3,VLOOKUP(BX94,S90Range,3,FALSE),LEFT(SD!$C$42,FIND("-",SD!$C$42)-1)+(RIGHT(SD!$C$42,LEN(SD!$C$42)-FIND("-",SD!$C$42))/12)),IF(SD!$C$44="T-Head",_xlfn._xlws.FILTER(THead,(TCName=SD!$C$8)*(TSize=BX94)),IF(SD!$C$44="Level Wise",_xlfn.LET(_xlpm.result,_xlfn.XLOOKUP(B94,VDLevel,VDLevelStatus,"No"),IF(_xlpm.result="Yes",_xlfn._xlws.FILTER(THead,(TCName=SD!$C$8)*(TSize=BX94)),IF(SD!$C$42=SD!$Q$3,VLOOKUP(BX94,S90Range,3,FALSE),LEFT(SD!$C$42,FIND("-",SD!$C$42)-1)+(RIGHT(SD!$C$42,LEN(SD!$C$42)-FIND("-", SD!$C$42))/12)))),IF(SD!$C$44="BarSize Wise",_xlfn.LET(_xlpm.result,_xlfn.XLOOKUP(BX94,VDBarSize,VDBarSizeStatus,"No"),IF(_xlpm.result="Yes",_xlfn._xlws.FILTER(THead,(TCName=SD!$C$8)*(TSize=BX94)),IF(SD!$C$42=SD!$Q$3,VLOOKUP(BX94,S90Range,3,FALSE),LEFT(SD!$C$42,FIND("-",SD!$C$42)-1)+(RIGHT(SD!$C$42,LEN(SD!$C$42)-FIND("-",SD!$C$42))/12)))), "")))))</f>
        <v/>
      </c>
      <c r="CB94" t="str" cm="1">
        <f t="array" ref="CB94">_xlfn.LET(_xlpm.GRR,IF(AND(SD!$C$19=SD!$H$2,Grade!$G$1="Per level"),VLOOKUP(B94,Grade!$E$1:$F$200,2,FALSE),IF(AND(SD!$C$19=SD!$H$2,Grade!$G$1="Per Bar Size"),VLOOKUP(BX94,Grade!$B$1:$C$12,2,0),SD!$C$19)),_xlpm.is_coupler, K94="Coupler",_xlpm.condition1, SD!$C$43=SD!$W$2,_xlpm.data_j2_empty, Data!$J94="",_xlpm.lookup_table, IF(SD!$C$11="Create", Lap!$A$3:$BF$14, IF(SD!$C$11="Per Uploaded File", Lap!$A$19:$BF$30, "")),_xlpm.row_match, MATCH(BX94, Lap!$A$3:$A$14, 0),_xlpm.grade_offset, IF(IFERROR(FIND("Grade 60",_xlpm.GRR), 0) &gt; 0, 0, IF(IFERROR(FIND("Grade 80",_xlpm.GRR), 0), 1, IF(IFERROR(FIND("Grade 75",_xlpm.GRR), 0), 2, ""))),_xlpm.col_match, MATCH(VALUE(D94), Lap!$A$3:$BF$3, 0) + _xlpm.grade_offset,_xlpm.index_result, IFERROR(INDEX(_xlpm.lookup_table, _xlpm.row_match, _xlpm.col_match), Data!$J94),_xlpm.result_if_condition1, IF(_xlpm.data_j2_empty, _xlpm.index_result, Data!$J94),IF(_xlpm.is_coupler, 0, IF(_xlpm.condition1, _xlpm.result_if_condition1, SD!$C$43)))</f>
        <v>4-0</v>
      </c>
      <c r="CC94" s="24">
        <f t="shared" si="38"/>
        <v>4</v>
      </c>
      <c r="CD94">
        <f t="shared" si="39"/>
        <v>4.666666666666667</v>
      </c>
      <c r="CE94" t="str" cm="1">
        <f t="array" ref="CE94">IF(BY94="","",_xlfn._xlws.FILTER(SAC,(CName=SD!$C$8)*(EName="Vert Dowels")))</f>
        <v/>
      </c>
      <c r="CF94" t="str" cm="1">
        <f t="array" ref="CF94">IFERROR(IF(BY94="","",IF(K94="Coupler",_xlfn._xlws.FILTER(CCoupler,(CCName=SD!$C$8)*(CBSize=IF(A93=A94,W93&amp;W94,BX94&amp;W94))*(CCMFM="Male")),"")),"N/A")</f>
        <v/>
      </c>
      <c r="CG94" t="str">
        <f t="shared" si="40"/>
        <v/>
      </c>
      <c r="CH94" t="str">
        <f t="shared" si="41"/>
        <v/>
      </c>
      <c r="CI94" t="str">
        <f>_xlfn.LET(_xlpm.u3_value, U95,_xlpm.hyphen_pos,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K95="Coupler",_xlpm.coupler_value, IF(_xlpm.is_coupler, 0, _xlpm.calculated_value),_xlpm.final_value, _xlpm.calculated_value + SD!$E$13 + _xlpm.coupler_value,IF(CG94="", "", _xlpm.final_value))</f>
        <v/>
      </c>
      <c r="CJ94" t="str" cm="1">
        <f t="array" ref="CJ94">IF(CG94="","",_xlfn._xlws.FILTER(SAC,(CName=SD!$C$8)*(EName="Loose Dowels")))</f>
        <v/>
      </c>
      <c r="CK94" t="str" cm="1">
        <f t="array" ref="CK94">IFERROR(IF(CG94="","",IF(K95="Coupler",_xlfn._xlws.FILTER(CCoupler,(CCName=SD!$C$8)*(CBSize=IF(A94=A95,W94&amp;W95,""))*(CCMFM="Male")),"")),"N/A")</f>
        <v/>
      </c>
      <c r="CL94" t="str">
        <f>IFERROR(IF(AM94="Spiral","",IF(A93=A94,"",IF(SD!$C$37=0,"",SD!$C$37))),"")</f>
        <v/>
      </c>
      <c r="CN94">
        <f>IF(AM94="Spiral","",IFERROR(IF(SD!$C$36=0,"",SD!$C$36),""))</f>
        <v>5</v>
      </c>
      <c r="CP94" t="str">
        <f>IFERROR(IF(SD!$C$42=SD!$Q$3,'Take-off'!CA94,""),"")</f>
        <v/>
      </c>
      <c r="CR94">
        <f>IFERROR(IF(SD!$C$22=SD!$U$2,W94,SD!$C$22),"")</f>
        <v>0</v>
      </c>
      <c r="CS94" t="str" cm="1">
        <f t="array" ref="CS94">_xlfn.LET(_xlpm.GR,IF(AND(SD!$C$19=SD!$H$2,Grade!$G$1="Per level"),VLOOKUP(B94,Grade!$E$1:$F$200,2,FALSE),IF(AND(SD!$C$19=SD!$H$2,Grade!$G$1="Per Bar Size"),VLOOKUP(CR94,Grade!$B$1:$C$12,2,0),SD!$C$19)),IF(SD!$C$20=SD!$R$4,IF(A95=A94,"",INDEX(IF(_xlpm.GR=SD!$H$3,A615GR60,IF(_xlpm.GR=SD!$H$4,A615GR75,IF(_xlpm.GR=SD!$H$5,A615GR80,IF(_xlpm.GR=SD!H98,A615GR100,IF(_xlpm.GR=SD!$H$7,A706GR60,IF(_xlpm.GR=SD!$H$8,A706GR80)))))), MATCH(1, (BSize=CR94)*(BCName=SD!$C$8), 0))),""))</f>
        <v/>
      </c>
      <c r="CT94">
        <f>IF(A95=A94,"",IF(SD!$C$23="Match Vertical Bars ",X94,SD!$C$23))</f>
        <v>0</v>
      </c>
      <c r="CU94" t="str" cm="1">
        <f t="array" ref="CU94">IF(A95=A94,"",IF(SD!$C$20="Top dowels",IF(SD!$E$25="No T-Head",IF(SD!$C$24=SD!$Q$3,VLOOKUP(CR94,S90Range,3,FALSE),LEFT(SD!$C$24,FIND("-",SD!$C$24)-1)+(RIGHT(SD!$C$24,LEN(SD!$C$24)-FIND("-",SD!$C$24))/12)),IF(SD!$E$25="T-Head",_xlfn._xlws.FILTER(THead,(TCName=SD!$C$8)*(TSize=CR94)),IF(SD!$E$25="Level Wise",_xlfn.LET(_xlpm.result,_xlfn.XLOOKUP(B94,TDLevel,TDLevelStatus,"No"),IF(_xlpm.result="Yes",_xlfn._xlws.FILTER(THead,(TCName=SD!$C$8)*(TSize=CR94)),IF(SD!$C$24=SD!$Q$3,VLOOKUP(CR94,S90Range,3,FALSE),LEFT(SD!$C$24,FIND("-",SD!$C$24)-1)+(RIGHT(SD!$C$24,LEN(SD!$C$24)-FIND("-", SD!$C$24))/12)))),IF(SD!$E$25="BarSize Wise",_xlfn.LET(_xlpm.result,_xlfn.XLOOKUP(CR94,TDBarSize,TDBarSizeStatus,"No"),IF(_xlpm.result="Yes",_xlfn._xlws.FILTER(THead,(TCName=SD!$C$8)*(TSize=CR94)),IF(SD!$C$24=SD!$Q$3,VLOOKUP(CR94,S90Range,3,FALSE),LEFT(SD!$C$24,FIND("-",SD!$C$24)-1)+(RIGHT(SD!$C$24,LEN(SD!$C$24)-FIND("-",SD!$C$24))/12)))), "")))),""))</f>
        <v/>
      </c>
      <c r="CV94" t="str">
        <f>_xlfn.LET(_xlpm.GRR,IF(AND(SD!$C$19=SD!$H$2,Grade!$G$1="Per level"),VLOOKUP(B94,Grade!$E$1:$F$200,2,FALSE),IF(AND(SD!$C$19=SD!$H$2,Grade!$G$1="Per Bar Size"),VLOOKUP(CR94,Grade!$B$1:$C$12,2,0),SD!$C$19)),IF(SD!$C$25=SD!$W$2,IF(Data!$J94="",IFERROR(INDEX(IF(SD!$C$11="Create",Lap!$A$3:$BF$14,IF(SD!$C$11="Per Uploaded File",Lap!$A$19:$BF$30,"")),MATCH(CR94,Lap!$A$3:$A$14,0),MATCH(VALUE(D94),Lap!$A$3:$BF$3,0)+IF(IFERROR(FIND("Grade 60",_xlpm.GRR),0)&gt;0,0,IF(IFERROR(FIND("Grade 80",_xlpm.GRR),0),1,IF(IFERROR(FIND("Grade 75",_xlpm.GRR),0),2,"")))),""),Data!J94),SD!$C$43))</f>
        <v>Match Lap</v>
      </c>
      <c r="CW94">
        <f t="shared" si="42"/>
        <v>0</v>
      </c>
      <c r="CX94">
        <f t="shared" si="43"/>
        <v>0</v>
      </c>
      <c r="CY94" t="str">
        <f t="shared" si="44"/>
        <v/>
      </c>
      <c r="DA94" t="str">
        <f t="shared" si="45"/>
        <v/>
      </c>
      <c r="DB94" t="str">
        <f t="shared" si="46"/>
        <v/>
      </c>
      <c r="DC94" s="24" t="str">
        <f t="shared" si="47"/>
        <v/>
      </c>
      <c r="DD94">
        <f t="shared" si="48"/>
        <v>10.583333333333334</v>
      </c>
      <c r="DE94" t="s">
        <v>785</v>
      </c>
      <c r="DF94" t="s">
        <v>67</v>
      </c>
      <c r="DG94" t="str">
        <f>VLOOKUP(W94,'Level Wise PSI'!$F$2:$G$12,2,FALSE)</f>
        <v>Double Lift</v>
      </c>
      <c r="DI94" t="str" cm="1">
        <f t="array" ref="DI94">_xlfn.LET(_xlpm.Coup,IFERROR(IF(BY94="","",IF(K94="Coupler",_xlfn._xlws.FILTER(CCFCoupler,(CCName=SD!$C$8)*(CBSize=IF(A93=A94,W93&amp;W94,BX94&amp;W94))),"")),"N/A"),IF(_xlpm.Coup=0,"",_xlpm.Coup))</f>
        <v/>
      </c>
      <c r="DJ94" t="str" cm="1">
        <f t="array" ref="DJ94">_xlfn.LET(_xlpm.Coup3,IFERROR(IF(CG94="","",IF(K95="Coupler",_xlfn._xlws.FILTER(CCFCoupler,(CCName=SD!$C$8)*(CBSize=IF(A94=A95,W94&amp;W95,""))),"")),"N/A"),IF(_xlpm.Coup3=0,"",_xlpm.Coup3))</f>
        <v/>
      </c>
      <c r="DK94" t="str" cm="1">
        <f t="array" ref="DK94">_xlfn.LET(_xlpm.Coup2,IFERROR(IF(A94&lt;&gt;A95,"",IF(DF94="No Lap","",IF(K95="Coupler",_xlfn._xlws.FILTER(CCFCoupler,(CCName=SD!$C$8)*(CBSize=IF(A93=A94,W94&amp;W95,W94&amp;W94))),""))),"N/A"),IF(_xlpm.Coup2=0,"",_xlpm.Coup2))</f>
        <v/>
      </c>
      <c r="DM94" t="str">
        <f>IF(AM94="Spiral","",IF(SD!$C$31=SD!$Y$3,SD!$E$32*2,""))</f>
        <v/>
      </c>
      <c r="DO94" s="24">
        <f t="shared" si="49"/>
        <v>2.5</v>
      </c>
      <c r="DQ94" t="str">
        <f t="shared" si="50"/>
        <v>Lig</v>
      </c>
      <c r="DR94" t="str">
        <f>IF(AM94="Spiral",((Y94-(SD!$E$12*2))/12),"")</f>
        <v/>
      </c>
      <c r="DS94" t="str">
        <f t="shared" si="51"/>
        <v/>
      </c>
      <c r="DT94" t="str">
        <f t="shared" si="52"/>
        <v/>
      </c>
      <c r="DU94" t="str">
        <f t="shared" si="53"/>
        <v/>
      </c>
    </row>
    <row r="95" spans="1:125" x14ac:dyDescent="0.25">
      <c r="A95">
        <v>35</v>
      </c>
      <c r="B95" t="s">
        <v>664</v>
      </c>
      <c r="C95" s="15">
        <v>2429</v>
      </c>
      <c r="D95" s="15">
        <v>10000</v>
      </c>
      <c r="E95" s="15" t="s">
        <v>791</v>
      </c>
      <c r="F95" s="15" t="s">
        <v>787</v>
      </c>
      <c r="G95" t="s">
        <v>733</v>
      </c>
      <c r="H95" s="15" t="s">
        <v>789</v>
      </c>
      <c r="I95" t="s">
        <v>723</v>
      </c>
      <c r="J95" t="str">
        <f>IF(AND(SD!$C$19=SD!$H$2,Grade!$G$1="Per level"),VLOOKUP(B95,Grade!$E$1:$F$200,2,FALSE),IF(AND(SD!$C$19=SD!$H$2,Grade!$G$1="Per Bar Size"),VLOOKUP(W95,Grade!$B$1:$C$12,2,0),SD!$C$19))</f>
        <v>A615 Grade 60</v>
      </c>
      <c r="K95" t="s">
        <v>67</v>
      </c>
      <c r="L95" t="str">
        <f>IFERROR(IF(A95&lt;&gt;A96,"",IF(DF95="No Lap","",IF(K96="Lap",U95,IF(K96="Coupler",_xlfn._xlws.FILTER(CCoupler,(CCName=SD!$C$8)*(CBSize=IF(A94=A95,W95&amp;W96,W95&amp;W95))*(CCMFM="Male")),"")))),"N/A")</f>
        <v/>
      </c>
      <c r="M95" t="str">
        <f t="shared" si="27"/>
        <v/>
      </c>
      <c r="N95" t="s">
        <v>719</v>
      </c>
      <c r="O95" t="s">
        <v>720</v>
      </c>
      <c r="P95" t="s">
        <v>719</v>
      </c>
      <c r="Q95" t="str">
        <f>IF(AND(SD!$C$29=SD!$P$2,Grade!$O$1="Per level"),VLOOKUP(B95,Grade!$M$1:$N$200,2,FALSE),IF(AND(SD!$C$29=SD!$P$2,Grade!$O$1="Per Bar Size"),VLOOKUP(LEFT(N95,FIND("@",N95)-2),Grade!$J$1:$K$12,2,0),SD!$C$29))</f>
        <v>A615 Grade 60</v>
      </c>
      <c r="R95" t="s">
        <v>725</v>
      </c>
      <c r="S95" s="57">
        <v>95</v>
      </c>
      <c r="U95" t="str">
        <f>IF(Data!$J95="",IFERROR(INDEX(IF(SD!$C$11="Create",Lap!$A$3:$BF$14,IF(SD!$C$11="Per Uploaded File",Lap!$A$19:$BF$30,"")),MATCH(W95,Lap!$A$3:$A$14,0),MATCH(VALUE(D95),Lap!$A$3:$BF$3,0)+IF(IFERROR(FIND("Grade 60",J95),0)&gt;0,0,IF(IFERROR(FIND("Grade 80",J95),0),1,IF(IFERROR(FIND("Grade 75",J95),0),2,"")))),""),Data!J95)</f>
        <v>3-6</v>
      </c>
      <c r="W95" t="s">
        <v>139</v>
      </c>
      <c r="X95">
        <v>6</v>
      </c>
      <c r="Y95" t="str">
        <f t="shared" si="28"/>
        <v xml:space="preserve">14 </v>
      </c>
      <c r="Z95" t="str">
        <f t="shared" si="29"/>
        <v xml:space="preserve"> 24</v>
      </c>
      <c r="AA95" s="24">
        <f t="shared" si="30"/>
        <v>21.583333333333332</v>
      </c>
      <c r="BB95" t="e" cm="1">
        <f t="array" ref="BB95">_xlfn.LET(_xlpm.PartF,(_xlfn.LET(_xlpm.grade, Q95,_xlpm.gradeRange, IF(_xlpm.grade=SD!$H$3, A615GR60, IF(_xlpm.grade=SD!$H$4, A615GR75, IF(_xlpm.grade=SD!$H$5, A615GR80, IF(_xlpm.grade=SD!$H$6, A615GR100, IF(_xlpm.grade=SD!$H$7, A706GR60, IF(_xlpm.grade=SD!$H$8, A706GR80)))))),_xlpm.matchValue, MATCH(1, (SD!$AW:$AW=AS95)*(SD!$AX:$AX=SD!$C$8), 0),INDEX(_xlpm.gradeRange, _xlpm.matchValue))),IF(AM95="Spiral",CONCATENATE("SP",_xlpm.PartF),_xlpm.PartF))</f>
        <v>#N/A</v>
      </c>
      <c r="BC95" cm="1">
        <f t="array" ref="BC95">_xlfn.LET(_xlpm.leftPart, LEFT(O95, FIND("@", O95) - 2),_xlpm.grade,Q95,_xlpm.gradeRange,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5" cm="1">
        <f t="array" ref="BD95">_xlfn.LET(_xlpm.leftPart, LEFT(P95, FIND("@", P95) - 2),_xlpm.grade, Q95,_xlpm.gradeRange,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5">
        <f t="shared" si="31"/>
        <v>2</v>
      </c>
      <c r="BF95">
        <f>IF(SD!$C$32=SD!$I$2,BE95,IF(SD!$C$32=SD!$I$3,DO95,IF(SD!$C$32=SD!$I$5,BA95,IF(SD!$C$32=SD!$I$6,(LEFT(SD!$C$35,FIND("-",SD!$C$35)-1)+RIGHT(SD!$C$35,LEN(SD!$C$35)-FIND("-",SD!$C$35))/12),IF(SD!$C$32=SD!$I$4,(AU95-(BG95+BH95)))))))</f>
        <v>0</v>
      </c>
      <c r="BG95">
        <f>IF(SD!$C$33=SD!$I$2,BE95,IF(SD!$C$33=SD!$I$3,DO95,IF(SD!$C$33=SD!$I$5,BA95,IF(SD!$C$33=SD!$I$6,(LEFT(SD!$C$35,FIND("-",SD!$C$35)-1)+RIGHT(SD!$C$35,LEN(SD!$C$35)-FIND("-",SD!$C$35))/12),IF(SD!$C$33=SD!$I$4,(AU95-(BF95+BH95)))))))</f>
        <v>-1</v>
      </c>
      <c r="BH95">
        <f>IF(SD!$C$34=SD!$I$2,BE95,IF(SD!$C$34=SD!$I$3,DO95,IF(SD!$C$34=SD!$I$5,BA95,IF(SD!$C$34=SD!$I$6,(LEFT(SD!$C$35,FIND("-",SD!$C$35)-1)+RIGHT(SD!$C$35,LEN(SD!$C$35)-FIND("-",SD!$C$35))/12),IF(SD!$C$34=SD!$I$4,(AU95-(BF95+BG95)))))))</f>
        <v>1</v>
      </c>
      <c r="BJ95">
        <f>IF(AM95="Spiral","1",MAX(ROUNDUP(IF(SD!$C$32="",AT95,BF95/(LEFT(RIGHT(N95,LEN(N95)-FIND("@",N95)),LEN(RIGHT(N95,LEN(N95)-FIND("@",N95)))-1)/12)+1),0),0))</f>
        <v>1</v>
      </c>
      <c r="BK95">
        <f>MAX(ROUNDUP(IF(SD!$C$33="","",BG95/(LEFT(RIGHT(O95,LEN(O95)-FIND("@",O95)),LEN(RIGHT(O95,LEN(O95)-FIND("@",O95)))-1)/12)+1),0),0)</f>
        <v>0</v>
      </c>
      <c r="BL95">
        <f>MAX(ROUNDUP(IF(SD!$C$34="","",BH95/(LEFT(RIGHT(P95,LEN(P95)-FIND("@",P95)),LEN(RIGHT(P95,LEN(P95)-FIND("@",P95)))-1)/12)+1),0),0)</f>
        <v>3</v>
      </c>
      <c r="BN95" t="e">
        <f t="shared" si="32"/>
        <v>#N/A</v>
      </c>
      <c r="BO95" t="e">
        <f t="shared" si="33"/>
        <v>#N/A</v>
      </c>
      <c r="BP95" t="e">
        <f t="shared" si="34"/>
        <v>#N/A</v>
      </c>
      <c r="BQ95" s="24" t="e">
        <f>IF(AM95=TRUE,(((Y95-(SD!$E$12*2))*3.14159265359)+BN95+BO95+BP95)/12+AL95,SUM(AF95:AG95,BN95,BO95,BP95,AO95,AQ95)/12)</f>
        <v>#N/A</v>
      </c>
      <c r="BR95" t="e">
        <f t="shared" si="35"/>
        <v>#N/A</v>
      </c>
      <c r="BS95" t="e">
        <f t="shared" si="36"/>
        <v>#N/A</v>
      </c>
      <c r="BT95" t="e">
        <f t="shared" si="37"/>
        <v>#N/A</v>
      </c>
      <c r="BU95" s="24" t="e">
        <f>IF(AM95=TRUE,(((Y95-(SD!$E$12*2))*3.14159265359)+BR95+BS95+BT95)/12+AL95,SUM(AF95:AG95,BR95,BS95,BT95,AO95,AQ95)/12)</f>
        <v>#N/A</v>
      </c>
      <c r="BW95" t="str">
        <f>IFERROR(LEFT(Data!L95,FIND(" -",Data!L95)-1),"")</f>
        <v/>
      </c>
      <c r="BX95" t="str">
        <f>IFERROR(IF(SD!$C$40=SD!$U$2,W95,IF(SD!$C$40=SD!$U$3,RIGHT(Data!L95,LEN(Data!L95)-(FIND("-",Data!L95)+1)),SD!$C$40)),"")</f>
        <v>#7</v>
      </c>
      <c r="BY95" cm="1">
        <f t="array" ref="BY95">IFERROR(_xlfn.LET(_xlpm.GRR,IF(AND(SD!$C$19=SD!$H$2,Grade!$G$1="Per level"),VLOOKUP(B95,Grade!$E$1:$F$200,2,FALSE),IF(AND(SD!$C$19=SD!$H$2,Grade!$G$1="Per Bar Size"),VLOOKUP(BX95,Grade!$B$1:$C$12,2,0),SD!$C$19)),_xlpm.is_equal, A94=A95,_xlpm.grade_range, IF(_xlpm.GRR=SD!$H$3, A615GR60,IF(_xlpm.GRR=SD!$H$4, A615GR75,IF(_xlpm.GRR=SD!$H$5, A615GR80,IF(_xlpm.GRR=SD!H99, A615GR100,IF(_xlpm.GRR=SD!$H$7, A706GR60,IF(_xlpm.GRR=SD!$H$8, A706GR80)))))),_xlpm.match_result, MATCH(1, (BSize=BX95)*(BCName=SD!$C$8), 0),_xlpm.final_result, INDEX(_xlpm.grade_range, _xlpm.match_result),IF(_xlpm.is_equal, "", _xlpm.final_result)),"")</f>
        <v>7</v>
      </c>
      <c r="BZ95">
        <f>IF(A94=A95,"",IF(SD!$C$41="Match Vertical Bars ",X95,IF(SD!$C$41=SD!$V$3,BW95,SD!$C$41)))</f>
        <v>6</v>
      </c>
      <c r="CA95" cm="1">
        <f t="array" ref="CA95">IF(A94=A95,"",IF(SD!$C$44="No T-Head",IF(SD!$C$42=SD!$Q$3,VLOOKUP(BX95,S90Range,3,FALSE),LEFT(SD!$C$42,FIND("-",SD!$C$42)-1)+(RIGHT(SD!$C$42,LEN(SD!$C$42)-FIND("-",SD!$C$42))/12)),IF(SD!$C$44="T-Head",_xlfn._xlws.FILTER(THead,(TCName=SD!$C$8)*(TSize=BX95)),IF(SD!$C$44="Level Wise",_xlfn.LET(_xlpm.result,_xlfn.XLOOKUP(B95,VDLevel,VDLevelStatus,"No"),IF(_xlpm.result="Yes",_xlfn._xlws.FILTER(THead,(TCName=SD!$C$8)*(TSize=BX95)),IF(SD!$C$42=SD!$Q$3,VLOOKUP(BX95,S90Range,3,FALSE),LEFT(SD!$C$42,FIND("-",SD!$C$42)-1)+(RIGHT(SD!$C$42,LEN(SD!$C$42)-FIND("-", SD!$C$42))/12)))),IF(SD!$C$44="BarSize Wise",_xlfn.LET(_xlpm.result,_xlfn.XLOOKUP(BX95,VDBarSize,VDBarSizeStatus,"No"),IF(_xlpm.result="Yes",_xlfn._xlws.FILTER(THead,(TCName=SD!$C$8)*(TSize=BX95)),IF(SD!$C$42=SD!$Q$3,VLOOKUP(BX95,S90Range,3,FALSE),LEFT(SD!$C$42,FIND("-",SD!$C$42)-1)+(RIGHT(SD!$C$42,LEN(SD!$C$42)-FIND("-",SD!$C$42))/12)))), "")))))</f>
        <v>1.1666666666666667</v>
      </c>
      <c r="CB95" t="str" cm="1">
        <f t="array" ref="CB95">_xlfn.LET(_xlpm.GRR,IF(AND(SD!$C$19=SD!$H$2,Grade!$G$1="Per level"),VLOOKUP(B95,Grade!$E$1:$F$200,2,FALSE),IF(AND(SD!$C$19=SD!$H$2,Grade!$G$1="Per Bar Size"),VLOOKUP(BX95,Grade!$B$1:$C$12,2,0),SD!$C$19)),_xlpm.is_coupler, K95="Coupler",_xlpm.condition1, SD!$C$43=SD!$W$2,_xlpm.data_j2_empty, Data!$J95="",_xlpm.lookup_table, IF(SD!$C$11="Create", Lap!$A$3:$BF$14, IF(SD!$C$11="Per Uploaded File", Lap!$A$19:$BF$30, "")),_xlpm.row_match, MATCH(BX95, Lap!$A$3:$A$14, 0),_xlpm.grade_offset, IF(IFERROR(FIND("Grade 60",_xlpm.GRR), 0) &gt; 0, 0, IF(IFERROR(FIND("Grade 80",_xlpm.GRR), 0), 1, IF(IFERROR(FIND("Grade 75",_xlpm.GRR), 0), 2, ""))),_xlpm.col_match, MATCH(VALUE(D95), Lap!$A$3:$BF$3, 0) + _xlpm.grade_offset,_xlpm.index_result, IFERROR(INDEX(_xlpm.lookup_table, _xlpm.row_match, _xlpm.col_match), Data!$J95),_xlpm.result_if_condition1, IF(_xlpm.data_j2_empty, _xlpm.index_result, Data!$J95),IF(_xlpm.is_coupler, 0, IF(_xlpm.condition1, _xlpm.result_if_condition1, SD!$C$43)))</f>
        <v>3-6</v>
      </c>
      <c r="CC95" s="24">
        <f t="shared" si="38"/>
        <v>3.5</v>
      </c>
      <c r="CD95">
        <f t="shared" si="39"/>
        <v>10.5</v>
      </c>
      <c r="CE95" t="str" cm="1">
        <f t="array" ref="CE95">IF(BY95="","",_xlfn._xlws.FILTER(SAC,(CName=SD!$C$8)*(EName="Vert Dowels")))</f>
        <v>2200 CD</v>
      </c>
      <c r="CF95" t="str" cm="1">
        <f t="array" ref="CF95">IFERROR(IF(BY95="","",IF(K95="Coupler",_xlfn._xlws.FILTER(CCoupler,(CCName=SD!$C$8)*(CBSize=IF(A94=A95,W94&amp;W95,BX95&amp;W95))*(CCMFM="Male")),"")),"N/A")</f>
        <v/>
      </c>
      <c r="CG95" t="str">
        <f t="shared" si="40"/>
        <v/>
      </c>
      <c r="CH95" t="str">
        <f t="shared" si="41"/>
        <v/>
      </c>
      <c r="CI95" t="str">
        <f>_xlfn.LET(_xlpm.u3_value, U96,_xlpm.hyphen_pos,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K96="Coupler",_xlpm.coupler_value, IF(_xlpm.is_coupler, 0, _xlpm.calculated_value),_xlpm.final_value, _xlpm.calculated_value + SD!$E$13 + _xlpm.coupler_value,IF(CG95="", "", _xlpm.final_value))</f>
        <v/>
      </c>
      <c r="CJ95" t="str" cm="1">
        <f t="array" ref="CJ95">IF(CG95="","",_xlfn._xlws.FILTER(SAC,(CName=SD!$C$8)*(EName="Loose Dowels")))</f>
        <v/>
      </c>
      <c r="CK95" t="str" cm="1">
        <f t="array" ref="CK95">IFERROR(IF(CG95="","",IF(K96="Coupler",_xlfn._xlws.FILTER(CCoupler,(CCName=SD!$C$8)*(CBSize=IF(A95=A96,W95&amp;W96,""))*(CCMFM="Male")),"")),"N/A")</f>
        <v/>
      </c>
      <c r="CL95">
        <f>IFERROR(IF(AM95="Spiral","",IF(A94=A95,"",IF(SD!$C$37=0,"",SD!$C$37))),"")</f>
        <v>3</v>
      </c>
      <c r="CN95">
        <f>IF(AM95="Spiral","",IFERROR(IF(SD!$C$36=0,"",SD!$C$36),""))</f>
        <v>5</v>
      </c>
      <c r="CP95">
        <f>IFERROR(IF(SD!$C$42=SD!$Q$3,'Take-off'!CA95,""),"")</f>
        <v>1.1666666666666667</v>
      </c>
      <c r="CR95">
        <f>IFERROR(IF(SD!$C$22=SD!$U$2,W95,SD!$C$22),"")</f>
        <v>0</v>
      </c>
      <c r="CS95" t="str" cm="1">
        <f t="array" ref="CS95">_xlfn.LET(_xlpm.GR,IF(AND(SD!$C$19=SD!$H$2,Grade!$G$1="Per level"),VLOOKUP(B95,Grade!$E$1:$F$200,2,FALSE),IF(AND(SD!$C$19=SD!$H$2,Grade!$G$1="Per Bar Size"),VLOOKUP(CR95,Grade!$B$1:$C$12,2,0),SD!$C$19)),IF(SD!$C$20=SD!$R$4,IF(A96=A95,"",INDEX(IF(_xlpm.GR=SD!$H$3,A615GR60,IF(_xlpm.GR=SD!$H$4,A615GR75,IF(_xlpm.GR=SD!$H$5,A615GR80,IF(_xlpm.GR=SD!H99,A615GR100,IF(_xlpm.GR=SD!$H$7,A706GR60,IF(_xlpm.GR=SD!$H$8,A706GR80)))))), MATCH(1, (BSize=CR95)*(BCName=SD!$C$8), 0))),""))</f>
        <v/>
      </c>
      <c r="CT95">
        <f>IF(A96=A95,"",IF(SD!$C$23="Match Vertical Bars ",X95,SD!$C$23))</f>
        <v>0</v>
      </c>
      <c r="CU95" t="str" cm="1">
        <f t="array" ref="CU95">IF(A96=A95,"",IF(SD!$C$20="Top dowels",IF(SD!$E$25="No T-Head",IF(SD!$C$24=SD!$Q$3,VLOOKUP(CR95,S90Range,3,FALSE),LEFT(SD!$C$24,FIND("-",SD!$C$24)-1)+(RIGHT(SD!$C$24,LEN(SD!$C$24)-FIND("-",SD!$C$24))/12)),IF(SD!$E$25="T-Head",_xlfn._xlws.FILTER(THead,(TCName=SD!$C$8)*(TSize=CR95)),IF(SD!$E$25="Level Wise",_xlfn.LET(_xlpm.result,_xlfn.XLOOKUP(B95,TDLevel,TDLevelStatus,"No"),IF(_xlpm.result="Yes",_xlfn._xlws.FILTER(THead,(TCName=SD!$C$8)*(TSize=CR95)),IF(SD!$C$24=SD!$Q$3,VLOOKUP(CR95,S90Range,3,FALSE),LEFT(SD!$C$24,FIND("-",SD!$C$24)-1)+(RIGHT(SD!$C$24,LEN(SD!$C$24)-FIND("-", SD!$C$24))/12)))),IF(SD!$E$25="BarSize Wise",_xlfn.LET(_xlpm.result,_xlfn.XLOOKUP(CR95,TDBarSize,TDBarSizeStatus,"No"),IF(_xlpm.result="Yes",_xlfn._xlws.FILTER(THead,(TCName=SD!$C$8)*(TSize=CR95)),IF(SD!$C$24=SD!$Q$3,VLOOKUP(CR95,S90Range,3,FALSE),LEFT(SD!$C$24,FIND("-",SD!$C$24)-1)+(RIGHT(SD!$C$24,LEN(SD!$C$24)-FIND("-",SD!$C$24))/12)))), "")))),""))</f>
        <v/>
      </c>
      <c r="CV95" t="str">
        <f>_xlfn.LET(_xlpm.GRR,IF(AND(SD!$C$19=SD!$H$2,Grade!$G$1="Per level"),VLOOKUP(B95,Grade!$E$1:$F$200,2,FALSE),IF(AND(SD!$C$19=SD!$H$2,Grade!$G$1="Per Bar Size"),VLOOKUP(CR95,Grade!$B$1:$C$12,2,0),SD!$C$19)),IF(SD!$C$25=SD!$W$2,IF(Data!$J95="",IFERROR(INDEX(IF(SD!$C$11="Create",Lap!$A$3:$BF$14,IF(SD!$C$11="Per Uploaded File",Lap!$A$19:$BF$30,"")),MATCH(CR95,Lap!$A$3:$A$14,0),MATCH(VALUE(D95),Lap!$A$3:$BF$3,0)+IF(IFERROR(FIND("Grade 60",_xlpm.GRR),0)&gt;0,0,IF(IFERROR(FIND("Grade 80",_xlpm.GRR),0),1,IF(IFERROR(FIND("Grade 75",_xlpm.GRR),0),2,"")))),""),Data!J95),SD!$C$43))</f>
        <v>Match Lap</v>
      </c>
      <c r="CW95">
        <f t="shared" si="42"/>
        <v>0</v>
      </c>
      <c r="CX95">
        <f t="shared" si="43"/>
        <v>0</v>
      </c>
      <c r="CY95" t="str">
        <f t="shared" si="44"/>
        <v/>
      </c>
      <c r="DA95">
        <f t="shared" si="45"/>
        <v>35</v>
      </c>
      <c r="DB95" t="str">
        <f t="shared" si="46"/>
        <v>21-7</v>
      </c>
      <c r="DC95" s="24">
        <f t="shared" si="47"/>
        <v>21.583333333333332</v>
      </c>
      <c r="DD95">
        <f t="shared" si="48"/>
        <v>21.583333333333332</v>
      </c>
      <c r="DE95" t="s">
        <v>733</v>
      </c>
      <c r="DF95" t="s">
        <v>67</v>
      </c>
      <c r="DG95" t="str">
        <f>VLOOKUP(W95,'Level Wise PSI'!$F$2:$G$12,2,FALSE)</f>
        <v>Double Lift</v>
      </c>
      <c r="DI95" t="str" cm="1">
        <f t="array" ref="DI95">_xlfn.LET(_xlpm.Coup,IFERROR(IF(BY95="","",IF(K95="Coupler",_xlfn._xlws.FILTER(CCFCoupler,(CCName=SD!$C$8)*(CBSize=IF(A94=A95,W94&amp;W95,BX95&amp;W95))),"")),"N/A"),IF(_xlpm.Coup=0,"",_xlpm.Coup))</f>
        <v/>
      </c>
      <c r="DJ95" t="str" cm="1">
        <f t="array" ref="DJ95">_xlfn.LET(_xlpm.Coup3,IFERROR(IF(CG95="","",IF(K96="Coupler",_xlfn._xlws.FILTER(CCFCoupler,(CCName=SD!$C$8)*(CBSize=IF(A95=A96,W95&amp;W96,""))),"")),"N/A"),IF(_xlpm.Coup3=0,"",_xlpm.Coup3))</f>
        <v/>
      </c>
      <c r="DK95" t="str" cm="1">
        <f t="array" ref="DK95">_xlfn.LET(_xlpm.Coup2,IFERROR(IF(A95&lt;&gt;A96,"",IF(DF95="No Lap","",IF(K96="Coupler",_xlfn._xlws.FILTER(CCFCoupler,(CCName=SD!$C$8)*(CBSize=IF(A94=A95,W95&amp;W96,W95&amp;W95))),""))),"N/A"),IF(_xlpm.Coup2=0,"",_xlpm.Coup2))</f>
        <v/>
      </c>
      <c r="DM95" t="str">
        <f>IF(AM95="Spiral","",IF(SD!$C$31=SD!$Y$3,SD!$E$32*2,""))</f>
        <v/>
      </c>
      <c r="DO95" s="24">
        <f t="shared" si="49"/>
        <v>2</v>
      </c>
      <c r="DQ95" t="str">
        <f t="shared" si="50"/>
        <v>Lig</v>
      </c>
      <c r="DR95" t="str">
        <f>IF(AM95="Spiral",((Y95-(SD!$E$12*2))/12),"")</f>
        <v/>
      </c>
      <c r="DS95" t="str">
        <f t="shared" si="51"/>
        <v/>
      </c>
      <c r="DT95" t="str">
        <f t="shared" si="52"/>
        <v/>
      </c>
      <c r="DU95" t="str">
        <f t="shared" si="53"/>
        <v/>
      </c>
    </row>
    <row r="96" spans="1:125" x14ac:dyDescent="0.25">
      <c r="A96">
        <v>36</v>
      </c>
      <c r="B96" t="s">
        <v>664</v>
      </c>
      <c r="C96" s="15">
        <v>2429</v>
      </c>
      <c r="D96" s="15">
        <v>10000</v>
      </c>
      <c r="E96" t="str">
        <f>IF(B96=Level!$A$2,SD!$C$14,SD!$C$13)</f>
        <v>3-0</v>
      </c>
      <c r="F96" s="15" t="s">
        <v>787</v>
      </c>
      <c r="G96" t="s">
        <v>734</v>
      </c>
      <c r="H96" s="15" t="s">
        <v>788</v>
      </c>
      <c r="I96" t="s">
        <v>735</v>
      </c>
      <c r="J96" t="str">
        <f>IF(AND(SD!$C$19=SD!$H$2,Grade!$G$1="Per level"),VLOOKUP(B96,Grade!$E$1:$F$200,2,FALSE),IF(AND(SD!$C$19=SD!$H$2,Grade!$G$1="Per Bar Size"),VLOOKUP(W96,Grade!$B$1:$C$12,2,0),SD!$C$19))</f>
        <v>A615 Grade 60</v>
      </c>
      <c r="K96" t="s">
        <v>67</v>
      </c>
      <c r="L96" t="str">
        <f>IFERROR(IF(A96&lt;&gt;A97,"",IF(DF96="No Lap","",IF(K97="Lap",U96,IF(K97="Coupler",_xlfn._xlws.FILTER(CCoupler,(CCName=SD!$C$8)*(CBSize=IF(A95=A96,W96&amp;W97,W96&amp;W96))*(CCMFM="Male")),"")))),"N/A")</f>
        <v/>
      </c>
      <c r="M96" t="str">
        <f t="shared" si="27"/>
        <v/>
      </c>
      <c r="N96" t="s">
        <v>719</v>
      </c>
      <c r="O96" t="s">
        <v>720</v>
      </c>
      <c r="P96" t="s">
        <v>719</v>
      </c>
      <c r="Q96" t="str">
        <f>IF(AND(SD!$C$29=SD!$P$2,Grade!$O$1="Per level"),VLOOKUP(B96,Grade!$M$1:$N$200,2,FALSE),IF(AND(SD!$C$29=SD!$P$2,Grade!$O$1="Per Bar Size"),VLOOKUP(LEFT(N96,FIND("@",N96)-2),Grade!$J$1:$K$12,2,0),SD!$C$29))</f>
        <v>A615 Grade 60</v>
      </c>
      <c r="R96" t="s">
        <v>736</v>
      </c>
      <c r="S96" s="57">
        <v>96</v>
      </c>
      <c r="U96" t="str">
        <f>IF(Data!$J96="",IFERROR(INDEX(IF(SD!$C$11="Create",Lap!$A$3:$BF$14,IF(SD!$C$11="Per Uploaded File",Lap!$A$19:$BF$30,"")),MATCH(W96,Lap!$A$3:$A$14,0),MATCH(VALUE(D96),Lap!$A$3:$BF$3,0)+IF(IFERROR(FIND("Grade 60",J96),0)&gt;0,0,IF(IFERROR(FIND("Grade 80",J96),0),1,IF(IFERROR(FIND("Grade 75",J96),0),2,"")))),""),Data!J96)</f>
        <v>3-6</v>
      </c>
      <c r="W96" t="s">
        <v>139</v>
      </c>
      <c r="X96">
        <v>8</v>
      </c>
      <c r="Y96" t="str">
        <f t="shared" si="28"/>
        <v xml:space="preserve">16 </v>
      </c>
      <c r="Z96" t="str">
        <f t="shared" si="29"/>
        <v xml:space="preserve"> 30</v>
      </c>
      <c r="AA96" s="24">
        <f t="shared" si="30"/>
        <v>19.583333333333332</v>
      </c>
      <c r="BB96" t="e" cm="1">
        <f t="array" ref="BB96">_xlfn.LET(_xlpm.PartF,(_xlfn.LET(_xlpm.grade, Q96,_xlpm.gradeRange, IF(_xlpm.grade=SD!$H$3, A615GR60, IF(_xlpm.grade=SD!$H$4, A615GR75, IF(_xlpm.grade=SD!$H$5, A615GR80, IF(_xlpm.grade=SD!$H$6, A615GR100, IF(_xlpm.grade=SD!$H$7, A706GR60, IF(_xlpm.grade=SD!$H$8, A706GR80)))))),_xlpm.matchValue, MATCH(1, (SD!$AW:$AW=AS96)*(SD!$AX:$AX=SD!$C$8), 0),INDEX(_xlpm.gradeRange, _xlpm.matchValue))),IF(AM96="Spiral",CONCATENATE("SP",_xlpm.PartF),_xlpm.PartF))</f>
        <v>#N/A</v>
      </c>
      <c r="BC96" cm="1">
        <f t="array" ref="BC96">_xlfn.LET(_xlpm.leftPart, LEFT(O96, FIND("@", O96) - 2),_xlpm.grade,Q96,_xlpm.gradeRange,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6" cm="1">
        <f t="array" ref="BD96">_xlfn.LET(_xlpm.leftPart, LEFT(P96, FIND("@", P96) - 2),_xlpm.grade, Q96,_xlpm.gradeRange,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6">
        <f t="shared" si="31"/>
        <v>2.5</v>
      </c>
      <c r="BF96">
        <f>IF(SD!$C$32=SD!$I$2,BE96,IF(SD!$C$32=SD!$I$3,DO96,IF(SD!$C$32=SD!$I$5,BA96,IF(SD!$C$32=SD!$I$6,(LEFT(SD!$C$35,FIND("-",SD!$C$35)-1)+RIGHT(SD!$C$35,LEN(SD!$C$35)-FIND("-",SD!$C$35))/12),IF(SD!$C$32=SD!$I$4,(AU96-(BG96+BH96)))))))</f>
        <v>0</v>
      </c>
      <c r="BG96">
        <f>IF(SD!$C$33=SD!$I$2,BE96,IF(SD!$C$33=SD!$I$3,DO96,IF(SD!$C$33=SD!$I$5,BA96,IF(SD!$C$33=SD!$I$6,(LEFT(SD!$C$35,FIND("-",SD!$C$35)-1)+RIGHT(SD!$C$35,LEN(SD!$C$35)-FIND("-",SD!$C$35))/12),IF(SD!$C$33=SD!$I$4,(AU96-(BF96+BH96)))))))</f>
        <v>-1</v>
      </c>
      <c r="BH96">
        <f>IF(SD!$C$34=SD!$I$2,BE96,IF(SD!$C$34=SD!$I$3,DO96,IF(SD!$C$34=SD!$I$5,BA96,IF(SD!$C$34=SD!$I$6,(LEFT(SD!$C$35,FIND("-",SD!$C$35)-1)+RIGHT(SD!$C$35,LEN(SD!$C$35)-FIND("-",SD!$C$35))/12),IF(SD!$C$34=SD!$I$4,(AU96-(BF96+BG96)))))))</f>
        <v>1</v>
      </c>
      <c r="BJ96">
        <f>IF(AM96="Spiral","1",MAX(ROUNDUP(IF(SD!$C$32="",AT96,BF96/(LEFT(RIGHT(N96,LEN(N96)-FIND("@",N96)),LEN(RIGHT(N96,LEN(N96)-FIND("@",N96)))-1)/12)+1),0),0))</f>
        <v>1</v>
      </c>
      <c r="BK96">
        <f>MAX(ROUNDUP(IF(SD!$C$33="","",BG96/(LEFT(RIGHT(O96,LEN(O96)-FIND("@",O96)),LEN(RIGHT(O96,LEN(O96)-FIND("@",O96)))-1)/12)+1),0),0)</f>
        <v>0</v>
      </c>
      <c r="BL96">
        <f>MAX(ROUNDUP(IF(SD!$C$34="","",BH96/(LEFT(RIGHT(P96,LEN(P96)-FIND("@",P96)),LEN(RIGHT(P96,LEN(P96)-FIND("@",P96)))-1)/12)+1),0),0)</f>
        <v>3</v>
      </c>
      <c r="BN96" t="e">
        <f t="shared" si="32"/>
        <v>#N/A</v>
      </c>
      <c r="BO96" t="e">
        <f t="shared" si="33"/>
        <v>#N/A</v>
      </c>
      <c r="BP96" t="e">
        <f t="shared" si="34"/>
        <v>#N/A</v>
      </c>
      <c r="BQ96" s="24" t="e">
        <f>IF(AM96=TRUE,(((Y96-(SD!$E$12*2))*3.14159265359)+BN96+BO96+BP96)/12+AL96,SUM(AF96:AG96,BN96,BO96,BP96,AO96,AQ96)/12)</f>
        <v>#N/A</v>
      </c>
      <c r="BR96" t="e">
        <f t="shared" si="35"/>
        <v>#N/A</v>
      </c>
      <c r="BS96" t="e">
        <f t="shared" si="36"/>
        <v>#N/A</v>
      </c>
      <c r="BT96" t="e">
        <f t="shared" si="37"/>
        <v>#N/A</v>
      </c>
      <c r="BU96" s="24" t="e">
        <f>IF(AM96=TRUE,(((Y96-(SD!$E$12*2))*3.14159265359)+BR96+BS96+BT96)/12+AL96,SUM(AF96:AG96,BR96,BS96,BT96,AO96,AQ96)/12)</f>
        <v>#N/A</v>
      </c>
      <c r="BW96" t="str">
        <f>IFERROR(LEFT(Data!L96,FIND(" -",Data!L96)-1),"")</f>
        <v/>
      </c>
      <c r="BX96" t="str">
        <f>IFERROR(IF(SD!$C$40=SD!$U$2,W96,IF(SD!$C$40=SD!$U$3,RIGHT(Data!L96,LEN(Data!L96)-(FIND("-",Data!L96)+1)),SD!$C$40)),"")</f>
        <v>#7</v>
      </c>
      <c r="BY96" cm="1">
        <f t="array" ref="BY96">IFERROR(_xlfn.LET(_xlpm.GRR,IF(AND(SD!$C$19=SD!$H$2,Grade!$G$1="Per level"),VLOOKUP(B96,Grade!$E$1:$F$200,2,FALSE),IF(AND(SD!$C$19=SD!$H$2,Grade!$G$1="Per Bar Size"),VLOOKUP(BX96,Grade!$B$1:$C$12,2,0),SD!$C$19)),_xlpm.is_equal, A95=A96,_xlpm.grade_range, IF(_xlpm.GRR=SD!$H$3, A615GR60,IF(_xlpm.GRR=SD!$H$4, A615GR75,IF(_xlpm.GRR=SD!$H$5, A615GR80,IF(_xlpm.GRR=SD!H100, A615GR100,IF(_xlpm.GRR=SD!$H$7, A706GR60,IF(_xlpm.GRR=SD!$H$8, A706GR80)))))),_xlpm.match_result, MATCH(1, (BSize=BX96)*(BCName=SD!$C$8), 0),_xlpm.final_result, INDEX(_xlpm.grade_range, _xlpm.match_result),IF(_xlpm.is_equal, "", _xlpm.final_result)),"")</f>
        <v>7</v>
      </c>
      <c r="BZ96">
        <f>IF(A95=A96,"",IF(SD!$C$41="Match Vertical Bars ",X96,IF(SD!$C$41=SD!$V$3,BW96,SD!$C$41)))</f>
        <v>8</v>
      </c>
      <c r="CA96" cm="1">
        <f t="array" ref="CA96">IF(A95=A96,"",IF(SD!$C$44="No T-Head",IF(SD!$C$42=SD!$Q$3,VLOOKUP(BX96,S90Range,3,FALSE),LEFT(SD!$C$42,FIND("-",SD!$C$42)-1)+(RIGHT(SD!$C$42,LEN(SD!$C$42)-FIND("-",SD!$C$42))/12)),IF(SD!$C$44="T-Head",_xlfn._xlws.FILTER(THead,(TCName=SD!$C$8)*(TSize=BX96)),IF(SD!$C$44="Level Wise",_xlfn.LET(_xlpm.result,_xlfn.XLOOKUP(B96,VDLevel,VDLevelStatus,"No"),IF(_xlpm.result="Yes",_xlfn._xlws.FILTER(THead,(TCName=SD!$C$8)*(TSize=BX96)),IF(SD!$C$42=SD!$Q$3,VLOOKUP(BX96,S90Range,3,FALSE),LEFT(SD!$C$42,FIND("-",SD!$C$42)-1)+(RIGHT(SD!$C$42,LEN(SD!$C$42)-FIND("-", SD!$C$42))/12)))),IF(SD!$C$44="BarSize Wise",_xlfn.LET(_xlpm.result,_xlfn.XLOOKUP(BX96,VDBarSize,VDBarSizeStatus,"No"),IF(_xlpm.result="Yes",_xlfn._xlws.FILTER(THead,(TCName=SD!$C$8)*(TSize=BX96)),IF(SD!$C$42=SD!$Q$3,VLOOKUP(BX96,S90Range,3,FALSE),LEFT(SD!$C$42,FIND("-",SD!$C$42)-1)+(RIGHT(SD!$C$42,LEN(SD!$C$42)-FIND("-",SD!$C$42))/12)))), "")))))</f>
        <v>1.1666666666666667</v>
      </c>
      <c r="CB96" t="str" cm="1">
        <f t="array" ref="CB96">_xlfn.LET(_xlpm.GRR,IF(AND(SD!$C$19=SD!$H$2,Grade!$G$1="Per level"),VLOOKUP(B96,Grade!$E$1:$F$200,2,FALSE),IF(AND(SD!$C$19=SD!$H$2,Grade!$G$1="Per Bar Size"),VLOOKUP(BX96,Grade!$B$1:$C$12,2,0),SD!$C$19)),_xlpm.is_coupler, K96="Coupler",_xlpm.condition1, SD!$C$43=SD!$W$2,_xlpm.data_j2_empty, Data!$J96="",_xlpm.lookup_table, IF(SD!$C$11="Create", Lap!$A$3:$BF$14, IF(SD!$C$11="Per Uploaded File", Lap!$A$19:$BF$30, "")),_xlpm.row_match, MATCH(BX96, Lap!$A$3:$A$14, 0),_xlpm.grade_offset, IF(IFERROR(FIND("Grade 60",_xlpm.GRR), 0) &gt; 0, 0, IF(IFERROR(FIND("Grade 80",_xlpm.GRR), 0), 1, IF(IFERROR(FIND("Grade 75",_xlpm.GRR), 0), 2, ""))),_xlpm.col_match, MATCH(VALUE(D96), Lap!$A$3:$BF$3, 0) + _xlpm.grade_offset,_xlpm.index_result, IFERROR(INDEX(_xlpm.lookup_table, _xlpm.row_match, _xlpm.col_match), Data!$J96),_xlpm.result_if_condition1, IF(_xlpm.data_j2_empty, _xlpm.index_result, Data!$J96),IF(_xlpm.is_coupler, 0, IF(_xlpm.condition1, _xlpm.result_if_condition1, SD!$C$43)))</f>
        <v>3-6</v>
      </c>
      <c r="CC96" s="24">
        <f t="shared" si="38"/>
        <v>3.5</v>
      </c>
      <c r="CD96">
        <f t="shared" si="39"/>
        <v>7.666666666666667</v>
      </c>
      <c r="CE96" t="str" cm="1">
        <f t="array" ref="CE96">IF(BY96="","",_xlfn._xlws.FILTER(SAC,(CName=SD!$C$8)*(EName="Vert Dowels")))</f>
        <v>2200 CD</v>
      </c>
      <c r="CF96" t="str" cm="1">
        <f t="array" ref="CF96">IFERROR(IF(BY96="","",IF(K96="Coupler",_xlfn._xlws.FILTER(CCoupler,(CCName=SD!$C$8)*(CBSize=IF(A95=A96,W95&amp;W96,BX96&amp;W96))*(CCMFM="Male")),"")),"N/A")</f>
        <v/>
      </c>
      <c r="CG96" t="str">
        <f t="shared" si="40"/>
        <v/>
      </c>
      <c r="CH96" t="str">
        <f t="shared" si="41"/>
        <v/>
      </c>
      <c r="CI96" t="str">
        <f>_xlfn.LET(_xlpm.u3_value, U97,_xlpm.hyphen_pos,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K97="Coupler",_xlpm.coupler_value, IF(_xlpm.is_coupler, 0, _xlpm.calculated_value),_xlpm.final_value, _xlpm.calculated_value + SD!$E$13 + _xlpm.coupler_value,IF(CG96="", "", _xlpm.final_value))</f>
        <v/>
      </c>
      <c r="CJ96" t="str" cm="1">
        <f t="array" ref="CJ96">IF(CG96="","",_xlfn._xlws.FILTER(SAC,(CName=SD!$C$8)*(EName="Loose Dowels")))</f>
        <v/>
      </c>
      <c r="CK96" t="str" cm="1">
        <f t="array" ref="CK96">IFERROR(IF(CG96="","",IF(K97="Coupler",_xlfn._xlws.FILTER(CCoupler,(CCName=SD!$C$8)*(CBSize=IF(A96=A97,W96&amp;W97,""))*(CCMFM="Male")),"")),"N/A")</f>
        <v/>
      </c>
      <c r="CL96">
        <f>IFERROR(IF(AM96="Spiral","",IF(A95=A96,"",IF(SD!$C$37=0,"",SD!$C$37))),"")</f>
        <v>3</v>
      </c>
      <c r="CN96">
        <f>IF(AM96="Spiral","",IFERROR(IF(SD!$C$36=0,"",SD!$C$36),""))</f>
        <v>5</v>
      </c>
      <c r="CP96">
        <f>IFERROR(IF(SD!$C$42=SD!$Q$3,'Take-off'!CA96,""),"")</f>
        <v>1.1666666666666667</v>
      </c>
      <c r="CR96">
        <f>IFERROR(IF(SD!$C$22=SD!$U$2,W96,SD!$C$22),"")</f>
        <v>0</v>
      </c>
      <c r="CS96" t="str" cm="1">
        <f t="array" ref="CS96">_xlfn.LET(_xlpm.GR,IF(AND(SD!$C$19=SD!$H$2,Grade!$G$1="Per level"),VLOOKUP(B96,Grade!$E$1:$F$200,2,FALSE),IF(AND(SD!$C$19=SD!$H$2,Grade!$G$1="Per Bar Size"),VLOOKUP(CR96,Grade!$B$1:$C$12,2,0),SD!$C$19)),IF(SD!$C$20=SD!$R$4,IF(A97=A96,"",INDEX(IF(_xlpm.GR=SD!$H$3,A615GR60,IF(_xlpm.GR=SD!$H$4,A615GR75,IF(_xlpm.GR=SD!$H$5,A615GR80,IF(_xlpm.GR=SD!H100,A615GR100,IF(_xlpm.GR=SD!$H$7,A706GR60,IF(_xlpm.GR=SD!$H$8,A706GR80)))))), MATCH(1, (BSize=CR96)*(BCName=SD!$C$8), 0))),""))</f>
        <v/>
      </c>
      <c r="CT96">
        <f>IF(A97=A96,"",IF(SD!$C$23="Match Vertical Bars ",X96,SD!$C$23))</f>
        <v>0</v>
      </c>
      <c r="CU96" t="str" cm="1">
        <f t="array" ref="CU96">IF(A97=A96,"",IF(SD!$C$20="Top dowels",IF(SD!$E$25="No T-Head",IF(SD!$C$24=SD!$Q$3,VLOOKUP(CR96,S90Range,3,FALSE),LEFT(SD!$C$24,FIND("-",SD!$C$24)-1)+(RIGHT(SD!$C$24,LEN(SD!$C$24)-FIND("-",SD!$C$24))/12)),IF(SD!$E$25="T-Head",_xlfn._xlws.FILTER(THead,(TCName=SD!$C$8)*(TSize=CR96)),IF(SD!$E$25="Level Wise",_xlfn.LET(_xlpm.result,_xlfn.XLOOKUP(B96,TDLevel,TDLevelStatus,"No"),IF(_xlpm.result="Yes",_xlfn._xlws.FILTER(THead,(TCName=SD!$C$8)*(TSize=CR96)),IF(SD!$C$24=SD!$Q$3,VLOOKUP(CR96,S90Range,3,FALSE),LEFT(SD!$C$24,FIND("-",SD!$C$24)-1)+(RIGHT(SD!$C$24,LEN(SD!$C$24)-FIND("-", SD!$C$24))/12)))),IF(SD!$E$25="BarSize Wise",_xlfn.LET(_xlpm.result,_xlfn.XLOOKUP(CR96,TDBarSize,TDBarSizeStatus,"No"),IF(_xlpm.result="Yes",_xlfn._xlws.FILTER(THead,(TCName=SD!$C$8)*(TSize=CR96)),IF(SD!$C$24=SD!$Q$3,VLOOKUP(CR96,S90Range,3,FALSE),LEFT(SD!$C$24,FIND("-",SD!$C$24)-1)+(RIGHT(SD!$C$24,LEN(SD!$C$24)-FIND("-",SD!$C$24))/12)))), "")))),""))</f>
        <v/>
      </c>
      <c r="CV96" t="str">
        <f>_xlfn.LET(_xlpm.GRR,IF(AND(SD!$C$19=SD!$H$2,Grade!$G$1="Per level"),VLOOKUP(B96,Grade!$E$1:$F$200,2,FALSE),IF(AND(SD!$C$19=SD!$H$2,Grade!$G$1="Per Bar Size"),VLOOKUP(CR96,Grade!$B$1:$C$12,2,0),SD!$C$19)),IF(SD!$C$25=SD!$W$2,IF(Data!$J96="",IFERROR(INDEX(IF(SD!$C$11="Create",Lap!$A$3:$BF$14,IF(SD!$C$11="Per Uploaded File",Lap!$A$19:$BF$30,"")),MATCH(CR96,Lap!$A$3:$A$14,0),MATCH(VALUE(D96),Lap!$A$3:$BF$3,0)+IF(IFERROR(FIND("Grade 60",_xlpm.GRR),0)&gt;0,0,IF(IFERROR(FIND("Grade 80",_xlpm.GRR),0),1,IF(IFERROR(FIND("Grade 75",_xlpm.GRR),0),2,"")))),""),Data!J96),SD!$C$43))</f>
        <v>Match Lap</v>
      </c>
      <c r="CW96">
        <f t="shared" si="42"/>
        <v>0</v>
      </c>
      <c r="CX96">
        <f t="shared" si="43"/>
        <v>0</v>
      </c>
      <c r="CY96" t="str">
        <f t="shared" si="44"/>
        <v/>
      </c>
      <c r="DA96">
        <f t="shared" si="45"/>
        <v>36</v>
      </c>
      <c r="DB96" t="str">
        <f t="shared" si="46"/>
        <v>19-7</v>
      </c>
      <c r="DC96" s="24">
        <f t="shared" si="47"/>
        <v>19.583333333333332</v>
      </c>
      <c r="DD96">
        <f t="shared" si="48"/>
        <v>19.583333333333332</v>
      </c>
      <c r="DE96" t="s">
        <v>734</v>
      </c>
      <c r="DF96" t="s">
        <v>67</v>
      </c>
      <c r="DG96" t="str">
        <f>VLOOKUP(W96,'Level Wise PSI'!$F$2:$G$12,2,FALSE)</f>
        <v>Double Lift</v>
      </c>
      <c r="DI96" t="str" cm="1">
        <f t="array" ref="DI96">_xlfn.LET(_xlpm.Coup,IFERROR(IF(BY96="","",IF(K96="Coupler",_xlfn._xlws.FILTER(CCFCoupler,(CCName=SD!$C$8)*(CBSize=IF(A95=A96,W95&amp;W96,BX96&amp;W96))),"")),"N/A"),IF(_xlpm.Coup=0,"",_xlpm.Coup))</f>
        <v/>
      </c>
      <c r="DJ96" t="str" cm="1">
        <f t="array" ref="DJ96">_xlfn.LET(_xlpm.Coup3,IFERROR(IF(CG96="","",IF(K97="Coupler",_xlfn._xlws.FILTER(CCFCoupler,(CCName=SD!$C$8)*(CBSize=IF(A96=A97,W96&amp;W97,""))),"")),"N/A"),IF(_xlpm.Coup3=0,"",_xlpm.Coup3))</f>
        <v/>
      </c>
      <c r="DK96" t="str" cm="1">
        <f t="array" ref="DK96">_xlfn.LET(_xlpm.Coup2,IFERROR(IF(A96&lt;&gt;A97,"",IF(DF96="No Lap","",IF(K97="Coupler",_xlfn._xlws.FILTER(CCFCoupler,(CCName=SD!$C$8)*(CBSize=IF(A95=A96,W96&amp;W97,W96&amp;W96))),""))),"N/A"),IF(_xlpm.Coup2=0,"",_xlpm.Coup2))</f>
        <v/>
      </c>
      <c r="DM96" t="str">
        <f>IF(AM96="Spiral","",IF(SD!$C$31=SD!$Y$3,SD!$E$32*2,""))</f>
        <v/>
      </c>
      <c r="DO96" s="24">
        <f t="shared" si="49"/>
        <v>2.5</v>
      </c>
      <c r="DQ96" t="str">
        <f t="shared" si="50"/>
        <v>Lig</v>
      </c>
      <c r="DR96" t="str">
        <f>IF(AM96="Spiral",((Y96-(SD!$E$12*2))/12),"")</f>
        <v/>
      </c>
      <c r="DS96" t="str">
        <f t="shared" si="51"/>
        <v/>
      </c>
      <c r="DT96" t="str">
        <f t="shared" si="52"/>
        <v/>
      </c>
      <c r="DU96" t="str">
        <f t="shared" si="53"/>
        <v/>
      </c>
    </row>
    <row r="97" spans="1:125" x14ac:dyDescent="0.25">
      <c r="A97">
        <v>37</v>
      </c>
      <c r="B97" t="s">
        <v>664</v>
      </c>
      <c r="C97" s="15">
        <v>2429</v>
      </c>
      <c r="D97" s="15">
        <v>10000</v>
      </c>
      <c r="E97" s="15" t="s">
        <v>711</v>
      </c>
      <c r="F97" s="15" t="s">
        <v>787</v>
      </c>
      <c r="G97" t="s">
        <v>726</v>
      </c>
      <c r="H97" s="15" t="s">
        <v>788</v>
      </c>
      <c r="I97" t="s">
        <v>739</v>
      </c>
      <c r="J97" t="str">
        <f>IF(AND(SD!$C$19=SD!$H$2,Grade!$G$1="Per level"),VLOOKUP(B97,Grade!$E$1:$F$200,2,FALSE),IF(AND(SD!$C$19=SD!$H$2,Grade!$G$1="Per Bar Size"),VLOOKUP(W97,Grade!$B$1:$C$12,2,0),SD!$C$19))</f>
        <v>A615 Grade 60</v>
      </c>
      <c r="K97" t="s">
        <v>67</v>
      </c>
      <c r="L97" t="str">
        <f>IFERROR(IF(A97&lt;&gt;A98,"",IF(DF97="No Lap","",IF(K98="Lap",U97,IF(K98="Coupler",_xlfn._xlws.FILTER(CCoupler,(CCName=SD!$C$8)*(CBSize=IF(A96=A97,W97&amp;W98,W97&amp;W97))*(CCMFM="Male")),"")))),"N/A")</f>
        <v>5-1</v>
      </c>
      <c r="M97" t="str">
        <f t="shared" si="27"/>
        <v>10 - #10</v>
      </c>
      <c r="N97" t="s">
        <v>719</v>
      </c>
      <c r="O97" t="s">
        <v>720</v>
      </c>
      <c r="P97" t="s">
        <v>719</v>
      </c>
      <c r="Q97" t="str">
        <f>IF(AND(SD!$C$29=SD!$P$2,Grade!$O$1="Per level"),VLOOKUP(B97,Grade!$M$1:$N$200,2,FALSE),IF(AND(SD!$C$29=SD!$P$2,Grade!$O$1="Per Bar Size"),VLOOKUP(LEFT(N97,FIND("@",N97)-2),Grade!$J$1:$K$12,2,0),SD!$C$29))</f>
        <v>A615 Grade 60</v>
      </c>
      <c r="R97" t="s">
        <v>736</v>
      </c>
      <c r="S97" s="57">
        <v>97</v>
      </c>
      <c r="U97" t="str">
        <f>IF(Data!$J97="",IFERROR(INDEX(IF(SD!$C$11="Create",Lap!$A$3:$BF$14,IF(SD!$C$11="Per Uploaded File",Lap!$A$19:$BF$30,"")),MATCH(W97,Lap!$A$3:$A$14,0),MATCH(VALUE(D97),Lap!$A$3:$BF$3,0)+IF(IFERROR(FIND("Grade 60",J97),0)&gt;0,0,IF(IFERROR(FIND("Grade 80",J97),0),1,IF(IFERROR(FIND("Grade 75",J97),0),2,"")))),""),Data!J97)</f>
        <v>5-1</v>
      </c>
      <c r="W97" t="s">
        <v>176</v>
      </c>
      <c r="X97">
        <v>8</v>
      </c>
      <c r="Y97" t="str">
        <f t="shared" si="28"/>
        <v xml:space="preserve">24 </v>
      </c>
      <c r="Z97" t="str">
        <f t="shared" si="29"/>
        <v xml:space="preserve"> 36</v>
      </c>
      <c r="AA97" s="24">
        <f t="shared" si="30"/>
        <v>24.666666666666668</v>
      </c>
      <c r="BB97" t="e" cm="1">
        <f t="array" ref="BB97">_xlfn.LET(_xlpm.PartF,(_xlfn.LET(_xlpm.grade, Q97,_xlpm.gradeRange, IF(_xlpm.grade=SD!$H$3, A615GR60, IF(_xlpm.grade=SD!$H$4, A615GR75, IF(_xlpm.grade=SD!$H$5, A615GR80, IF(_xlpm.grade=SD!$H$6, A615GR100, IF(_xlpm.grade=SD!$H$7, A706GR60, IF(_xlpm.grade=SD!$H$8, A706GR80)))))),_xlpm.matchValue, MATCH(1, (SD!$AW:$AW=AS97)*(SD!$AX:$AX=SD!$C$8), 0),INDEX(_xlpm.gradeRange, _xlpm.matchValue))),IF(AM97="Spiral",CONCATENATE("SP",_xlpm.PartF),_xlpm.PartF))</f>
        <v>#N/A</v>
      </c>
      <c r="BC97" cm="1">
        <f t="array" ref="BC97">_xlfn.LET(_xlpm.leftPart, LEFT(O97, FIND("@", O97) - 2),_xlpm.grade,Q97,_xlpm.gradeRange,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7" cm="1">
        <f t="array" ref="BD97">_xlfn.LET(_xlpm.leftPart, LEFT(P97, FIND("@", P97) - 2),_xlpm.grade, Q97,_xlpm.gradeRange,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7">
        <f t="shared" si="31"/>
        <v>3</v>
      </c>
      <c r="BF97">
        <f>IF(SD!$C$32=SD!$I$2,BE97,IF(SD!$C$32=SD!$I$3,DO97,IF(SD!$C$32=SD!$I$5,BA97,IF(SD!$C$32=SD!$I$6,(LEFT(SD!$C$35,FIND("-",SD!$C$35)-1)+RIGHT(SD!$C$35,LEN(SD!$C$35)-FIND("-",SD!$C$35))/12),IF(SD!$C$32=SD!$I$4,(AU97-(BG97+BH97)))))))</f>
        <v>0</v>
      </c>
      <c r="BG97">
        <f>IF(SD!$C$33=SD!$I$2,BE97,IF(SD!$C$33=SD!$I$3,DO97,IF(SD!$C$33=SD!$I$5,BA97,IF(SD!$C$33=SD!$I$6,(LEFT(SD!$C$35,FIND("-",SD!$C$35)-1)+RIGHT(SD!$C$35,LEN(SD!$C$35)-FIND("-",SD!$C$35))/12),IF(SD!$C$33=SD!$I$4,(AU97-(BF97+BH97)))))))</f>
        <v>-1</v>
      </c>
      <c r="BH97">
        <f>IF(SD!$C$34=SD!$I$2,BE97,IF(SD!$C$34=SD!$I$3,DO97,IF(SD!$C$34=SD!$I$5,BA97,IF(SD!$C$34=SD!$I$6,(LEFT(SD!$C$35,FIND("-",SD!$C$35)-1)+RIGHT(SD!$C$35,LEN(SD!$C$35)-FIND("-",SD!$C$35))/12),IF(SD!$C$34=SD!$I$4,(AU97-(BF97+BG97)))))))</f>
        <v>1</v>
      </c>
      <c r="BJ97">
        <f>IF(AM97="Spiral","1",MAX(ROUNDUP(IF(SD!$C$32="",AT97,BF97/(LEFT(RIGHT(N97,LEN(N97)-FIND("@",N97)),LEN(RIGHT(N97,LEN(N97)-FIND("@",N97)))-1)/12)+1),0),0))</f>
        <v>1</v>
      </c>
      <c r="BK97">
        <f>MAX(ROUNDUP(IF(SD!$C$33="","",BG97/(LEFT(RIGHT(O97,LEN(O97)-FIND("@",O97)),LEN(RIGHT(O97,LEN(O97)-FIND("@",O97)))-1)/12)+1),0),0)</f>
        <v>0</v>
      </c>
      <c r="BL97">
        <f>MAX(ROUNDUP(IF(SD!$C$34="","",BH97/(LEFT(RIGHT(P97,LEN(P97)-FIND("@",P97)),LEN(RIGHT(P97,LEN(P97)-FIND("@",P97)))-1)/12)+1),0),0)</f>
        <v>3</v>
      </c>
      <c r="BN97" t="e">
        <f t="shared" si="32"/>
        <v>#N/A</v>
      </c>
      <c r="BO97" t="e">
        <f t="shared" si="33"/>
        <v>#N/A</v>
      </c>
      <c r="BP97" t="e">
        <f t="shared" si="34"/>
        <v>#N/A</v>
      </c>
      <c r="BQ97" s="24" t="e">
        <f>IF(AM97=TRUE,(((Y97-(SD!$E$12*2))*3.14159265359)+BN97+BO97+BP97)/12+AL97,SUM(AF97:AG97,BN97,BO97,BP97,AO97,AQ97)/12)</f>
        <v>#N/A</v>
      </c>
      <c r="BR97" t="e">
        <f t="shared" si="35"/>
        <v>#N/A</v>
      </c>
      <c r="BS97" t="e">
        <f t="shared" si="36"/>
        <v>#N/A</v>
      </c>
      <c r="BT97" t="e">
        <f t="shared" si="37"/>
        <v>#N/A</v>
      </c>
      <c r="BU97" s="24" t="e">
        <f>IF(AM97=TRUE,(((Y97-(SD!$E$12*2))*3.14159265359)+BR97+BS97+BT97)/12+AL97,SUM(AF97:AG97,BR97,BS97,BT97,AO97,AQ97)/12)</f>
        <v>#N/A</v>
      </c>
      <c r="BW97" t="str">
        <f>IFERROR(LEFT(Data!L97,FIND(" -",Data!L97)-1),"")</f>
        <v/>
      </c>
      <c r="BX97" t="str">
        <f>IFERROR(IF(SD!$C$40=SD!$U$2,W97,IF(SD!$C$40=SD!$U$3,RIGHT(Data!L97,LEN(Data!L97)-(FIND("-",Data!L97)+1)),SD!$C$40)),"")</f>
        <v>#10</v>
      </c>
      <c r="BY97" cm="1">
        <f t="array" ref="BY97">IFERROR(_xlfn.LET(_xlpm.GRR,IF(AND(SD!$C$19=SD!$H$2,Grade!$G$1="Per level"),VLOOKUP(B97,Grade!$E$1:$F$200,2,FALSE),IF(AND(SD!$C$19=SD!$H$2,Grade!$G$1="Per Bar Size"),VLOOKUP(BX97,Grade!$B$1:$C$12,2,0),SD!$C$19)),_xlpm.is_equal, A96=A97,_xlpm.grade_range, IF(_xlpm.GRR=SD!$H$3, A615GR60,IF(_xlpm.GRR=SD!$H$4, A615GR75,IF(_xlpm.GRR=SD!$H$5, A615GR80,IF(_xlpm.GRR=SD!H101, A615GR100,IF(_xlpm.GRR=SD!$H$7, A706GR60,IF(_xlpm.GRR=SD!$H$8, A706GR80)))))),_xlpm.match_result, MATCH(1, (BSize=BX97)*(BCName=SD!$C$8), 0),_xlpm.final_result, INDEX(_xlpm.grade_range, _xlpm.match_result),IF(_xlpm.is_equal, "", _xlpm.final_result)),"")</f>
        <v>10</v>
      </c>
      <c r="BZ97">
        <f>IF(A96=A97,"",IF(SD!$C$41="Match Vertical Bars ",X97,IF(SD!$C$41=SD!$V$3,BW97,SD!$C$41)))</f>
        <v>8</v>
      </c>
      <c r="CA97" cm="1">
        <f t="array" ref="CA97">IF(A96=A97,"",IF(SD!$C$44="No T-Head",IF(SD!$C$42=SD!$Q$3,VLOOKUP(BX97,S90Range,3,FALSE),LEFT(SD!$C$42,FIND("-",SD!$C$42)-1)+(RIGHT(SD!$C$42,LEN(SD!$C$42)-FIND("-",SD!$C$42))/12)),IF(SD!$C$44="T-Head",_xlfn._xlws.FILTER(THead,(TCName=SD!$C$8)*(TSize=BX97)),IF(SD!$C$44="Level Wise",_xlfn.LET(_xlpm.result,_xlfn.XLOOKUP(B97,VDLevel,VDLevelStatus,"No"),IF(_xlpm.result="Yes",_xlfn._xlws.FILTER(THead,(TCName=SD!$C$8)*(TSize=BX97)),IF(SD!$C$42=SD!$Q$3,VLOOKUP(BX97,S90Range,3,FALSE),LEFT(SD!$C$42,FIND("-",SD!$C$42)-1)+(RIGHT(SD!$C$42,LEN(SD!$C$42)-FIND("-", SD!$C$42))/12)))),IF(SD!$C$44="BarSize Wise",_xlfn.LET(_xlpm.result,_xlfn.XLOOKUP(BX97,VDBarSize,VDBarSizeStatus,"No"),IF(_xlpm.result="Yes",_xlfn._xlws.FILTER(THead,(TCName=SD!$C$8)*(TSize=BX97)),IF(SD!$C$42=SD!$Q$3,VLOOKUP(BX97,S90Range,3,FALSE),LEFT(SD!$C$42,FIND("-",SD!$C$42)-1)+(RIGHT(SD!$C$42,LEN(SD!$C$42)-FIND("-",SD!$C$42))/12)))), "")))))</f>
        <v>1.8333333333333335</v>
      </c>
      <c r="CB97" t="str" cm="1">
        <f t="array" ref="CB97">_xlfn.LET(_xlpm.GRR,IF(AND(SD!$C$19=SD!$H$2,Grade!$G$1="Per level"),VLOOKUP(B97,Grade!$E$1:$F$200,2,FALSE),IF(AND(SD!$C$19=SD!$H$2,Grade!$G$1="Per Bar Size"),VLOOKUP(BX97,Grade!$B$1:$C$12,2,0),SD!$C$19)),_xlpm.is_coupler, K97="Coupler",_xlpm.condition1, SD!$C$43=SD!$W$2,_xlpm.data_j2_empty, Data!$J97="",_xlpm.lookup_table, IF(SD!$C$11="Create", Lap!$A$3:$BF$14, IF(SD!$C$11="Per Uploaded File", Lap!$A$19:$BF$30, "")),_xlpm.row_match, MATCH(BX97, Lap!$A$3:$A$14, 0),_xlpm.grade_offset, IF(IFERROR(FIND("Grade 60",_xlpm.GRR), 0) &gt; 0, 0, IF(IFERROR(FIND("Grade 80",_xlpm.GRR), 0), 1, IF(IFERROR(FIND("Grade 75",_xlpm.GRR), 0), 2, ""))),_xlpm.col_match, MATCH(VALUE(D97), Lap!$A$3:$BF$3, 0) + _xlpm.grade_offset,_xlpm.index_result, IFERROR(INDEX(_xlpm.lookup_table, _xlpm.row_match, _xlpm.col_match), Data!$J97),_xlpm.result_if_condition1, IF(_xlpm.data_j2_empty, _xlpm.index_result, Data!$J97),IF(_xlpm.is_coupler, 0, IF(_xlpm.condition1, _xlpm.result_if_condition1, SD!$C$43)))</f>
        <v>5-1</v>
      </c>
      <c r="CC97" s="24">
        <f t="shared" si="38"/>
        <v>5.083333333333333</v>
      </c>
      <c r="CD97">
        <f t="shared" si="39"/>
        <v>12.583333333333332</v>
      </c>
      <c r="CE97" t="str" cm="1">
        <f t="array" ref="CE97">IF(BY97="","",_xlfn._xlws.FILTER(SAC,(CName=SD!$C$8)*(EName="Vert Dowels")))</f>
        <v>2200 CD</v>
      </c>
      <c r="CF97" t="str" cm="1">
        <f t="array" ref="CF97">IFERROR(IF(BY97="","",IF(K97="Coupler",_xlfn._xlws.FILTER(CCoupler,(CCName=SD!$C$8)*(CBSize=IF(A96=A97,W96&amp;W97,BX97&amp;W97))*(CCMFM="Male")),"")),"N/A")</f>
        <v/>
      </c>
      <c r="CG97" t="str">
        <f t="shared" si="40"/>
        <v>10</v>
      </c>
      <c r="CH97">
        <f t="shared" si="41"/>
        <v>0</v>
      </c>
      <c r="CI97">
        <f>_xlfn.LET(_xlpm.u3_value, U98,_xlpm.hyphen_pos,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K98="Coupler",_xlpm.coupler_value, IF(_xlpm.is_coupler, 0, _xlpm.calculated_value),_xlpm.final_value, _xlpm.calculated_value + SD!$E$13 + _xlpm.coupler_value,IF(CG97="", "", _xlpm.final_value))</f>
        <v>10.833333333333332</v>
      </c>
      <c r="CJ97" cm="1">
        <f t="array" ref="CJ97">IF(CG97="","",_xlfn._xlws.FILTER(SAC,(CName=SD!$C$8)*(EName="Loose Dowels")))</f>
        <v>2429</v>
      </c>
      <c r="CK97" t="str" cm="1">
        <f t="array" ref="CK97">IFERROR(IF(CG97="","",IF(K98="Coupler",_xlfn._xlws.FILTER(CCoupler,(CCName=SD!$C$8)*(CBSize=IF(A97=A98,W97&amp;W98,""))*(CCMFM="Male")),"")),"N/A")</f>
        <v/>
      </c>
      <c r="CL97">
        <f>IFERROR(IF(AM97="Spiral","",IF(A96=A97,"",IF(SD!$C$37=0,"",SD!$C$37))),"")</f>
        <v>3</v>
      </c>
      <c r="CN97">
        <f>IF(AM97="Spiral","",IFERROR(IF(SD!$C$36=0,"",SD!$C$36),""))</f>
        <v>5</v>
      </c>
      <c r="CP97">
        <f>IFERROR(IF(SD!$C$42=SD!$Q$3,'Take-off'!CA97,""),"")</f>
        <v>1.8333333333333335</v>
      </c>
      <c r="CR97">
        <f>IFERROR(IF(SD!$C$22=SD!$U$2,W97,SD!$C$22),"")</f>
        <v>0</v>
      </c>
      <c r="CS97" t="str" cm="1">
        <f t="array" ref="CS97">_xlfn.LET(_xlpm.GR,IF(AND(SD!$C$19=SD!$H$2,Grade!$G$1="Per level"),VLOOKUP(B97,Grade!$E$1:$F$200,2,FALSE),IF(AND(SD!$C$19=SD!$H$2,Grade!$G$1="Per Bar Size"),VLOOKUP(CR97,Grade!$B$1:$C$12,2,0),SD!$C$19)),IF(SD!$C$20=SD!$R$4,IF(A98=A97,"",INDEX(IF(_xlpm.GR=SD!$H$3,A615GR60,IF(_xlpm.GR=SD!$H$4,A615GR75,IF(_xlpm.GR=SD!$H$5,A615GR80,IF(_xlpm.GR=SD!H101,A615GR100,IF(_xlpm.GR=SD!$H$7,A706GR60,IF(_xlpm.GR=SD!$H$8,A706GR80)))))), MATCH(1, (BSize=CR97)*(BCName=SD!$C$8), 0))),""))</f>
        <v/>
      </c>
      <c r="CT97" t="str">
        <f>IF(A98=A97,"",IF(SD!$C$23="Match Vertical Bars ",X97,SD!$C$23))</f>
        <v/>
      </c>
      <c r="CU97" t="str" cm="1">
        <f t="array" ref="CU97">IF(A98=A97,"",IF(SD!$C$20="Top dowels",IF(SD!$E$25="No T-Head",IF(SD!$C$24=SD!$Q$3,VLOOKUP(CR97,S90Range,3,FALSE),LEFT(SD!$C$24,FIND("-",SD!$C$24)-1)+(RIGHT(SD!$C$24,LEN(SD!$C$24)-FIND("-",SD!$C$24))/12)),IF(SD!$E$25="T-Head",_xlfn._xlws.FILTER(THead,(TCName=SD!$C$8)*(TSize=CR97)),IF(SD!$E$25="Level Wise",_xlfn.LET(_xlpm.result,_xlfn.XLOOKUP(B97,TDLevel,TDLevelStatus,"No"),IF(_xlpm.result="Yes",_xlfn._xlws.FILTER(THead,(TCName=SD!$C$8)*(TSize=CR97)),IF(SD!$C$24=SD!$Q$3,VLOOKUP(CR97,S90Range,3,FALSE),LEFT(SD!$C$24,FIND("-",SD!$C$24)-1)+(RIGHT(SD!$C$24,LEN(SD!$C$24)-FIND("-", SD!$C$24))/12)))),IF(SD!$E$25="BarSize Wise",_xlfn.LET(_xlpm.result,_xlfn.XLOOKUP(CR97,TDBarSize,TDBarSizeStatus,"No"),IF(_xlpm.result="Yes",_xlfn._xlws.FILTER(THead,(TCName=SD!$C$8)*(TSize=CR97)),IF(SD!$C$24=SD!$Q$3,VLOOKUP(CR97,S90Range,3,FALSE),LEFT(SD!$C$24,FIND("-",SD!$C$24)-1)+(RIGHT(SD!$C$24,LEN(SD!$C$24)-FIND("-",SD!$C$24))/12)))), "")))),""))</f>
        <v/>
      </c>
      <c r="CV97" t="str">
        <f>_xlfn.LET(_xlpm.GRR,IF(AND(SD!$C$19=SD!$H$2,Grade!$G$1="Per level"),VLOOKUP(B97,Grade!$E$1:$F$200,2,FALSE),IF(AND(SD!$C$19=SD!$H$2,Grade!$G$1="Per Bar Size"),VLOOKUP(CR97,Grade!$B$1:$C$12,2,0),SD!$C$19)),IF(SD!$C$25=SD!$W$2,IF(Data!$J97="",IFERROR(INDEX(IF(SD!$C$11="Create",Lap!$A$3:$BF$14,IF(SD!$C$11="Per Uploaded File",Lap!$A$19:$BF$30,"")),MATCH(CR97,Lap!$A$3:$A$14,0),MATCH(VALUE(D97),Lap!$A$3:$BF$3,0)+IF(IFERROR(FIND("Grade 60",_xlpm.GRR),0)&gt;0,0,IF(IFERROR(FIND("Grade 80",_xlpm.GRR),0),1,IF(IFERROR(FIND("Grade 75",_xlpm.GRR),0),2,"")))),""),Data!J97),SD!$C$43))</f>
        <v>Match Lap</v>
      </c>
      <c r="CW97">
        <f t="shared" si="42"/>
        <v>0</v>
      </c>
      <c r="CX97">
        <f t="shared" si="43"/>
        <v>0</v>
      </c>
      <c r="CY97" t="str">
        <f t="shared" si="44"/>
        <v/>
      </c>
      <c r="DA97">
        <f t="shared" si="45"/>
        <v>37</v>
      </c>
      <c r="DB97" t="str">
        <f t="shared" si="46"/>
        <v>136-0</v>
      </c>
      <c r="DC97" s="24">
        <f t="shared" si="47"/>
        <v>135.99999999999997</v>
      </c>
      <c r="DD97">
        <f t="shared" si="48"/>
        <v>19.583333333333332</v>
      </c>
      <c r="DE97" t="s">
        <v>785</v>
      </c>
      <c r="DF97" t="s">
        <v>67</v>
      </c>
      <c r="DG97" t="str">
        <f>VLOOKUP(W97,'Level Wise PSI'!$F$2:$G$12,2,FALSE)</f>
        <v>Double Lift</v>
      </c>
      <c r="DI97" t="str" cm="1">
        <f t="array" ref="DI97">_xlfn.LET(_xlpm.Coup,IFERROR(IF(BY97="","",IF(K97="Coupler",_xlfn._xlws.FILTER(CCFCoupler,(CCName=SD!$C$8)*(CBSize=IF(A96=A97,W96&amp;W97,BX97&amp;W97))),"")),"N/A"),IF(_xlpm.Coup=0,"",_xlpm.Coup))</f>
        <v/>
      </c>
      <c r="DJ97" t="str" cm="1">
        <f t="array" ref="DJ97">_xlfn.LET(_xlpm.Coup3,IFERROR(IF(CG97="","",IF(K98="Coupler",_xlfn._xlws.FILTER(CCFCoupler,(CCName=SD!$C$8)*(CBSize=IF(A97=A98,W97&amp;W98,""))),"")),"N/A"),IF(_xlpm.Coup3=0,"",_xlpm.Coup3))</f>
        <v/>
      </c>
      <c r="DK97" t="str" cm="1">
        <f t="array" ref="DK97">_xlfn.LET(_xlpm.Coup2,IFERROR(IF(A97&lt;&gt;A98,"",IF(DF97="No Lap","",IF(K98="Coupler",_xlfn._xlws.FILTER(CCFCoupler,(CCName=SD!$C$8)*(CBSize=IF(A96=A97,W97&amp;W98,W97&amp;W97))),""))),"N/A"),IF(_xlpm.Coup2=0,"",_xlpm.Coup2))</f>
        <v/>
      </c>
      <c r="DM97" t="str">
        <f>IF(AM97="Spiral","",IF(SD!$C$31=SD!$Y$3,SD!$E$32*2,""))</f>
        <v/>
      </c>
      <c r="DO97" s="24">
        <f t="shared" si="49"/>
        <v>3</v>
      </c>
      <c r="DQ97" t="str">
        <f t="shared" si="50"/>
        <v>Lig</v>
      </c>
      <c r="DR97" t="str">
        <f>IF(AM97="Spiral",((Y97-(SD!$E$12*2))/12),"")</f>
        <v/>
      </c>
      <c r="DS97" t="str">
        <f t="shared" si="51"/>
        <v/>
      </c>
      <c r="DT97" t="str">
        <f t="shared" si="52"/>
        <v/>
      </c>
      <c r="DU97" t="str">
        <f t="shared" si="53"/>
        <v/>
      </c>
    </row>
    <row r="98" spans="1:125" x14ac:dyDescent="0.25">
      <c r="A98">
        <v>37</v>
      </c>
      <c r="B98" t="s">
        <v>667</v>
      </c>
      <c r="C98" s="15">
        <v>2429</v>
      </c>
      <c r="D98" s="15">
        <v>10000</v>
      </c>
      <c r="E98" t="str">
        <f>IF(B98=Level!$A$2,SD!$C$14,SD!$C$13)</f>
        <v>0-8</v>
      </c>
      <c r="F98" s="15" t="s">
        <v>787</v>
      </c>
      <c r="G98" t="s">
        <v>740</v>
      </c>
      <c r="H98" t="str">
        <f>RIGHT(VLOOKUP(B98,Level!A:C,3,FALSE),LEN(VLOOKUP(B98,Level!A:C,3,FALSE))-1)</f>
        <v>10-7</v>
      </c>
      <c r="I98" t="s">
        <v>741</v>
      </c>
      <c r="J98" t="str">
        <f>IF(AND(SD!$C$19=SD!$H$2,Grade!$G$1="Per level"),VLOOKUP(B98,Grade!$E$1:$F$200,2,FALSE),IF(AND(SD!$C$19=SD!$H$2,Grade!$G$1="Per Bar Size"),VLOOKUP(W98,Grade!$B$1:$C$12,2,0),SD!$C$19))</f>
        <v>A615 Grade 60</v>
      </c>
      <c r="K98" t="s">
        <v>67</v>
      </c>
      <c r="L98" t="str">
        <f>IFERROR(IF(A98&lt;&gt;A99,"",IF(DF98="No Lap","",IF(K99="Lap",U98,IF(K99="Coupler",_xlfn._xlws.FILTER(CCoupler,(CCName=SD!$C$8)*(CBSize=IF(A97=A98,W98&amp;W99,W98&amp;W98))*(CCMFM="Male")),"")))),"N/A")</f>
        <v>5-1</v>
      </c>
      <c r="M98" t="str">
        <f t="shared" si="27"/>
        <v/>
      </c>
      <c r="N98" t="s">
        <v>719</v>
      </c>
      <c r="O98" t="s">
        <v>720</v>
      </c>
      <c r="P98" t="s">
        <v>719</v>
      </c>
      <c r="Q98" t="str">
        <f>IF(AND(SD!$C$29=SD!$P$2,Grade!$O$1="Per level"),VLOOKUP(B98,Grade!$M$1:$N$200,2,FALSE),IF(AND(SD!$C$29=SD!$P$2,Grade!$O$1="Per Bar Size"),VLOOKUP(LEFT(N98,FIND("@",N98)-2),Grade!$J$1:$K$12,2,0),SD!$C$29))</f>
        <v>A615 Grade 60</v>
      </c>
      <c r="R98" t="s">
        <v>740</v>
      </c>
      <c r="S98" s="57">
        <v>98</v>
      </c>
      <c r="U98" t="str">
        <f>IF(Data!$J98="",IFERROR(INDEX(IF(SD!$C$11="Create",Lap!$A$3:$BF$14,IF(SD!$C$11="Per Uploaded File",Lap!$A$19:$BF$30,"")),MATCH(W98,Lap!$A$3:$A$14,0),MATCH(VALUE(D98),Lap!$A$3:$BF$3,0)+IF(IFERROR(FIND("Grade 60",J98),0)&gt;0,0,IF(IFERROR(FIND("Grade 80",J98),0),1,IF(IFERROR(FIND("Grade 75",J98),0),2,"")))),""),Data!J98)</f>
        <v>5-1</v>
      </c>
      <c r="W98" t="s">
        <v>176</v>
      </c>
      <c r="X98">
        <v>10</v>
      </c>
      <c r="Y98" t="str">
        <f t="shared" si="28"/>
        <v>36</v>
      </c>
      <c r="Z98">
        <f t="shared" si="29"/>
        <v>0</v>
      </c>
      <c r="AA98" s="24">
        <f t="shared" si="30"/>
        <v>15.666666666666666</v>
      </c>
      <c r="BB98" t="e" cm="1">
        <f t="array" ref="BB98">_xlfn.LET(_xlpm.PartF,(_xlfn.LET(_xlpm.grade, Q98,_xlpm.gradeRange, IF(_xlpm.grade=SD!$H$3, A615GR60, IF(_xlpm.grade=SD!$H$4, A615GR75, IF(_xlpm.grade=SD!$H$5, A615GR80, IF(_xlpm.grade=SD!$H$6, A615GR100, IF(_xlpm.grade=SD!$H$7, A706GR60, IF(_xlpm.grade=SD!$H$8, A706GR80)))))),_xlpm.matchValue, MATCH(1, (SD!$AW:$AW=AS98)*(SD!$AX:$AX=SD!$C$8), 0),INDEX(_xlpm.gradeRange, _xlpm.matchValue))),IF(AM98="Spiral",CONCATENATE("SP",_xlpm.PartF),_xlpm.PartF))</f>
        <v>#N/A</v>
      </c>
      <c r="BC98" cm="1">
        <f t="array" ref="BC98">_xlfn.LET(_xlpm.leftPart, LEFT(O98, FIND("@", O98) - 2),_xlpm.grade,Q98,_xlpm.gradeRange,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8" cm="1">
        <f t="array" ref="BD98">_xlfn.LET(_xlpm.leftPart, LEFT(P98, FIND("@", P98) - 2),_xlpm.grade, Q98,_xlpm.gradeRange,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8">
        <f t="shared" si="31"/>
        <v>3</v>
      </c>
      <c r="BF98">
        <f>IF(SD!$C$32=SD!$I$2,BE98,IF(SD!$C$32=SD!$I$3,DO98,IF(SD!$C$32=SD!$I$5,BA98,IF(SD!$C$32=SD!$I$6,(LEFT(SD!$C$35,FIND("-",SD!$C$35)-1)+RIGHT(SD!$C$35,LEN(SD!$C$35)-FIND("-",SD!$C$35))/12),IF(SD!$C$32=SD!$I$4,(AU98-(BG98+BH98)))))))</f>
        <v>0</v>
      </c>
      <c r="BG98">
        <f>IF(SD!$C$33=SD!$I$2,BE98,IF(SD!$C$33=SD!$I$3,DO98,IF(SD!$C$33=SD!$I$5,BA98,IF(SD!$C$33=SD!$I$6,(LEFT(SD!$C$35,FIND("-",SD!$C$35)-1)+RIGHT(SD!$C$35,LEN(SD!$C$35)-FIND("-",SD!$C$35))/12),IF(SD!$C$33=SD!$I$4,(AU98-(BF98+BH98)))))))</f>
        <v>-1</v>
      </c>
      <c r="BH98">
        <f>IF(SD!$C$34=SD!$I$2,BE98,IF(SD!$C$34=SD!$I$3,DO98,IF(SD!$C$34=SD!$I$5,BA98,IF(SD!$C$34=SD!$I$6,(LEFT(SD!$C$35,FIND("-",SD!$C$35)-1)+RIGHT(SD!$C$35,LEN(SD!$C$35)-FIND("-",SD!$C$35))/12),IF(SD!$C$34=SD!$I$4,(AU98-(BF98+BG98)))))))</f>
        <v>1</v>
      </c>
      <c r="BJ98">
        <f>IF(AM98="Spiral","1",MAX(ROUNDUP(IF(SD!$C$32="",AT98,BF98/(LEFT(RIGHT(N98,LEN(N98)-FIND("@",N98)),LEN(RIGHT(N98,LEN(N98)-FIND("@",N98)))-1)/12)+1),0),0))</f>
        <v>1</v>
      </c>
      <c r="BK98">
        <f>MAX(ROUNDUP(IF(SD!$C$33="","",BG98/(LEFT(RIGHT(O98,LEN(O98)-FIND("@",O98)),LEN(RIGHT(O98,LEN(O98)-FIND("@",O98)))-1)/12)+1),0),0)</f>
        <v>0</v>
      </c>
      <c r="BL98">
        <f>MAX(ROUNDUP(IF(SD!$C$34="","",BH98/(LEFT(RIGHT(P98,LEN(P98)-FIND("@",P98)),LEN(RIGHT(P98,LEN(P98)-FIND("@",P98)))-1)/12)+1),0),0)</f>
        <v>3</v>
      </c>
      <c r="BN98" t="e">
        <f t="shared" si="32"/>
        <v>#N/A</v>
      </c>
      <c r="BO98" t="e">
        <f t="shared" si="33"/>
        <v>#N/A</v>
      </c>
      <c r="BP98" t="e">
        <f t="shared" si="34"/>
        <v>#N/A</v>
      </c>
      <c r="BQ98" s="24" t="e">
        <f>IF(AM98=TRUE,(((Y98-(SD!$E$12*2))*3.14159265359)+BN98+BO98+BP98)/12+AL98,SUM(AF98:AG98,BN98,BO98,BP98,AO98,AQ98)/12)</f>
        <v>#N/A</v>
      </c>
      <c r="BR98" t="e">
        <f t="shared" si="35"/>
        <v>#N/A</v>
      </c>
      <c r="BS98" t="e">
        <f t="shared" si="36"/>
        <v>#N/A</v>
      </c>
      <c r="BT98" t="e">
        <f t="shared" si="37"/>
        <v>#N/A</v>
      </c>
      <c r="BU98" s="24" t="e">
        <f>IF(AM98=TRUE,(((Y98-(SD!$E$12*2))*3.14159265359)+BR98+BS98+BT98)/12+AL98,SUM(AF98:AG98,BR98,BS98,BT98,AO98,AQ98)/12)</f>
        <v>#N/A</v>
      </c>
      <c r="BW98" t="str">
        <f>IFERROR(LEFT(Data!L98,FIND(" -",Data!L98)-1),"")</f>
        <v/>
      </c>
      <c r="BX98" t="str">
        <f>IFERROR(IF(SD!$C$40=SD!$U$2,W98,IF(SD!$C$40=SD!$U$3,RIGHT(Data!L98,LEN(Data!L98)-(FIND("-",Data!L98)+1)),SD!$C$40)),"")</f>
        <v>#10</v>
      </c>
      <c r="BY98" t="str" cm="1">
        <f t="array" ref="BY98">IFERROR(_xlfn.LET(_xlpm.GRR,IF(AND(SD!$C$19=SD!$H$2,Grade!$G$1="Per level"),VLOOKUP(B98,Grade!$E$1:$F$200,2,FALSE),IF(AND(SD!$C$19=SD!$H$2,Grade!$G$1="Per Bar Size"),VLOOKUP(BX98,Grade!$B$1:$C$12,2,0),SD!$C$19)),_xlpm.is_equal, A97=A98,_xlpm.grade_range, IF(_xlpm.GRR=SD!$H$3, A615GR60,IF(_xlpm.GRR=SD!$H$4, A615GR75,IF(_xlpm.GRR=SD!$H$5, A615GR80,IF(_xlpm.GRR=SD!H102, A615GR100,IF(_xlpm.GRR=SD!$H$7, A706GR60,IF(_xlpm.GRR=SD!$H$8, A706GR80)))))),_xlpm.match_result, MATCH(1, (BSize=BX98)*(BCName=SD!$C$8), 0),_xlpm.final_result, INDEX(_xlpm.grade_range, _xlpm.match_result),IF(_xlpm.is_equal, "", _xlpm.final_result)),"")</f>
        <v/>
      </c>
      <c r="BZ98" t="str">
        <f>IF(A97=A98,"",IF(SD!$C$41="Match Vertical Bars ",X98,IF(SD!$C$41=SD!$V$3,BW98,SD!$C$41)))</f>
        <v/>
      </c>
      <c r="CA98" t="str" cm="1">
        <f t="array" ref="CA98">IF(A97=A98,"",IF(SD!$C$44="No T-Head",IF(SD!$C$42=SD!$Q$3,VLOOKUP(BX98,S90Range,3,FALSE),LEFT(SD!$C$42,FIND("-",SD!$C$42)-1)+(RIGHT(SD!$C$42,LEN(SD!$C$42)-FIND("-",SD!$C$42))/12)),IF(SD!$C$44="T-Head",_xlfn._xlws.FILTER(THead,(TCName=SD!$C$8)*(TSize=BX98)),IF(SD!$C$44="Level Wise",_xlfn.LET(_xlpm.result,_xlfn.XLOOKUP(B98,VDLevel,VDLevelStatus,"No"),IF(_xlpm.result="Yes",_xlfn._xlws.FILTER(THead,(TCName=SD!$C$8)*(TSize=BX98)),IF(SD!$C$42=SD!$Q$3,VLOOKUP(BX98,S90Range,3,FALSE),LEFT(SD!$C$42,FIND("-",SD!$C$42)-1)+(RIGHT(SD!$C$42,LEN(SD!$C$42)-FIND("-", SD!$C$42))/12)))),IF(SD!$C$44="BarSize Wise",_xlfn.LET(_xlpm.result,_xlfn.XLOOKUP(BX98,VDBarSize,VDBarSizeStatus,"No"),IF(_xlpm.result="Yes",_xlfn._xlws.FILTER(THead,(TCName=SD!$C$8)*(TSize=BX98)),IF(SD!$C$42=SD!$Q$3,VLOOKUP(BX98,S90Range,3,FALSE),LEFT(SD!$C$42,FIND("-",SD!$C$42)-1)+(RIGHT(SD!$C$42,LEN(SD!$C$42)-FIND("-",SD!$C$42))/12)))), "")))))</f>
        <v/>
      </c>
      <c r="CB98" t="str" cm="1">
        <f t="array" ref="CB98">_xlfn.LET(_xlpm.GRR,IF(AND(SD!$C$19=SD!$H$2,Grade!$G$1="Per level"),VLOOKUP(B98,Grade!$E$1:$F$200,2,FALSE),IF(AND(SD!$C$19=SD!$H$2,Grade!$G$1="Per Bar Size"),VLOOKUP(BX98,Grade!$B$1:$C$12,2,0),SD!$C$19)),_xlpm.is_coupler, K98="Coupler",_xlpm.condition1, SD!$C$43=SD!$W$2,_xlpm.data_j2_empty, Data!$J98="",_xlpm.lookup_table, IF(SD!$C$11="Create", Lap!$A$3:$BF$14, IF(SD!$C$11="Per Uploaded File", Lap!$A$19:$BF$30, "")),_xlpm.row_match, MATCH(BX98, Lap!$A$3:$A$14, 0),_xlpm.grade_offset, IF(IFERROR(FIND("Grade 60",_xlpm.GRR), 0) &gt; 0, 0, IF(IFERROR(FIND("Grade 80",_xlpm.GRR), 0), 1, IF(IFERROR(FIND("Grade 75",_xlpm.GRR), 0), 2, ""))),_xlpm.col_match, MATCH(VALUE(D98), Lap!$A$3:$BF$3, 0) + _xlpm.grade_offset,_xlpm.index_result, IFERROR(INDEX(_xlpm.lookup_table, _xlpm.row_match, _xlpm.col_match), Data!$J98),_xlpm.result_if_condition1, IF(_xlpm.data_j2_empty, _xlpm.index_result, Data!$J98),IF(_xlpm.is_coupler, 0, IF(_xlpm.condition1, _xlpm.result_if_condition1, SD!$C$43)))</f>
        <v>5-1</v>
      </c>
      <c r="CC98" s="24">
        <f t="shared" si="38"/>
        <v>5.083333333333333</v>
      </c>
      <c r="CD98">
        <f t="shared" si="39"/>
        <v>5.75</v>
      </c>
      <c r="CE98" t="str" cm="1">
        <f t="array" ref="CE98">IF(BY98="","",_xlfn._xlws.FILTER(SAC,(CName=SD!$C$8)*(EName="Vert Dowels")))</f>
        <v/>
      </c>
      <c r="CF98" t="str" cm="1">
        <f t="array" ref="CF98">IFERROR(IF(BY98="","",IF(K98="Coupler",_xlfn._xlws.FILTER(CCoupler,(CCName=SD!$C$8)*(CBSize=IF(A97=A98,W97&amp;W98,BX98&amp;W98))*(CCMFM="Male")),"")),"N/A")</f>
        <v/>
      </c>
      <c r="CG98" t="str">
        <f t="shared" si="40"/>
        <v/>
      </c>
      <c r="CH98" t="str">
        <f t="shared" si="41"/>
        <v/>
      </c>
      <c r="CI98" t="str">
        <f>_xlfn.LET(_xlpm.u3_value, U99,_xlpm.hyphen_pos,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K99="Coupler",_xlpm.coupler_value, IF(_xlpm.is_coupler, 0, _xlpm.calculated_value),_xlpm.final_value, _xlpm.calculated_value + SD!$E$13 + _xlpm.coupler_value,IF(CG98="", "", _xlpm.final_value))</f>
        <v/>
      </c>
      <c r="CJ98" t="str" cm="1">
        <f t="array" ref="CJ98">IF(CG98="","",_xlfn._xlws.FILTER(SAC,(CName=SD!$C$8)*(EName="Loose Dowels")))</f>
        <v/>
      </c>
      <c r="CK98" t="str" cm="1">
        <f t="array" ref="CK98">IFERROR(IF(CG98="","",IF(K99="Coupler",_xlfn._xlws.FILTER(CCoupler,(CCName=SD!$C$8)*(CBSize=IF(A98=A99,W98&amp;W99,""))*(CCMFM="Male")),"")),"N/A")</f>
        <v/>
      </c>
      <c r="CL98" t="str">
        <f>IFERROR(IF(AM98="Spiral","",IF(A97=A98,"",IF(SD!$C$37=0,"",SD!$C$37))),"")</f>
        <v/>
      </c>
      <c r="CN98">
        <f>IF(AM98="Spiral","",IFERROR(IF(SD!$C$36=0,"",SD!$C$36),""))</f>
        <v>5</v>
      </c>
      <c r="CP98" t="str">
        <f>IFERROR(IF(SD!$C$42=SD!$Q$3,'Take-off'!CA98,""),"")</f>
        <v/>
      </c>
      <c r="CR98">
        <f>IFERROR(IF(SD!$C$22=SD!$U$2,W98,SD!$C$22),"")</f>
        <v>0</v>
      </c>
      <c r="CS98" t="str" cm="1">
        <f t="array" ref="CS98">_xlfn.LET(_xlpm.GR,IF(AND(SD!$C$19=SD!$H$2,Grade!$G$1="Per level"),VLOOKUP(B98,Grade!$E$1:$F$200,2,FALSE),IF(AND(SD!$C$19=SD!$H$2,Grade!$G$1="Per Bar Size"),VLOOKUP(CR98,Grade!$B$1:$C$12,2,0),SD!$C$19)),IF(SD!$C$20=SD!$R$4,IF(A99=A98,"",INDEX(IF(_xlpm.GR=SD!$H$3,A615GR60,IF(_xlpm.GR=SD!$H$4,A615GR75,IF(_xlpm.GR=SD!$H$5,A615GR80,IF(_xlpm.GR=SD!H102,A615GR100,IF(_xlpm.GR=SD!$H$7,A706GR60,IF(_xlpm.GR=SD!$H$8,A706GR80)))))), MATCH(1, (BSize=CR98)*(BCName=SD!$C$8), 0))),""))</f>
        <v/>
      </c>
      <c r="CT98" t="str">
        <f>IF(A99=A98,"",IF(SD!$C$23="Match Vertical Bars ",X98,SD!$C$23))</f>
        <v/>
      </c>
      <c r="CU98" t="str" cm="1">
        <f t="array" ref="CU98">IF(A99=A98,"",IF(SD!$C$20="Top dowels",IF(SD!$E$25="No T-Head",IF(SD!$C$24=SD!$Q$3,VLOOKUP(CR98,S90Range,3,FALSE),LEFT(SD!$C$24,FIND("-",SD!$C$24)-1)+(RIGHT(SD!$C$24,LEN(SD!$C$24)-FIND("-",SD!$C$24))/12)),IF(SD!$E$25="T-Head",_xlfn._xlws.FILTER(THead,(TCName=SD!$C$8)*(TSize=CR98)),IF(SD!$E$25="Level Wise",_xlfn.LET(_xlpm.result,_xlfn.XLOOKUP(B98,TDLevel,TDLevelStatus,"No"),IF(_xlpm.result="Yes",_xlfn._xlws.FILTER(THead,(TCName=SD!$C$8)*(TSize=CR98)),IF(SD!$C$24=SD!$Q$3,VLOOKUP(CR98,S90Range,3,FALSE),LEFT(SD!$C$24,FIND("-",SD!$C$24)-1)+(RIGHT(SD!$C$24,LEN(SD!$C$24)-FIND("-", SD!$C$24))/12)))),IF(SD!$E$25="BarSize Wise",_xlfn.LET(_xlpm.result,_xlfn.XLOOKUP(CR98,TDBarSize,TDBarSizeStatus,"No"),IF(_xlpm.result="Yes",_xlfn._xlws.FILTER(THead,(TCName=SD!$C$8)*(TSize=CR98)),IF(SD!$C$24=SD!$Q$3,VLOOKUP(CR98,S90Range,3,FALSE),LEFT(SD!$C$24,FIND("-",SD!$C$24)-1)+(RIGHT(SD!$C$24,LEN(SD!$C$24)-FIND("-",SD!$C$24))/12)))), "")))),""))</f>
        <v/>
      </c>
      <c r="CV98" t="str">
        <f>_xlfn.LET(_xlpm.GRR,IF(AND(SD!$C$19=SD!$H$2,Grade!$G$1="Per level"),VLOOKUP(B98,Grade!$E$1:$F$200,2,FALSE),IF(AND(SD!$C$19=SD!$H$2,Grade!$G$1="Per Bar Size"),VLOOKUP(CR98,Grade!$B$1:$C$12,2,0),SD!$C$19)),IF(SD!$C$25=SD!$W$2,IF(Data!$J98="",IFERROR(INDEX(IF(SD!$C$11="Create",Lap!$A$3:$BF$14,IF(SD!$C$11="Per Uploaded File",Lap!$A$19:$BF$30,"")),MATCH(CR98,Lap!$A$3:$A$14,0),MATCH(VALUE(D98),Lap!$A$3:$BF$3,0)+IF(IFERROR(FIND("Grade 60",_xlpm.GRR),0)&gt;0,0,IF(IFERROR(FIND("Grade 80",_xlpm.GRR),0),1,IF(IFERROR(FIND("Grade 75",_xlpm.GRR),0),2,"")))),""),Data!J98),SD!$C$43))</f>
        <v>Match Lap</v>
      </c>
      <c r="CW98">
        <f t="shared" si="42"/>
        <v>0</v>
      </c>
      <c r="CX98">
        <f t="shared" si="43"/>
        <v>0</v>
      </c>
      <c r="CY98" t="str">
        <f t="shared" si="44"/>
        <v/>
      </c>
      <c r="DA98" t="str">
        <f t="shared" si="45"/>
        <v/>
      </c>
      <c r="DB98" t="str">
        <f t="shared" si="46"/>
        <v/>
      </c>
      <c r="DC98" s="24" t="str">
        <f t="shared" si="47"/>
        <v/>
      </c>
      <c r="DD98">
        <f t="shared" si="48"/>
        <v>10.583333333333334</v>
      </c>
      <c r="DE98" t="s">
        <v>785</v>
      </c>
      <c r="DF98" t="s">
        <v>67</v>
      </c>
      <c r="DG98" t="str">
        <f>VLOOKUP(W98,'Level Wise PSI'!$F$2:$G$12,2,FALSE)</f>
        <v>Double Lift</v>
      </c>
      <c r="DI98" t="str" cm="1">
        <f t="array" ref="DI98">_xlfn.LET(_xlpm.Coup,IFERROR(IF(BY98="","",IF(K98="Coupler",_xlfn._xlws.FILTER(CCFCoupler,(CCName=SD!$C$8)*(CBSize=IF(A97=A98,W97&amp;W98,BX98&amp;W98))),"")),"N/A"),IF(_xlpm.Coup=0,"",_xlpm.Coup))</f>
        <v/>
      </c>
      <c r="DJ98" t="str" cm="1">
        <f t="array" ref="DJ98">_xlfn.LET(_xlpm.Coup3,IFERROR(IF(CG98="","",IF(K99="Coupler",_xlfn._xlws.FILTER(CCFCoupler,(CCName=SD!$C$8)*(CBSize=IF(A98=A99,W98&amp;W99,""))),"")),"N/A"),IF(_xlpm.Coup3=0,"",_xlpm.Coup3))</f>
        <v/>
      </c>
      <c r="DK98" t="str" cm="1">
        <f t="array" ref="DK98">_xlfn.LET(_xlpm.Coup2,IFERROR(IF(A98&lt;&gt;A99,"",IF(DF98="No Lap","",IF(K99="Coupler",_xlfn._xlws.FILTER(CCFCoupler,(CCName=SD!$C$8)*(CBSize=IF(A97=A98,W98&amp;W99,W98&amp;W98))),""))),"N/A"),IF(_xlpm.Coup2=0,"",_xlpm.Coup2))</f>
        <v/>
      </c>
      <c r="DM98" t="str">
        <f>IF(AM98="Spiral","",IF(SD!$C$31=SD!$Y$3,SD!$E$32*2,""))</f>
        <v/>
      </c>
      <c r="DO98" s="24">
        <f t="shared" si="49"/>
        <v>3</v>
      </c>
      <c r="DQ98" t="str">
        <f t="shared" si="50"/>
        <v>Lig</v>
      </c>
      <c r="DR98" t="str">
        <f>IF(AM98="Spiral",((Y98-(SD!$E$12*2))/12),"")</f>
        <v/>
      </c>
      <c r="DS98" t="str">
        <f t="shared" si="51"/>
        <v/>
      </c>
      <c r="DT98" t="str">
        <f t="shared" si="52"/>
        <v/>
      </c>
      <c r="DU98" t="str">
        <f t="shared" si="53"/>
        <v/>
      </c>
    </row>
    <row r="99" spans="1:125" x14ac:dyDescent="0.25">
      <c r="A99">
        <v>37</v>
      </c>
      <c r="B99" t="s">
        <v>670</v>
      </c>
      <c r="C99" s="15">
        <v>2429</v>
      </c>
      <c r="D99" s="15">
        <v>10000</v>
      </c>
      <c r="E99" t="str">
        <f>IF(B99=Level!$A$2,SD!$C$14,SD!$C$13)</f>
        <v>0-8</v>
      </c>
      <c r="F99" s="15" t="s">
        <v>787</v>
      </c>
      <c r="G99" t="s">
        <v>742</v>
      </c>
      <c r="H99" t="str">
        <f>RIGHT(VLOOKUP(B99,Level!A:C,3,FALSE),LEN(VLOOKUP(B99,Level!A:C,3,FALSE))-1)</f>
        <v>10-7</v>
      </c>
      <c r="I99" t="s">
        <v>743</v>
      </c>
      <c r="J99" t="str">
        <f>IF(AND(SD!$C$19=SD!$H$2,Grade!$G$1="Per level"),VLOOKUP(B99,Grade!$E$1:$F$200,2,FALSE),IF(AND(SD!$C$19=SD!$H$2,Grade!$G$1="Per Bar Size"),VLOOKUP(W99,Grade!$B$1:$C$12,2,0),SD!$C$19))</f>
        <v>A615 Grade 60</v>
      </c>
      <c r="K99" t="s">
        <v>67</v>
      </c>
      <c r="L99" t="str">
        <f>IFERROR(IF(A99&lt;&gt;A100,"",IF(DF99="No Lap","",IF(K100="Lap",U99,IF(K100="Coupler",_xlfn._xlws.FILTER(CCoupler,(CCName=SD!$C$8)*(CBSize=IF(A98=A99,W99&amp;W100,W99&amp;W99))*(CCMFM="Male")),"")))),"N/A")</f>
        <v>5-1</v>
      </c>
      <c r="M99" t="str">
        <f t="shared" si="27"/>
        <v/>
      </c>
      <c r="N99" t="s">
        <v>719</v>
      </c>
      <c r="O99" t="s">
        <v>720</v>
      </c>
      <c r="P99" t="s">
        <v>719</v>
      </c>
      <c r="Q99" t="str">
        <f>IF(AND(SD!$C$29=SD!$P$2,Grade!$O$1="Per level"),VLOOKUP(B99,Grade!$M$1:$N$200,2,FALSE),IF(AND(SD!$C$29=SD!$P$2,Grade!$O$1="Per Bar Size"),VLOOKUP(LEFT(N99,FIND("@",N99)-2),Grade!$J$1:$K$12,2,0),SD!$C$29))</f>
        <v>A615 Grade 60</v>
      </c>
      <c r="R99" t="s">
        <v>742</v>
      </c>
      <c r="S99" s="57">
        <v>99</v>
      </c>
      <c r="U99" t="str">
        <f>IF(Data!$J99="",IFERROR(INDEX(IF(SD!$C$11="Create",Lap!$A$3:$BF$14,IF(SD!$C$11="Per Uploaded File",Lap!$A$19:$BF$30,"")),MATCH(W99,Lap!$A$3:$A$14,0),MATCH(VALUE(D99),Lap!$A$3:$BF$3,0)+IF(IFERROR(FIND("Grade 60",J99),0)&gt;0,0,IF(IFERROR(FIND("Grade 80",J99),0),1,IF(IFERROR(FIND("Grade 75",J99),0),2,"")))),""),Data!J99)</f>
        <v>5-1</v>
      </c>
      <c r="W99" t="s">
        <v>176</v>
      </c>
      <c r="X99">
        <v>6</v>
      </c>
      <c r="Y99" t="str">
        <f t="shared" si="28"/>
        <v>30</v>
      </c>
      <c r="Z99">
        <f t="shared" si="29"/>
        <v>0</v>
      </c>
      <c r="AA99" s="24">
        <f t="shared" si="30"/>
        <v>15.666666666666666</v>
      </c>
      <c r="BB99" t="e" cm="1">
        <f t="array" ref="BB99">_xlfn.LET(_xlpm.PartF,(_xlfn.LET(_xlpm.grade, Q99,_xlpm.gradeRange, IF(_xlpm.grade=SD!$H$3, A615GR60, IF(_xlpm.grade=SD!$H$4, A615GR75, IF(_xlpm.grade=SD!$H$5, A615GR80, IF(_xlpm.grade=SD!$H$6, A615GR100, IF(_xlpm.grade=SD!$H$7, A706GR60, IF(_xlpm.grade=SD!$H$8, A706GR80)))))),_xlpm.matchValue, MATCH(1, (SD!$AW:$AW=AS99)*(SD!$AX:$AX=SD!$C$8), 0),INDEX(_xlpm.gradeRange, _xlpm.matchValue))),IF(AM99="Spiral",CONCATENATE("SP",_xlpm.PartF),_xlpm.PartF))</f>
        <v>#N/A</v>
      </c>
      <c r="BC99" cm="1">
        <f t="array" ref="BC99">_xlfn.LET(_xlpm.leftPart, LEFT(O99, FIND("@", O99) - 2),_xlpm.grade,Q99,_xlpm.gradeRange,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99" cm="1">
        <f t="array" ref="BD99">_xlfn.LET(_xlpm.leftPart, LEFT(P99, FIND("@", P99) - 2),_xlpm.grade, Q99,_xlpm.gradeRange,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99">
        <f t="shared" si="31"/>
        <v>2.5</v>
      </c>
      <c r="BF99">
        <f>IF(SD!$C$32=SD!$I$2,BE99,IF(SD!$C$32=SD!$I$3,DO99,IF(SD!$C$32=SD!$I$5,BA99,IF(SD!$C$32=SD!$I$6,(LEFT(SD!$C$35,FIND("-",SD!$C$35)-1)+RIGHT(SD!$C$35,LEN(SD!$C$35)-FIND("-",SD!$C$35))/12),IF(SD!$C$32=SD!$I$4,(AU99-(BG99+BH99)))))))</f>
        <v>0</v>
      </c>
      <c r="BG99">
        <f>IF(SD!$C$33=SD!$I$2,BE99,IF(SD!$C$33=SD!$I$3,DO99,IF(SD!$C$33=SD!$I$5,BA99,IF(SD!$C$33=SD!$I$6,(LEFT(SD!$C$35,FIND("-",SD!$C$35)-1)+RIGHT(SD!$C$35,LEN(SD!$C$35)-FIND("-",SD!$C$35))/12),IF(SD!$C$33=SD!$I$4,(AU99-(BF99+BH99)))))))</f>
        <v>-1</v>
      </c>
      <c r="BH99">
        <f>IF(SD!$C$34=SD!$I$2,BE99,IF(SD!$C$34=SD!$I$3,DO99,IF(SD!$C$34=SD!$I$5,BA99,IF(SD!$C$34=SD!$I$6,(LEFT(SD!$C$35,FIND("-",SD!$C$35)-1)+RIGHT(SD!$C$35,LEN(SD!$C$35)-FIND("-",SD!$C$35))/12),IF(SD!$C$34=SD!$I$4,(AU99-(BF99+BG99)))))))</f>
        <v>1</v>
      </c>
      <c r="BJ99">
        <f>IF(AM99="Spiral","1",MAX(ROUNDUP(IF(SD!$C$32="",AT99,BF99/(LEFT(RIGHT(N99,LEN(N99)-FIND("@",N99)),LEN(RIGHT(N99,LEN(N99)-FIND("@",N99)))-1)/12)+1),0),0))</f>
        <v>1</v>
      </c>
      <c r="BK99">
        <f>MAX(ROUNDUP(IF(SD!$C$33="","",BG99/(LEFT(RIGHT(O99,LEN(O99)-FIND("@",O99)),LEN(RIGHT(O99,LEN(O99)-FIND("@",O99)))-1)/12)+1),0),0)</f>
        <v>0</v>
      </c>
      <c r="BL99">
        <f>MAX(ROUNDUP(IF(SD!$C$34="","",BH99/(LEFT(RIGHT(P99,LEN(P99)-FIND("@",P99)),LEN(RIGHT(P99,LEN(P99)-FIND("@",P99)))-1)/12)+1),0),0)</f>
        <v>3</v>
      </c>
      <c r="BN99" t="e">
        <f t="shared" si="32"/>
        <v>#N/A</v>
      </c>
      <c r="BO99" t="e">
        <f t="shared" si="33"/>
        <v>#N/A</v>
      </c>
      <c r="BP99" t="e">
        <f t="shared" si="34"/>
        <v>#N/A</v>
      </c>
      <c r="BQ99" s="24" t="e">
        <f>IF(AM99=TRUE,(((Y99-(SD!$E$12*2))*3.14159265359)+BN99+BO99+BP99)/12+AL99,SUM(AF99:AG99,BN99,BO99,BP99,AO99,AQ99)/12)</f>
        <v>#N/A</v>
      </c>
      <c r="BR99" t="e">
        <f t="shared" si="35"/>
        <v>#N/A</v>
      </c>
      <c r="BS99" t="e">
        <f t="shared" si="36"/>
        <v>#N/A</v>
      </c>
      <c r="BT99" t="e">
        <f t="shared" si="37"/>
        <v>#N/A</v>
      </c>
      <c r="BU99" s="24" t="e">
        <f>IF(AM99=TRUE,(((Y99-(SD!$E$12*2))*3.14159265359)+BR99+BS99+BT99)/12+AL99,SUM(AF99:AG99,BR99,BS99,BT99,AO99,AQ99)/12)</f>
        <v>#N/A</v>
      </c>
      <c r="BW99" t="str">
        <f>IFERROR(LEFT(Data!L99,FIND(" -",Data!L99)-1),"")</f>
        <v/>
      </c>
      <c r="BX99" t="str">
        <f>IFERROR(IF(SD!$C$40=SD!$U$2,W99,IF(SD!$C$40=SD!$U$3,RIGHT(Data!L99,LEN(Data!L99)-(FIND("-",Data!L99)+1)),SD!$C$40)),"")</f>
        <v>#10</v>
      </c>
      <c r="BY99" t="str" cm="1">
        <f t="array" ref="BY99">IFERROR(_xlfn.LET(_xlpm.GRR,IF(AND(SD!$C$19=SD!$H$2,Grade!$G$1="Per level"),VLOOKUP(B99,Grade!$E$1:$F$200,2,FALSE),IF(AND(SD!$C$19=SD!$H$2,Grade!$G$1="Per Bar Size"),VLOOKUP(BX99,Grade!$B$1:$C$12,2,0),SD!$C$19)),_xlpm.is_equal, A98=A99,_xlpm.grade_range, IF(_xlpm.GRR=SD!$H$3, A615GR60,IF(_xlpm.GRR=SD!$H$4, A615GR75,IF(_xlpm.GRR=SD!$H$5, A615GR80,IF(_xlpm.GRR=SD!H103, A615GR100,IF(_xlpm.GRR=SD!$H$7, A706GR60,IF(_xlpm.GRR=SD!$H$8, A706GR80)))))),_xlpm.match_result, MATCH(1, (BSize=BX99)*(BCName=SD!$C$8), 0),_xlpm.final_result, INDEX(_xlpm.grade_range, _xlpm.match_result),IF(_xlpm.is_equal, "", _xlpm.final_result)),"")</f>
        <v/>
      </c>
      <c r="BZ99" t="str">
        <f>IF(A98=A99,"",IF(SD!$C$41="Match Vertical Bars ",X99,IF(SD!$C$41=SD!$V$3,BW99,SD!$C$41)))</f>
        <v/>
      </c>
      <c r="CA99" t="str" cm="1">
        <f t="array" ref="CA99">IF(A98=A99,"",IF(SD!$C$44="No T-Head",IF(SD!$C$42=SD!$Q$3,VLOOKUP(BX99,S90Range,3,FALSE),LEFT(SD!$C$42,FIND("-",SD!$C$42)-1)+(RIGHT(SD!$C$42,LEN(SD!$C$42)-FIND("-",SD!$C$42))/12)),IF(SD!$C$44="T-Head",_xlfn._xlws.FILTER(THead,(TCName=SD!$C$8)*(TSize=BX99)),IF(SD!$C$44="Level Wise",_xlfn.LET(_xlpm.result,_xlfn.XLOOKUP(B99,VDLevel,VDLevelStatus,"No"),IF(_xlpm.result="Yes",_xlfn._xlws.FILTER(THead,(TCName=SD!$C$8)*(TSize=BX99)),IF(SD!$C$42=SD!$Q$3,VLOOKUP(BX99,S90Range,3,FALSE),LEFT(SD!$C$42,FIND("-",SD!$C$42)-1)+(RIGHT(SD!$C$42,LEN(SD!$C$42)-FIND("-", SD!$C$42))/12)))),IF(SD!$C$44="BarSize Wise",_xlfn.LET(_xlpm.result,_xlfn.XLOOKUP(BX99,VDBarSize,VDBarSizeStatus,"No"),IF(_xlpm.result="Yes",_xlfn._xlws.FILTER(THead,(TCName=SD!$C$8)*(TSize=BX99)),IF(SD!$C$42=SD!$Q$3,VLOOKUP(BX99,S90Range,3,FALSE),LEFT(SD!$C$42,FIND("-",SD!$C$42)-1)+(RIGHT(SD!$C$42,LEN(SD!$C$42)-FIND("-",SD!$C$42))/12)))), "")))))</f>
        <v/>
      </c>
      <c r="CB99" t="str" cm="1">
        <f t="array" ref="CB99">_xlfn.LET(_xlpm.GRR,IF(AND(SD!$C$19=SD!$H$2,Grade!$G$1="Per level"),VLOOKUP(B99,Grade!$E$1:$F$200,2,FALSE),IF(AND(SD!$C$19=SD!$H$2,Grade!$G$1="Per Bar Size"),VLOOKUP(BX99,Grade!$B$1:$C$12,2,0),SD!$C$19)),_xlpm.is_coupler, K99="Coupler",_xlpm.condition1, SD!$C$43=SD!$W$2,_xlpm.data_j2_empty, Data!$J99="",_xlpm.lookup_table, IF(SD!$C$11="Create", Lap!$A$3:$BF$14, IF(SD!$C$11="Per Uploaded File", Lap!$A$19:$BF$30, "")),_xlpm.row_match, MATCH(BX99, Lap!$A$3:$A$14, 0),_xlpm.grade_offset, IF(IFERROR(FIND("Grade 60",_xlpm.GRR), 0) &gt; 0, 0, IF(IFERROR(FIND("Grade 80",_xlpm.GRR), 0), 1, IF(IFERROR(FIND("Grade 75",_xlpm.GRR), 0), 2, ""))),_xlpm.col_match, MATCH(VALUE(D99), Lap!$A$3:$BF$3, 0) + _xlpm.grade_offset,_xlpm.index_result, IFERROR(INDEX(_xlpm.lookup_table, _xlpm.row_match, _xlpm.col_match), Data!$J99),_xlpm.result_if_condition1, IF(_xlpm.data_j2_empty, _xlpm.index_result, Data!$J99),IF(_xlpm.is_coupler, 0, IF(_xlpm.condition1, _xlpm.result_if_condition1, SD!$C$43)))</f>
        <v>5-1</v>
      </c>
      <c r="CC99" s="24">
        <f t="shared" si="38"/>
        <v>5.083333333333333</v>
      </c>
      <c r="CD99">
        <f t="shared" si="39"/>
        <v>5.75</v>
      </c>
      <c r="CE99" t="str" cm="1">
        <f t="array" ref="CE99">IF(BY99="","",_xlfn._xlws.FILTER(SAC,(CName=SD!$C$8)*(EName="Vert Dowels")))</f>
        <v/>
      </c>
      <c r="CF99" t="str" cm="1">
        <f t="array" ref="CF99">IFERROR(IF(BY99="","",IF(K99="Coupler",_xlfn._xlws.FILTER(CCoupler,(CCName=SD!$C$8)*(CBSize=IF(A98=A99,W98&amp;W99,BX99&amp;W99))*(CCMFM="Male")),"")),"N/A")</f>
        <v/>
      </c>
      <c r="CG99" t="str">
        <f t="shared" si="40"/>
        <v/>
      </c>
      <c r="CH99" t="str">
        <f t="shared" si="41"/>
        <v/>
      </c>
      <c r="CI99" t="str">
        <f>_xlfn.LET(_xlpm.u3_value, U100,_xlpm.hyphen_pos,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K100="Coupler",_xlpm.coupler_value, IF(_xlpm.is_coupler, 0, _xlpm.calculated_value),_xlpm.final_value, _xlpm.calculated_value + SD!$E$13 + _xlpm.coupler_value,IF(CG99="", "", _xlpm.final_value))</f>
        <v/>
      </c>
      <c r="CJ99" t="str" cm="1">
        <f t="array" ref="CJ99">IF(CG99="","",_xlfn._xlws.FILTER(SAC,(CName=SD!$C$8)*(EName="Loose Dowels")))</f>
        <v/>
      </c>
      <c r="CK99" t="str" cm="1">
        <f t="array" ref="CK99">IFERROR(IF(CG99="","",IF(K100="Coupler",_xlfn._xlws.FILTER(CCoupler,(CCName=SD!$C$8)*(CBSize=IF(A99=A100,W99&amp;W100,""))*(CCMFM="Male")),"")),"N/A")</f>
        <v/>
      </c>
      <c r="CL99" t="str">
        <f>IFERROR(IF(AM99="Spiral","",IF(A98=A99,"",IF(SD!$C$37=0,"",SD!$C$37))),"")</f>
        <v/>
      </c>
      <c r="CN99">
        <f>IF(AM99="Spiral","",IFERROR(IF(SD!$C$36=0,"",SD!$C$36),""))</f>
        <v>5</v>
      </c>
      <c r="CP99" t="str">
        <f>IFERROR(IF(SD!$C$42=SD!$Q$3,'Take-off'!CA99,""),"")</f>
        <v/>
      </c>
      <c r="CR99">
        <f>IFERROR(IF(SD!$C$22=SD!$U$2,W99,SD!$C$22),"")</f>
        <v>0</v>
      </c>
      <c r="CS99" t="str" cm="1">
        <f t="array" ref="CS99">_xlfn.LET(_xlpm.GR,IF(AND(SD!$C$19=SD!$H$2,Grade!$G$1="Per level"),VLOOKUP(B99,Grade!$E$1:$F$200,2,FALSE),IF(AND(SD!$C$19=SD!$H$2,Grade!$G$1="Per Bar Size"),VLOOKUP(CR99,Grade!$B$1:$C$12,2,0),SD!$C$19)),IF(SD!$C$20=SD!$R$4,IF(A100=A99,"",INDEX(IF(_xlpm.GR=SD!$H$3,A615GR60,IF(_xlpm.GR=SD!$H$4,A615GR75,IF(_xlpm.GR=SD!$H$5,A615GR80,IF(_xlpm.GR=SD!H103,A615GR100,IF(_xlpm.GR=SD!$H$7,A706GR60,IF(_xlpm.GR=SD!$H$8,A706GR80)))))), MATCH(1, (BSize=CR99)*(BCName=SD!$C$8), 0))),""))</f>
        <v/>
      </c>
      <c r="CT99" t="str">
        <f>IF(A100=A99,"",IF(SD!$C$23="Match Vertical Bars ",X99,SD!$C$23))</f>
        <v/>
      </c>
      <c r="CU99" t="str" cm="1">
        <f t="array" ref="CU99">IF(A100=A99,"",IF(SD!$C$20="Top dowels",IF(SD!$E$25="No T-Head",IF(SD!$C$24=SD!$Q$3,VLOOKUP(CR99,S90Range,3,FALSE),LEFT(SD!$C$24,FIND("-",SD!$C$24)-1)+(RIGHT(SD!$C$24,LEN(SD!$C$24)-FIND("-",SD!$C$24))/12)),IF(SD!$E$25="T-Head",_xlfn._xlws.FILTER(THead,(TCName=SD!$C$8)*(TSize=CR99)),IF(SD!$E$25="Level Wise",_xlfn.LET(_xlpm.result,_xlfn.XLOOKUP(B99,TDLevel,TDLevelStatus,"No"),IF(_xlpm.result="Yes",_xlfn._xlws.FILTER(THead,(TCName=SD!$C$8)*(TSize=CR99)),IF(SD!$C$24=SD!$Q$3,VLOOKUP(CR99,S90Range,3,FALSE),LEFT(SD!$C$24,FIND("-",SD!$C$24)-1)+(RIGHT(SD!$C$24,LEN(SD!$C$24)-FIND("-", SD!$C$24))/12)))),IF(SD!$E$25="BarSize Wise",_xlfn.LET(_xlpm.result,_xlfn.XLOOKUP(CR99,TDBarSize,TDBarSizeStatus,"No"),IF(_xlpm.result="Yes",_xlfn._xlws.FILTER(THead,(TCName=SD!$C$8)*(TSize=CR99)),IF(SD!$C$24=SD!$Q$3,VLOOKUP(CR99,S90Range,3,FALSE),LEFT(SD!$C$24,FIND("-",SD!$C$24)-1)+(RIGHT(SD!$C$24,LEN(SD!$C$24)-FIND("-",SD!$C$24))/12)))), "")))),""))</f>
        <v/>
      </c>
      <c r="CV99" t="str">
        <f>_xlfn.LET(_xlpm.GRR,IF(AND(SD!$C$19=SD!$H$2,Grade!$G$1="Per level"),VLOOKUP(B99,Grade!$E$1:$F$200,2,FALSE),IF(AND(SD!$C$19=SD!$H$2,Grade!$G$1="Per Bar Size"),VLOOKUP(CR99,Grade!$B$1:$C$12,2,0),SD!$C$19)),IF(SD!$C$25=SD!$W$2,IF(Data!$J99="",IFERROR(INDEX(IF(SD!$C$11="Create",Lap!$A$3:$BF$14,IF(SD!$C$11="Per Uploaded File",Lap!$A$19:$BF$30,"")),MATCH(CR99,Lap!$A$3:$A$14,0),MATCH(VALUE(D99),Lap!$A$3:$BF$3,0)+IF(IFERROR(FIND("Grade 60",_xlpm.GRR),0)&gt;0,0,IF(IFERROR(FIND("Grade 80",_xlpm.GRR),0),1,IF(IFERROR(FIND("Grade 75",_xlpm.GRR),0),2,"")))),""),Data!J99),SD!$C$43))</f>
        <v>Match Lap</v>
      </c>
      <c r="CW99">
        <f t="shared" si="42"/>
        <v>0</v>
      </c>
      <c r="CX99">
        <f t="shared" si="43"/>
        <v>0</v>
      </c>
      <c r="CY99" t="str">
        <f t="shared" si="44"/>
        <v/>
      </c>
      <c r="DA99" t="str">
        <f t="shared" si="45"/>
        <v/>
      </c>
      <c r="DB99" t="str">
        <f t="shared" si="46"/>
        <v/>
      </c>
      <c r="DC99" s="24" t="str">
        <f t="shared" si="47"/>
        <v/>
      </c>
      <c r="DD99">
        <f t="shared" si="48"/>
        <v>10.583333333333334</v>
      </c>
      <c r="DE99" t="s">
        <v>785</v>
      </c>
      <c r="DF99" t="s">
        <v>67</v>
      </c>
      <c r="DG99" t="str">
        <f>VLOOKUP(W99,'Level Wise PSI'!$F$2:$G$12,2,FALSE)</f>
        <v>Double Lift</v>
      </c>
      <c r="DI99" t="str" cm="1">
        <f t="array" ref="DI99">_xlfn.LET(_xlpm.Coup,IFERROR(IF(BY99="","",IF(K99="Coupler",_xlfn._xlws.FILTER(CCFCoupler,(CCName=SD!$C$8)*(CBSize=IF(A98=A99,W98&amp;W99,BX99&amp;W99))),"")),"N/A"),IF(_xlpm.Coup=0,"",_xlpm.Coup))</f>
        <v/>
      </c>
      <c r="DJ99" t="str" cm="1">
        <f t="array" ref="DJ99">_xlfn.LET(_xlpm.Coup3,IFERROR(IF(CG99="","",IF(K100="Coupler",_xlfn._xlws.FILTER(CCFCoupler,(CCName=SD!$C$8)*(CBSize=IF(A99=A100,W99&amp;W100,""))),"")),"N/A"),IF(_xlpm.Coup3=0,"",_xlpm.Coup3))</f>
        <v/>
      </c>
      <c r="DK99" t="str" cm="1">
        <f t="array" ref="DK99">_xlfn.LET(_xlpm.Coup2,IFERROR(IF(A99&lt;&gt;A100,"",IF(DF99="No Lap","",IF(K100="Coupler",_xlfn._xlws.FILTER(CCFCoupler,(CCName=SD!$C$8)*(CBSize=IF(A98=A99,W99&amp;W100,W99&amp;W99))),""))),"N/A"),IF(_xlpm.Coup2=0,"",_xlpm.Coup2))</f>
        <v/>
      </c>
      <c r="DM99" t="str">
        <f>IF(AM99="Spiral","",IF(SD!$C$31=SD!$Y$3,SD!$E$32*2,""))</f>
        <v/>
      </c>
      <c r="DO99" s="24">
        <f t="shared" si="49"/>
        <v>2.5</v>
      </c>
      <c r="DQ99" t="str">
        <f t="shared" si="50"/>
        <v>Lig</v>
      </c>
      <c r="DR99" t="str">
        <f>IF(AM99="Spiral",((Y99-(SD!$E$12*2))/12),"")</f>
        <v/>
      </c>
      <c r="DS99" t="str">
        <f t="shared" si="51"/>
        <v/>
      </c>
      <c r="DT99" t="str">
        <f t="shared" si="52"/>
        <v/>
      </c>
      <c r="DU99" t="str">
        <f t="shared" si="53"/>
        <v/>
      </c>
    </row>
    <row r="100" spans="1:125" x14ac:dyDescent="0.25">
      <c r="A100">
        <v>37</v>
      </c>
      <c r="B100" t="s">
        <v>672</v>
      </c>
      <c r="C100" s="15">
        <v>2429</v>
      </c>
      <c r="D100" s="15">
        <v>10000</v>
      </c>
      <c r="E100" t="str">
        <f>IF(B100=Level!$A$2,SD!$C$14,SD!$C$13)</f>
        <v>0-8</v>
      </c>
      <c r="F100" s="15" t="s">
        <v>787</v>
      </c>
      <c r="G100" t="s">
        <v>742</v>
      </c>
      <c r="H100" t="str">
        <f>RIGHT(VLOOKUP(B100,Level!A:C,3,FALSE),LEN(VLOOKUP(B100,Level!A:C,3,FALSE))-1)</f>
        <v>10-7</v>
      </c>
      <c r="I100" t="s">
        <v>743</v>
      </c>
      <c r="J100" t="str">
        <f>IF(AND(SD!$C$19=SD!$H$2,Grade!$G$1="Per level"),VLOOKUP(B100,Grade!$E$1:$F$200,2,FALSE),IF(AND(SD!$C$19=SD!$H$2,Grade!$G$1="Per Bar Size"),VLOOKUP(W100,Grade!$B$1:$C$12,2,0),SD!$C$19))</f>
        <v>A615 Grade 60</v>
      </c>
      <c r="K100" t="s">
        <v>67</v>
      </c>
      <c r="L100" t="str">
        <f>IFERROR(IF(A100&lt;&gt;A101,"",IF(DF100="No Lap","",IF(K101="Lap",U100,IF(K101="Coupler",_xlfn._xlws.FILTER(CCoupler,(CCName=SD!$C$8)*(CBSize=IF(A99=A100,W100&amp;W101,W100&amp;W100))*(CCMFM="Male")),"")))),"N/A")</f>
        <v>5-1</v>
      </c>
      <c r="M100" t="str">
        <f t="shared" si="27"/>
        <v/>
      </c>
      <c r="N100" t="s">
        <v>719</v>
      </c>
      <c r="O100" t="s">
        <v>720</v>
      </c>
      <c r="P100" t="s">
        <v>719</v>
      </c>
      <c r="Q100" t="str">
        <f>IF(AND(SD!$C$29=SD!$P$2,Grade!$O$1="Per level"),VLOOKUP(B100,Grade!$M$1:$N$200,2,FALSE),IF(AND(SD!$C$29=SD!$P$2,Grade!$O$1="Per Bar Size"),VLOOKUP(LEFT(N100,FIND("@",N100)-2),Grade!$J$1:$K$12,2,0),SD!$C$29))</f>
        <v>A615 Grade 60</v>
      </c>
      <c r="R100" t="s">
        <v>742</v>
      </c>
      <c r="S100" s="57">
        <v>100</v>
      </c>
      <c r="U100" t="str">
        <f>IF(Data!$J100="",IFERROR(INDEX(IF(SD!$C$11="Create",Lap!$A$3:$BF$14,IF(SD!$C$11="Per Uploaded File",Lap!$A$19:$BF$30,"")),MATCH(W100,Lap!$A$3:$A$14,0),MATCH(VALUE(D100),Lap!$A$3:$BF$3,0)+IF(IFERROR(FIND("Grade 60",J100),0)&gt;0,0,IF(IFERROR(FIND("Grade 80",J100),0),1,IF(IFERROR(FIND("Grade 75",J100),0),2,"")))),""),Data!J100)</f>
        <v>5-1</v>
      </c>
      <c r="W100" t="s">
        <v>176</v>
      </c>
      <c r="X100">
        <v>6</v>
      </c>
      <c r="Y100" t="str">
        <f t="shared" si="28"/>
        <v>30</v>
      </c>
      <c r="Z100">
        <f t="shared" si="29"/>
        <v>0</v>
      </c>
      <c r="AA100" s="24">
        <f t="shared" si="30"/>
        <v>15.666666666666666</v>
      </c>
      <c r="BB100" t="e" cm="1">
        <f t="array" ref="BB100">_xlfn.LET(_xlpm.PartF,(_xlfn.LET(_xlpm.grade, Q100,_xlpm.gradeRange, IF(_xlpm.grade=SD!$H$3, A615GR60, IF(_xlpm.grade=SD!$H$4, A615GR75, IF(_xlpm.grade=SD!$H$5, A615GR80, IF(_xlpm.grade=SD!$H$6, A615GR100, IF(_xlpm.grade=SD!$H$7, A706GR60, IF(_xlpm.grade=SD!$H$8, A706GR80)))))),_xlpm.matchValue, MATCH(1, (SD!$AW:$AW=AS100)*(SD!$AX:$AX=SD!$C$8), 0),INDEX(_xlpm.gradeRange, _xlpm.matchValue))),IF(AM100="Spiral",CONCATENATE("SP",_xlpm.PartF),_xlpm.PartF))</f>
        <v>#N/A</v>
      </c>
      <c r="BC100" cm="1">
        <f t="array" ref="BC100">_xlfn.LET(_xlpm.leftPart, LEFT(O100, FIND("@", O100) - 2),_xlpm.grade,Q100,_xlpm.gradeRange,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0" cm="1">
        <f t="array" ref="BD100">_xlfn.LET(_xlpm.leftPart, LEFT(P100, FIND("@", P100) - 2),_xlpm.grade, Q100,_xlpm.gradeRange,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0">
        <f t="shared" si="31"/>
        <v>2.5</v>
      </c>
      <c r="BF100">
        <f>IF(SD!$C$32=SD!$I$2,BE100,IF(SD!$C$32=SD!$I$3,DO100,IF(SD!$C$32=SD!$I$5,BA100,IF(SD!$C$32=SD!$I$6,(LEFT(SD!$C$35,FIND("-",SD!$C$35)-1)+RIGHT(SD!$C$35,LEN(SD!$C$35)-FIND("-",SD!$C$35))/12),IF(SD!$C$32=SD!$I$4,(AU100-(BG100+BH100)))))))</f>
        <v>0</v>
      </c>
      <c r="BG100">
        <f>IF(SD!$C$33=SD!$I$2,BE100,IF(SD!$C$33=SD!$I$3,DO100,IF(SD!$C$33=SD!$I$5,BA100,IF(SD!$C$33=SD!$I$6,(LEFT(SD!$C$35,FIND("-",SD!$C$35)-1)+RIGHT(SD!$C$35,LEN(SD!$C$35)-FIND("-",SD!$C$35))/12),IF(SD!$C$33=SD!$I$4,(AU100-(BF100+BH100)))))))</f>
        <v>-1</v>
      </c>
      <c r="BH100">
        <f>IF(SD!$C$34=SD!$I$2,BE100,IF(SD!$C$34=SD!$I$3,DO100,IF(SD!$C$34=SD!$I$5,BA100,IF(SD!$C$34=SD!$I$6,(LEFT(SD!$C$35,FIND("-",SD!$C$35)-1)+RIGHT(SD!$C$35,LEN(SD!$C$35)-FIND("-",SD!$C$35))/12),IF(SD!$C$34=SD!$I$4,(AU100-(BF100+BG100)))))))</f>
        <v>1</v>
      </c>
      <c r="BJ100">
        <f>IF(AM100="Spiral","1",MAX(ROUNDUP(IF(SD!$C$32="",AT100,BF100/(LEFT(RIGHT(N100,LEN(N100)-FIND("@",N100)),LEN(RIGHT(N100,LEN(N100)-FIND("@",N100)))-1)/12)+1),0),0))</f>
        <v>1</v>
      </c>
      <c r="BK100">
        <f>MAX(ROUNDUP(IF(SD!$C$33="","",BG100/(LEFT(RIGHT(O100,LEN(O100)-FIND("@",O100)),LEN(RIGHT(O100,LEN(O100)-FIND("@",O100)))-1)/12)+1),0),0)</f>
        <v>0</v>
      </c>
      <c r="BL100">
        <f>MAX(ROUNDUP(IF(SD!$C$34="","",BH100/(LEFT(RIGHT(P100,LEN(P100)-FIND("@",P100)),LEN(RIGHT(P100,LEN(P100)-FIND("@",P100)))-1)/12)+1),0),0)</f>
        <v>3</v>
      </c>
      <c r="BN100" t="e">
        <f t="shared" si="32"/>
        <v>#N/A</v>
      </c>
      <c r="BO100" t="e">
        <f t="shared" si="33"/>
        <v>#N/A</v>
      </c>
      <c r="BP100" t="e">
        <f t="shared" si="34"/>
        <v>#N/A</v>
      </c>
      <c r="BQ100" s="24" t="e">
        <f>IF(AM100=TRUE,(((Y100-(SD!$E$12*2))*3.14159265359)+BN100+BO100+BP100)/12+AL100,SUM(AF100:AG100,BN100,BO100,BP100,AO100,AQ100)/12)</f>
        <v>#N/A</v>
      </c>
      <c r="BR100" t="e">
        <f t="shared" si="35"/>
        <v>#N/A</v>
      </c>
      <c r="BS100" t="e">
        <f t="shared" si="36"/>
        <v>#N/A</v>
      </c>
      <c r="BT100" t="e">
        <f t="shared" si="37"/>
        <v>#N/A</v>
      </c>
      <c r="BU100" s="24" t="e">
        <f>IF(AM100=TRUE,(((Y100-(SD!$E$12*2))*3.14159265359)+BR100+BS100+BT100)/12+AL100,SUM(AF100:AG100,BR100,BS100,BT100,AO100,AQ100)/12)</f>
        <v>#N/A</v>
      </c>
      <c r="BW100" t="str">
        <f>IFERROR(LEFT(Data!L100,FIND(" -",Data!L100)-1),"")</f>
        <v/>
      </c>
      <c r="BX100" t="str">
        <f>IFERROR(IF(SD!$C$40=SD!$U$2,W100,IF(SD!$C$40=SD!$U$3,RIGHT(Data!L100,LEN(Data!L100)-(FIND("-",Data!L100)+1)),SD!$C$40)),"")</f>
        <v>#10</v>
      </c>
      <c r="BY100" t="str" cm="1">
        <f t="array" ref="BY100">IFERROR(_xlfn.LET(_xlpm.GRR,IF(AND(SD!$C$19=SD!$H$2,Grade!$G$1="Per level"),VLOOKUP(B100,Grade!$E$1:$F$200,2,FALSE),IF(AND(SD!$C$19=SD!$H$2,Grade!$G$1="Per Bar Size"),VLOOKUP(BX100,Grade!$B$1:$C$12,2,0),SD!$C$19)),_xlpm.is_equal, A99=A100,_xlpm.grade_range, IF(_xlpm.GRR=SD!$H$3, A615GR60,IF(_xlpm.GRR=SD!$H$4, A615GR75,IF(_xlpm.GRR=SD!$H$5, A615GR80,IF(_xlpm.GRR=SD!H104, A615GR100,IF(_xlpm.GRR=SD!$H$7, A706GR60,IF(_xlpm.GRR=SD!$H$8, A706GR80)))))),_xlpm.match_result, MATCH(1, (BSize=BX100)*(BCName=SD!$C$8), 0),_xlpm.final_result, INDEX(_xlpm.grade_range, _xlpm.match_result),IF(_xlpm.is_equal, "", _xlpm.final_result)),"")</f>
        <v/>
      </c>
      <c r="BZ100" t="str">
        <f>IF(A99=A100,"",IF(SD!$C$41="Match Vertical Bars ",X100,IF(SD!$C$41=SD!$V$3,BW100,SD!$C$41)))</f>
        <v/>
      </c>
      <c r="CA100" t="str" cm="1">
        <f t="array" ref="CA100">IF(A99=A100,"",IF(SD!$C$44="No T-Head",IF(SD!$C$42=SD!$Q$3,VLOOKUP(BX100,S90Range,3,FALSE),LEFT(SD!$C$42,FIND("-",SD!$C$42)-1)+(RIGHT(SD!$C$42,LEN(SD!$C$42)-FIND("-",SD!$C$42))/12)),IF(SD!$C$44="T-Head",_xlfn._xlws.FILTER(THead,(TCName=SD!$C$8)*(TSize=BX100)),IF(SD!$C$44="Level Wise",_xlfn.LET(_xlpm.result,_xlfn.XLOOKUP(B100,VDLevel,VDLevelStatus,"No"),IF(_xlpm.result="Yes",_xlfn._xlws.FILTER(THead,(TCName=SD!$C$8)*(TSize=BX100)),IF(SD!$C$42=SD!$Q$3,VLOOKUP(BX100,S90Range,3,FALSE),LEFT(SD!$C$42,FIND("-",SD!$C$42)-1)+(RIGHT(SD!$C$42,LEN(SD!$C$42)-FIND("-", SD!$C$42))/12)))),IF(SD!$C$44="BarSize Wise",_xlfn.LET(_xlpm.result,_xlfn.XLOOKUP(BX100,VDBarSize,VDBarSizeStatus,"No"),IF(_xlpm.result="Yes",_xlfn._xlws.FILTER(THead,(TCName=SD!$C$8)*(TSize=BX100)),IF(SD!$C$42=SD!$Q$3,VLOOKUP(BX100,S90Range,3,FALSE),LEFT(SD!$C$42,FIND("-",SD!$C$42)-1)+(RIGHT(SD!$C$42,LEN(SD!$C$42)-FIND("-",SD!$C$42))/12)))), "")))))</f>
        <v/>
      </c>
      <c r="CB100" t="str" cm="1">
        <f t="array" ref="CB100">_xlfn.LET(_xlpm.GRR,IF(AND(SD!$C$19=SD!$H$2,Grade!$G$1="Per level"),VLOOKUP(B100,Grade!$E$1:$F$200,2,FALSE),IF(AND(SD!$C$19=SD!$H$2,Grade!$G$1="Per Bar Size"),VLOOKUP(BX100,Grade!$B$1:$C$12,2,0),SD!$C$19)),_xlpm.is_coupler, K100="Coupler",_xlpm.condition1, SD!$C$43=SD!$W$2,_xlpm.data_j2_empty, Data!$J100="",_xlpm.lookup_table, IF(SD!$C$11="Create", Lap!$A$3:$BF$14, IF(SD!$C$11="Per Uploaded File", Lap!$A$19:$BF$30, "")),_xlpm.row_match, MATCH(BX100, Lap!$A$3:$A$14, 0),_xlpm.grade_offset, IF(IFERROR(FIND("Grade 60",_xlpm.GRR), 0) &gt; 0, 0, IF(IFERROR(FIND("Grade 80",_xlpm.GRR), 0), 1, IF(IFERROR(FIND("Grade 75",_xlpm.GRR), 0), 2, ""))),_xlpm.col_match, MATCH(VALUE(D100), Lap!$A$3:$BF$3, 0) + _xlpm.grade_offset,_xlpm.index_result, IFERROR(INDEX(_xlpm.lookup_table, _xlpm.row_match, _xlpm.col_match), Data!$J100),_xlpm.result_if_condition1, IF(_xlpm.data_j2_empty, _xlpm.index_result, Data!$J100),IF(_xlpm.is_coupler, 0, IF(_xlpm.condition1, _xlpm.result_if_condition1, SD!$C$43)))</f>
        <v>5-1</v>
      </c>
      <c r="CC100" s="24">
        <f t="shared" si="38"/>
        <v>5.083333333333333</v>
      </c>
      <c r="CD100">
        <f t="shared" si="39"/>
        <v>5.75</v>
      </c>
      <c r="CE100" t="str" cm="1">
        <f t="array" ref="CE100">IF(BY100="","",_xlfn._xlws.FILTER(SAC,(CName=SD!$C$8)*(EName="Vert Dowels")))</f>
        <v/>
      </c>
      <c r="CF100" t="str" cm="1">
        <f t="array" ref="CF100">IFERROR(IF(BY100="","",IF(K100="Coupler",_xlfn._xlws.FILTER(CCoupler,(CCName=SD!$C$8)*(CBSize=IF(A99=A100,W99&amp;W100,BX100&amp;W100))*(CCMFM="Male")),"")),"N/A")</f>
        <v/>
      </c>
      <c r="CG100" t="str">
        <f t="shared" si="40"/>
        <v/>
      </c>
      <c r="CH100" t="str">
        <f t="shared" si="41"/>
        <v/>
      </c>
      <c r="CI100" t="str">
        <f>_xlfn.LET(_xlpm.u3_value, U101,_xlpm.hyphen_pos,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K101="Coupler",_xlpm.coupler_value, IF(_xlpm.is_coupler, 0, _xlpm.calculated_value),_xlpm.final_value, _xlpm.calculated_value + SD!$E$13 + _xlpm.coupler_value,IF(CG100="", "", _xlpm.final_value))</f>
        <v/>
      </c>
      <c r="CJ100" t="str" cm="1">
        <f t="array" ref="CJ100">IF(CG100="","",_xlfn._xlws.FILTER(SAC,(CName=SD!$C$8)*(EName="Loose Dowels")))</f>
        <v/>
      </c>
      <c r="CK100" t="str" cm="1">
        <f t="array" ref="CK100">IFERROR(IF(CG100="","",IF(K101="Coupler",_xlfn._xlws.FILTER(CCoupler,(CCName=SD!$C$8)*(CBSize=IF(A100=A101,W100&amp;W101,""))*(CCMFM="Male")),"")),"N/A")</f>
        <v/>
      </c>
      <c r="CL100" t="str">
        <f>IFERROR(IF(AM100="Spiral","",IF(A99=A100,"",IF(SD!$C$37=0,"",SD!$C$37))),"")</f>
        <v/>
      </c>
      <c r="CN100">
        <f>IF(AM100="Spiral","",IFERROR(IF(SD!$C$36=0,"",SD!$C$36),""))</f>
        <v>5</v>
      </c>
      <c r="CP100" t="str">
        <f>IFERROR(IF(SD!$C$42=SD!$Q$3,'Take-off'!CA100,""),"")</f>
        <v/>
      </c>
      <c r="CR100">
        <f>IFERROR(IF(SD!$C$22=SD!$U$2,W100,SD!$C$22),"")</f>
        <v>0</v>
      </c>
      <c r="CS100" t="str" cm="1">
        <f t="array" ref="CS100">_xlfn.LET(_xlpm.GR,IF(AND(SD!$C$19=SD!$H$2,Grade!$G$1="Per level"),VLOOKUP(B100,Grade!$E$1:$F$200,2,FALSE),IF(AND(SD!$C$19=SD!$H$2,Grade!$G$1="Per Bar Size"),VLOOKUP(CR100,Grade!$B$1:$C$12,2,0),SD!$C$19)),IF(SD!$C$20=SD!$R$4,IF(A101=A100,"",INDEX(IF(_xlpm.GR=SD!$H$3,A615GR60,IF(_xlpm.GR=SD!$H$4,A615GR75,IF(_xlpm.GR=SD!$H$5,A615GR80,IF(_xlpm.GR=SD!H104,A615GR100,IF(_xlpm.GR=SD!$H$7,A706GR60,IF(_xlpm.GR=SD!$H$8,A706GR80)))))), MATCH(1, (BSize=CR100)*(BCName=SD!$C$8), 0))),""))</f>
        <v/>
      </c>
      <c r="CT100" t="str">
        <f>IF(A101=A100,"",IF(SD!$C$23="Match Vertical Bars ",X100,SD!$C$23))</f>
        <v/>
      </c>
      <c r="CU100" t="str" cm="1">
        <f t="array" ref="CU100">IF(A101=A100,"",IF(SD!$C$20="Top dowels",IF(SD!$E$25="No T-Head",IF(SD!$C$24=SD!$Q$3,VLOOKUP(CR100,S90Range,3,FALSE),LEFT(SD!$C$24,FIND("-",SD!$C$24)-1)+(RIGHT(SD!$C$24,LEN(SD!$C$24)-FIND("-",SD!$C$24))/12)),IF(SD!$E$25="T-Head",_xlfn._xlws.FILTER(THead,(TCName=SD!$C$8)*(TSize=CR100)),IF(SD!$E$25="Level Wise",_xlfn.LET(_xlpm.result,_xlfn.XLOOKUP(B100,TDLevel,TDLevelStatus,"No"),IF(_xlpm.result="Yes",_xlfn._xlws.FILTER(THead,(TCName=SD!$C$8)*(TSize=CR100)),IF(SD!$C$24=SD!$Q$3,VLOOKUP(CR100,S90Range,3,FALSE),LEFT(SD!$C$24,FIND("-",SD!$C$24)-1)+(RIGHT(SD!$C$24,LEN(SD!$C$24)-FIND("-", SD!$C$24))/12)))),IF(SD!$E$25="BarSize Wise",_xlfn.LET(_xlpm.result,_xlfn.XLOOKUP(CR100,TDBarSize,TDBarSizeStatus,"No"),IF(_xlpm.result="Yes",_xlfn._xlws.FILTER(THead,(TCName=SD!$C$8)*(TSize=CR100)),IF(SD!$C$24=SD!$Q$3,VLOOKUP(CR100,S90Range,3,FALSE),LEFT(SD!$C$24,FIND("-",SD!$C$24)-1)+(RIGHT(SD!$C$24,LEN(SD!$C$24)-FIND("-",SD!$C$24))/12)))), "")))),""))</f>
        <v/>
      </c>
      <c r="CV100" t="str">
        <f>_xlfn.LET(_xlpm.GRR,IF(AND(SD!$C$19=SD!$H$2,Grade!$G$1="Per level"),VLOOKUP(B100,Grade!$E$1:$F$200,2,FALSE),IF(AND(SD!$C$19=SD!$H$2,Grade!$G$1="Per Bar Size"),VLOOKUP(CR100,Grade!$B$1:$C$12,2,0),SD!$C$19)),IF(SD!$C$25=SD!$W$2,IF(Data!$J100="",IFERROR(INDEX(IF(SD!$C$11="Create",Lap!$A$3:$BF$14,IF(SD!$C$11="Per Uploaded File",Lap!$A$19:$BF$30,"")),MATCH(CR100,Lap!$A$3:$A$14,0),MATCH(VALUE(D100),Lap!$A$3:$BF$3,0)+IF(IFERROR(FIND("Grade 60",_xlpm.GRR),0)&gt;0,0,IF(IFERROR(FIND("Grade 80",_xlpm.GRR),0),1,IF(IFERROR(FIND("Grade 75",_xlpm.GRR),0),2,"")))),""),Data!J100),SD!$C$43))</f>
        <v>Match Lap</v>
      </c>
      <c r="CW100">
        <f t="shared" si="42"/>
        <v>0</v>
      </c>
      <c r="CX100">
        <f t="shared" si="43"/>
        <v>0</v>
      </c>
      <c r="CY100" t="str">
        <f t="shared" si="44"/>
        <v/>
      </c>
      <c r="DA100" t="str">
        <f t="shared" si="45"/>
        <v/>
      </c>
      <c r="DB100" t="str">
        <f t="shared" si="46"/>
        <v/>
      </c>
      <c r="DC100" s="24" t="str">
        <f t="shared" si="47"/>
        <v/>
      </c>
      <c r="DD100">
        <f t="shared" si="48"/>
        <v>10.583333333333334</v>
      </c>
      <c r="DE100" t="s">
        <v>785</v>
      </c>
      <c r="DF100" t="s">
        <v>67</v>
      </c>
      <c r="DG100" t="str">
        <f>VLOOKUP(W100,'Level Wise PSI'!$F$2:$G$12,2,FALSE)</f>
        <v>Double Lift</v>
      </c>
      <c r="DI100" t="str" cm="1">
        <f t="array" ref="DI100">_xlfn.LET(_xlpm.Coup,IFERROR(IF(BY100="","",IF(K100="Coupler",_xlfn._xlws.FILTER(CCFCoupler,(CCName=SD!$C$8)*(CBSize=IF(A99=A100,W99&amp;W100,BX100&amp;W100))),"")),"N/A"),IF(_xlpm.Coup=0,"",_xlpm.Coup))</f>
        <v/>
      </c>
      <c r="DJ100" t="str" cm="1">
        <f t="array" ref="DJ100">_xlfn.LET(_xlpm.Coup3,IFERROR(IF(CG100="","",IF(K101="Coupler",_xlfn._xlws.FILTER(CCFCoupler,(CCName=SD!$C$8)*(CBSize=IF(A100=A101,W100&amp;W101,""))),"")),"N/A"),IF(_xlpm.Coup3=0,"",_xlpm.Coup3))</f>
        <v/>
      </c>
      <c r="DK100" t="str" cm="1">
        <f t="array" ref="DK100">_xlfn.LET(_xlpm.Coup2,IFERROR(IF(A100&lt;&gt;A101,"",IF(DF100="No Lap","",IF(K101="Coupler",_xlfn._xlws.FILTER(CCFCoupler,(CCName=SD!$C$8)*(CBSize=IF(A99=A100,W100&amp;W101,W100&amp;W100))),""))),"N/A"),IF(_xlpm.Coup2=0,"",_xlpm.Coup2))</f>
        <v/>
      </c>
      <c r="DM100" t="str">
        <f>IF(AM100="Spiral","",IF(SD!$C$31=SD!$Y$3,SD!$E$32*2,""))</f>
        <v/>
      </c>
      <c r="DO100" s="24">
        <f t="shared" si="49"/>
        <v>2.5</v>
      </c>
      <c r="DQ100" t="str">
        <f t="shared" si="50"/>
        <v>Lig</v>
      </c>
      <c r="DR100" t="str">
        <f>IF(AM100="Spiral",((Y100-(SD!$E$12*2))/12),"")</f>
        <v/>
      </c>
      <c r="DS100" t="str">
        <f t="shared" si="51"/>
        <v/>
      </c>
      <c r="DT100" t="str">
        <f t="shared" si="52"/>
        <v/>
      </c>
      <c r="DU100" t="str">
        <f t="shared" si="53"/>
        <v/>
      </c>
    </row>
    <row r="101" spans="1:125" x14ac:dyDescent="0.25">
      <c r="A101">
        <v>37</v>
      </c>
      <c r="B101" t="s">
        <v>674</v>
      </c>
      <c r="C101" s="15">
        <v>2429</v>
      </c>
      <c r="D101" s="15">
        <v>10000</v>
      </c>
      <c r="E101" t="str">
        <f>IF(B101=Level!$A$2,SD!$C$14,SD!$C$13)</f>
        <v>0-8</v>
      </c>
      <c r="F101" s="15" t="s">
        <v>787</v>
      </c>
      <c r="G101" t="s">
        <v>742</v>
      </c>
      <c r="H101" t="str">
        <f>RIGHT(VLOOKUP(B101,Level!A:C,3,FALSE),LEN(VLOOKUP(B101,Level!A:C,3,FALSE))-1)</f>
        <v>10-7</v>
      </c>
      <c r="I101" t="s">
        <v>743</v>
      </c>
      <c r="J101" t="str">
        <f>IF(AND(SD!$C$19=SD!$H$2,Grade!$G$1="Per level"),VLOOKUP(B101,Grade!$E$1:$F$200,2,FALSE),IF(AND(SD!$C$19=SD!$H$2,Grade!$G$1="Per Bar Size"),VLOOKUP(W101,Grade!$B$1:$C$12,2,0),SD!$C$19))</f>
        <v>A615 Grade 60</v>
      </c>
      <c r="K101" t="s">
        <v>67</v>
      </c>
      <c r="L101" t="str">
        <f>IFERROR(IF(A101&lt;&gt;A102,"",IF(DF101="No Lap","",IF(K102="Lap",U101,IF(K102="Coupler",_xlfn._xlws.FILTER(CCoupler,(CCName=SD!$C$8)*(CBSize=IF(A100=A101,W101&amp;W102,W101&amp;W101))*(CCMFM="Male")),"")))),"N/A")</f>
        <v>5-1</v>
      </c>
      <c r="M101" t="str">
        <f t="shared" si="27"/>
        <v/>
      </c>
      <c r="N101" t="s">
        <v>719</v>
      </c>
      <c r="O101" t="s">
        <v>720</v>
      </c>
      <c r="P101" t="s">
        <v>719</v>
      </c>
      <c r="Q101" t="str">
        <f>IF(AND(SD!$C$29=SD!$P$2,Grade!$O$1="Per level"),VLOOKUP(B101,Grade!$M$1:$N$200,2,FALSE),IF(AND(SD!$C$29=SD!$P$2,Grade!$O$1="Per Bar Size"),VLOOKUP(LEFT(N101,FIND("@",N101)-2),Grade!$J$1:$K$12,2,0),SD!$C$29))</f>
        <v>A615 Grade 60</v>
      </c>
      <c r="R101" t="s">
        <v>742</v>
      </c>
      <c r="S101" s="57">
        <v>101</v>
      </c>
      <c r="U101" t="str">
        <f>IF(Data!$J101="",IFERROR(INDEX(IF(SD!$C$11="Create",Lap!$A$3:$BF$14,IF(SD!$C$11="Per Uploaded File",Lap!$A$19:$BF$30,"")),MATCH(W101,Lap!$A$3:$A$14,0),MATCH(VALUE(D101),Lap!$A$3:$BF$3,0)+IF(IFERROR(FIND("Grade 60",J101),0)&gt;0,0,IF(IFERROR(FIND("Grade 80",J101),0),1,IF(IFERROR(FIND("Grade 75",J101),0),2,"")))),""),Data!J101)</f>
        <v>5-1</v>
      </c>
      <c r="W101" t="s">
        <v>176</v>
      </c>
      <c r="X101">
        <v>6</v>
      </c>
      <c r="Y101" t="str">
        <f t="shared" si="28"/>
        <v>30</v>
      </c>
      <c r="Z101">
        <f t="shared" si="29"/>
        <v>0</v>
      </c>
      <c r="AA101" s="24">
        <f t="shared" si="30"/>
        <v>15.666666666666666</v>
      </c>
      <c r="BB101" t="e" cm="1">
        <f t="array" ref="BB101">_xlfn.LET(_xlpm.PartF,(_xlfn.LET(_xlpm.grade, Q101,_xlpm.gradeRange, IF(_xlpm.grade=SD!$H$3, A615GR60, IF(_xlpm.grade=SD!$H$4, A615GR75, IF(_xlpm.grade=SD!$H$5, A615GR80, IF(_xlpm.grade=SD!$H$6, A615GR100, IF(_xlpm.grade=SD!$H$7, A706GR60, IF(_xlpm.grade=SD!$H$8, A706GR80)))))),_xlpm.matchValue, MATCH(1, (SD!$AW:$AW=AS101)*(SD!$AX:$AX=SD!$C$8), 0),INDEX(_xlpm.gradeRange, _xlpm.matchValue))),IF(AM101="Spiral",CONCATENATE("SP",_xlpm.PartF),_xlpm.PartF))</f>
        <v>#N/A</v>
      </c>
      <c r="BC101" cm="1">
        <f t="array" ref="BC101">_xlfn.LET(_xlpm.leftPart, LEFT(O101, FIND("@", O101) - 2),_xlpm.grade,Q101,_xlpm.gradeRange,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1" cm="1">
        <f t="array" ref="BD101">_xlfn.LET(_xlpm.leftPart, LEFT(P101, FIND("@", P101) - 2),_xlpm.grade, Q101,_xlpm.gradeRange,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1">
        <f t="shared" si="31"/>
        <v>2.5</v>
      </c>
      <c r="BF101">
        <f>IF(SD!$C$32=SD!$I$2,BE101,IF(SD!$C$32=SD!$I$3,DO101,IF(SD!$C$32=SD!$I$5,BA101,IF(SD!$C$32=SD!$I$6,(LEFT(SD!$C$35,FIND("-",SD!$C$35)-1)+RIGHT(SD!$C$35,LEN(SD!$C$35)-FIND("-",SD!$C$35))/12),IF(SD!$C$32=SD!$I$4,(AU101-(BG101+BH101)))))))</f>
        <v>0</v>
      </c>
      <c r="BG101">
        <f>IF(SD!$C$33=SD!$I$2,BE101,IF(SD!$C$33=SD!$I$3,DO101,IF(SD!$C$33=SD!$I$5,BA101,IF(SD!$C$33=SD!$I$6,(LEFT(SD!$C$35,FIND("-",SD!$C$35)-1)+RIGHT(SD!$C$35,LEN(SD!$C$35)-FIND("-",SD!$C$35))/12),IF(SD!$C$33=SD!$I$4,(AU101-(BF101+BH101)))))))</f>
        <v>-1</v>
      </c>
      <c r="BH101">
        <f>IF(SD!$C$34=SD!$I$2,BE101,IF(SD!$C$34=SD!$I$3,DO101,IF(SD!$C$34=SD!$I$5,BA101,IF(SD!$C$34=SD!$I$6,(LEFT(SD!$C$35,FIND("-",SD!$C$35)-1)+RIGHT(SD!$C$35,LEN(SD!$C$35)-FIND("-",SD!$C$35))/12),IF(SD!$C$34=SD!$I$4,(AU101-(BF101+BG101)))))))</f>
        <v>1</v>
      </c>
      <c r="BJ101">
        <f>IF(AM101="Spiral","1",MAX(ROUNDUP(IF(SD!$C$32="",AT101,BF101/(LEFT(RIGHT(N101,LEN(N101)-FIND("@",N101)),LEN(RIGHT(N101,LEN(N101)-FIND("@",N101)))-1)/12)+1),0),0))</f>
        <v>1</v>
      </c>
      <c r="BK101">
        <f>MAX(ROUNDUP(IF(SD!$C$33="","",BG101/(LEFT(RIGHT(O101,LEN(O101)-FIND("@",O101)),LEN(RIGHT(O101,LEN(O101)-FIND("@",O101)))-1)/12)+1),0),0)</f>
        <v>0</v>
      </c>
      <c r="BL101">
        <f>MAX(ROUNDUP(IF(SD!$C$34="","",BH101/(LEFT(RIGHT(P101,LEN(P101)-FIND("@",P101)),LEN(RIGHT(P101,LEN(P101)-FIND("@",P101)))-1)/12)+1),0),0)</f>
        <v>3</v>
      </c>
      <c r="BN101" t="e">
        <f t="shared" si="32"/>
        <v>#N/A</v>
      </c>
      <c r="BO101" t="e">
        <f t="shared" si="33"/>
        <v>#N/A</v>
      </c>
      <c r="BP101" t="e">
        <f t="shared" si="34"/>
        <v>#N/A</v>
      </c>
      <c r="BQ101" s="24" t="e">
        <f>IF(AM101=TRUE,(((Y101-(SD!$E$12*2))*3.14159265359)+BN101+BO101+BP101)/12+AL101,SUM(AF101:AG101,BN101,BO101,BP101,AO101,AQ101)/12)</f>
        <v>#N/A</v>
      </c>
      <c r="BR101" t="e">
        <f t="shared" si="35"/>
        <v>#N/A</v>
      </c>
      <c r="BS101" t="e">
        <f t="shared" si="36"/>
        <v>#N/A</v>
      </c>
      <c r="BT101" t="e">
        <f t="shared" si="37"/>
        <v>#N/A</v>
      </c>
      <c r="BU101" s="24" t="e">
        <f>IF(AM101=TRUE,(((Y101-(SD!$E$12*2))*3.14159265359)+BR101+BS101+BT101)/12+AL101,SUM(AF101:AG101,BR101,BS101,BT101,AO101,AQ101)/12)</f>
        <v>#N/A</v>
      </c>
      <c r="BW101" t="str">
        <f>IFERROR(LEFT(Data!L101,FIND(" -",Data!L101)-1),"")</f>
        <v/>
      </c>
      <c r="BX101" t="str">
        <f>IFERROR(IF(SD!$C$40=SD!$U$2,W101,IF(SD!$C$40=SD!$U$3,RIGHT(Data!L101,LEN(Data!L101)-(FIND("-",Data!L101)+1)),SD!$C$40)),"")</f>
        <v>#10</v>
      </c>
      <c r="BY101" t="str" cm="1">
        <f t="array" ref="BY101">IFERROR(_xlfn.LET(_xlpm.GRR,IF(AND(SD!$C$19=SD!$H$2,Grade!$G$1="Per level"),VLOOKUP(B101,Grade!$E$1:$F$200,2,FALSE),IF(AND(SD!$C$19=SD!$H$2,Grade!$G$1="Per Bar Size"),VLOOKUP(BX101,Grade!$B$1:$C$12,2,0),SD!$C$19)),_xlpm.is_equal, A100=A101,_xlpm.grade_range, IF(_xlpm.GRR=SD!$H$3, A615GR60,IF(_xlpm.GRR=SD!$H$4, A615GR75,IF(_xlpm.GRR=SD!$H$5, A615GR80,IF(_xlpm.GRR=SD!H105, A615GR100,IF(_xlpm.GRR=SD!$H$7, A706GR60,IF(_xlpm.GRR=SD!$H$8, A706GR80)))))),_xlpm.match_result, MATCH(1, (BSize=BX101)*(BCName=SD!$C$8), 0),_xlpm.final_result, INDEX(_xlpm.grade_range, _xlpm.match_result),IF(_xlpm.is_equal, "", _xlpm.final_result)),"")</f>
        <v/>
      </c>
      <c r="BZ101" t="str">
        <f>IF(A100=A101,"",IF(SD!$C$41="Match Vertical Bars ",X101,IF(SD!$C$41=SD!$V$3,BW101,SD!$C$41)))</f>
        <v/>
      </c>
      <c r="CA101" t="str" cm="1">
        <f t="array" ref="CA101">IF(A100=A101,"",IF(SD!$C$44="No T-Head",IF(SD!$C$42=SD!$Q$3,VLOOKUP(BX101,S90Range,3,FALSE),LEFT(SD!$C$42,FIND("-",SD!$C$42)-1)+(RIGHT(SD!$C$42,LEN(SD!$C$42)-FIND("-",SD!$C$42))/12)),IF(SD!$C$44="T-Head",_xlfn._xlws.FILTER(THead,(TCName=SD!$C$8)*(TSize=BX101)),IF(SD!$C$44="Level Wise",_xlfn.LET(_xlpm.result,_xlfn.XLOOKUP(B101,VDLevel,VDLevelStatus,"No"),IF(_xlpm.result="Yes",_xlfn._xlws.FILTER(THead,(TCName=SD!$C$8)*(TSize=BX101)),IF(SD!$C$42=SD!$Q$3,VLOOKUP(BX101,S90Range,3,FALSE),LEFT(SD!$C$42,FIND("-",SD!$C$42)-1)+(RIGHT(SD!$C$42,LEN(SD!$C$42)-FIND("-", SD!$C$42))/12)))),IF(SD!$C$44="BarSize Wise",_xlfn.LET(_xlpm.result,_xlfn.XLOOKUP(BX101,VDBarSize,VDBarSizeStatus,"No"),IF(_xlpm.result="Yes",_xlfn._xlws.FILTER(THead,(TCName=SD!$C$8)*(TSize=BX101)),IF(SD!$C$42=SD!$Q$3,VLOOKUP(BX101,S90Range,3,FALSE),LEFT(SD!$C$42,FIND("-",SD!$C$42)-1)+(RIGHT(SD!$C$42,LEN(SD!$C$42)-FIND("-",SD!$C$42))/12)))), "")))))</f>
        <v/>
      </c>
      <c r="CB101" t="str" cm="1">
        <f t="array" ref="CB101">_xlfn.LET(_xlpm.GRR,IF(AND(SD!$C$19=SD!$H$2,Grade!$G$1="Per level"),VLOOKUP(B101,Grade!$E$1:$F$200,2,FALSE),IF(AND(SD!$C$19=SD!$H$2,Grade!$G$1="Per Bar Size"),VLOOKUP(BX101,Grade!$B$1:$C$12,2,0),SD!$C$19)),_xlpm.is_coupler, K101="Coupler",_xlpm.condition1, SD!$C$43=SD!$W$2,_xlpm.data_j2_empty, Data!$J101="",_xlpm.lookup_table, IF(SD!$C$11="Create", Lap!$A$3:$BF$14, IF(SD!$C$11="Per Uploaded File", Lap!$A$19:$BF$30, "")),_xlpm.row_match, MATCH(BX101, Lap!$A$3:$A$14, 0),_xlpm.grade_offset, IF(IFERROR(FIND("Grade 60",_xlpm.GRR), 0) &gt; 0, 0, IF(IFERROR(FIND("Grade 80",_xlpm.GRR), 0), 1, IF(IFERROR(FIND("Grade 75",_xlpm.GRR), 0), 2, ""))),_xlpm.col_match, MATCH(VALUE(D101), Lap!$A$3:$BF$3, 0) + _xlpm.grade_offset,_xlpm.index_result, IFERROR(INDEX(_xlpm.lookup_table, _xlpm.row_match, _xlpm.col_match), Data!$J101),_xlpm.result_if_condition1, IF(_xlpm.data_j2_empty, _xlpm.index_result, Data!$J101),IF(_xlpm.is_coupler, 0, IF(_xlpm.condition1, _xlpm.result_if_condition1, SD!$C$43)))</f>
        <v>5-1</v>
      </c>
      <c r="CC101" s="24">
        <f t="shared" si="38"/>
        <v>5.083333333333333</v>
      </c>
      <c r="CD101">
        <f t="shared" si="39"/>
        <v>5.75</v>
      </c>
      <c r="CE101" t="str" cm="1">
        <f t="array" ref="CE101">IF(BY101="","",_xlfn._xlws.FILTER(SAC,(CName=SD!$C$8)*(EName="Vert Dowels")))</f>
        <v/>
      </c>
      <c r="CF101" t="str" cm="1">
        <f t="array" ref="CF101">IFERROR(IF(BY101="","",IF(K101="Coupler",_xlfn._xlws.FILTER(CCoupler,(CCName=SD!$C$8)*(CBSize=IF(A100=A101,W100&amp;W101,BX101&amp;W101))*(CCMFM="Male")),"")),"N/A")</f>
        <v/>
      </c>
      <c r="CG101" t="str">
        <f t="shared" si="40"/>
        <v/>
      </c>
      <c r="CH101" t="str">
        <f t="shared" si="41"/>
        <v/>
      </c>
      <c r="CI101" t="str">
        <f>_xlfn.LET(_xlpm.u3_value, U102,_xlpm.hyphen_pos,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K102="Coupler",_xlpm.coupler_value, IF(_xlpm.is_coupler, 0, _xlpm.calculated_value),_xlpm.final_value, _xlpm.calculated_value + SD!$E$13 + _xlpm.coupler_value,IF(CG101="", "", _xlpm.final_value))</f>
        <v/>
      </c>
      <c r="CJ101" t="str" cm="1">
        <f t="array" ref="CJ101">IF(CG101="","",_xlfn._xlws.FILTER(SAC,(CName=SD!$C$8)*(EName="Loose Dowels")))</f>
        <v/>
      </c>
      <c r="CK101" t="str" cm="1">
        <f t="array" ref="CK101">IFERROR(IF(CG101="","",IF(K102="Coupler",_xlfn._xlws.FILTER(CCoupler,(CCName=SD!$C$8)*(CBSize=IF(A101=A102,W101&amp;W102,""))*(CCMFM="Male")),"")),"N/A")</f>
        <v/>
      </c>
      <c r="CL101" t="str">
        <f>IFERROR(IF(AM101="Spiral","",IF(A100=A101,"",IF(SD!$C$37=0,"",SD!$C$37))),"")</f>
        <v/>
      </c>
      <c r="CN101">
        <f>IF(AM101="Spiral","",IFERROR(IF(SD!$C$36=0,"",SD!$C$36),""))</f>
        <v>5</v>
      </c>
      <c r="CP101" t="str">
        <f>IFERROR(IF(SD!$C$42=SD!$Q$3,'Take-off'!CA101,""),"")</f>
        <v/>
      </c>
      <c r="CR101">
        <f>IFERROR(IF(SD!$C$22=SD!$U$2,W101,SD!$C$22),"")</f>
        <v>0</v>
      </c>
      <c r="CS101" t="str" cm="1">
        <f t="array" ref="CS101">_xlfn.LET(_xlpm.GR,IF(AND(SD!$C$19=SD!$H$2,Grade!$G$1="Per level"),VLOOKUP(B101,Grade!$E$1:$F$200,2,FALSE),IF(AND(SD!$C$19=SD!$H$2,Grade!$G$1="Per Bar Size"),VLOOKUP(CR101,Grade!$B$1:$C$12,2,0),SD!$C$19)),IF(SD!$C$20=SD!$R$4,IF(A102=A101,"",INDEX(IF(_xlpm.GR=SD!$H$3,A615GR60,IF(_xlpm.GR=SD!$H$4,A615GR75,IF(_xlpm.GR=SD!$H$5,A615GR80,IF(_xlpm.GR=SD!H105,A615GR100,IF(_xlpm.GR=SD!$H$7,A706GR60,IF(_xlpm.GR=SD!$H$8,A706GR80)))))), MATCH(1, (BSize=CR101)*(BCName=SD!$C$8), 0))),""))</f>
        <v/>
      </c>
      <c r="CT101" t="str">
        <f>IF(A102=A101,"",IF(SD!$C$23="Match Vertical Bars ",X101,SD!$C$23))</f>
        <v/>
      </c>
      <c r="CU101" t="str" cm="1">
        <f t="array" ref="CU101">IF(A102=A101,"",IF(SD!$C$20="Top dowels",IF(SD!$E$25="No T-Head",IF(SD!$C$24=SD!$Q$3,VLOOKUP(CR101,S90Range,3,FALSE),LEFT(SD!$C$24,FIND("-",SD!$C$24)-1)+(RIGHT(SD!$C$24,LEN(SD!$C$24)-FIND("-",SD!$C$24))/12)),IF(SD!$E$25="T-Head",_xlfn._xlws.FILTER(THead,(TCName=SD!$C$8)*(TSize=CR101)),IF(SD!$E$25="Level Wise",_xlfn.LET(_xlpm.result,_xlfn.XLOOKUP(B101,TDLevel,TDLevelStatus,"No"),IF(_xlpm.result="Yes",_xlfn._xlws.FILTER(THead,(TCName=SD!$C$8)*(TSize=CR101)),IF(SD!$C$24=SD!$Q$3,VLOOKUP(CR101,S90Range,3,FALSE),LEFT(SD!$C$24,FIND("-",SD!$C$24)-1)+(RIGHT(SD!$C$24,LEN(SD!$C$24)-FIND("-", SD!$C$24))/12)))),IF(SD!$E$25="BarSize Wise",_xlfn.LET(_xlpm.result,_xlfn.XLOOKUP(CR101,TDBarSize,TDBarSizeStatus,"No"),IF(_xlpm.result="Yes",_xlfn._xlws.FILTER(THead,(TCName=SD!$C$8)*(TSize=CR101)),IF(SD!$C$24=SD!$Q$3,VLOOKUP(CR101,S90Range,3,FALSE),LEFT(SD!$C$24,FIND("-",SD!$C$24)-1)+(RIGHT(SD!$C$24,LEN(SD!$C$24)-FIND("-",SD!$C$24))/12)))), "")))),""))</f>
        <v/>
      </c>
      <c r="CV101" t="str">
        <f>_xlfn.LET(_xlpm.GRR,IF(AND(SD!$C$19=SD!$H$2,Grade!$G$1="Per level"),VLOOKUP(B101,Grade!$E$1:$F$200,2,FALSE),IF(AND(SD!$C$19=SD!$H$2,Grade!$G$1="Per Bar Size"),VLOOKUP(CR101,Grade!$B$1:$C$12,2,0),SD!$C$19)),IF(SD!$C$25=SD!$W$2,IF(Data!$J101="",IFERROR(INDEX(IF(SD!$C$11="Create",Lap!$A$3:$BF$14,IF(SD!$C$11="Per Uploaded File",Lap!$A$19:$BF$30,"")),MATCH(CR101,Lap!$A$3:$A$14,0),MATCH(VALUE(D101),Lap!$A$3:$BF$3,0)+IF(IFERROR(FIND("Grade 60",_xlpm.GRR),0)&gt;0,0,IF(IFERROR(FIND("Grade 80",_xlpm.GRR),0),1,IF(IFERROR(FIND("Grade 75",_xlpm.GRR),0),2,"")))),""),Data!J101),SD!$C$43))</f>
        <v>Match Lap</v>
      </c>
      <c r="CW101">
        <f t="shared" si="42"/>
        <v>0</v>
      </c>
      <c r="CX101">
        <f t="shared" si="43"/>
        <v>0</v>
      </c>
      <c r="CY101" t="str">
        <f t="shared" si="44"/>
        <v/>
      </c>
      <c r="DA101" t="str">
        <f t="shared" si="45"/>
        <v/>
      </c>
      <c r="DB101" t="str">
        <f t="shared" si="46"/>
        <v/>
      </c>
      <c r="DC101" s="24" t="str">
        <f t="shared" si="47"/>
        <v/>
      </c>
      <c r="DD101">
        <f t="shared" si="48"/>
        <v>10.583333333333334</v>
      </c>
      <c r="DE101" t="s">
        <v>785</v>
      </c>
      <c r="DF101" t="s">
        <v>67</v>
      </c>
      <c r="DG101" t="str">
        <f>VLOOKUP(W101,'Level Wise PSI'!$F$2:$G$12,2,FALSE)</f>
        <v>Double Lift</v>
      </c>
      <c r="DI101" t="str" cm="1">
        <f t="array" ref="DI101">_xlfn.LET(_xlpm.Coup,IFERROR(IF(BY101="","",IF(K101="Coupler",_xlfn._xlws.FILTER(CCFCoupler,(CCName=SD!$C$8)*(CBSize=IF(A100=A101,W100&amp;W101,BX101&amp;W101))),"")),"N/A"),IF(_xlpm.Coup=0,"",_xlpm.Coup))</f>
        <v/>
      </c>
      <c r="DJ101" t="str" cm="1">
        <f t="array" ref="DJ101">_xlfn.LET(_xlpm.Coup3,IFERROR(IF(CG101="","",IF(K102="Coupler",_xlfn._xlws.FILTER(CCFCoupler,(CCName=SD!$C$8)*(CBSize=IF(A101=A102,W101&amp;W102,""))),"")),"N/A"),IF(_xlpm.Coup3=0,"",_xlpm.Coup3))</f>
        <v/>
      </c>
      <c r="DK101" t="str" cm="1">
        <f t="array" ref="DK101">_xlfn.LET(_xlpm.Coup2,IFERROR(IF(A101&lt;&gt;A102,"",IF(DF101="No Lap","",IF(K102="Coupler",_xlfn._xlws.FILTER(CCFCoupler,(CCName=SD!$C$8)*(CBSize=IF(A100=A101,W101&amp;W102,W101&amp;W101))),""))),"N/A"),IF(_xlpm.Coup2=0,"",_xlpm.Coup2))</f>
        <v/>
      </c>
      <c r="DM101" t="str">
        <f>IF(AM101="Spiral","",IF(SD!$C$31=SD!$Y$3,SD!$E$32*2,""))</f>
        <v/>
      </c>
      <c r="DO101" s="24">
        <f t="shared" si="49"/>
        <v>2.5</v>
      </c>
      <c r="DQ101" t="str">
        <f t="shared" si="50"/>
        <v>Lig</v>
      </c>
      <c r="DR101" t="str">
        <f>IF(AM101="Spiral",((Y101-(SD!$E$12*2))/12),"")</f>
        <v/>
      </c>
      <c r="DS101" t="str">
        <f t="shared" si="51"/>
        <v/>
      </c>
      <c r="DT101" t="str">
        <f t="shared" si="52"/>
        <v/>
      </c>
      <c r="DU101" t="str">
        <f t="shared" si="53"/>
        <v/>
      </c>
    </row>
    <row r="102" spans="1:125" x14ac:dyDescent="0.25">
      <c r="A102">
        <v>37</v>
      </c>
      <c r="B102" t="s">
        <v>676</v>
      </c>
      <c r="C102" s="15">
        <v>2429</v>
      </c>
      <c r="D102" s="15">
        <v>10000</v>
      </c>
      <c r="E102" t="str">
        <f>IF(B102=Level!$A$2,SD!$C$14,SD!$C$13)</f>
        <v>0-8</v>
      </c>
      <c r="F102" s="15" t="s">
        <v>787</v>
      </c>
      <c r="G102" t="s">
        <v>742</v>
      </c>
      <c r="H102" t="str">
        <f>RIGHT(VLOOKUP(B102,Level!A:C,3,FALSE),LEN(VLOOKUP(B102,Level!A:C,3,FALSE))-1)</f>
        <v>10-7</v>
      </c>
      <c r="I102" t="s">
        <v>743</v>
      </c>
      <c r="J102" t="str">
        <f>IF(AND(SD!$C$19=SD!$H$2,Grade!$G$1="Per level"),VLOOKUP(B102,Grade!$E$1:$F$200,2,FALSE),IF(AND(SD!$C$19=SD!$H$2,Grade!$G$1="Per Bar Size"),VLOOKUP(W102,Grade!$B$1:$C$12,2,0),SD!$C$19))</f>
        <v>A615 Grade 60</v>
      </c>
      <c r="K102" t="s">
        <v>67</v>
      </c>
      <c r="L102" t="str">
        <f>IFERROR(IF(A102&lt;&gt;A103,"",IF(DF102="No Lap","",IF(K103="Lap",U102,IF(K103="Coupler",_xlfn._xlws.FILTER(CCoupler,(CCName=SD!$C$8)*(CBSize=IF(A101=A102,W102&amp;W103,W102&amp;W102))*(CCMFM="Male")),"")))),"N/A")</f>
        <v>5-1</v>
      </c>
      <c r="M102" t="str">
        <f t="shared" si="27"/>
        <v/>
      </c>
      <c r="N102" t="s">
        <v>719</v>
      </c>
      <c r="O102" t="s">
        <v>720</v>
      </c>
      <c r="P102" t="s">
        <v>719</v>
      </c>
      <c r="Q102" t="str">
        <f>IF(AND(SD!$C$29=SD!$P$2,Grade!$O$1="Per level"),VLOOKUP(B102,Grade!$M$1:$N$200,2,FALSE),IF(AND(SD!$C$29=SD!$P$2,Grade!$O$1="Per Bar Size"),VLOOKUP(LEFT(N102,FIND("@",N102)-2),Grade!$J$1:$K$12,2,0),SD!$C$29))</f>
        <v>A615 Grade 60</v>
      </c>
      <c r="R102" t="s">
        <v>742</v>
      </c>
      <c r="S102" s="57">
        <v>102</v>
      </c>
      <c r="U102" t="str">
        <f>IF(Data!$J102="",IFERROR(INDEX(IF(SD!$C$11="Create",Lap!$A$3:$BF$14,IF(SD!$C$11="Per Uploaded File",Lap!$A$19:$BF$30,"")),MATCH(W102,Lap!$A$3:$A$14,0),MATCH(VALUE(D102),Lap!$A$3:$BF$3,0)+IF(IFERROR(FIND("Grade 60",J102),0)&gt;0,0,IF(IFERROR(FIND("Grade 80",J102),0),1,IF(IFERROR(FIND("Grade 75",J102),0),2,"")))),""),Data!J102)</f>
        <v>5-1</v>
      </c>
      <c r="W102" t="s">
        <v>176</v>
      </c>
      <c r="X102">
        <v>6</v>
      </c>
      <c r="Y102" t="str">
        <f t="shared" si="28"/>
        <v>30</v>
      </c>
      <c r="Z102">
        <f t="shared" si="29"/>
        <v>0</v>
      </c>
      <c r="AA102" s="24">
        <f t="shared" si="30"/>
        <v>15.666666666666666</v>
      </c>
      <c r="BB102" t="e" cm="1">
        <f t="array" ref="BB102">_xlfn.LET(_xlpm.PartF,(_xlfn.LET(_xlpm.grade, Q102,_xlpm.gradeRange, IF(_xlpm.grade=SD!$H$3, A615GR60, IF(_xlpm.grade=SD!$H$4, A615GR75, IF(_xlpm.grade=SD!$H$5, A615GR80, IF(_xlpm.grade=SD!$H$6, A615GR100, IF(_xlpm.grade=SD!$H$7, A706GR60, IF(_xlpm.grade=SD!$H$8, A706GR80)))))),_xlpm.matchValue, MATCH(1, (SD!$AW:$AW=AS102)*(SD!$AX:$AX=SD!$C$8), 0),INDEX(_xlpm.gradeRange, _xlpm.matchValue))),IF(AM102="Spiral",CONCATENATE("SP",_xlpm.PartF),_xlpm.PartF))</f>
        <v>#N/A</v>
      </c>
      <c r="BC102" cm="1">
        <f t="array" ref="BC102">_xlfn.LET(_xlpm.leftPart, LEFT(O102, FIND("@", O102) - 2),_xlpm.grade,Q102,_xlpm.gradeRange,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2" cm="1">
        <f t="array" ref="BD102">_xlfn.LET(_xlpm.leftPart, LEFT(P102, FIND("@", P102) - 2),_xlpm.grade, Q102,_xlpm.gradeRange,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2">
        <f t="shared" si="31"/>
        <v>2.5</v>
      </c>
      <c r="BF102">
        <f>IF(SD!$C$32=SD!$I$2,BE102,IF(SD!$C$32=SD!$I$3,DO102,IF(SD!$C$32=SD!$I$5,BA102,IF(SD!$C$32=SD!$I$6,(LEFT(SD!$C$35,FIND("-",SD!$C$35)-1)+RIGHT(SD!$C$35,LEN(SD!$C$35)-FIND("-",SD!$C$35))/12),IF(SD!$C$32=SD!$I$4,(AU102-(BG102+BH102)))))))</f>
        <v>0</v>
      </c>
      <c r="BG102">
        <f>IF(SD!$C$33=SD!$I$2,BE102,IF(SD!$C$33=SD!$I$3,DO102,IF(SD!$C$33=SD!$I$5,BA102,IF(SD!$C$33=SD!$I$6,(LEFT(SD!$C$35,FIND("-",SD!$C$35)-1)+RIGHT(SD!$C$35,LEN(SD!$C$35)-FIND("-",SD!$C$35))/12),IF(SD!$C$33=SD!$I$4,(AU102-(BF102+BH102)))))))</f>
        <v>-1</v>
      </c>
      <c r="BH102">
        <f>IF(SD!$C$34=SD!$I$2,BE102,IF(SD!$C$34=SD!$I$3,DO102,IF(SD!$C$34=SD!$I$5,BA102,IF(SD!$C$34=SD!$I$6,(LEFT(SD!$C$35,FIND("-",SD!$C$35)-1)+RIGHT(SD!$C$35,LEN(SD!$C$35)-FIND("-",SD!$C$35))/12),IF(SD!$C$34=SD!$I$4,(AU102-(BF102+BG102)))))))</f>
        <v>1</v>
      </c>
      <c r="BJ102">
        <f>IF(AM102="Spiral","1",MAX(ROUNDUP(IF(SD!$C$32="",AT102,BF102/(LEFT(RIGHT(N102,LEN(N102)-FIND("@",N102)),LEN(RIGHT(N102,LEN(N102)-FIND("@",N102)))-1)/12)+1),0),0))</f>
        <v>1</v>
      </c>
      <c r="BK102">
        <f>MAX(ROUNDUP(IF(SD!$C$33="","",BG102/(LEFT(RIGHT(O102,LEN(O102)-FIND("@",O102)),LEN(RIGHT(O102,LEN(O102)-FIND("@",O102)))-1)/12)+1),0),0)</f>
        <v>0</v>
      </c>
      <c r="BL102">
        <f>MAX(ROUNDUP(IF(SD!$C$34="","",BH102/(LEFT(RIGHT(P102,LEN(P102)-FIND("@",P102)),LEN(RIGHT(P102,LEN(P102)-FIND("@",P102)))-1)/12)+1),0),0)</f>
        <v>3</v>
      </c>
      <c r="BN102" t="e">
        <f t="shared" si="32"/>
        <v>#N/A</v>
      </c>
      <c r="BO102" t="e">
        <f t="shared" si="33"/>
        <v>#N/A</v>
      </c>
      <c r="BP102" t="e">
        <f t="shared" si="34"/>
        <v>#N/A</v>
      </c>
      <c r="BQ102" s="24" t="e">
        <f>IF(AM102=TRUE,(((Y102-(SD!$E$12*2))*3.14159265359)+BN102+BO102+BP102)/12+AL102,SUM(AF102:AG102,BN102,BO102,BP102,AO102,AQ102)/12)</f>
        <v>#N/A</v>
      </c>
      <c r="BR102" t="e">
        <f t="shared" si="35"/>
        <v>#N/A</v>
      </c>
      <c r="BS102" t="e">
        <f t="shared" si="36"/>
        <v>#N/A</v>
      </c>
      <c r="BT102" t="e">
        <f t="shared" si="37"/>
        <v>#N/A</v>
      </c>
      <c r="BU102" s="24" t="e">
        <f>IF(AM102=TRUE,(((Y102-(SD!$E$12*2))*3.14159265359)+BR102+BS102+BT102)/12+AL102,SUM(AF102:AG102,BR102,BS102,BT102,AO102,AQ102)/12)</f>
        <v>#N/A</v>
      </c>
      <c r="BW102" t="str">
        <f>IFERROR(LEFT(Data!L102,FIND(" -",Data!L102)-1),"")</f>
        <v/>
      </c>
      <c r="BX102" t="str">
        <f>IFERROR(IF(SD!$C$40=SD!$U$2,W102,IF(SD!$C$40=SD!$U$3,RIGHT(Data!L102,LEN(Data!L102)-(FIND("-",Data!L102)+1)),SD!$C$40)),"")</f>
        <v>#10</v>
      </c>
      <c r="BY102" t="str" cm="1">
        <f t="array" ref="BY102">IFERROR(_xlfn.LET(_xlpm.GRR,IF(AND(SD!$C$19=SD!$H$2,Grade!$G$1="Per level"),VLOOKUP(B102,Grade!$E$1:$F$200,2,FALSE),IF(AND(SD!$C$19=SD!$H$2,Grade!$G$1="Per Bar Size"),VLOOKUP(BX102,Grade!$B$1:$C$12,2,0),SD!$C$19)),_xlpm.is_equal, A101=A102,_xlpm.grade_range, IF(_xlpm.GRR=SD!$H$3, A615GR60,IF(_xlpm.GRR=SD!$H$4, A615GR75,IF(_xlpm.GRR=SD!$H$5, A615GR80,IF(_xlpm.GRR=SD!H106, A615GR100,IF(_xlpm.GRR=SD!$H$7, A706GR60,IF(_xlpm.GRR=SD!$H$8, A706GR80)))))),_xlpm.match_result, MATCH(1, (BSize=BX102)*(BCName=SD!$C$8), 0),_xlpm.final_result, INDEX(_xlpm.grade_range, _xlpm.match_result),IF(_xlpm.is_equal, "", _xlpm.final_result)),"")</f>
        <v/>
      </c>
      <c r="BZ102" t="str">
        <f>IF(A101=A102,"",IF(SD!$C$41="Match Vertical Bars ",X102,IF(SD!$C$41=SD!$V$3,BW102,SD!$C$41)))</f>
        <v/>
      </c>
      <c r="CA102" t="str" cm="1">
        <f t="array" ref="CA102">IF(A101=A102,"",IF(SD!$C$44="No T-Head",IF(SD!$C$42=SD!$Q$3,VLOOKUP(BX102,S90Range,3,FALSE),LEFT(SD!$C$42,FIND("-",SD!$C$42)-1)+(RIGHT(SD!$C$42,LEN(SD!$C$42)-FIND("-",SD!$C$42))/12)),IF(SD!$C$44="T-Head",_xlfn._xlws.FILTER(THead,(TCName=SD!$C$8)*(TSize=BX102)),IF(SD!$C$44="Level Wise",_xlfn.LET(_xlpm.result,_xlfn.XLOOKUP(B102,VDLevel,VDLevelStatus,"No"),IF(_xlpm.result="Yes",_xlfn._xlws.FILTER(THead,(TCName=SD!$C$8)*(TSize=BX102)),IF(SD!$C$42=SD!$Q$3,VLOOKUP(BX102,S90Range,3,FALSE),LEFT(SD!$C$42,FIND("-",SD!$C$42)-1)+(RIGHT(SD!$C$42,LEN(SD!$C$42)-FIND("-", SD!$C$42))/12)))),IF(SD!$C$44="BarSize Wise",_xlfn.LET(_xlpm.result,_xlfn.XLOOKUP(BX102,VDBarSize,VDBarSizeStatus,"No"),IF(_xlpm.result="Yes",_xlfn._xlws.FILTER(THead,(TCName=SD!$C$8)*(TSize=BX102)),IF(SD!$C$42=SD!$Q$3,VLOOKUP(BX102,S90Range,3,FALSE),LEFT(SD!$C$42,FIND("-",SD!$C$42)-1)+(RIGHT(SD!$C$42,LEN(SD!$C$42)-FIND("-",SD!$C$42))/12)))), "")))))</f>
        <v/>
      </c>
      <c r="CB102" t="str" cm="1">
        <f t="array" ref="CB102">_xlfn.LET(_xlpm.GRR,IF(AND(SD!$C$19=SD!$H$2,Grade!$G$1="Per level"),VLOOKUP(B102,Grade!$E$1:$F$200,2,FALSE),IF(AND(SD!$C$19=SD!$H$2,Grade!$G$1="Per Bar Size"),VLOOKUP(BX102,Grade!$B$1:$C$12,2,0),SD!$C$19)),_xlpm.is_coupler, K102="Coupler",_xlpm.condition1, SD!$C$43=SD!$W$2,_xlpm.data_j2_empty, Data!$J102="",_xlpm.lookup_table, IF(SD!$C$11="Create", Lap!$A$3:$BF$14, IF(SD!$C$11="Per Uploaded File", Lap!$A$19:$BF$30, "")),_xlpm.row_match, MATCH(BX102, Lap!$A$3:$A$14, 0),_xlpm.grade_offset, IF(IFERROR(FIND("Grade 60",_xlpm.GRR), 0) &gt; 0, 0, IF(IFERROR(FIND("Grade 80",_xlpm.GRR), 0), 1, IF(IFERROR(FIND("Grade 75",_xlpm.GRR), 0), 2, ""))),_xlpm.col_match, MATCH(VALUE(D102), Lap!$A$3:$BF$3, 0) + _xlpm.grade_offset,_xlpm.index_result, IFERROR(INDEX(_xlpm.lookup_table, _xlpm.row_match, _xlpm.col_match), Data!$J102),_xlpm.result_if_condition1, IF(_xlpm.data_j2_empty, _xlpm.index_result, Data!$J102),IF(_xlpm.is_coupler, 0, IF(_xlpm.condition1, _xlpm.result_if_condition1, SD!$C$43)))</f>
        <v>5-1</v>
      </c>
      <c r="CC102" s="24">
        <f t="shared" si="38"/>
        <v>5.083333333333333</v>
      </c>
      <c r="CD102">
        <f t="shared" si="39"/>
        <v>5.75</v>
      </c>
      <c r="CE102" t="str" cm="1">
        <f t="array" ref="CE102">IF(BY102="","",_xlfn._xlws.FILTER(SAC,(CName=SD!$C$8)*(EName="Vert Dowels")))</f>
        <v/>
      </c>
      <c r="CF102" t="str" cm="1">
        <f t="array" ref="CF102">IFERROR(IF(BY102="","",IF(K102="Coupler",_xlfn._xlws.FILTER(CCoupler,(CCName=SD!$C$8)*(CBSize=IF(A101=A102,W101&amp;W102,BX102&amp;W102))*(CCMFM="Male")),"")),"N/A")</f>
        <v/>
      </c>
      <c r="CG102" t="str">
        <f t="shared" si="40"/>
        <v/>
      </c>
      <c r="CH102" t="str">
        <f t="shared" si="41"/>
        <v/>
      </c>
      <c r="CI102" t="str">
        <f>_xlfn.LET(_xlpm.u3_value, U103,_xlpm.hyphen_pos,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K103="Coupler",_xlpm.coupler_value, IF(_xlpm.is_coupler, 0, _xlpm.calculated_value),_xlpm.final_value, _xlpm.calculated_value + SD!$E$13 + _xlpm.coupler_value,IF(CG102="", "", _xlpm.final_value))</f>
        <v/>
      </c>
      <c r="CJ102" t="str" cm="1">
        <f t="array" ref="CJ102">IF(CG102="","",_xlfn._xlws.FILTER(SAC,(CName=SD!$C$8)*(EName="Loose Dowels")))</f>
        <v/>
      </c>
      <c r="CK102" t="str" cm="1">
        <f t="array" ref="CK102">IFERROR(IF(CG102="","",IF(K103="Coupler",_xlfn._xlws.FILTER(CCoupler,(CCName=SD!$C$8)*(CBSize=IF(A102=A103,W102&amp;W103,""))*(CCMFM="Male")),"")),"N/A")</f>
        <v/>
      </c>
      <c r="CL102" t="str">
        <f>IFERROR(IF(AM102="Spiral","",IF(A101=A102,"",IF(SD!$C$37=0,"",SD!$C$37))),"")</f>
        <v/>
      </c>
      <c r="CN102">
        <f>IF(AM102="Spiral","",IFERROR(IF(SD!$C$36=0,"",SD!$C$36),""))</f>
        <v>5</v>
      </c>
      <c r="CP102" t="str">
        <f>IFERROR(IF(SD!$C$42=SD!$Q$3,'Take-off'!CA102,""),"")</f>
        <v/>
      </c>
      <c r="CR102">
        <f>IFERROR(IF(SD!$C$22=SD!$U$2,W102,SD!$C$22),"")</f>
        <v>0</v>
      </c>
      <c r="CS102" t="str" cm="1">
        <f t="array" ref="CS102">_xlfn.LET(_xlpm.GR,IF(AND(SD!$C$19=SD!$H$2,Grade!$G$1="Per level"),VLOOKUP(B102,Grade!$E$1:$F$200,2,FALSE),IF(AND(SD!$C$19=SD!$H$2,Grade!$G$1="Per Bar Size"),VLOOKUP(CR102,Grade!$B$1:$C$12,2,0),SD!$C$19)),IF(SD!$C$20=SD!$R$4,IF(A103=A102,"",INDEX(IF(_xlpm.GR=SD!$H$3,A615GR60,IF(_xlpm.GR=SD!$H$4,A615GR75,IF(_xlpm.GR=SD!$H$5,A615GR80,IF(_xlpm.GR=SD!H106,A615GR100,IF(_xlpm.GR=SD!$H$7,A706GR60,IF(_xlpm.GR=SD!$H$8,A706GR80)))))), MATCH(1, (BSize=CR102)*(BCName=SD!$C$8), 0))),""))</f>
        <v/>
      </c>
      <c r="CT102" t="str">
        <f>IF(A103=A102,"",IF(SD!$C$23="Match Vertical Bars ",X102,SD!$C$23))</f>
        <v/>
      </c>
      <c r="CU102" t="str" cm="1">
        <f t="array" ref="CU102">IF(A103=A102,"",IF(SD!$C$20="Top dowels",IF(SD!$E$25="No T-Head",IF(SD!$C$24=SD!$Q$3,VLOOKUP(CR102,S90Range,3,FALSE),LEFT(SD!$C$24,FIND("-",SD!$C$24)-1)+(RIGHT(SD!$C$24,LEN(SD!$C$24)-FIND("-",SD!$C$24))/12)),IF(SD!$E$25="T-Head",_xlfn._xlws.FILTER(THead,(TCName=SD!$C$8)*(TSize=CR102)),IF(SD!$E$25="Level Wise",_xlfn.LET(_xlpm.result,_xlfn.XLOOKUP(B102,TDLevel,TDLevelStatus,"No"),IF(_xlpm.result="Yes",_xlfn._xlws.FILTER(THead,(TCName=SD!$C$8)*(TSize=CR102)),IF(SD!$C$24=SD!$Q$3,VLOOKUP(CR102,S90Range,3,FALSE),LEFT(SD!$C$24,FIND("-",SD!$C$24)-1)+(RIGHT(SD!$C$24,LEN(SD!$C$24)-FIND("-", SD!$C$24))/12)))),IF(SD!$E$25="BarSize Wise",_xlfn.LET(_xlpm.result,_xlfn.XLOOKUP(CR102,TDBarSize,TDBarSizeStatus,"No"),IF(_xlpm.result="Yes",_xlfn._xlws.FILTER(THead,(TCName=SD!$C$8)*(TSize=CR102)),IF(SD!$C$24=SD!$Q$3,VLOOKUP(CR102,S90Range,3,FALSE),LEFT(SD!$C$24,FIND("-",SD!$C$24)-1)+(RIGHT(SD!$C$24,LEN(SD!$C$24)-FIND("-",SD!$C$24))/12)))), "")))),""))</f>
        <v/>
      </c>
      <c r="CV102" t="str">
        <f>_xlfn.LET(_xlpm.GRR,IF(AND(SD!$C$19=SD!$H$2,Grade!$G$1="Per level"),VLOOKUP(B102,Grade!$E$1:$F$200,2,FALSE),IF(AND(SD!$C$19=SD!$H$2,Grade!$G$1="Per Bar Size"),VLOOKUP(CR102,Grade!$B$1:$C$12,2,0),SD!$C$19)),IF(SD!$C$25=SD!$W$2,IF(Data!$J102="",IFERROR(INDEX(IF(SD!$C$11="Create",Lap!$A$3:$BF$14,IF(SD!$C$11="Per Uploaded File",Lap!$A$19:$BF$30,"")),MATCH(CR102,Lap!$A$3:$A$14,0),MATCH(VALUE(D102),Lap!$A$3:$BF$3,0)+IF(IFERROR(FIND("Grade 60",_xlpm.GRR),0)&gt;0,0,IF(IFERROR(FIND("Grade 80",_xlpm.GRR),0),1,IF(IFERROR(FIND("Grade 75",_xlpm.GRR),0),2,"")))),""),Data!J102),SD!$C$43))</f>
        <v>Match Lap</v>
      </c>
      <c r="CW102">
        <f t="shared" si="42"/>
        <v>0</v>
      </c>
      <c r="CX102">
        <f t="shared" si="43"/>
        <v>0</v>
      </c>
      <c r="CY102" t="str">
        <f t="shared" si="44"/>
        <v/>
      </c>
      <c r="DA102" t="str">
        <f t="shared" si="45"/>
        <v/>
      </c>
      <c r="DB102" t="str">
        <f t="shared" si="46"/>
        <v/>
      </c>
      <c r="DC102" s="24" t="str">
        <f t="shared" si="47"/>
        <v/>
      </c>
      <c r="DD102">
        <f t="shared" si="48"/>
        <v>10.583333333333334</v>
      </c>
      <c r="DE102" t="s">
        <v>785</v>
      </c>
      <c r="DF102" t="s">
        <v>67</v>
      </c>
      <c r="DG102" t="str">
        <f>VLOOKUP(W102,'Level Wise PSI'!$F$2:$G$12,2,FALSE)</f>
        <v>Double Lift</v>
      </c>
      <c r="DI102" t="str" cm="1">
        <f t="array" ref="DI102">_xlfn.LET(_xlpm.Coup,IFERROR(IF(BY102="","",IF(K102="Coupler",_xlfn._xlws.FILTER(CCFCoupler,(CCName=SD!$C$8)*(CBSize=IF(A101=A102,W101&amp;W102,BX102&amp;W102))),"")),"N/A"),IF(_xlpm.Coup=0,"",_xlpm.Coup))</f>
        <v/>
      </c>
      <c r="DJ102" t="str" cm="1">
        <f t="array" ref="DJ102">_xlfn.LET(_xlpm.Coup3,IFERROR(IF(CG102="","",IF(K103="Coupler",_xlfn._xlws.FILTER(CCFCoupler,(CCName=SD!$C$8)*(CBSize=IF(A102=A103,W102&amp;W103,""))),"")),"N/A"),IF(_xlpm.Coup3=0,"",_xlpm.Coup3))</f>
        <v/>
      </c>
      <c r="DK102" t="str" cm="1">
        <f t="array" ref="DK102">_xlfn.LET(_xlpm.Coup2,IFERROR(IF(A102&lt;&gt;A103,"",IF(DF102="No Lap","",IF(K103="Coupler",_xlfn._xlws.FILTER(CCFCoupler,(CCName=SD!$C$8)*(CBSize=IF(A101=A102,W102&amp;W103,W102&amp;W102))),""))),"N/A"),IF(_xlpm.Coup2=0,"",_xlpm.Coup2))</f>
        <v/>
      </c>
      <c r="DM102" t="str">
        <f>IF(AM102="Spiral","",IF(SD!$C$31=SD!$Y$3,SD!$E$32*2,""))</f>
        <v/>
      </c>
      <c r="DO102" s="24">
        <f t="shared" si="49"/>
        <v>2.5</v>
      </c>
      <c r="DQ102" t="str">
        <f t="shared" si="50"/>
        <v>Lig</v>
      </c>
      <c r="DR102" t="str">
        <f>IF(AM102="Spiral",((Y102-(SD!$E$12*2))/12),"")</f>
        <v/>
      </c>
      <c r="DS102" t="str">
        <f t="shared" si="51"/>
        <v/>
      </c>
      <c r="DT102" t="str">
        <f t="shared" si="52"/>
        <v/>
      </c>
      <c r="DU102" t="str">
        <f t="shared" si="53"/>
        <v/>
      </c>
    </row>
    <row r="103" spans="1:125" x14ac:dyDescent="0.25">
      <c r="A103">
        <v>37</v>
      </c>
      <c r="B103" t="s">
        <v>678</v>
      </c>
      <c r="C103" s="15">
        <v>2429</v>
      </c>
      <c r="D103" s="15">
        <v>10000</v>
      </c>
      <c r="E103" t="str">
        <f>IF(B103=Level!$A$2,SD!$C$14,SD!$C$13)</f>
        <v>0-8</v>
      </c>
      <c r="F103" s="15" t="s">
        <v>787</v>
      </c>
      <c r="G103" t="s">
        <v>742</v>
      </c>
      <c r="H103" t="str">
        <f>RIGHT(VLOOKUP(B103,Level!A:C,3,FALSE),LEN(VLOOKUP(B103,Level!A:C,3,FALSE))-1)</f>
        <v>10-7</v>
      </c>
      <c r="I103" t="s">
        <v>743</v>
      </c>
      <c r="J103" t="str">
        <f>IF(AND(SD!$C$19=SD!$H$2,Grade!$G$1="Per level"),VLOOKUP(B103,Grade!$E$1:$F$200,2,FALSE),IF(AND(SD!$C$19=SD!$H$2,Grade!$G$1="Per Bar Size"),VLOOKUP(W103,Grade!$B$1:$C$12,2,0),SD!$C$19))</f>
        <v>A615 Grade 60</v>
      </c>
      <c r="K103" t="s">
        <v>67</v>
      </c>
      <c r="L103" t="str">
        <f>IFERROR(IF(A103&lt;&gt;A104,"",IF(DF103="No Lap","",IF(K104="Lap",U103,IF(K104="Coupler",_xlfn._xlws.FILTER(CCoupler,(CCName=SD!$C$8)*(CBSize=IF(A102=A103,W103&amp;W104,W103&amp;W103))*(CCMFM="Male")),"")))),"N/A")</f>
        <v>5-1</v>
      </c>
      <c r="M103" t="str">
        <f t="shared" si="27"/>
        <v/>
      </c>
      <c r="N103" t="s">
        <v>719</v>
      </c>
      <c r="O103" t="s">
        <v>720</v>
      </c>
      <c r="P103" t="s">
        <v>719</v>
      </c>
      <c r="Q103" t="str">
        <f>IF(AND(SD!$C$29=SD!$P$2,Grade!$O$1="Per level"),VLOOKUP(B103,Grade!$M$1:$N$200,2,FALSE),IF(AND(SD!$C$29=SD!$P$2,Grade!$O$1="Per Bar Size"),VLOOKUP(LEFT(N103,FIND("@",N103)-2),Grade!$J$1:$K$12,2,0),SD!$C$29))</f>
        <v>A615 Grade 60</v>
      </c>
      <c r="R103" t="s">
        <v>742</v>
      </c>
      <c r="S103" s="57">
        <v>103</v>
      </c>
      <c r="U103" t="str">
        <f>IF(Data!$J103="",IFERROR(INDEX(IF(SD!$C$11="Create",Lap!$A$3:$BF$14,IF(SD!$C$11="Per Uploaded File",Lap!$A$19:$BF$30,"")),MATCH(W103,Lap!$A$3:$A$14,0),MATCH(VALUE(D103),Lap!$A$3:$BF$3,0)+IF(IFERROR(FIND("Grade 60",J103),0)&gt;0,0,IF(IFERROR(FIND("Grade 80",J103),0),1,IF(IFERROR(FIND("Grade 75",J103),0),2,"")))),""),Data!J103)</f>
        <v>5-1</v>
      </c>
      <c r="W103" t="s">
        <v>176</v>
      </c>
      <c r="X103">
        <v>6</v>
      </c>
      <c r="Y103" t="str">
        <f t="shared" si="28"/>
        <v>30</v>
      </c>
      <c r="Z103">
        <f t="shared" si="29"/>
        <v>0</v>
      </c>
      <c r="AA103" s="24">
        <f t="shared" si="30"/>
        <v>15.666666666666666</v>
      </c>
      <c r="BB103" t="e" cm="1">
        <f t="array" ref="BB103">_xlfn.LET(_xlpm.PartF,(_xlfn.LET(_xlpm.grade, Q103,_xlpm.gradeRange, IF(_xlpm.grade=SD!$H$3, A615GR60, IF(_xlpm.grade=SD!$H$4, A615GR75, IF(_xlpm.grade=SD!$H$5, A615GR80, IF(_xlpm.grade=SD!$H$6, A615GR100, IF(_xlpm.grade=SD!$H$7, A706GR60, IF(_xlpm.grade=SD!$H$8, A706GR80)))))),_xlpm.matchValue, MATCH(1, (SD!$AW:$AW=AS103)*(SD!$AX:$AX=SD!$C$8), 0),INDEX(_xlpm.gradeRange, _xlpm.matchValue))),IF(AM103="Spiral",CONCATENATE("SP",_xlpm.PartF),_xlpm.PartF))</f>
        <v>#N/A</v>
      </c>
      <c r="BC103" cm="1">
        <f t="array" ref="BC103">_xlfn.LET(_xlpm.leftPart, LEFT(O103, FIND("@", O103) - 2),_xlpm.grade,Q103,_xlpm.gradeRange,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3" cm="1">
        <f t="array" ref="BD103">_xlfn.LET(_xlpm.leftPart, LEFT(P103, FIND("@", P103) - 2),_xlpm.grade, Q103,_xlpm.gradeRange,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3">
        <f t="shared" si="31"/>
        <v>2.5</v>
      </c>
      <c r="BF103">
        <f>IF(SD!$C$32=SD!$I$2,BE103,IF(SD!$C$32=SD!$I$3,DO103,IF(SD!$C$32=SD!$I$5,BA103,IF(SD!$C$32=SD!$I$6,(LEFT(SD!$C$35,FIND("-",SD!$C$35)-1)+RIGHT(SD!$C$35,LEN(SD!$C$35)-FIND("-",SD!$C$35))/12),IF(SD!$C$32=SD!$I$4,(AU103-(BG103+BH103)))))))</f>
        <v>0</v>
      </c>
      <c r="BG103">
        <f>IF(SD!$C$33=SD!$I$2,BE103,IF(SD!$C$33=SD!$I$3,DO103,IF(SD!$C$33=SD!$I$5,BA103,IF(SD!$C$33=SD!$I$6,(LEFT(SD!$C$35,FIND("-",SD!$C$35)-1)+RIGHT(SD!$C$35,LEN(SD!$C$35)-FIND("-",SD!$C$35))/12),IF(SD!$C$33=SD!$I$4,(AU103-(BF103+BH103)))))))</f>
        <v>-1</v>
      </c>
      <c r="BH103">
        <f>IF(SD!$C$34=SD!$I$2,BE103,IF(SD!$C$34=SD!$I$3,DO103,IF(SD!$C$34=SD!$I$5,BA103,IF(SD!$C$34=SD!$I$6,(LEFT(SD!$C$35,FIND("-",SD!$C$35)-1)+RIGHT(SD!$C$35,LEN(SD!$C$35)-FIND("-",SD!$C$35))/12),IF(SD!$C$34=SD!$I$4,(AU103-(BF103+BG103)))))))</f>
        <v>1</v>
      </c>
      <c r="BJ103">
        <f>IF(AM103="Spiral","1",MAX(ROUNDUP(IF(SD!$C$32="",AT103,BF103/(LEFT(RIGHT(N103,LEN(N103)-FIND("@",N103)),LEN(RIGHT(N103,LEN(N103)-FIND("@",N103)))-1)/12)+1),0),0))</f>
        <v>1</v>
      </c>
      <c r="BK103">
        <f>MAX(ROUNDUP(IF(SD!$C$33="","",BG103/(LEFT(RIGHT(O103,LEN(O103)-FIND("@",O103)),LEN(RIGHT(O103,LEN(O103)-FIND("@",O103)))-1)/12)+1),0),0)</f>
        <v>0</v>
      </c>
      <c r="BL103">
        <f>MAX(ROUNDUP(IF(SD!$C$34="","",BH103/(LEFT(RIGHT(P103,LEN(P103)-FIND("@",P103)),LEN(RIGHT(P103,LEN(P103)-FIND("@",P103)))-1)/12)+1),0),0)</f>
        <v>3</v>
      </c>
      <c r="BN103" t="e">
        <f t="shared" si="32"/>
        <v>#N/A</v>
      </c>
      <c r="BO103" t="e">
        <f t="shared" si="33"/>
        <v>#N/A</v>
      </c>
      <c r="BP103" t="e">
        <f t="shared" si="34"/>
        <v>#N/A</v>
      </c>
      <c r="BQ103" s="24" t="e">
        <f>IF(AM103=TRUE,(((Y103-(SD!$E$12*2))*3.14159265359)+BN103+BO103+BP103)/12+AL103,SUM(AF103:AG103,BN103,BO103,BP103,AO103,AQ103)/12)</f>
        <v>#N/A</v>
      </c>
      <c r="BR103" t="e">
        <f t="shared" si="35"/>
        <v>#N/A</v>
      </c>
      <c r="BS103" t="e">
        <f t="shared" si="36"/>
        <v>#N/A</v>
      </c>
      <c r="BT103" t="e">
        <f t="shared" si="37"/>
        <v>#N/A</v>
      </c>
      <c r="BU103" s="24" t="e">
        <f>IF(AM103=TRUE,(((Y103-(SD!$E$12*2))*3.14159265359)+BR103+BS103+BT103)/12+AL103,SUM(AF103:AG103,BR103,BS103,BT103,AO103,AQ103)/12)</f>
        <v>#N/A</v>
      </c>
      <c r="BW103" t="str">
        <f>IFERROR(LEFT(Data!L103,FIND(" -",Data!L103)-1),"")</f>
        <v/>
      </c>
      <c r="BX103" t="str">
        <f>IFERROR(IF(SD!$C$40=SD!$U$2,W103,IF(SD!$C$40=SD!$U$3,RIGHT(Data!L103,LEN(Data!L103)-(FIND("-",Data!L103)+1)),SD!$C$40)),"")</f>
        <v>#10</v>
      </c>
      <c r="BY103" t="str" cm="1">
        <f t="array" ref="BY103">IFERROR(_xlfn.LET(_xlpm.GRR,IF(AND(SD!$C$19=SD!$H$2,Grade!$G$1="Per level"),VLOOKUP(B103,Grade!$E$1:$F$200,2,FALSE),IF(AND(SD!$C$19=SD!$H$2,Grade!$G$1="Per Bar Size"),VLOOKUP(BX103,Grade!$B$1:$C$12,2,0),SD!$C$19)),_xlpm.is_equal, A102=A103,_xlpm.grade_range, IF(_xlpm.GRR=SD!$H$3, A615GR60,IF(_xlpm.GRR=SD!$H$4, A615GR75,IF(_xlpm.GRR=SD!$H$5, A615GR80,IF(_xlpm.GRR=SD!H107, A615GR100,IF(_xlpm.GRR=SD!$H$7, A706GR60,IF(_xlpm.GRR=SD!$H$8, A706GR80)))))),_xlpm.match_result, MATCH(1, (BSize=BX103)*(BCName=SD!$C$8), 0),_xlpm.final_result, INDEX(_xlpm.grade_range, _xlpm.match_result),IF(_xlpm.is_equal, "", _xlpm.final_result)),"")</f>
        <v/>
      </c>
      <c r="BZ103" t="str">
        <f>IF(A102=A103,"",IF(SD!$C$41="Match Vertical Bars ",X103,IF(SD!$C$41=SD!$V$3,BW103,SD!$C$41)))</f>
        <v/>
      </c>
      <c r="CA103" t="str" cm="1">
        <f t="array" ref="CA103">IF(A102=A103,"",IF(SD!$C$44="No T-Head",IF(SD!$C$42=SD!$Q$3,VLOOKUP(BX103,S90Range,3,FALSE),LEFT(SD!$C$42,FIND("-",SD!$C$42)-1)+(RIGHT(SD!$C$42,LEN(SD!$C$42)-FIND("-",SD!$C$42))/12)),IF(SD!$C$44="T-Head",_xlfn._xlws.FILTER(THead,(TCName=SD!$C$8)*(TSize=BX103)),IF(SD!$C$44="Level Wise",_xlfn.LET(_xlpm.result,_xlfn.XLOOKUP(B103,VDLevel,VDLevelStatus,"No"),IF(_xlpm.result="Yes",_xlfn._xlws.FILTER(THead,(TCName=SD!$C$8)*(TSize=BX103)),IF(SD!$C$42=SD!$Q$3,VLOOKUP(BX103,S90Range,3,FALSE),LEFT(SD!$C$42,FIND("-",SD!$C$42)-1)+(RIGHT(SD!$C$42,LEN(SD!$C$42)-FIND("-", SD!$C$42))/12)))),IF(SD!$C$44="BarSize Wise",_xlfn.LET(_xlpm.result,_xlfn.XLOOKUP(BX103,VDBarSize,VDBarSizeStatus,"No"),IF(_xlpm.result="Yes",_xlfn._xlws.FILTER(THead,(TCName=SD!$C$8)*(TSize=BX103)),IF(SD!$C$42=SD!$Q$3,VLOOKUP(BX103,S90Range,3,FALSE),LEFT(SD!$C$42,FIND("-",SD!$C$42)-1)+(RIGHT(SD!$C$42,LEN(SD!$C$42)-FIND("-",SD!$C$42))/12)))), "")))))</f>
        <v/>
      </c>
      <c r="CB103" t="str" cm="1">
        <f t="array" ref="CB103">_xlfn.LET(_xlpm.GRR,IF(AND(SD!$C$19=SD!$H$2,Grade!$G$1="Per level"),VLOOKUP(B103,Grade!$E$1:$F$200,2,FALSE),IF(AND(SD!$C$19=SD!$H$2,Grade!$G$1="Per Bar Size"),VLOOKUP(BX103,Grade!$B$1:$C$12,2,0),SD!$C$19)),_xlpm.is_coupler, K103="Coupler",_xlpm.condition1, SD!$C$43=SD!$W$2,_xlpm.data_j2_empty, Data!$J103="",_xlpm.lookup_table, IF(SD!$C$11="Create", Lap!$A$3:$BF$14, IF(SD!$C$11="Per Uploaded File", Lap!$A$19:$BF$30, "")),_xlpm.row_match, MATCH(BX103, Lap!$A$3:$A$14, 0),_xlpm.grade_offset, IF(IFERROR(FIND("Grade 60",_xlpm.GRR), 0) &gt; 0, 0, IF(IFERROR(FIND("Grade 80",_xlpm.GRR), 0), 1, IF(IFERROR(FIND("Grade 75",_xlpm.GRR), 0), 2, ""))),_xlpm.col_match, MATCH(VALUE(D103), Lap!$A$3:$BF$3, 0) + _xlpm.grade_offset,_xlpm.index_result, IFERROR(INDEX(_xlpm.lookup_table, _xlpm.row_match, _xlpm.col_match), Data!$J103),_xlpm.result_if_condition1, IF(_xlpm.data_j2_empty, _xlpm.index_result, Data!$J103),IF(_xlpm.is_coupler, 0, IF(_xlpm.condition1, _xlpm.result_if_condition1, SD!$C$43)))</f>
        <v>5-1</v>
      </c>
      <c r="CC103" s="24">
        <f t="shared" si="38"/>
        <v>5.083333333333333</v>
      </c>
      <c r="CD103">
        <f t="shared" si="39"/>
        <v>5.75</v>
      </c>
      <c r="CE103" t="str" cm="1">
        <f t="array" ref="CE103">IF(BY103="","",_xlfn._xlws.FILTER(SAC,(CName=SD!$C$8)*(EName="Vert Dowels")))</f>
        <v/>
      </c>
      <c r="CF103" t="str" cm="1">
        <f t="array" ref="CF103">IFERROR(IF(BY103="","",IF(K103="Coupler",_xlfn._xlws.FILTER(CCoupler,(CCName=SD!$C$8)*(CBSize=IF(A102=A103,W102&amp;W103,BX103&amp;W103))*(CCMFM="Male")),"")),"N/A")</f>
        <v/>
      </c>
      <c r="CG103" t="str">
        <f t="shared" si="40"/>
        <v/>
      </c>
      <c r="CH103" t="str">
        <f t="shared" si="41"/>
        <v/>
      </c>
      <c r="CI103" t="str">
        <f>_xlfn.LET(_xlpm.u3_value, U104,_xlpm.hyphen_pos,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K104="Coupler",_xlpm.coupler_value, IF(_xlpm.is_coupler, 0, _xlpm.calculated_value),_xlpm.final_value, _xlpm.calculated_value + SD!$E$13 + _xlpm.coupler_value,IF(CG103="", "", _xlpm.final_value))</f>
        <v/>
      </c>
      <c r="CJ103" t="str" cm="1">
        <f t="array" ref="CJ103">IF(CG103="","",_xlfn._xlws.FILTER(SAC,(CName=SD!$C$8)*(EName="Loose Dowels")))</f>
        <v/>
      </c>
      <c r="CK103" t="str" cm="1">
        <f t="array" ref="CK103">IFERROR(IF(CG103="","",IF(K104="Coupler",_xlfn._xlws.FILTER(CCoupler,(CCName=SD!$C$8)*(CBSize=IF(A103=A104,W103&amp;W104,""))*(CCMFM="Male")),"")),"N/A")</f>
        <v/>
      </c>
      <c r="CL103" t="str">
        <f>IFERROR(IF(AM103="Spiral","",IF(A102=A103,"",IF(SD!$C$37=0,"",SD!$C$37))),"")</f>
        <v/>
      </c>
      <c r="CN103">
        <f>IF(AM103="Spiral","",IFERROR(IF(SD!$C$36=0,"",SD!$C$36),""))</f>
        <v>5</v>
      </c>
      <c r="CP103" t="str">
        <f>IFERROR(IF(SD!$C$42=SD!$Q$3,'Take-off'!CA103,""),"")</f>
        <v/>
      </c>
      <c r="CR103">
        <f>IFERROR(IF(SD!$C$22=SD!$U$2,W103,SD!$C$22),"")</f>
        <v>0</v>
      </c>
      <c r="CS103" t="str" cm="1">
        <f t="array" ref="CS103">_xlfn.LET(_xlpm.GR,IF(AND(SD!$C$19=SD!$H$2,Grade!$G$1="Per level"),VLOOKUP(B103,Grade!$E$1:$F$200,2,FALSE),IF(AND(SD!$C$19=SD!$H$2,Grade!$G$1="Per Bar Size"),VLOOKUP(CR103,Grade!$B$1:$C$12,2,0),SD!$C$19)),IF(SD!$C$20=SD!$R$4,IF(A104=A103,"",INDEX(IF(_xlpm.GR=SD!$H$3,A615GR60,IF(_xlpm.GR=SD!$H$4,A615GR75,IF(_xlpm.GR=SD!$H$5,A615GR80,IF(_xlpm.GR=SD!H107,A615GR100,IF(_xlpm.GR=SD!$H$7,A706GR60,IF(_xlpm.GR=SD!$H$8,A706GR80)))))), MATCH(1, (BSize=CR103)*(BCName=SD!$C$8), 0))),""))</f>
        <v/>
      </c>
      <c r="CT103" t="str">
        <f>IF(A104=A103,"",IF(SD!$C$23="Match Vertical Bars ",X103,SD!$C$23))</f>
        <v/>
      </c>
      <c r="CU103" t="str" cm="1">
        <f t="array" ref="CU103">IF(A104=A103,"",IF(SD!$C$20="Top dowels",IF(SD!$E$25="No T-Head",IF(SD!$C$24=SD!$Q$3,VLOOKUP(CR103,S90Range,3,FALSE),LEFT(SD!$C$24,FIND("-",SD!$C$24)-1)+(RIGHT(SD!$C$24,LEN(SD!$C$24)-FIND("-",SD!$C$24))/12)),IF(SD!$E$25="T-Head",_xlfn._xlws.FILTER(THead,(TCName=SD!$C$8)*(TSize=CR103)),IF(SD!$E$25="Level Wise",_xlfn.LET(_xlpm.result,_xlfn.XLOOKUP(B103,TDLevel,TDLevelStatus,"No"),IF(_xlpm.result="Yes",_xlfn._xlws.FILTER(THead,(TCName=SD!$C$8)*(TSize=CR103)),IF(SD!$C$24=SD!$Q$3,VLOOKUP(CR103,S90Range,3,FALSE),LEFT(SD!$C$24,FIND("-",SD!$C$24)-1)+(RIGHT(SD!$C$24,LEN(SD!$C$24)-FIND("-", SD!$C$24))/12)))),IF(SD!$E$25="BarSize Wise",_xlfn.LET(_xlpm.result,_xlfn.XLOOKUP(CR103,TDBarSize,TDBarSizeStatus,"No"),IF(_xlpm.result="Yes",_xlfn._xlws.FILTER(THead,(TCName=SD!$C$8)*(TSize=CR103)),IF(SD!$C$24=SD!$Q$3,VLOOKUP(CR103,S90Range,3,FALSE),LEFT(SD!$C$24,FIND("-",SD!$C$24)-1)+(RIGHT(SD!$C$24,LEN(SD!$C$24)-FIND("-",SD!$C$24))/12)))), "")))),""))</f>
        <v/>
      </c>
      <c r="CV103" t="str">
        <f>_xlfn.LET(_xlpm.GRR,IF(AND(SD!$C$19=SD!$H$2,Grade!$G$1="Per level"),VLOOKUP(B103,Grade!$E$1:$F$200,2,FALSE),IF(AND(SD!$C$19=SD!$H$2,Grade!$G$1="Per Bar Size"),VLOOKUP(CR103,Grade!$B$1:$C$12,2,0),SD!$C$19)),IF(SD!$C$25=SD!$W$2,IF(Data!$J103="",IFERROR(INDEX(IF(SD!$C$11="Create",Lap!$A$3:$BF$14,IF(SD!$C$11="Per Uploaded File",Lap!$A$19:$BF$30,"")),MATCH(CR103,Lap!$A$3:$A$14,0),MATCH(VALUE(D103),Lap!$A$3:$BF$3,0)+IF(IFERROR(FIND("Grade 60",_xlpm.GRR),0)&gt;0,0,IF(IFERROR(FIND("Grade 80",_xlpm.GRR),0),1,IF(IFERROR(FIND("Grade 75",_xlpm.GRR),0),2,"")))),""),Data!J103),SD!$C$43))</f>
        <v>Match Lap</v>
      </c>
      <c r="CW103">
        <f t="shared" si="42"/>
        <v>0</v>
      </c>
      <c r="CX103">
        <f t="shared" si="43"/>
        <v>0</v>
      </c>
      <c r="CY103" t="str">
        <f t="shared" si="44"/>
        <v/>
      </c>
      <c r="DA103" t="str">
        <f t="shared" si="45"/>
        <v/>
      </c>
      <c r="DB103" t="str">
        <f t="shared" si="46"/>
        <v/>
      </c>
      <c r="DC103" s="24" t="str">
        <f t="shared" si="47"/>
        <v/>
      </c>
      <c r="DD103">
        <f t="shared" si="48"/>
        <v>10.583333333333334</v>
      </c>
      <c r="DE103" t="s">
        <v>785</v>
      </c>
      <c r="DF103" t="s">
        <v>67</v>
      </c>
      <c r="DG103" t="str">
        <f>VLOOKUP(W103,'Level Wise PSI'!$F$2:$G$12,2,FALSE)</f>
        <v>Double Lift</v>
      </c>
      <c r="DI103" t="str" cm="1">
        <f t="array" ref="DI103">_xlfn.LET(_xlpm.Coup,IFERROR(IF(BY103="","",IF(K103="Coupler",_xlfn._xlws.FILTER(CCFCoupler,(CCName=SD!$C$8)*(CBSize=IF(A102=A103,W102&amp;W103,BX103&amp;W103))),"")),"N/A"),IF(_xlpm.Coup=0,"",_xlpm.Coup))</f>
        <v/>
      </c>
      <c r="DJ103" t="str" cm="1">
        <f t="array" ref="DJ103">_xlfn.LET(_xlpm.Coup3,IFERROR(IF(CG103="","",IF(K104="Coupler",_xlfn._xlws.FILTER(CCFCoupler,(CCName=SD!$C$8)*(CBSize=IF(A103=A104,W103&amp;W104,""))),"")),"N/A"),IF(_xlpm.Coup3=0,"",_xlpm.Coup3))</f>
        <v/>
      </c>
      <c r="DK103" t="str" cm="1">
        <f t="array" ref="DK103">_xlfn.LET(_xlpm.Coup2,IFERROR(IF(A103&lt;&gt;A104,"",IF(DF103="No Lap","",IF(K104="Coupler",_xlfn._xlws.FILTER(CCFCoupler,(CCName=SD!$C$8)*(CBSize=IF(A102=A103,W103&amp;W104,W103&amp;W103))),""))),"N/A"),IF(_xlpm.Coup2=0,"",_xlpm.Coup2))</f>
        <v/>
      </c>
      <c r="DM103" t="str">
        <f>IF(AM103="Spiral","",IF(SD!$C$31=SD!$Y$3,SD!$E$32*2,""))</f>
        <v/>
      </c>
      <c r="DO103" s="24">
        <f t="shared" si="49"/>
        <v>2.5</v>
      </c>
      <c r="DQ103" t="str">
        <f t="shared" si="50"/>
        <v>Lig</v>
      </c>
      <c r="DR103" t="str">
        <f>IF(AM103="Spiral",((Y103-(SD!$E$12*2))/12),"")</f>
        <v/>
      </c>
      <c r="DS103" t="str">
        <f t="shared" si="51"/>
        <v/>
      </c>
      <c r="DT103" t="str">
        <f t="shared" si="52"/>
        <v/>
      </c>
      <c r="DU103" t="str">
        <f t="shared" si="53"/>
        <v/>
      </c>
    </row>
    <row r="104" spans="1:125" x14ac:dyDescent="0.25">
      <c r="A104">
        <v>37</v>
      </c>
      <c r="B104" t="s">
        <v>680</v>
      </c>
      <c r="C104" s="15">
        <v>2429</v>
      </c>
      <c r="D104" s="15">
        <v>10000</v>
      </c>
      <c r="E104" t="str">
        <f>IF(B104=Level!$A$2,SD!$C$14,SD!$C$13)</f>
        <v>0-8</v>
      </c>
      <c r="F104" s="15" t="s">
        <v>787</v>
      </c>
      <c r="G104" t="s">
        <v>742</v>
      </c>
      <c r="H104" t="str">
        <f>RIGHT(VLOOKUP(B104,Level!A:C,3,FALSE),LEN(VLOOKUP(B104,Level!A:C,3,FALSE))-1)</f>
        <v>10-7</v>
      </c>
      <c r="I104" t="s">
        <v>743</v>
      </c>
      <c r="J104" t="str">
        <f>IF(AND(SD!$C$19=SD!$H$2,Grade!$G$1="Per level"),VLOOKUP(B104,Grade!$E$1:$F$200,2,FALSE),IF(AND(SD!$C$19=SD!$H$2,Grade!$G$1="Per Bar Size"),VLOOKUP(W104,Grade!$B$1:$C$12,2,0),SD!$C$19))</f>
        <v>A615 Grade 60</v>
      </c>
      <c r="K104" t="s">
        <v>67</v>
      </c>
      <c r="L104" t="str">
        <f>IFERROR(IF(A104&lt;&gt;A105,"",IF(DF104="No Lap","",IF(K105="Lap",U104,IF(K105="Coupler",_xlfn._xlws.FILTER(CCoupler,(CCName=SD!$C$8)*(CBSize=IF(A103=A104,W104&amp;W105,W104&amp;W104))*(CCMFM="Male")),"")))),"N/A")</f>
        <v>5-1</v>
      </c>
      <c r="M104" t="str">
        <f t="shared" si="27"/>
        <v/>
      </c>
      <c r="N104" t="s">
        <v>719</v>
      </c>
      <c r="O104" t="s">
        <v>720</v>
      </c>
      <c r="P104" t="s">
        <v>719</v>
      </c>
      <c r="Q104" t="str">
        <f>IF(AND(SD!$C$29=SD!$P$2,Grade!$O$1="Per level"),VLOOKUP(B104,Grade!$M$1:$N$200,2,FALSE),IF(AND(SD!$C$29=SD!$P$2,Grade!$O$1="Per Bar Size"),VLOOKUP(LEFT(N104,FIND("@",N104)-2),Grade!$J$1:$K$12,2,0),SD!$C$29))</f>
        <v>A615 Grade 60</v>
      </c>
      <c r="R104" t="s">
        <v>742</v>
      </c>
      <c r="S104" s="57">
        <v>104</v>
      </c>
      <c r="U104" t="str">
        <f>IF(Data!$J104="",IFERROR(INDEX(IF(SD!$C$11="Create",Lap!$A$3:$BF$14,IF(SD!$C$11="Per Uploaded File",Lap!$A$19:$BF$30,"")),MATCH(W104,Lap!$A$3:$A$14,0),MATCH(VALUE(D104),Lap!$A$3:$BF$3,0)+IF(IFERROR(FIND("Grade 60",J104),0)&gt;0,0,IF(IFERROR(FIND("Grade 80",J104),0),1,IF(IFERROR(FIND("Grade 75",J104),0),2,"")))),""),Data!J104)</f>
        <v>5-1</v>
      </c>
      <c r="W104" t="s">
        <v>176</v>
      </c>
      <c r="X104">
        <v>6</v>
      </c>
      <c r="Y104" t="str">
        <f t="shared" si="28"/>
        <v>30</v>
      </c>
      <c r="Z104">
        <f t="shared" si="29"/>
        <v>0</v>
      </c>
      <c r="AA104" s="24">
        <f t="shared" si="30"/>
        <v>15.666666666666666</v>
      </c>
      <c r="BB104" t="e" cm="1">
        <f t="array" ref="BB104">_xlfn.LET(_xlpm.PartF,(_xlfn.LET(_xlpm.grade, Q104,_xlpm.gradeRange, IF(_xlpm.grade=SD!$H$3, A615GR60, IF(_xlpm.grade=SD!$H$4, A615GR75, IF(_xlpm.grade=SD!$H$5, A615GR80, IF(_xlpm.grade=SD!$H$6, A615GR100, IF(_xlpm.grade=SD!$H$7, A706GR60, IF(_xlpm.grade=SD!$H$8, A706GR80)))))),_xlpm.matchValue, MATCH(1, (SD!$AW:$AW=AS104)*(SD!$AX:$AX=SD!$C$8), 0),INDEX(_xlpm.gradeRange, _xlpm.matchValue))),IF(AM104="Spiral",CONCATENATE("SP",_xlpm.PartF),_xlpm.PartF))</f>
        <v>#N/A</v>
      </c>
      <c r="BC104" cm="1">
        <f t="array" ref="BC104">_xlfn.LET(_xlpm.leftPart, LEFT(O104, FIND("@", O104) - 2),_xlpm.grade,Q104,_xlpm.gradeRange,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4" cm="1">
        <f t="array" ref="BD104">_xlfn.LET(_xlpm.leftPart, LEFT(P104, FIND("@", P104) - 2),_xlpm.grade, Q104,_xlpm.gradeRange,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4">
        <f t="shared" si="31"/>
        <v>2.5</v>
      </c>
      <c r="BF104">
        <f>IF(SD!$C$32=SD!$I$2,BE104,IF(SD!$C$32=SD!$I$3,DO104,IF(SD!$C$32=SD!$I$5,BA104,IF(SD!$C$32=SD!$I$6,(LEFT(SD!$C$35,FIND("-",SD!$C$35)-1)+RIGHT(SD!$C$35,LEN(SD!$C$35)-FIND("-",SD!$C$35))/12),IF(SD!$C$32=SD!$I$4,(AU104-(BG104+BH104)))))))</f>
        <v>0</v>
      </c>
      <c r="BG104">
        <f>IF(SD!$C$33=SD!$I$2,BE104,IF(SD!$C$33=SD!$I$3,DO104,IF(SD!$C$33=SD!$I$5,BA104,IF(SD!$C$33=SD!$I$6,(LEFT(SD!$C$35,FIND("-",SD!$C$35)-1)+RIGHT(SD!$C$35,LEN(SD!$C$35)-FIND("-",SD!$C$35))/12),IF(SD!$C$33=SD!$I$4,(AU104-(BF104+BH104)))))))</f>
        <v>-1</v>
      </c>
      <c r="BH104">
        <f>IF(SD!$C$34=SD!$I$2,BE104,IF(SD!$C$34=SD!$I$3,DO104,IF(SD!$C$34=SD!$I$5,BA104,IF(SD!$C$34=SD!$I$6,(LEFT(SD!$C$35,FIND("-",SD!$C$35)-1)+RIGHT(SD!$C$35,LEN(SD!$C$35)-FIND("-",SD!$C$35))/12),IF(SD!$C$34=SD!$I$4,(AU104-(BF104+BG104)))))))</f>
        <v>1</v>
      </c>
      <c r="BJ104">
        <f>IF(AM104="Spiral","1",MAX(ROUNDUP(IF(SD!$C$32="",AT104,BF104/(LEFT(RIGHT(N104,LEN(N104)-FIND("@",N104)),LEN(RIGHT(N104,LEN(N104)-FIND("@",N104)))-1)/12)+1),0),0))</f>
        <v>1</v>
      </c>
      <c r="BK104">
        <f>MAX(ROUNDUP(IF(SD!$C$33="","",BG104/(LEFT(RIGHT(O104,LEN(O104)-FIND("@",O104)),LEN(RIGHT(O104,LEN(O104)-FIND("@",O104)))-1)/12)+1),0),0)</f>
        <v>0</v>
      </c>
      <c r="BL104">
        <f>MAX(ROUNDUP(IF(SD!$C$34="","",BH104/(LEFT(RIGHT(P104,LEN(P104)-FIND("@",P104)),LEN(RIGHT(P104,LEN(P104)-FIND("@",P104)))-1)/12)+1),0),0)</f>
        <v>3</v>
      </c>
      <c r="BN104" t="e">
        <f t="shared" si="32"/>
        <v>#N/A</v>
      </c>
      <c r="BO104" t="e">
        <f t="shared" si="33"/>
        <v>#N/A</v>
      </c>
      <c r="BP104" t="e">
        <f t="shared" si="34"/>
        <v>#N/A</v>
      </c>
      <c r="BQ104" s="24" t="e">
        <f>IF(AM104=TRUE,(((Y104-(SD!$E$12*2))*3.14159265359)+BN104+BO104+BP104)/12+AL104,SUM(AF104:AG104,BN104,BO104,BP104,AO104,AQ104)/12)</f>
        <v>#N/A</v>
      </c>
      <c r="BR104" t="e">
        <f t="shared" si="35"/>
        <v>#N/A</v>
      </c>
      <c r="BS104" t="e">
        <f t="shared" si="36"/>
        <v>#N/A</v>
      </c>
      <c r="BT104" t="e">
        <f t="shared" si="37"/>
        <v>#N/A</v>
      </c>
      <c r="BU104" s="24" t="e">
        <f>IF(AM104=TRUE,(((Y104-(SD!$E$12*2))*3.14159265359)+BR104+BS104+BT104)/12+AL104,SUM(AF104:AG104,BR104,BS104,BT104,AO104,AQ104)/12)</f>
        <v>#N/A</v>
      </c>
      <c r="BW104" t="str">
        <f>IFERROR(LEFT(Data!L104,FIND(" -",Data!L104)-1),"")</f>
        <v/>
      </c>
      <c r="BX104" t="str">
        <f>IFERROR(IF(SD!$C$40=SD!$U$2,W104,IF(SD!$C$40=SD!$U$3,RIGHT(Data!L104,LEN(Data!L104)-(FIND("-",Data!L104)+1)),SD!$C$40)),"")</f>
        <v>#10</v>
      </c>
      <c r="BY104" t="str" cm="1">
        <f t="array" ref="BY104">IFERROR(_xlfn.LET(_xlpm.GRR,IF(AND(SD!$C$19=SD!$H$2,Grade!$G$1="Per level"),VLOOKUP(B104,Grade!$E$1:$F$200,2,FALSE),IF(AND(SD!$C$19=SD!$H$2,Grade!$G$1="Per Bar Size"),VLOOKUP(BX104,Grade!$B$1:$C$12,2,0),SD!$C$19)),_xlpm.is_equal, A103=A104,_xlpm.grade_range, IF(_xlpm.GRR=SD!$H$3, A615GR60,IF(_xlpm.GRR=SD!$H$4, A615GR75,IF(_xlpm.GRR=SD!$H$5, A615GR80,IF(_xlpm.GRR=SD!H108, A615GR100,IF(_xlpm.GRR=SD!$H$7, A706GR60,IF(_xlpm.GRR=SD!$H$8, A706GR80)))))),_xlpm.match_result, MATCH(1, (BSize=BX104)*(BCName=SD!$C$8), 0),_xlpm.final_result, INDEX(_xlpm.grade_range, _xlpm.match_result),IF(_xlpm.is_equal, "", _xlpm.final_result)),"")</f>
        <v/>
      </c>
      <c r="BZ104" t="str">
        <f>IF(A103=A104,"",IF(SD!$C$41="Match Vertical Bars ",X104,IF(SD!$C$41=SD!$V$3,BW104,SD!$C$41)))</f>
        <v/>
      </c>
      <c r="CA104" t="str" cm="1">
        <f t="array" ref="CA104">IF(A103=A104,"",IF(SD!$C$44="No T-Head",IF(SD!$C$42=SD!$Q$3,VLOOKUP(BX104,S90Range,3,FALSE),LEFT(SD!$C$42,FIND("-",SD!$C$42)-1)+(RIGHT(SD!$C$42,LEN(SD!$C$42)-FIND("-",SD!$C$42))/12)),IF(SD!$C$44="T-Head",_xlfn._xlws.FILTER(THead,(TCName=SD!$C$8)*(TSize=BX104)),IF(SD!$C$44="Level Wise",_xlfn.LET(_xlpm.result,_xlfn.XLOOKUP(B104,VDLevel,VDLevelStatus,"No"),IF(_xlpm.result="Yes",_xlfn._xlws.FILTER(THead,(TCName=SD!$C$8)*(TSize=BX104)),IF(SD!$C$42=SD!$Q$3,VLOOKUP(BX104,S90Range,3,FALSE),LEFT(SD!$C$42,FIND("-",SD!$C$42)-1)+(RIGHT(SD!$C$42,LEN(SD!$C$42)-FIND("-", SD!$C$42))/12)))),IF(SD!$C$44="BarSize Wise",_xlfn.LET(_xlpm.result,_xlfn.XLOOKUP(BX104,VDBarSize,VDBarSizeStatus,"No"),IF(_xlpm.result="Yes",_xlfn._xlws.FILTER(THead,(TCName=SD!$C$8)*(TSize=BX104)),IF(SD!$C$42=SD!$Q$3,VLOOKUP(BX104,S90Range,3,FALSE),LEFT(SD!$C$42,FIND("-",SD!$C$42)-1)+(RIGHT(SD!$C$42,LEN(SD!$C$42)-FIND("-",SD!$C$42))/12)))), "")))))</f>
        <v/>
      </c>
      <c r="CB104" t="str" cm="1">
        <f t="array" ref="CB104">_xlfn.LET(_xlpm.GRR,IF(AND(SD!$C$19=SD!$H$2,Grade!$G$1="Per level"),VLOOKUP(B104,Grade!$E$1:$F$200,2,FALSE),IF(AND(SD!$C$19=SD!$H$2,Grade!$G$1="Per Bar Size"),VLOOKUP(BX104,Grade!$B$1:$C$12,2,0),SD!$C$19)),_xlpm.is_coupler, K104="Coupler",_xlpm.condition1, SD!$C$43=SD!$W$2,_xlpm.data_j2_empty, Data!$J104="",_xlpm.lookup_table, IF(SD!$C$11="Create", Lap!$A$3:$BF$14, IF(SD!$C$11="Per Uploaded File", Lap!$A$19:$BF$30, "")),_xlpm.row_match, MATCH(BX104, Lap!$A$3:$A$14, 0),_xlpm.grade_offset, IF(IFERROR(FIND("Grade 60",_xlpm.GRR), 0) &gt; 0, 0, IF(IFERROR(FIND("Grade 80",_xlpm.GRR), 0), 1, IF(IFERROR(FIND("Grade 75",_xlpm.GRR), 0), 2, ""))),_xlpm.col_match, MATCH(VALUE(D104), Lap!$A$3:$BF$3, 0) + _xlpm.grade_offset,_xlpm.index_result, IFERROR(INDEX(_xlpm.lookup_table, _xlpm.row_match, _xlpm.col_match), Data!$J104),_xlpm.result_if_condition1, IF(_xlpm.data_j2_empty, _xlpm.index_result, Data!$J104),IF(_xlpm.is_coupler, 0, IF(_xlpm.condition1, _xlpm.result_if_condition1, SD!$C$43)))</f>
        <v>5-1</v>
      </c>
      <c r="CC104" s="24">
        <f t="shared" si="38"/>
        <v>5.083333333333333</v>
      </c>
      <c r="CD104">
        <f t="shared" si="39"/>
        <v>5.75</v>
      </c>
      <c r="CE104" t="str" cm="1">
        <f t="array" ref="CE104">IF(BY104="","",_xlfn._xlws.FILTER(SAC,(CName=SD!$C$8)*(EName="Vert Dowels")))</f>
        <v/>
      </c>
      <c r="CF104" t="str" cm="1">
        <f t="array" ref="CF104">IFERROR(IF(BY104="","",IF(K104="Coupler",_xlfn._xlws.FILTER(CCoupler,(CCName=SD!$C$8)*(CBSize=IF(A103=A104,W103&amp;W104,BX104&amp;W104))*(CCMFM="Male")),"")),"N/A")</f>
        <v/>
      </c>
      <c r="CG104" t="str">
        <f t="shared" si="40"/>
        <v/>
      </c>
      <c r="CH104" t="str">
        <f t="shared" si="41"/>
        <v/>
      </c>
      <c r="CI104" t="str">
        <f>_xlfn.LET(_xlpm.u3_value, U105,_xlpm.hyphen_pos,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K105="Coupler",_xlpm.coupler_value, IF(_xlpm.is_coupler, 0, _xlpm.calculated_value),_xlpm.final_value, _xlpm.calculated_value + SD!$E$13 + _xlpm.coupler_value,IF(CG104="", "", _xlpm.final_value))</f>
        <v/>
      </c>
      <c r="CJ104" t="str" cm="1">
        <f t="array" ref="CJ104">IF(CG104="","",_xlfn._xlws.FILTER(SAC,(CName=SD!$C$8)*(EName="Loose Dowels")))</f>
        <v/>
      </c>
      <c r="CK104" t="str" cm="1">
        <f t="array" ref="CK104">IFERROR(IF(CG104="","",IF(K105="Coupler",_xlfn._xlws.FILTER(CCoupler,(CCName=SD!$C$8)*(CBSize=IF(A104=A105,W104&amp;W105,""))*(CCMFM="Male")),"")),"N/A")</f>
        <v/>
      </c>
      <c r="CL104" t="str">
        <f>IFERROR(IF(AM104="Spiral","",IF(A103=A104,"",IF(SD!$C$37=0,"",SD!$C$37))),"")</f>
        <v/>
      </c>
      <c r="CN104">
        <f>IF(AM104="Spiral","",IFERROR(IF(SD!$C$36=0,"",SD!$C$36),""))</f>
        <v>5</v>
      </c>
      <c r="CP104" t="str">
        <f>IFERROR(IF(SD!$C$42=SD!$Q$3,'Take-off'!CA104,""),"")</f>
        <v/>
      </c>
      <c r="CR104">
        <f>IFERROR(IF(SD!$C$22=SD!$U$2,W104,SD!$C$22),"")</f>
        <v>0</v>
      </c>
      <c r="CS104" t="str" cm="1">
        <f t="array" ref="CS104">_xlfn.LET(_xlpm.GR,IF(AND(SD!$C$19=SD!$H$2,Grade!$G$1="Per level"),VLOOKUP(B104,Grade!$E$1:$F$200,2,FALSE),IF(AND(SD!$C$19=SD!$H$2,Grade!$G$1="Per Bar Size"),VLOOKUP(CR104,Grade!$B$1:$C$12,2,0),SD!$C$19)),IF(SD!$C$20=SD!$R$4,IF(A105=A104,"",INDEX(IF(_xlpm.GR=SD!$H$3,A615GR60,IF(_xlpm.GR=SD!$H$4,A615GR75,IF(_xlpm.GR=SD!$H$5,A615GR80,IF(_xlpm.GR=SD!H108,A615GR100,IF(_xlpm.GR=SD!$H$7,A706GR60,IF(_xlpm.GR=SD!$H$8,A706GR80)))))), MATCH(1, (BSize=CR104)*(BCName=SD!$C$8), 0))),""))</f>
        <v/>
      </c>
      <c r="CT104" t="str">
        <f>IF(A105=A104,"",IF(SD!$C$23="Match Vertical Bars ",X104,SD!$C$23))</f>
        <v/>
      </c>
      <c r="CU104" t="str" cm="1">
        <f t="array" ref="CU104">IF(A105=A104,"",IF(SD!$C$20="Top dowels",IF(SD!$E$25="No T-Head",IF(SD!$C$24=SD!$Q$3,VLOOKUP(CR104,S90Range,3,FALSE),LEFT(SD!$C$24,FIND("-",SD!$C$24)-1)+(RIGHT(SD!$C$24,LEN(SD!$C$24)-FIND("-",SD!$C$24))/12)),IF(SD!$E$25="T-Head",_xlfn._xlws.FILTER(THead,(TCName=SD!$C$8)*(TSize=CR104)),IF(SD!$E$25="Level Wise",_xlfn.LET(_xlpm.result,_xlfn.XLOOKUP(B104,TDLevel,TDLevelStatus,"No"),IF(_xlpm.result="Yes",_xlfn._xlws.FILTER(THead,(TCName=SD!$C$8)*(TSize=CR104)),IF(SD!$C$24=SD!$Q$3,VLOOKUP(CR104,S90Range,3,FALSE),LEFT(SD!$C$24,FIND("-",SD!$C$24)-1)+(RIGHT(SD!$C$24,LEN(SD!$C$24)-FIND("-", SD!$C$24))/12)))),IF(SD!$E$25="BarSize Wise",_xlfn.LET(_xlpm.result,_xlfn.XLOOKUP(CR104,TDBarSize,TDBarSizeStatus,"No"),IF(_xlpm.result="Yes",_xlfn._xlws.FILTER(THead,(TCName=SD!$C$8)*(TSize=CR104)),IF(SD!$C$24=SD!$Q$3,VLOOKUP(CR104,S90Range,3,FALSE),LEFT(SD!$C$24,FIND("-",SD!$C$24)-1)+(RIGHT(SD!$C$24,LEN(SD!$C$24)-FIND("-",SD!$C$24))/12)))), "")))),""))</f>
        <v/>
      </c>
      <c r="CV104" t="str">
        <f>_xlfn.LET(_xlpm.GRR,IF(AND(SD!$C$19=SD!$H$2,Grade!$G$1="Per level"),VLOOKUP(B104,Grade!$E$1:$F$200,2,FALSE),IF(AND(SD!$C$19=SD!$H$2,Grade!$G$1="Per Bar Size"),VLOOKUP(CR104,Grade!$B$1:$C$12,2,0),SD!$C$19)),IF(SD!$C$25=SD!$W$2,IF(Data!$J104="",IFERROR(INDEX(IF(SD!$C$11="Create",Lap!$A$3:$BF$14,IF(SD!$C$11="Per Uploaded File",Lap!$A$19:$BF$30,"")),MATCH(CR104,Lap!$A$3:$A$14,0),MATCH(VALUE(D104),Lap!$A$3:$BF$3,0)+IF(IFERROR(FIND("Grade 60",_xlpm.GRR),0)&gt;0,0,IF(IFERROR(FIND("Grade 80",_xlpm.GRR),0),1,IF(IFERROR(FIND("Grade 75",_xlpm.GRR),0),2,"")))),""),Data!J104),SD!$C$43))</f>
        <v>Match Lap</v>
      </c>
      <c r="CW104">
        <f t="shared" si="42"/>
        <v>0</v>
      </c>
      <c r="CX104">
        <f t="shared" si="43"/>
        <v>0</v>
      </c>
      <c r="CY104" t="str">
        <f t="shared" si="44"/>
        <v/>
      </c>
      <c r="DA104" t="str">
        <f t="shared" si="45"/>
        <v/>
      </c>
      <c r="DB104" t="str">
        <f t="shared" si="46"/>
        <v/>
      </c>
      <c r="DC104" s="24" t="str">
        <f t="shared" si="47"/>
        <v/>
      </c>
      <c r="DD104">
        <f t="shared" si="48"/>
        <v>10.583333333333334</v>
      </c>
      <c r="DE104" t="s">
        <v>785</v>
      </c>
      <c r="DF104" t="s">
        <v>67</v>
      </c>
      <c r="DG104" t="str">
        <f>VLOOKUP(W104,'Level Wise PSI'!$F$2:$G$12,2,FALSE)</f>
        <v>Double Lift</v>
      </c>
      <c r="DI104" t="str" cm="1">
        <f t="array" ref="DI104">_xlfn.LET(_xlpm.Coup,IFERROR(IF(BY104="","",IF(K104="Coupler",_xlfn._xlws.FILTER(CCFCoupler,(CCName=SD!$C$8)*(CBSize=IF(A103=A104,W103&amp;W104,BX104&amp;W104))),"")),"N/A"),IF(_xlpm.Coup=0,"",_xlpm.Coup))</f>
        <v/>
      </c>
      <c r="DJ104" t="str" cm="1">
        <f t="array" ref="DJ104">_xlfn.LET(_xlpm.Coup3,IFERROR(IF(CG104="","",IF(K105="Coupler",_xlfn._xlws.FILTER(CCFCoupler,(CCName=SD!$C$8)*(CBSize=IF(A104=A105,W104&amp;W105,""))),"")),"N/A"),IF(_xlpm.Coup3=0,"",_xlpm.Coup3))</f>
        <v/>
      </c>
      <c r="DK104" t="str" cm="1">
        <f t="array" ref="DK104">_xlfn.LET(_xlpm.Coup2,IFERROR(IF(A104&lt;&gt;A105,"",IF(DF104="No Lap","",IF(K105="Coupler",_xlfn._xlws.FILTER(CCFCoupler,(CCName=SD!$C$8)*(CBSize=IF(A103=A104,W104&amp;W105,W104&amp;W104))),""))),"N/A"),IF(_xlpm.Coup2=0,"",_xlpm.Coup2))</f>
        <v/>
      </c>
      <c r="DM104" t="str">
        <f>IF(AM104="Spiral","",IF(SD!$C$31=SD!$Y$3,SD!$E$32*2,""))</f>
        <v/>
      </c>
      <c r="DO104" s="24">
        <f t="shared" si="49"/>
        <v>2.5</v>
      </c>
      <c r="DQ104" t="str">
        <f t="shared" si="50"/>
        <v>Lig</v>
      </c>
      <c r="DR104" t="str">
        <f>IF(AM104="Spiral",((Y104-(SD!$E$12*2))/12),"")</f>
        <v/>
      </c>
      <c r="DS104" t="str">
        <f t="shared" si="51"/>
        <v/>
      </c>
      <c r="DT104" t="str">
        <f t="shared" si="52"/>
        <v/>
      </c>
      <c r="DU104" t="str">
        <f t="shared" si="53"/>
        <v/>
      </c>
    </row>
    <row r="105" spans="1:125" x14ac:dyDescent="0.25">
      <c r="A105">
        <v>37</v>
      </c>
      <c r="B105" t="s">
        <v>682</v>
      </c>
      <c r="C105" s="15">
        <v>2429</v>
      </c>
      <c r="D105" s="15">
        <v>10000</v>
      </c>
      <c r="E105" t="str">
        <f>IF(B105=Level!$A$2,SD!$C$14,SD!$C$13)</f>
        <v>0-8</v>
      </c>
      <c r="F105" s="15" t="s">
        <v>787</v>
      </c>
      <c r="G105" t="s">
        <v>742</v>
      </c>
      <c r="H105" t="str">
        <f>RIGHT(VLOOKUP(B105,Level!A:C,3,FALSE),LEN(VLOOKUP(B105,Level!A:C,3,FALSE))-1)</f>
        <v>10-7</v>
      </c>
      <c r="I105" t="s">
        <v>743</v>
      </c>
      <c r="J105" t="str">
        <f>IF(AND(SD!$C$19=SD!$H$2,Grade!$G$1="Per level"),VLOOKUP(B105,Grade!$E$1:$F$200,2,FALSE),IF(AND(SD!$C$19=SD!$H$2,Grade!$G$1="Per Bar Size"),VLOOKUP(W105,Grade!$B$1:$C$12,2,0),SD!$C$19))</f>
        <v>A615 Grade 60</v>
      </c>
      <c r="K105" t="s">
        <v>67</v>
      </c>
      <c r="L105" t="str">
        <f>IFERROR(IF(A105&lt;&gt;A106,"",IF(DF105="No Lap","",IF(K106="Lap",U105,IF(K106="Coupler",_xlfn._xlws.FILTER(CCoupler,(CCName=SD!$C$8)*(CBSize=IF(A104=A105,W105&amp;W106,W105&amp;W105))*(CCMFM="Male")),"")))),"N/A")</f>
        <v>5-1</v>
      </c>
      <c r="M105" t="str">
        <f t="shared" si="27"/>
        <v/>
      </c>
      <c r="N105" t="s">
        <v>719</v>
      </c>
      <c r="O105" t="s">
        <v>720</v>
      </c>
      <c r="P105" t="s">
        <v>719</v>
      </c>
      <c r="Q105" t="str">
        <f>IF(AND(SD!$C$29=SD!$P$2,Grade!$O$1="Per level"),VLOOKUP(B105,Grade!$M$1:$N$200,2,FALSE),IF(AND(SD!$C$29=SD!$P$2,Grade!$O$1="Per Bar Size"),VLOOKUP(LEFT(N105,FIND("@",N105)-2),Grade!$J$1:$K$12,2,0),SD!$C$29))</f>
        <v>A615 Grade 60</v>
      </c>
      <c r="R105" t="s">
        <v>742</v>
      </c>
      <c r="S105" s="57">
        <v>105</v>
      </c>
      <c r="U105" t="str">
        <f>IF(Data!$J105="",IFERROR(INDEX(IF(SD!$C$11="Create",Lap!$A$3:$BF$14,IF(SD!$C$11="Per Uploaded File",Lap!$A$19:$BF$30,"")),MATCH(W105,Lap!$A$3:$A$14,0),MATCH(VALUE(D105),Lap!$A$3:$BF$3,0)+IF(IFERROR(FIND("Grade 60",J105),0)&gt;0,0,IF(IFERROR(FIND("Grade 80",J105),0),1,IF(IFERROR(FIND("Grade 75",J105),0),2,"")))),""),Data!J105)</f>
        <v>5-1</v>
      </c>
      <c r="W105" t="s">
        <v>176</v>
      </c>
      <c r="X105">
        <v>6</v>
      </c>
      <c r="Y105" t="str">
        <f t="shared" si="28"/>
        <v>30</v>
      </c>
      <c r="Z105">
        <f t="shared" si="29"/>
        <v>0</v>
      </c>
      <c r="AA105" s="24">
        <f t="shared" si="30"/>
        <v>15.666666666666666</v>
      </c>
      <c r="BB105" t="e" cm="1">
        <f t="array" ref="BB105">_xlfn.LET(_xlpm.PartF,(_xlfn.LET(_xlpm.grade, Q105,_xlpm.gradeRange, IF(_xlpm.grade=SD!$H$3, A615GR60, IF(_xlpm.grade=SD!$H$4, A615GR75, IF(_xlpm.grade=SD!$H$5, A615GR80, IF(_xlpm.grade=SD!$H$6, A615GR100, IF(_xlpm.grade=SD!$H$7, A706GR60, IF(_xlpm.grade=SD!$H$8, A706GR80)))))),_xlpm.matchValue, MATCH(1, (SD!$AW:$AW=AS105)*(SD!$AX:$AX=SD!$C$8), 0),INDEX(_xlpm.gradeRange, _xlpm.matchValue))),IF(AM105="Spiral",CONCATENATE("SP",_xlpm.PartF),_xlpm.PartF))</f>
        <v>#N/A</v>
      </c>
      <c r="BC105" cm="1">
        <f t="array" ref="BC105">_xlfn.LET(_xlpm.leftPart, LEFT(O105, FIND("@", O105) - 2),_xlpm.grade,Q105,_xlpm.gradeRange,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5" cm="1">
        <f t="array" ref="BD105">_xlfn.LET(_xlpm.leftPart, LEFT(P105, FIND("@", P105) - 2),_xlpm.grade, Q105,_xlpm.gradeRange,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5">
        <f t="shared" si="31"/>
        <v>2.5</v>
      </c>
      <c r="BF105">
        <f>IF(SD!$C$32=SD!$I$2,BE105,IF(SD!$C$32=SD!$I$3,DO105,IF(SD!$C$32=SD!$I$5,BA105,IF(SD!$C$32=SD!$I$6,(LEFT(SD!$C$35,FIND("-",SD!$C$35)-1)+RIGHT(SD!$C$35,LEN(SD!$C$35)-FIND("-",SD!$C$35))/12),IF(SD!$C$32=SD!$I$4,(AU105-(BG105+BH105)))))))</f>
        <v>0</v>
      </c>
      <c r="BG105">
        <f>IF(SD!$C$33=SD!$I$2,BE105,IF(SD!$C$33=SD!$I$3,DO105,IF(SD!$C$33=SD!$I$5,BA105,IF(SD!$C$33=SD!$I$6,(LEFT(SD!$C$35,FIND("-",SD!$C$35)-1)+RIGHT(SD!$C$35,LEN(SD!$C$35)-FIND("-",SD!$C$35))/12),IF(SD!$C$33=SD!$I$4,(AU105-(BF105+BH105)))))))</f>
        <v>-1</v>
      </c>
      <c r="BH105">
        <f>IF(SD!$C$34=SD!$I$2,BE105,IF(SD!$C$34=SD!$I$3,DO105,IF(SD!$C$34=SD!$I$5,BA105,IF(SD!$C$34=SD!$I$6,(LEFT(SD!$C$35,FIND("-",SD!$C$35)-1)+RIGHT(SD!$C$35,LEN(SD!$C$35)-FIND("-",SD!$C$35))/12),IF(SD!$C$34=SD!$I$4,(AU105-(BF105+BG105)))))))</f>
        <v>1</v>
      </c>
      <c r="BJ105">
        <f>IF(AM105="Spiral","1",MAX(ROUNDUP(IF(SD!$C$32="",AT105,BF105/(LEFT(RIGHT(N105,LEN(N105)-FIND("@",N105)),LEN(RIGHT(N105,LEN(N105)-FIND("@",N105)))-1)/12)+1),0),0))</f>
        <v>1</v>
      </c>
      <c r="BK105">
        <f>MAX(ROUNDUP(IF(SD!$C$33="","",BG105/(LEFT(RIGHT(O105,LEN(O105)-FIND("@",O105)),LEN(RIGHT(O105,LEN(O105)-FIND("@",O105)))-1)/12)+1),0),0)</f>
        <v>0</v>
      </c>
      <c r="BL105">
        <f>MAX(ROUNDUP(IF(SD!$C$34="","",BH105/(LEFT(RIGHT(P105,LEN(P105)-FIND("@",P105)),LEN(RIGHT(P105,LEN(P105)-FIND("@",P105)))-1)/12)+1),0),0)</f>
        <v>3</v>
      </c>
      <c r="BN105" t="e">
        <f t="shared" si="32"/>
        <v>#N/A</v>
      </c>
      <c r="BO105" t="e">
        <f t="shared" si="33"/>
        <v>#N/A</v>
      </c>
      <c r="BP105" t="e">
        <f t="shared" si="34"/>
        <v>#N/A</v>
      </c>
      <c r="BQ105" s="24" t="e">
        <f>IF(AM105=TRUE,(((Y105-(SD!$E$12*2))*3.14159265359)+BN105+BO105+BP105)/12+AL105,SUM(AF105:AG105,BN105,BO105,BP105,AO105,AQ105)/12)</f>
        <v>#N/A</v>
      </c>
      <c r="BR105" t="e">
        <f t="shared" si="35"/>
        <v>#N/A</v>
      </c>
      <c r="BS105" t="e">
        <f t="shared" si="36"/>
        <v>#N/A</v>
      </c>
      <c r="BT105" t="e">
        <f t="shared" si="37"/>
        <v>#N/A</v>
      </c>
      <c r="BU105" s="24" t="e">
        <f>IF(AM105=TRUE,(((Y105-(SD!$E$12*2))*3.14159265359)+BR105+BS105+BT105)/12+AL105,SUM(AF105:AG105,BR105,BS105,BT105,AO105,AQ105)/12)</f>
        <v>#N/A</v>
      </c>
      <c r="BW105" t="str">
        <f>IFERROR(LEFT(Data!L105,FIND(" -",Data!L105)-1),"")</f>
        <v/>
      </c>
      <c r="BX105" t="str">
        <f>IFERROR(IF(SD!$C$40=SD!$U$2,W105,IF(SD!$C$40=SD!$U$3,RIGHT(Data!L105,LEN(Data!L105)-(FIND("-",Data!L105)+1)),SD!$C$40)),"")</f>
        <v>#10</v>
      </c>
      <c r="BY105" t="str" cm="1">
        <f t="array" ref="BY105">IFERROR(_xlfn.LET(_xlpm.GRR,IF(AND(SD!$C$19=SD!$H$2,Grade!$G$1="Per level"),VLOOKUP(B105,Grade!$E$1:$F$200,2,FALSE),IF(AND(SD!$C$19=SD!$H$2,Grade!$G$1="Per Bar Size"),VLOOKUP(BX105,Grade!$B$1:$C$12,2,0),SD!$C$19)),_xlpm.is_equal, A104=A105,_xlpm.grade_range, IF(_xlpm.GRR=SD!$H$3, A615GR60,IF(_xlpm.GRR=SD!$H$4, A615GR75,IF(_xlpm.GRR=SD!$H$5, A615GR80,IF(_xlpm.GRR=SD!H109, A615GR100,IF(_xlpm.GRR=SD!$H$7, A706GR60,IF(_xlpm.GRR=SD!$H$8, A706GR80)))))),_xlpm.match_result, MATCH(1, (BSize=BX105)*(BCName=SD!$C$8), 0),_xlpm.final_result, INDEX(_xlpm.grade_range, _xlpm.match_result),IF(_xlpm.is_equal, "", _xlpm.final_result)),"")</f>
        <v/>
      </c>
      <c r="BZ105" t="str">
        <f>IF(A104=A105,"",IF(SD!$C$41="Match Vertical Bars ",X105,IF(SD!$C$41=SD!$V$3,BW105,SD!$C$41)))</f>
        <v/>
      </c>
      <c r="CA105" t="str" cm="1">
        <f t="array" ref="CA105">IF(A104=A105,"",IF(SD!$C$44="No T-Head",IF(SD!$C$42=SD!$Q$3,VLOOKUP(BX105,S90Range,3,FALSE),LEFT(SD!$C$42,FIND("-",SD!$C$42)-1)+(RIGHT(SD!$C$42,LEN(SD!$C$42)-FIND("-",SD!$C$42))/12)),IF(SD!$C$44="T-Head",_xlfn._xlws.FILTER(THead,(TCName=SD!$C$8)*(TSize=BX105)),IF(SD!$C$44="Level Wise",_xlfn.LET(_xlpm.result,_xlfn.XLOOKUP(B105,VDLevel,VDLevelStatus,"No"),IF(_xlpm.result="Yes",_xlfn._xlws.FILTER(THead,(TCName=SD!$C$8)*(TSize=BX105)),IF(SD!$C$42=SD!$Q$3,VLOOKUP(BX105,S90Range,3,FALSE),LEFT(SD!$C$42,FIND("-",SD!$C$42)-1)+(RIGHT(SD!$C$42,LEN(SD!$C$42)-FIND("-", SD!$C$42))/12)))),IF(SD!$C$44="BarSize Wise",_xlfn.LET(_xlpm.result,_xlfn.XLOOKUP(BX105,VDBarSize,VDBarSizeStatus,"No"),IF(_xlpm.result="Yes",_xlfn._xlws.FILTER(THead,(TCName=SD!$C$8)*(TSize=BX105)),IF(SD!$C$42=SD!$Q$3,VLOOKUP(BX105,S90Range,3,FALSE),LEFT(SD!$C$42,FIND("-",SD!$C$42)-1)+(RIGHT(SD!$C$42,LEN(SD!$C$42)-FIND("-",SD!$C$42))/12)))), "")))))</f>
        <v/>
      </c>
      <c r="CB105" t="str" cm="1">
        <f t="array" ref="CB105">_xlfn.LET(_xlpm.GRR,IF(AND(SD!$C$19=SD!$H$2,Grade!$G$1="Per level"),VLOOKUP(B105,Grade!$E$1:$F$200,2,FALSE),IF(AND(SD!$C$19=SD!$H$2,Grade!$G$1="Per Bar Size"),VLOOKUP(BX105,Grade!$B$1:$C$12,2,0),SD!$C$19)),_xlpm.is_coupler, K105="Coupler",_xlpm.condition1, SD!$C$43=SD!$W$2,_xlpm.data_j2_empty, Data!$J105="",_xlpm.lookup_table, IF(SD!$C$11="Create", Lap!$A$3:$BF$14, IF(SD!$C$11="Per Uploaded File", Lap!$A$19:$BF$30, "")),_xlpm.row_match, MATCH(BX105, Lap!$A$3:$A$14, 0),_xlpm.grade_offset, IF(IFERROR(FIND("Grade 60",_xlpm.GRR), 0) &gt; 0, 0, IF(IFERROR(FIND("Grade 80",_xlpm.GRR), 0), 1, IF(IFERROR(FIND("Grade 75",_xlpm.GRR), 0), 2, ""))),_xlpm.col_match, MATCH(VALUE(D105), Lap!$A$3:$BF$3, 0) + _xlpm.grade_offset,_xlpm.index_result, IFERROR(INDEX(_xlpm.lookup_table, _xlpm.row_match, _xlpm.col_match), Data!$J105),_xlpm.result_if_condition1, IF(_xlpm.data_j2_empty, _xlpm.index_result, Data!$J105),IF(_xlpm.is_coupler, 0, IF(_xlpm.condition1, _xlpm.result_if_condition1, SD!$C$43)))</f>
        <v>5-1</v>
      </c>
      <c r="CC105" s="24">
        <f t="shared" si="38"/>
        <v>5.083333333333333</v>
      </c>
      <c r="CD105">
        <f t="shared" si="39"/>
        <v>5.75</v>
      </c>
      <c r="CE105" t="str" cm="1">
        <f t="array" ref="CE105">IF(BY105="","",_xlfn._xlws.FILTER(SAC,(CName=SD!$C$8)*(EName="Vert Dowels")))</f>
        <v/>
      </c>
      <c r="CF105" t="str" cm="1">
        <f t="array" ref="CF105">IFERROR(IF(BY105="","",IF(K105="Coupler",_xlfn._xlws.FILTER(CCoupler,(CCName=SD!$C$8)*(CBSize=IF(A104=A105,W104&amp;W105,BX105&amp;W105))*(CCMFM="Male")),"")),"N/A")</f>
        <v/>
      </c>
      <c r="CG105" t="str">
        <f t="shared" si="40"/>
        <v/>
      </c>
      <c r="CH105" t="str">
        <f t="shared" si="41"/>
        <v/>
      </c>
      <c r="CI105" t="str">
        <f>_xlfn.LET(_xlpm.u3_value, U106,_xlpm.hyphen_pos,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K106="Coupler",_xlpm.coupler_value, IF(_xlpm.is_coupler, 0, _xlpm.calculated_value),_xlpm.final_value, _xlpm.calculated_value + SD!$E$13 + _xlpm.coupler_value,IF(CG105="", "", _xlpm.final_value))</f>
        <v/>
      </c>
      <c r="CJ105" t="str" cm="1">
        <f t="array" ref="CJ105">IF(CG105="","",_xlfn._xlws.FILTER(SAC,(CName=SD!$C$8)*(EName="Loose Dowels")))</f>
        <v/>
      </c>
      <c r="CK105" t="str" cm="1">
        <f t="array" ref="CK105">IFERROR(IF(CG105="","",IF(K106="Coupler",_xlfn._xlws.FILTER(CCoupler,(CCName=SD!$C$8)*(CBSize=IF(A105=A106,W105&amp;W106,""))*(CCMFM="Male")),"")),"N/A")</f>
        <v/>
      </c>
      <c r="CL105" t="str">
        <f>IFERROR(IF(AM105="Spiral","",IF(A104=A105,"",IF(SD!$C$37=0,"",SD!$C$37))),"")</f>
        <v/>
      </c>
      <c r="CN105">
        <f>IF(AM105="Spiral","",IFERROR(IF(SD!$C$36=0,"",SD!$C$36),""))</f>
        <v>5</v>
      </c>
      <c r="CP105" t="str">
        <f>IFERROR(IF(SD!$C$42=SD!$Q$3,'Take-off'!CA105,""),"")</f>
        <v/>
      </c>
      <c r="CR105">
        <f>IFERROR(IF(SD!$C$22=SD!$U$2,W105,SD!$C$22),"")</f>
        <v>0</v>
      </c>
      <c r="CS105" t="str" cm="1">
        <f t="array" ref="CS105">_xlfn.LET(_xlpm.GR,IF(AND(SD!$C$19=SD!$H$2,Grade!$G$1="Per level"),VLOOKUP(B105,Grade!$E$1:$F$200,2,FALSE),IF(AND(SD!$C$19=SD!$H$2,Grade!$G$1="Per Bar Size"),VLOOKUP(CR105,Grade!$B$1:$C$12,2,0),SD!$C$19)),IF(SD!$C$20=SD!$R$4,IF(A106=A105,"",INDEX(IF(_xlpm.GR=SD!$H$3,A615GR60,IF(_xlpm.GR=SD!$H$4,A615GR75,IF(_xlpm.GR=SD!$H$5,A615GR80,IF(_xlpm.GR=SD!H109,A615GR100,IF(_xlpm.GR=SD!$H$7,A706GR60,IF(_xlpm.GR=SD!$H$8,A706GR80)))))), MATCH(1, (BSize=CR105)*(BCName=SD!$C$8), 0))),""))</f>
        <v/>
      </c>
      <c r="CT105" t="str">
        <f>IF(A106=A105,"",IF(SD!$C$23="Match Vertical Bars ",X105,SD!$C$23))</f>
        <v/>
      </c>
      <c r="CU105" t="str" cm="1">
        <f t="array" ref="CU105">IF(A106=A105,"",IF(SD!$C$20="Top dowels",IF(SD!$E$25="No T-Head",IF(SD!$C$24=SD!$Q$3,VLOOKUP(CR105,S90Range,3,FALSE),LEFT(SD!$C$24,FIND("-",SD!$C$24)-1)+(RIGHT(SD!$C$24,LEN(SD!$C$24)-FIND("-",SD!$C$24))/12)),IF(SD!$E$25="T-Head",_xlfn._xlws.FILTER(THead,(TCName=SD!$C$8)*(TSize=CR105)),IF(SD!$E$25="Level Wise",_xlfn.LET(_xlpm.result,_xlfn.XLOOKUP(B105,TDLevel,TDLevelStatus,"No"),IF(_xlpm.result="Yes",_xlfn._xlws.FILTER(THead,(TCName=SD!$C$8)*(TSize=CR105)),IF(SD!$C$24=SD!$Q$3,VLOOKUP(CR105,S90Range,3,FALSE),LEFT(SD!$C$24,FIND("-",SD!$C$24)-1)+(RIGHT(SD!$C$24,LEN(SD!$C$24)-FIND("-", SD!$C$24))/12)))),IF(SD!$E$25="BarSize Wise",_xlfn.LET(_xlpm.result,_xlfn.XLOOKUP(CR105,TDBarSize,TDBarSizeStatus,"No"),IF(_xlpm.result="Yes",_xlfn._xlws.FILTER(THead,(TCName=SD!$C$8)*(TSize=CR105)),IF(SD!$C$24=SD!$Q$3,VLOOKUP(CR105,S90Range,3,FALSE),LEFT(SD!$C$24,FIND("-",SD!$C$24)-1)+(RIGHT(SD!$C$24,LEN(SD!$C$24)-FIND("-",SD!$C$24))/12)))), "")))),""))</f>
        <v/>
      </c>
      <c r="CV105" t="str">
        <f>_xlfn.LET(_xlpm.GRR,IF(AND(SD!$C$19=SD!$H$2,Grade!$G$1="Per level"),VLOOKUP(B105,Grade!$E$1:$F$200,2,FALSE),IF(AND(SD!$C$19=SD!$H$2,Grade!$G$1="Per Bar Size"),VLOOKUP(CR105,Grade!$B$1:$C$12,2,0),SD!$C$19)),IF(SD!$C$25=SD!$W$2,IF(Data!$J105="",IFERROR(INDEX(IF(SD!$C$11="Create",Lap!$A$3:$BF$14,IF(SD!$C$11="Per Uploaded File",Lap!$A$19:$BF$30,"")),MATCH(CR105,Lap!$A$3:$A$14,0),MATCH(VALUE(D105),Lap!$A$3:$BF$3,0)+IF(IFERROR(FIND("Grade 60",_xlpm.GRR),0)&gt;0,0,IF(IFERROR(FIND("Grade 80",_xlpm.GRR),0),1,IF(IFERROR(FIND("Grade 75",_xlpm.GRR),0),2,"")))),""),Data!J105),SD!$C$43))</f>
        <v>Match Lap</v>
      </c>
      <c r="CW105">
        <f t="shared" si="42"/>
        <v>0</v>
      </c>
      <c r="CX105">
        <f t="shared" si="43"/>
        <v>0</v>
      </c>
      <c r="CY105" t="str">
        <f t="shared" si="44"/>
        <v/>
      </c>
      <c r="DA105" t="str">
        <f t="shared" si="45"/>
        <v/>
      </c>
      <c r="DB105" t="str">
        <f t="shared" si="46"/>
        <v/>
      </c>
      <c r="DC105" s="24" t="str">
        <f t="shared" si="47"/>
        <v/>
      </c>
      <c r="DD105">
        <f t="shared" si="48"/>
        <v>10.583333333333334</v>
      </c>
      <c r="DE105" t="s">
        <v>785</v>
      </c>
      <c r="DF105" t="s">
        <v>67</v>
      </c>
      <c r="DG105" t="str">
        <f>VLOOKUP(W105,'Level Wise PSI'!$F$2:$G$12,2,FALSE)</f>
        <v>Double Lift</v>
      </c>
      <c r="DI105" t="str" cm="1">
        <f t="array" ref="DI105">_xlfn.LET(_xlpm.Coup,IFERROR(IF(BY105="","",IF(K105="Coupler",_xlfn._xlws.FILTER(CCFCoupler,(CCName=SD!$C$8)*(CBSize=IF(A104=A105,W104&amp;W105,BX105&amp;W105))),"")),"N/A"),IF(_xlpm.Coup=0,"",_xlpm.Coup))</f>
        <v/>
      </c>
      <c r="DJ105" t="str" cm="1">
        <f t="array" ref="DJ105">_xlfn.LET(_xlpm.Coup3,IFERROR(IF(CG105="","",IF(K106="Coupler",_xlfn._xlws.FILTER(CCFCoupler,(CCName=SD!$C$8)*(CBSize=IF(A105=A106,W105&amp;W106,""))),"")),"N/A"),IF(_xlpm.Coup3=0,"",_xlpm.Coup3))</f>
        <v/>
      </c>
      <c r="DK105" t="str" cm="1">
        <f t="array" ref="DK105">_xlfn.LET(_xlpm.Coup2,IFERROR(IF(A105&lt;&gt;A106,"",IF(DF105="No Lap","",IF(K106="Coupler",_xlfn._xlws.FILTER(CCFCoupler,(CCName=SD!$C$8)*(CBSize=IF(A104=A105,W105&amp;W106,W105&amp;W105))),""))),"N/A"),IF(_xlpm.Coup2=0,"",_xlpm.Coup2))</f>
        <v/>
      </c>
      <c r="DM105" t="str">
        <f>IF(AM105="Spiral","",IF(SD!$C$31=SD!$Y$3,SD!$E$32*2,""))</f>
        <v/>
      </c>
      <c r="DO105" s="24">
        <f t="shared" si="49"/>
        <v>2.5</v>
      </c>
      <c r="DQ105" t="str">
        <f t="shared" si="50"/>
        <v>Lig</v>
      </c>
      <c r="DR105" t="str">
        <f>IF(AM105="Spiral",((Y105-(SD!$E$12*2))/12),"")</f>
        <v/>
      </c>
      <c r="DS105" t="str">
        <f t="shared" si="51"/>
        <v/>
      </c>
      <c r="DT105" t="str">
        <f t="shared" si="52"/>
        <v/>
      </c>
      <c r="DU105" t="str">
        <f t="shared" si="53"/>
        <v/>
      </c>
    </row>
    <row r="106" spans="1:125" x14ac:dyDescent="0.25">
      <c r="A106">
        <v>37</v>
      </c>
      <c r="B106" t="s">
        <v>684</v>
      </c>
      <c r="C106" s="15">
        <v>2429</v>
      </c>
      <c r="D106" s="15">
        <v>10000</v>
      </c>
      <c r="E106" t="str">
        <f>IF(B106=Level!$A$2,SD!$C$14,SD!$C$13)</f>
        <v>0-8</v>
      </c>
      <c r="F106" s="15" t="s">
        <v>787</v>
      </c>
      <c r="G106" t="s">
        <v>742</v>
      </c>
      <c r="H106" t="str">
        <f>RIGHT(VLOOKUP(B106,Level!A:C,3,FALSE),LEN(VLOOKUP(B106,Level!A:C,3,FALSE))-1)</f>
        <v>10-7</v>
      </c>
      <c r="I106" t="s">
        <v>743</v>
      </c>
      <c r="J106" t="str">
        <f>IF(AND(SD!$C$19=SD!$H$2,Grade!$G$1="Per level"),VLOOKUP(B106,Grade!$E$1:$F$200,2,FALSE),IF(AND(SD!$C$19=SD!$H$2,Grade!$G$1="Per Bar Size"),VLOOKUP(W106,Grade!$B$1:$C$12,2,0),SD!$C$19))</f>
        <v>A615 Grade 60</v>
      </c>
      <c r="K106" t="s">
        <v>67</v>
      </c>
      <c r="L106" t="str">
        <f>IFERROR(IF(A106&lt;&gt;A107,"",IF(DF106="No Lap","",IF(K107="Lap",U106,IF(K107="Coupler",_xlfn._xlws.FILTER(CCoupler,(CCName=SD!$C$8)*(CBSize=IF(A105=A106,W106&amp;W107,W106&amp;W106))*(CCMFM="Male")),"")))),"N/A")</f>
        <v>5-1</v>
      </c>
      <c r="M106" t="str">
        <f t="shared" si="27"/>
        <v/>
      </c>
      <c r="N106" t="s">
        <v>719</v>
      </c>
      <c r="O106" t="s">
        <v>720</v>
      </c>
      <c r="P106" t="s">
        <v>719</v>
      </c>
      <c r="Q106" t="str">
        <f>IF(AND(SD!$C$29=SD!$P$2,Grade!$O$1="Per level"),VLOOKUP(B106,Grade!$M$1:$N$200,2,FALSE),IF(AND(SD!$C$29=SD!$P$2,Grade!$O$1="Per Bar Size"),VLOOKUP(LEFT(N106,FIND("@",N106)-2),Grade!$J$1:$K$12,2,0),SD!$C$29))</f>
        <v>A615 Grade 60</v>
      </c>
      <c r="R106" t="s">
        <v>742</v>
      </c>
      <c r="S106" s="57">
        <v>106</v>
      </c>
      <c r="U106" t="str">
        <f>IF(Data!$J106="",IFERROR(INDEX(IF(SD!$C$11="Create",Lap!$A$3:$BF$14,IF(SD!$C$11="Per Uploaded File",Lap!$A$19:$BF$30,"")),MATCH(W106,Lap!$A$3:$A$14,0),MATCH(VALUE(D106),Lap!$A$3:$BF$3,0)+IF(IFERROR(FIND("Grade 60",J106),0)&gt;0,0,IF(IFERROR(FIND("Grade 80",J106),0),1,IF(IFERROR(FIND("Grade 75",J106),0),2,"")))),""),Data!J106)</f>
        <v>5-1</v>
      </c>
      <c r="W106" t="s">
        <v>176</v>
      </c>
      <c r="X106">
        <v>6</v>
      </c>
      <c r="Y106" t="str">
        <f t="shared" si="28"/>
        <v>30</v>
      </c>
      <c r="Z106">
        <f t="shared" si="29"/>
        <v>0</v>
      </c>
      <c r="AA106" s="24">
        <f t="shared" si="30"/>
        <v>15.666666666666666</v>
      </c>
      <c r="BB106" t="e" cm="1">
        <f t="array" ref="BB106">_xlfn.LET(_xlpm.PartF,(_xlfn.LET(_xlpm.grade, Q106,_xlpm.gradeRange, IF(_xlpm.grade=SD!$H$3, A615GR60, IF(_xlpm.grade=SD!$H$4, A615GR75, IF(_xlpm.grade=SD!$H$5, A615GR80, IF(_xlpm.grade=SD!$H$6, A615GR100, IF(_xlpm.grade=SD!$H$7, A706GR60, IF(_xlpm.grade=SD!$H$8, A706GR80)))))),_xlpm.matchValue, MATCH(1, (SD!$AW:$AW=AS106)*(SD!$AX:$AX=SD!$C$8), 0),INDEX(_xlpm.gradeRange, _xlpm.matchValue))),IF(AM106="Spiral",CONCATENATE("SP",_xlpm.PartF),_xlpm.PartF))</f>
        <v>#N/A</v>
      </c>
      <c r="BC106" cm="1">
        <f t="array" ref="BC106">_xlfn.LET(_xlpm.leftPart, LEFT(O106, FIND("@", O106) - 2),_xlpm.grade,Q106,_xlpm.gradeRange,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6" cm="1">
        <f t="array" ref="BD106">_xlfn.LET(_xlpm.leftPart, LEFT(P106, FIND("@", P106) - 2),_xlpm.grade, Q106,_xlpm.gradeRange,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6">
        <f t="shared" si="31"/>
        <v>2.5</v>
      </c>
      <c r="BF106">
        <f>IF(SD!$C$32=SD!$I$2,BE106,IF(SD!$C$32=SD!$I$3,DO106,IF(SD!$C$32=SD!$I$5,BA106,IF(SD!$C$32=SD!$I$6,(LEFT(SD!$C$35,FIND("-",SD!$C$35)-1)+RIGHT(SD!$C$35,LEN(SD!$C$35)-FIND("-",SD!$C$35))/12),IF(SD!$C$32=SD!$I$4,(AU106-(BG106+BH106)))))))</f>
        <v>0</v>
      </c>
      <c r="BG106">
        <f>IF(SD!$C$33=SD!$I$2,BE106,IF(SD!$C$33=SD!$I$3,DO106,IF(SD!$C$33=SD!$I$5,BA106,IF(SD!$C$33=SD!$I$6,(LEFT(SD!$C$35,FIND("-",SD!$C$35)-1)+RIGHT(SD!$C$35,LEN(SD!$C$35)-FIND("-",SD!$C$35))/12),IF(SD!$C$33=SD!$I$4,(AU106-(BF106+BH106)))))))</f>
        <v>-1</v>
      </c>
      <c r="BH106">
        <f>IF(SD!$C$34=SD!$I$2,BE106,IF(SD!$C$34=SD!$I$3,DO106,IF(SD!$C$34=SD!$I$5,BA106,IF(SD!$C$34=SD!$I$6,(LEFT(SD!$C$35,FIND("-",SD!$C$35)-1)+RIGHT(SD!$C$35,LEN(SD!$C$35)-FIND("-",SD!$C$35))/12),IF(SD!$C$34=SD!$I$4,(AU106-(BF106+BG106)))))))</f>
        <v>1</v>
      </c>
      <c r="BJ106">
        <f>IF(AM106="Spiral","1",MAX(ROUNDUP(IF(SD!$C$32="",AT106,BF106/(LEFT(RIGHT(N106,LEN(N106)-FIND("@",N106)),LEN(RIGHT(N106,LEN(N106)-FIND("@",N106)))-1)/12)+1),0),0))</f>
        <v>1</v>
      </c>
      <c r="BK106">
        <f>MAX(ROUNDUP(IF(SD!$C$33="","",BG106/(LEFT(RIGHT(O106,LEN(O106)-FIND("@",O106)),LEN(RIGHT(O106,LEN(O106)-FIND("@",O106)))-1)/12)+1),0),0)</f>
        <v>0</v>
      </c>
      <c r="BL106">
        <f>MAX(ROUNDUP(IF(SD!$C$34="","",BH106/(LEFT(RIGHT(P106,LEN(P106)-FIND("@",P106)),LEN(RIGHT(P106,LEN(P106)-FIND("@",P106)))-1)/12)+1),0),0)</f>
        <v>3</v>
      </c>
      <c r="BN106" t="e">
        <f t="shared" si="32"/>
        <v>#N/A</v>
      </c>
      <c r="BO106" t="e">
        <f t="shared" si="33"/>
        <v>#N/A</v>
      </c>
      <c r="BP106" t="e">
        <f t="shared" si="34"/>
        <v>#N/A</v>
      </c>
      <c r="BQ106" s="24" t="e">
        <f>IF(AM106=TRUE,(((Y106-(SD!$E$12*2))*3.14159265359)+BN106+BO106+BP106)/12+AL106,SUM(AF106:AG106,BN106,BO106,BP106,AO106,AQ106)/12)</f>
        <v>#N/A</v>
      </c>
      <c r="BR106" t="e">
        <f t="shared" si="35"/>
        <v>#N/A</v>
      </c>
      <c r="BS106" t="e">
        <f t="shared" si="36"/>
        <v>#N/A</v>
      </c>
      <c r="BT106" t="e">
        <f t="shared" si="37"/>
        <v>#N/A</v>
      </c>
      <c r="BU106" s="24" t="e">
        <f>IF(AM106=TRUE,(((Y106-(SD!$E$12*2))*3.14159265359)+BR106+BS106+BT106)/12+AL106,SUM(AF106:AG106,BR106,BS106,BT106,AO106,AQ106)/12)</f>
        <v>#N/A</v>
      </c>
      <c r="BW106" t="str">
        <f>IFERROR(LEFT(Data!L106,FIND(" -",Data!L106)-1),"")</f>
        <v/>
      </c>
      <c r="BX106" t="str">
        <f>IFERROR(IF(SD!$C$40=SD!$U$2,W106,IF(SD!$C$40=SD!$U$3,RIGHT(Data!L106,LEN(Data!L106)-(FIND("-",Data!L106)+1)),SD!$C$40)),"")</f>
        <v>#10</v>
      </c>
      <c r="BY106" t="str" cm="1">
        <f t="array" ref="BY106">IFERROR(_xlfn.LET(_xlpm.GRR,IF(AND(SD!$C$19=SD!$H$2,Grade!$G$1="Per level"),VLOOKUP(B106,Grade!$E$1:$F$200,2,FALSE),IF(AND(SD!$C$19=SD!$H$2,Grade!$G$1="Per Bar Size"),VLOOKUP(BX106,Grade!$B$1:$C$12,2,0),SD!$C$19)),_xlpm.is_equal, A105=A106,_xlpm.grade_range, IF(_xlpm.GRR=SD!$H$3, A615GR60,IF(_xlpm.GRR=SD!$H$4, A615GR75,IF(_xlpm.GRR=SD!$H$5, A615GR80,IF(_xlpm.GRR=SD!H110, A615GR100,IF(_xlpm.GRR=SD!$H$7, A706GR60,IF(_xlpm.GRR=SD!$H$8, A706GR80)))))),_xlpm.match_result, MATCH(1, (BSize=BX106)*(BCName=SD!$C$8), 0),_xlpm.final_result, INDEX(_xlpm.grade_range, _xlpm.match_result),IF(_xlpm.is_equal, "", _xlpm.final_result)),"")</f>
        <v/>
      </c>
      <c r="BZ106" t="str">
        <f>IF(A105=A106,"",IF(SD!$C$41="Match Vertical Bars ",X106,IF(SD!$C$41=SD!$V$3,BW106,SD!$C$41)))</f>
        <v/>
      </c>
      <c r="CA106" t="str" cm="1">
        <f t="array" ref="CA106">IF(A105=A106,"",IF(SD!$C$44="No T-Head",IF(SD!$C$42=SD!$Q$3,VLOOKUP(BX106,S90Range,3,FALSE),LEFT(SD!$C$42,FIND("-",SD!$C$42)-1)+(RIGHT(SD!$C$42,LEN(SD!$C$42)-FIND("-",SD!$C$42))/12)),IF(SD!$C$44="T-Head",_xlfn._xlws.FILTER(THead,(TCName=SD!$C$8)*(TSize=BX106)),IF(SD!$C$44="Level Wise",_xlfn.LET(_xlpm.result,_xlfn.XLOOKUP(B106,VDLevel,VDLevelStatus,"No"),IF(_xlpm.result="Yes",_xlfn._xlws.FILTER(THead,(TCName=SD!$C$8)*(TSize=BX106)),IF(SD!$C$42=SD!$Q$3,VLOOKUP(BX106,S90Range,3,FALSE),LEFT(SD!$C$42,FIND("-",SD!$C$42)-1)+(RIGHT(SD!$C$42,LEN(SD!$C$42)-FIND("-", SD!$C$42))/12)))),IF(SD!$C$44="BarSize Wise",_xlfn.LET(_xlpm.result,_xlfn.XLOOKUP(BX106,VDBarSize,VDBarSizeStatus,"No"),IF(_xlpm.result="Yes",_xlfn._xlws.FILTER(THead,(TCName=SD!$C$8)*(TSize=BX106)),IF(SD!$C$42=SD!$Q$3,VLOOKUP(BX106,S90Range,3,FALSE),LEFT(SD!$C$42,FIND("-",SD!$C$42)-1)+(RIGHT(SD!$C$42,LEN(SD!$C$42)-FIND("-",SD!$C$42))/12)))), "")))))</f>
        <v/>
      </c>
      <c r="CB106" t="str" cm="1">
        <f t="array" ref="CB106">_xlfn.LET(_xlpm.GRR,IF(AND(SD!$C$19=SD!$H$2,Grade!$G$1="Per level"),VLOOKUP(B106,Grade!$E$1:$F$200,2,FALSE),IF(AND(SD!$C$19=SD!$H$2,Grade!$G$1="Per Bar Size"),VLOOKUP(BX106,Grade!$B$1:$C$12,2,0),SD!$C$19)),_xlpm.is_coupler, K106="Coupler",_xlpm.condition1, SD!$C$43=SD!$W$2,_xlpm.data_j2_empty, Data!$J106="",_xlpm.lookup_table, IF(SD!$C$11="Create", Lap!$A$3:$BF$14, IF(SD!$C$11="Per Uploaded File", Lap!$A$19:$BF$30, "")),_xlpm.row_match, MATCH(BX106, Lap!$A$3:$A$14, 0),_xlpm.grade_offset, IF(IFERROR(FIND("Grade 60",_xlpm.GRR), 0) &gt; 0, 0, IF(IFERROR(FIND("Grade 80",_xlpm.GRR), 0), 1, IF(IFERROR(FIND("Grade 75",_xlpm.GRR), 0), 2, ""))),_xlpm.col_match, MATCH(VALUE(D106), Lap!$A$3:$BF$3, 0) + _xlpm.grade_offset,_xlpm.index_result, IFERROR(INDEX(_xlpm.lookup_table, _xlpm.row_match, _xlpm.col_match), Data!$J106),_xlpm.result_if_condition1, IF(_xlpm.data_j2_empty, _xlpm.index_result, Data!$J106),IF(_xlpm.is_coupler, 0, IF(_xlpm.condition1, _xlpm.result_if_condition1, SD!$C$43)))</f>
        <v>5-1</v>
      </c>
      <c r="CC106" s="24">
        <f t="shared" si="38"/>
        <v>5.083333333333333</v>
      </c>
      <c r="CD106">
        <f t="shared" si="39"/>
        <v>5.75</v>
      </c>
      <c r="CE106" t="str" cm="1">
        <f t="array" ref="CE106">IF(BY106="","",_xlfn._xlws.FILTER(SAC,(CName=SD!$C$8)*(EName="Vert Dowels")))</f>
        <v/>
      </c>
      <c r="CF106" t="str" cm="1">
        <f t="array" ref="CF106">IFERROR(IF(BY106="","",IF(K106="Coupler",_xlfn._xlws.FILTER(CCoupler,(CCName=SD!$C$8)*(CBSize=IF(A105=A106,W105&amp;W106,BX106&amp;W106))*(CCMFM="Male")),"")),"N/A")</f>
        <v/>
      </c>
      <c r="CG106" t="str">
        <f t="shared" si="40"/>
        <v/>
      </c>
      <c r="CH106" t="str">
        <f t="shared" si="41"/>
        <v/>
      </c>
      <c r="CI106" t="str">
        <f>_xlfn.LET(_xlpm.u3_value, U107,_xlpm.hyphen_pos,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K107="Coupler",_xlpm.coupler_value, IF(_xlpm.is_coupler, 0, _xlpm.calculated_value),_xlpm.final_value, _xlpm.calculated_value + SD!$E$13 + _xlpm.coupler_value,IF(CG106="", "", _xlpm.final_value))</f>
        <v/>
      </c>
      <c r="CJ106" t="str" cm="1">
        <f t="array" ref="CJ106">IF(CG106="","",_xlfn._xlws.FILTER(SAC,(CName=SD!$C$8)*(EName="Loose Dowels")))</f>
        <v/>
      </c>
      <c r="CK106" t="str" cm="1">
        <f t="array" ref="CK106">IFERROR(IF(CG106="","",IF(K107="Coupler",_xlfn._xlws.FILTER(CCoupler,(CCName=SD!$C$8)*(CBSize=IF(A106=A107,W106&amp;W107,""))*(CCMFM="Male")),"")),"N/A")</f>
        <v/>
      </c>
      <c r="CL106" t="str">
        <f>IFERROR(IF(AM106="Spiral","",IF(A105=A106,"",IF(SD!$C$37=0,"",SD!$C$37))),"")</f>
        <v/>
      </c>
      <c r="CN106">
        <f>IF(AM106="Spiral","",IFERROR(IF(SD!$C$36=0,"",SD!$C$36),""))</f>
        <v>5</v>
      </c>
      <c r="CP106" t="str">
        <f>IFERROR(IF(SD!$C$42=SD!$Q$3,'Take-off'!CA106,""),"")</f>
        <v/>
      </c>
      <c r="CR106">
        <f>IFERROR(IF(SD!$C$22=SD!$U$2,W106,SD!$C$22),"")</f>
        <v>0</v>
      </c>
      <c r="CS106" t="str" cm="1">
        <f t="array" ref="CS106">_xlfn.LET(_xlpm.GR,IF(AND(SD!$C$19=SD!$H$2,Grade!$G$1="Per level"),VLOOKUP(B106,Grade!$E$1:$F$200,2,FALSE),IF(AND(SD!$C$19=SD!$H$2,Grade!$G$1="Per Bar Size"),VLOOKUP(CR106,Grade!$B$1:$C$12,2,0),SD!$C$19)),IF(SD!$C$20=SD!$R$4,IF(A107=A106,"",INDEX(IF(_xlpm.GR=SD!$H$3,A615GR60,IF(_xlpm.GR=SD!$H$4,A615GR75,IF(_xlpm.GR=SD!$H$5,A615GR80,IF(_xlpm.GR=SD!H110,A615GR100,IF(_xlpm.GR=SD!$H$7,A706GR60,IF(_xlpm.GR=SD!$H$8,A706GR80)))))), MATCH(1, (BSize=CR106)*(BCName=SD!$C$8), 0))),""))</f>
        <v/>
      </c>
      <c r="CT106" t="str">
        <f>IF(A107=A106,"",IF(SD!$C$23="Match Vertical Bars ",X106,SD!$C$23))</f>
        <v/>
      </c>
      <c r="CU106" t="str" cm="1">
        <f t="array" ref="CU106">IF(A107=A106,"",IF(SD!$C$20="Top dowels",IF(SD!$E$25="No T-Head",IF(SD!$C$24=SD!$Q$3,VLOOKUP(CR106,S90Range,3,FALSE),LEFT(SD!$C$24,FIND("-",SD!$C$24)-1)+(RIGHT(SD!$C$24,LEN(SD!$C$24)-FIND("-",SD!$C$24))/12)),IF(SD!$E$25="T-Head",_xlfn._xlws.FILTER(THead,(TCName=SD!$C$8)*(TSize=CR106)),IF(SD!$E$25="Level Wise",_xlfn.LET(_xlpm.result,_xlfn.XLOOKUP(B106,TDLevel,TDLevelStatus,"No"),IF(_xlpm.result="Yes",_xlfn._xlws.FILTER(THead,(TCName=SD!$C$8)*(TSize=CR106)),IF(SD!$C$24=SD!$Q$3,VLOOKUP(CR106,S90Range,3,FALSE),LEFT(SD!$C$24,FIND("-",SD!$C$24)-1)+(RIGHT(SD!$C$24,LEN(SD!$C$24)-FIND("-", SD!$C$24))/12)))),IF(SD!$E$25="BarSize Wise",_xlfn.LET(_xlpm.result,_xlfn.XLOOKUP(CR106,TDBarSize,TDBarSizeStatus,"No"),IF(_xlpm.result="Yes",_xlfn._xlws.FILTER(THead,(TCName=SD!$C$8)*(TSize=CR106)),IF(SD!$C$24=SD!$Q$3,VLOOKUP(CR106,S90Range,3,FALSE),LEFT(SD!$C$24,FIND("-",SD!$C$24)-1)+(RIGHT(SD!$C$24,LEN(SD!$C$24)-FIND("-",SD!$C$24))/12)))), "")))),""))</f>
        <v/>
      </c>
      <c r="CV106" t="str">
        <f>_xlfn.LET(_xlpm.GRR,IF(AND(SD!$C$19=SD!$H$2,Grade!$G$1="Per level"),VLOOKUP(B106,Grade!$E$1:$F$200,2,FALSE),IF(AND(SD!$C$19=SD!$H$2,Grade!$G$1="Per Bar Size"),VLOOKUP(CR106,Grade!$B$1:$C$12,2,0),SD!$C$19)),IF(SD!$C$25=SD!$W$2,IF(Data!$J106="",IFERROR(INDEX(IF(SD!$C$11="Create",Lap!$A$3:$BF$14,IF(SD!$C$11="Per Uploaded File",Lap!$A$19:$BF$30,"")),MATCH(CR106,Lap!$A$3:$A$14,0),MATCH(VALUE(D106),Lap!$A$3:$BF$3,0)+IF(IFERROR(FIND("Grade 60",_xlpm.GRR),0)&gt;0,0,IF(IFERROR(FIND("Grade 80",_xlpm.GRR),0),1,IF(IFERROR(FIND("Grade 75",_xlpm.GRR),0),2,"")))),""),Data!J106),SD!$C$43))</f>
        <v>Match Lap</v>
      </c>
      <c r="CW106">
        <f t="shared" si="42"/>
        <v>0</v>
      </c>
      <c r="CX106">
        <f t="shared" si="43"/>
        <v>0</v>
      </c>
      <c r="CY106" t="str">
        <f t="shared" si="44"/>
        <v/>
      </c>
      <c r="DA106" t="str">
        <f t="shared" si="45"/>
        <v/>
      </c>
      <c r="DB106" t="str">
        <f t="shared" si="46"/>
        <v/>
      </c>
      <c r="DC106" s="24" t="str">
        <f t="shared" si="47"/>
        <v/>
      </c>
      <c r="DD106">
        <f t="shared" si="48"/>
        <v>10.583333333333334</v>
      </c>
      <c r="DE106" t="s">
        <v>785</v>
      </c>
      <c r="DF106" t="s">
        <v>67</v>
      </c>
      <c r="DG106" t="str">
        <f>VLOOKUP(W106,'Level Wise PSI'!$F$2:$G$12,2,FALSE)</f>
        <v>Double Lift</v>
      </c>
      <c r="DI106" t="str" cm="1">
        <f t="array" ref="DI106">_xlfn.LET(_xlpm.Coup,IFERROR(IF(BY106="","",IF(K106="Coupler",_xlfn._xlws.FILTER(CCFCoupler,(CCName=SD!$C$8)*(CBSize=IF(A105=A106,W105&amp;W106,BX106&amp;W106))),"")),"N/A"),IF(_xlpm.Coup=0,"",_xlpm.Coup))</f>
        <v/>
      </c>
      <c r="DJ106" t="str" cm="1">
        <f t="array" ref="DJ106">_xlfn.LET(_xlpm.Coup3,IFERROR(IF(CG106="","",IF(K107="Coupler",_xlfn._xlws.FILTER(CCFCoupler,(CCName=SD!$C$8)*(CBSize=IF(A106=A107,W106&amp;W107,""))),"")),"N/A"),IF(_xlpm.Coup3=0,"",_xlpm.Coup3))</f>
        <v/>
      </c>
      <c r="DK106" t="str" cm="1">
        <f t="array" ref="DK106">_xlfn.LET(_xlpm.Coup2,IFERROR(IF(A106&lt;&gt;A107,"",IF(DF106="No Lap","",IF(K107="Coupler",_xlfn._xlws.FILTER(CCFCoupler,(CCName=SD!$C$8)*(CBSize=IF(A105=A106,W106&amp;W107,W106&amp;W106))),""))),"N/A"),IF(_xlpm.Coup2=0,"",_xlpm.Coup2))</f>
        <v/>
      </c>
      <c r="DM106" t="str">
        <f>IF(AM106="Spiral","",IF(SD!$C$31=SD!$Y$3,SD!$E$32*2,""))</f>
        <v/>
      </c>
      <c r="DO106" s="24">
        <f t="shared" si="49"/>
        <v>2.5</v>
      </c>
      <c r="DQ106" t="str">
        <f t="shared" si="50"/>
        <v>Lig</v>
      </c>
      <c r="DR106" t="str">
        <f>IF(AM106="Spiral",((Y106-(SD!$E$12*2))/12),"")</f>
        <v/>
      </c>
      <c r="DS106" t="str">
        <f t="shared" si="51"/>
        <v/>
      </c>
      <c r="DT106" t="str">
        <f t="shared" si="52"/>
        <v/>
      </c>
      <c r="DU106" t="str">
        <f t="shared" si="53"/>
        <v/>
      </c>
    </row>
    <row r="107" spans="1:125" x14ac:dyDescent="0.25">
      <c r="A107">
        <v>37</v>
      </c>
      <c r="B107" t="s">
        <v>686</v>
      </c>
      <c r="C107" s="15">
        <v>2429</v>
      </c>
      <c r="D107" s="15">
        <v>10000</v>
      </c>
      <c r="E107" t="str">
        <f>IF(B107=Level!$A$2,SD!$C$14,SD!$C$13)</f>
        <v>0-8</v>
      </c>
      <c r="F107" s="15" t="s">
        <v>787</v>
      </c>
      <c r="G107" t="s">
        <v>742</v>
      </c>
      <c r="H107" t="str">
        <f>RIGHT(VLOOKUP(B107,Level!A:C,3,FALSE),LEN(VLOOKUP(B107,Level!A:C,3,FALSE))-1)</f>
        <v>10-7</v>
      </c>
      <c r="I107" t="s">
        <v>743</v>
      </c>
      <c r="J107" t="str">
        <f>IF(AND(SD!$C$19=SD!$H$2,Grade!$G$1="Per level"),VLOOKUP(B107,Grade!$E$1:$F$200,2,FALSE),IF(AND(SD!$C$19=SD!$H$2,Grade!$G$1="Per Bar Size"),VLOOKUP(W107,Grade!$B$1:$C$12,2,0),SD!$C$19))</f>
        <v>A615 Grade 60</v>
      </c>
      <c r="K107" t="s">
        <v>67</v>
      </c>
      <c r="L107" t="str">
        <f>IFERROR(IF(A107&lt;&gt;A108,"",IF(DF107="No Lap","",IF(K108="Lap",U107,IF(K108="Coupler",_xlfn._xlws.FILTER(CCoupler,(CCName=SD!$C$8)*(CBSize=IF(A106=A107,W107&amp;W108,W107&amp;W107))*(CCMFM="Male")),"")))),"N/A")</f>
        <v>5-1</v>
      </c>
      <c r="M107" t="str">
        <f t="shared" si="27"/>
        <v/>
      </c>
      <c r="N107" t="s">
        <v>719</v>
      </c>
      <c r="O107" t="s">
        <v>720</v>
      </c>
      <c r="P107" t="s">
        <v>719</v>
      </c>
      <c r="Q107" t="str">
        <f>IF(AND(SD!$C$29=SD!$P$2,Grade!$O$1="Per level"),VLOOKUP(B107,Grade!$M$1:$N$200,2,FALSE),IF(AND(SD!$C$29=SD!$P$2,Grade!$O$1="Per Bar Size"),VLOOKUP(LEFT(N107,FIND("@",N107)-2),Grade!$J$1:$K$12,2,0),SD!$C$29))</f>
        <v>A615 Grade 60</v>
      </c>
      <c r="R107" t="s">
        <v>742</v>
      </c>
      <c r="S107" s="57">
        <v>107</v>
      </c>
      <c r="U107" t="str">
        <f>IF(Data!$J107="",IFERROR(INDEX(IF(SD!$C$11="Create",Lap!$A$3:$BF$14,IF(SD!$C$11="Per Uploaded File",Lap!$A$19:$BF$30,"")),MATCH(W107,Lap!$A$3:$A$14,0),MATCH(VALUE(D107),Lap!$A$3:$BF$3,0)+IF(IFERROR(FIND("Grade 60",J107),0)&gt;0,0,IF(IFERROR(FIND("Grade 80",J107),0),1,IF(IFERROR(FIND("Grade 75",J107),0),2,"")))),""),Data!J107)</f>
        <v>5-1</v>
      </c>
      <c r="W107" t="s">
        <v>176</v>
      </c>
      <c r="X107">
        <v>6</v>
      </c>
      <c r="Y107" t="str">
        <f t="shared" si="28"/>
        <v>30</v>
      </c>
      <c r="Z107">
        <f t="shared" si="29"/>
        <v>0</v>
      </c>
      <c r="AA107" s="24">
        <f t="shared" si="30"/>
        <v>15.666666666666666</v>
      </c>
      <c r="BB107" t="e" cm="1">
        <f t="array" ref="BB107">_xlfn.LET(_xlpm.PartF,(_xlfn.LET(_xlpm.grade, Q107,_xlpm.gradeRange, IF(_xlpm.grade=SD!$H$3, A615GR60, IF(_xlpm.grade=SD!$H$4, A615GR75, IF(_xlpm.grade=SD!$H$5, A615GR80, IF(_xlpm.grade=SD!$H$6, A615GR100, IF(_xlpm.grade=SD!$H$7, A706GR60, IF(_xlpm.grade=SD!$H$8, A706GR80)))))),_xlpm.matchValue, MATCH(1, (SD!$AW:$AW=AS107)*(SD!$AX:$AX=SD!$C$8), 0),INDEX(_xlpm.gradeRange, _xlpm.matchValue))),IF(AM107="Spiral",CONCATENATE("SP",_xlpm.PartF),_xlpm.PartF))</f>
        <v>#N/A</v>
      </c>
      <c r="BC107" cm="1">
        <f t="array" ref="BC107">_xlfn.LET(_xlpm.leftPart, LEFT(O107, FIND("@", O107) - 2),_xlpm.grade,Q107,_xlpm.gradeRange,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7" cm="1">
        <f t="array" ref="BD107">_xlfn.LET(_xlpm.leftPart, LEFT(P107, FIND("@", P107) - 2),_xlpm.grade, Q107,_xlpm.gradeRange,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7">
        <f t="shared" si="31"/>
        <v>2.5</v>
      </c>
      <c r="BF107">
        <f>IF(SD!$C$32=SD!$I$2,BE107,IF(SD!$C$32=SD!$I$3,DO107,IF(SD!$C$32=SD!$I$5,BA107,IF(SD!$C$32=SD!$I$6,(LEFT(SD!$C$35,FIND("-",SD!$C$35)-1)+RIGHT(SD!$C$35,LEN(SD!$C$35)-FIND("-",SD!$C$35))/12),IF(SD!$C$32=SD!$I$4,(AU107-(BG107+BH107)))))))</f>
        <v>0</v>
      </c>
      <c r="BG107">
        <f>IF(SD!$C$33=SD!$I$2,BE107,IF(SD!$C$33=SD!$I$3,DO107,IF(SD!$C$33=SD!$I$5,BA107,IF(SD!$C$33=SD!$I$6,(LEFT(SD!$C$35,FIND("-",SD!$C$35)-1)+RIGHT(SD!$C$35,LEN(SD!$C$35)-FIND("-",SD!$C$35))/12),IF(SD!$C$33=SD!$I$4,(AU107-(BF107+BH107)))))))</f>
        <v>-1</v>
      </c>
      <c r="BH107">
        <f>IF(SD!$C$34=SD!$I$2,BE107,IF(SD!$C$34=SD!$I$3,DO107,IF(SD!$C$34=SD!$I$5,BA107,IF(SD!$C$34=SD!$I$6,(LEFT(SD!$C$35,FIND("-",SD!$C$35)-1)+RIGHT(SD!$C$35,LEN(SD!$C$35)-FIND("-",SD!$C$35))/12),IF(SD!$C$34=SD!$I$4,(AU107-(BF107+BG107)))))))</f>
        <v>1</v>
      </c>
      <c r="BJ107">
        <f>IF(AM107="Spiral","1",MAX(ROUNDUP(IF(SD!$C$32="",AT107,BF107/(LEFT(RIGHT(N107,LEN(N107)-FIND("@",N107)),LEN(RIGHT(N107,LEN(N107)-FIND("@",N107)))-1)/12)+1),0),0))</f>
        <v>1</v>
      </c>
      <c r="BK107">
        <f>MAX(ROUNDUP(IF(SD!$C$33="","",BG107/(LEFT(RIGHT(O107,LEN(O107)-FIND("@",O107)),LEN(RIGHT(O107,LEN(O107)-FIND("@",O107)))-1)/12)+1),0),0)</f>
        <v>0</v>
      </c>
      <c r="BL107">
        <f>MAX(ROUNDUP(IF(SD!$C$34="","",BH107/(LEFT(RIGHT(P107,LEN(P107)-FIND("@",P107)),LEN(RIGHT(P107,LEN(P107)-FIND("@",P107)))-1)/12)+1),0),0)</f>
        <v>3</v>
      </c>
      <c r="BN107" t="e">
        <f t="shared" si="32"/>
        <v>#N/A</v>
      </c>
      <c r="BO107" t="e">
        <f t="shared" si="33"/>
        <v>#N/A</v>
      </c>
      <c r="BP107" t="e">
        <f t="shared" si="34"/>
        <v>#N/A</v>
      </c>
      <c r="BQ107" s="24" t="e">
        <f>IF(AM107=TRUE,(((Y107-(SD!$E$12*2))*3.14159265359)+BN107+BO107+BP107)/12+AL107,SUM(AF107:AG107,BN107,BO107,BP107,AO107,AQ107)/12)</f>
        <v>#N/A</v>
      </c>
      <c r="BR107" t="e">
        <f t="shared" si="35"/>
        <v>#N/A</v>
      </c>
      <c r="BS107" t="e">
        <f t="shared" si="36"/>
        <v>#N/A</v>
      </c>
      <c r="BT107" t="e">
        <f t="shared" si="37"/>
        <v>#N/A</v>
      </c>
      <c r="BU107" s="24" t="e">
        <f>IF(AM107=TRUE,(((Y107-(SD!$E$12*2))*3.14159265359)+BR107+BS107+BT107)/12+AL107,SUM(AF107:AG107,BR107,BS107,BT107,AO107,AQ107)/12)</f>
        <v>#N/A</v>
      </c>
      <c r="BW107" t="str">
        <f>IFERROR(LEFT(Data!L107,FIND(" -",Data!L107)-1),"")</f>
        <v/>
      </c>
      <c r="BX107" t="str">
        <f>IFERROR(IF(SD!$C$40=SD!$U$2,W107,IF(SD!$C$40=SD!$U$3,RIGHT(Data!L107,LEN(Data!L107)-(FIND("-",Data!L107)+1)),SD!$C$40)),"")</f>
        <v>#10</v>
      </c>
      <c r="BY107" t="str" cm="1">
        <f t="array" ref="BY107">IFERROR(_xlfn.LET(_xlpm.GRR,IF(AND(SD!$C$19=SD!$H$2,Grade!$G$1="Per level"),VLOOKUP(B107,Grade!$E$1:$F$200,2,FALSE),IF(AND(SD!$C$19=SD!$H$2,Grade!$G$1="Per Bar Size"),VLOOKUP(BX107,Grade!$B$1:$C$12,2,0),SD!$C$19)),_xlpm.is_equal, A106=A107,_xlpm.grade_range, IF(_xlpm.GRR=SD!$H$3, A615GR60,IF(_xlpm.GRR=SD!$H$4, A615GR75,IF(_xlpm.GRR=SD!$H$5, A615GR80,IF(_xlpm.GRR=SD!H111, A615GR100,IF(_xlpm.GRR=SD!$H$7, A706GR60,IF(_xlpm.GRR=SD!$H$8, A706GR80)))))),_xlpm.match_result, MATCH(1, (BSize=BX107)*(BCName=SD!$C$8), 0),_xlpm.final_result, INDEX(_xlpm.grade_range, _xlpm.match_result),IF(_xlpm.is_equal, "", _xlpm.final_result)),"")</f>
        <v/>
      </c>
      <c r="BZ107" t="str">
        <f>IF(A106=A107,"",IF(SD!$C$41="Match Vertical Bars ",X107,IF(SD!$C$41=SD!$V$3,BW107,SD!$C$41)))</f>
        <v/>
      </c>
      <c r="CA107" t="str" cm="1">
        <f t="array" ref="CA107">IF(A106=A107,"",IF(SD!$C$44="No T-Head",IF(SD!$C$42=SD!$Q$3,VLOOKUP(BX107,S90Range,3,FALSE),LEFT(SD!$C$42,FIND("-",SD!$C$42)-1)+(RIGHT(SD!$C$42,LEN(SD!$C$42)-FIND("-",SD!$C$42))/12)),IF(SD!$C$44="T-Head",_xlfn._xlws.FILTER(THead,(TCName=SD!$C$8)*(TSize=BX107)),IF(SD!$C$44="Level Wise",_xlfn.LET(_xlpm.result,_xlfn.XLOOKUP(B107,VDLevel,VDLevelStatus,"No"),IF(_xlpm.result="Yes",_xlfn._xlws.FILTER(THead,(TCName=SD!$C$8)*(TSize=BX107)),IF(SD!$C$42=SD!$Q$3,VLOOKUP(BX107,S90Range,3,FALSE),LEFT(SD!$C$42,FIND("-",SD!$C$42)-1)+(RIGHT(SD!$C$42,LEN(SD!$C$42)-FIND("-", SD!$C$42))/12)))),IF(SD!$C$44="BarSize Wise",_xlfn.LET(_xlpm.result,_xlfn.XLOOKUP(BX107,VDBarSize,VDBarSizeStatus,"No"),IF(_xlpm.result="Yes",_xlfn._xlws.FILTER(THead,(TCName=SD!$C$8)*(TSize=BX107)),IF(SD!$C$42=SD!$Q$3,VLOOKUP(BX107,S90Range,3,FALSE),LEFT(SD!$C$42,FIND("-",SD!$C$42)-1)+(RIGHT(SD!$C$42,LEN(SD!$C$42)-FIND("-",SD!$C$42))/12)))), "")))))</f>
        <v/>
      </c>
      <c r="CB107" t="str" cm="1">
        <f t="array" ref="CB107">_xlfn.LET(_xlpm.GRR,IF(AND(SD!$C$19=SD!$H$2,Grade!$G$1="Per level"),VLOOKUP(B107,Grade!$E$1:$F$200,2,FALSE),IF(AND(SD!$C$19=SD!$H$2,Grade!$G$1="Per Bar Size"),VLOOKUP(BX107,Grade!$B$1:$C$12,2,0),SD!$C$19)),_xlpm.is_coupler, K107="Coupler",_xlpm.condition1, SD!$C$43=SD!$W$2,_xlpm.data_j2_empty, Data!$J107="",_xlpm.lookup_table, IF(SD!$C$11="Create", Lap!$A$3:$BF$14, IF(SD!$C$11="Per Uploaded File", Lap!$A$19:$BF$30, "")),_xlpm.row_match, MATCH(BX107, Lap!$A$3:$A$14, 0),_xlpm.grade_offset, IF(IFERROR(FIND("Grade 60",_xlpm.GRR), 0) &gt; 0, 0, IF(IFERROR(FIND("Grade 80",_xlpm.GRR), 0), 1, IF(IFERROR(FIND("Grade 75",_xlpm.GRR), 0), 2, ""))),_xlpm.col_match, MATCH(VALUE(D107), Lap!$A$3:$BF$3, 0) + _xlpm.grade_offset,_xlpm.index_result, IFERROR(INDEX(_xlpm.lookup_table, _xlpm.row_match, _xlpm.col_match), Data!$J107),_xlpm.result_if_condition1, IF(_xlpm.data_j2_empty, _xlpm.index_result, Data!$J107),IF(_xlpm.is_coupler, 0, IF(_xlpm.condition1, _xlpm.result_if_condition1, SD!$C$43)))</f>
        <v>5-1</v>
      </c>
      <c r="CC107" s="24">
        <f t="shared" si="38"/>
        <v>5.083333333333333</v>
      </c>
      <c r="CD107">
        <f t="shared" si="39"/>
        <v>5.75</v>
      </c>
      <c r="CE107" t="str" cm="1">
        <f t="array" ref="CE107">IF(BY107="","",_xlfn._xlws.FILTER(SAC,(CName=SD!$C$8)*(EName="Vert Dowels")))</f>
        <v/>
      </c>
      <c r="CF107" t="str" cm="1">
        <f t="array" ref="CF107">IFERROR(IF(BY107="","",IF(K107="Coupler",_xlfn._xlws.FILTER(CCoupler,(CCName=SD!$C$8)*(CBSize=IF(A106=A107,W106&amp;W107,BX107&amp;W107))*(CCMFM="Male")),"")),"N/A")</f>
        <v/>
      </c>
      <c r="CG107" t="str">
        <f t="shared" si="40"/>
        <v/>
      </c>
      <c r="CH107" t="str">
        <f t="shared" si="41"/>
        <v/>
      </c>
      <c r="CI107" t="str">
        <f>_xlfn.LET(_xlpm.u3_value, U108,_xlpm.hyphen_pos,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K108="Coupler",_xlpm.coupler_value, IF(_xlpm.is_coupler, 0, _xlpm.calculated_value),_xlpm.final_value, _xlpm.calculated_value + SD!$E$13 + _xlpm.coupler_value,IF(CG107="", "", _xlpm.final_value))</f>
        <v/>
      </c>
      <c r="CJ107" t="str" cm="1">
        <f t="array" ref="CJ107">IF(CG107="","",_xlfn._xlws.FILTER(SAC,(CName=SD!$C$8)*(EName="Loose Dowels")))</f>
        <v/>
      </c>
      <c r="CK107" t="str" cm="1">
        <f t="array" ref="CK107">IFERROR(IF(CG107="","",IF(K108="Coupler",_xlfn._xlws.FILTER(CCoupler,(CCName=SD!$C$8)*(CBSize=IF(A107=A108,W107&amp;W108,""))*(CCMFM="Male")),"")),"N/A")</f>
        <v/>
      </c>
      <c r="CL107" t="str">
        <f>IFERROR(IF(AM107="Spiral","",IF(A106=A107,"",IF(SD!$C$37=0,"",SD!$C$37))),"")</f>
        <v/>
      </c>
      <c r="CN107">
        <f>IF(AM107="Spiral","",IFERROR(IF(SD!$C$36=0,"",SD!$C$36),""))</f>
        <v>5</v>
      </c>
      <c r="CP107" t="str">
        <f>IFERROR(IF(SD!$C$42=SD!$Q$3,'Take-off'!CA107,""),"")</f>
        <v/>
      </c>
      <c r="CR107">
        <f>IFERROR(IF(SD!$C$22=SD!$U$2,W107,SD!$C$22),"")</f>
        <v>0</v>
      </c>
      <c r="CS107" t="str" cm="1">
        <f t="array" ref="CS107">_xlfn.LET(_xlpm.GR,IF(AND(SD!$C$19=SD!$H$2,Grade!$G$1="Per level"),VLOOKUP(B107,Grade!$E$1:$F$200,2,FALSE),IF(AND(SD!$C$19=SD!$H$2,Grade!$G$1="Per Bar Size"),VLOOKUP(CR107,Grade!$B$1:$C$12,2,0),SD!$C$19)),IF(SD!$C$20=SD!$R$4,IF(A108=A107,"",INDEX(IF(_xlpm.GR=SD!$H$3,A615GR60,IF(_xlpm.GR=SD!$H$4,A615GR75,IF(_xlpm.GR=SD!$H$5,A615GR80,IF(_xlpm.GR=SD!H111,A615GR100,IF(_xlpm.GR=SD!$H$7,A706GR60,IF(_xlpm.GR=SD!$H$8,A706GR80)))))), MATCH(1, (BSize=CR107)*(BCName=SD!$C$8), 0))),""))</f>
        <v/>
      </c>
      <c r="CT107" t="str">
        <f>IF(A108=A107,"",IF(SD!$C$23="Match Vertical Bars ",X107,SD!$C$23))</f>
        <v/>
      </c>
      <c r="CU107" t="str" cm="1">
        <f t="array" ref="CU107">IF(A108=A107,"",IF(SD!$C$20="Top dowels",IF(SD!$E$25="No T-Head",IF(SD!$C$24=SD!$Q$3,VLOOKUP(CR107,S90Range,3,FALSE),LEFT(SD!$C$24,FIND("-",SD!$C$24)-1)+(RIGHT(SD!$C$24,LEN(SD!$C$24)-FIND("-",SD!$C$24))/12)),IF(SD!$E$25="T-Head",_xlfn._xlws.FILTER(THead,(TCName=SD!$C$8)*(TSize=CR107)),IF(SD!$E$25="Level Wise",_xlfn.LET(_xlpm.result,_xlfn.XLOOKUP(B107,TDLevel,TDLevelStatus,"No"),IF(_xlpm.result="Yes",_xlfn._xlws.FILTER(THead,(TCName=SD!$C$8)*(TSize=CR107)),IF(SD!$C$24=SD!$Q$3,VLOOKUP(CR107,S90Range,3,FALSE),LEFT(SD!$C$24,FIND("-",SD!$C$24)-1)+(RIGHT(SD!$C$24,LEN(SD!$C$24)-FIND("-", SD!$C$24))/12)))),IF(SD!$E$25="BarSize Wise",_xlfn.LET(_xlpm.result,_xlfn.XLOOKUP(CR107,TDBarSize,TDBarSizeStatus,"No"),IF(_xlpm.result="Yes",_xlfn._xlws.FILTER(THead,(TCName=SD!$C$8)*(TSize=CR107)),IF(SD!$C$24=SD!$Q$3,VLOOKUP(CR107,S90Range,3,FALSE),LEFT(SD!$C$24,FIND("-",SD!$C$24)-1)+(RIGHT(SD!$C$24,LEN(SD!$C$24)-FIND("-",SD!$C$24))/12)))), "")))),""))</f>
        <v/>
      </c>
      <c r="CV107" t="str">
        <f>_xlfn.LET(_xlpm.GRR,IF(AND(SD!$C$19=SD!$H$2,Grade!$G$1="Per level"),VLOOKUP(B107,Grade!$E$1:$F$200,2,FALSE),IF(AND(SD!$C$19=SD!$H$2,Grade!$G$1="Per Bar Size"),VLOOKUP(CR107,Grade!$B$1:$C$12,2,0),SD!$C$19)),IF(SD!$C$25=SD!$W$2,IF(Data!$J107="",IFERROR(INDEX(IF(SD!$C$11="Create",Lap!$A$3:$BF$14,IF(SD!$C$11="Per Uploaded File",Lap!$A$19:$BF$30,"")),MATCH(CR107,Lap!$A$3:$A$14,0),MATCH(VALUE(D107),Lap!$A$3:$BF$3,0)+IF(IFERROR(FIND("Grade 60",_xlpm.GRR),0)&gt;0,0,IF(IFERROR(FIND("Grade 80",_xlpm.GRR),0),1,IF(IFERROR(FIND("Grade 75",_xlpm.GRR),0),2,"")))),""),Data!J107),SD!$C$43))</f>
        <v>Match Lap</v>
      </c>
      <c r="CW107">
        <f t="shared" si="42"/>
        <v>0</v>
      </c>
      <c r="CX107">
        <f t="shared" si="43"/>
        <v>0</v>
      </c>
      <c r="CY107" t="str">
        <f t="shared" si="44"/>
        <v/>
      </c>
      <c r="DA107" t="str">
        <f t="shared" si="45"/>
        <v/>
      </c>
      <c r="DB107" t="str">
        <f t="shared" si="46"/>
        <v/>
      </c>
      <c r="DC107" s="24" t="str">
        <f t="shared" si="47"/>
        <v/>
      </c>
      <c r="DD107">
        <f t="shared" si="48"/>
        <v>10.583333333333334</v>
      </c>
      <c r="DE107" t="s">
        <v>785</v>
      </c>
      <c r="DF107" t="s">
        <v>67</v>
      </c>
      <c r="DG107" t="str">
        <f>VLOOKUP(W107,'Level Wise PSI'!$F$2:$G$12,2,FALSE)</f>
        <v>Double Lift</v>
      </c>
      <c r="DI107" t="str" cm="1">
        <f t="array" ref="DI107">_xlfn.LET(_xlpm.Coup,IFERROR(IF(BY107="","",IF(K107="Coupler",_xlfn._xlws.FILTER(CCFCoupler,(CCName=SD!$C$8)*(CBSize=IF(A106=A107,W106&amp;W107,BX107&amp;W107))),"")),"N/A"),IF(_xlpm.Coup=0,"",_xlpm.Coup))</f>
        <v/>
      </c>
      <c r="DJ107" t="str" cm="1">
        <f t="array" ref="DJ107">_xlfn.LET(_xlpm.Coup3,IFERROR(IF(CG107="","",IF(K108="Coupler",_xlfn._xlws.FILTER(CCFCoupler,(CCName=SD!$C$8)*(CBSize=IF(A107=A108,W107&amp;W108,""))),"")),"N/A"),IF(_xlpm.Coup3=0,"",_xlpm.Coup3))</f>
        <v/>
      </c>
      <c r="DK107" t="str" cm="1">
        <f t="array" ref="DK107">_xlfn.LET(_xlpm.Coup2,IFERROR(IF(A107&lt;&gt;A108,"",IF(DF107="No Lap","",IF(K108="Coupler",_xlfn._xlws.FILTER(CCFCoupler,(CCName=SD!$C$8)*(CBSize=IF(A106=A107,W107&amp;W108,W107&amp;W107))),""))),"N/A"),IF(_xlpm.Coup2=0,"",_xlpm.Coup2))</f>
        <v/>
      </c>
      <c r="DM107" t="str">
        <f>IF(AM107="Spiral","",IF(SD!$C$31=SD!$Y$3,SD!$E$32*2,""))</f>
        <v/>
      </c>
      <c r="DO107" s="24">
        <f t="shared" si="49"/>
        <v>2.5</v>
      </c>
      <c r="DQ107" t="str">
        <f t="shared" si="50"/>
        <v>Lig</v>
      </c>
      <c r="DR107" t="str">
        <f>IF(AM107="Spiral",((Y107-(SD!$E$12*2))/12),"")</f>
        <v/>
      </c>
      <c r="DS107" t="str">
        <f t="shared" si="51"/>
        <v/>
      </c>
      <c r="DT107" t="str">
        <f t="shared" si="52"/>
        <v/>
      </c>
      <c r="DU107" t="str">
        <f t="shared" si="53"/>
        <v/>
      </c>
    </row>
    <row r="108" spans="1:125" x14ac:dyDescent="0.25">
      <c r="A108">
        <v>37</v>
      </c>
      <c r="B108" t="s">
        <v>688</v>
      </c>
      <c r="C108" s="15">
        <v>2429</v>
      </c>
      <c r="D108" s="15">
        <v>10000</v>
      </c>
      <c r="E108" t="str">
        <f>IF(B108=Level!$A$2,SD!$C$14,SD!$C$13)</f>
        <v>0-8</v>
      </c>
      <c r="F108" s="15" t="s">
        <v>787</v>
      </c>
      <c r="G108" t="s">
        <v>742</v>
      </c>
      <c r="H108" t="str">
        <f>RIGHT(VLOOKUP(B108,Level!A:C,3,FALSE),LEN(VLOOKUP(B108,Level!A:C,3,FALSE))-1)</f>
        <v>10-7</v>
      </c>
      <c r="I108" t="s">
        <v>744</v>
      </c>
      <c r="J108" t="str">
        <f>IF(AND(SD!$C$19=SD!$H$2,Grade!$G$1="Per level"),VLOOKUP(B108,Grade!$E$1:$F$200,2,FALSE),IF(AND(SD!$C$19=SD!$H$2,Grade!$G$1="Per Bar Size"),VLOOKUP(W108,Grade!$B$1:$C$12,2,0),SD!$C$19))</f>
        <v>A615 Grade 60</v>
      </c>
      <c r="K108" t="s">
        <v>67</v>
      </c>
      <c r="L108" t="str">
        <f>IFERROR(IF(A108&lt;&gt;A109,"",IF(DF108="No Lap","",IF(K109="Lap",U108,IF(K109="Coupler",_xlfn._xlws.FILTER(CCoupler,(CCName=SD!$C$8)*(CBSize=IF(A107=A108,W108&amp;W109,W108&amp;W108))*(CCMFM="Male")),"")))),"N/A")</f>
        <v/>
      </c>
      <c r="M108" t="str">
        <f t="shared" si="27"/>
        <v/>
      </c>
      <c r="N108" t="s">
        <v>719</v>
      </c>
      <c r="O108" t="s">
        <v>720</v>
      </c>
      <c r="P108" t="s">
        <v>719</v>
      </c>
      <c r="Q108" t="str">
        <f>IF(AND(SD!$C$29=SD!$P$2,Grade!$O$1="Per level"),VLOOKUP(B108,Grade!$M$1:$N$200,2,FALSE),IF(AND(SD!$C$29=SD!$P$2,Grade!$O$1="Per Bar Size"),VLOOKUP(LEFT(N108,FIND("@",N108)-2),Grade!$J$1:$K$12,2,0),SD!$C$29))</f>
        <v>A615 Grade 60</v>
      </c>
      <c r="R108" t="s">
        <v>742</v>
      </c>
      <c r="S108" s="57">
        <v>108</v>
      </c>
      <c r="U108" t="str">
        <f>IF(Data!$J108="",IFERROR(INDEX(IF(SD!$C$11="Create",Lap!$A$3:$BF$14,IF(SD!$C$11="Per Uploaded File",Lap!$A$19:$BF$30,"")),MATCH(W108,Lap!$A$3:$A$14,0),MATCH(VALUE(D108),Lap!$A$3:$BF$3,0)+IF(IFERROR(FIND("Grade 60",J108),0)&gt;0,0,IF(IFERROR(FIND("Grade 80",J108),0),1,IF(IFERROR(FIND("Grade 75",J108),0),2,"")))),""),Data!J108)</f>
        <v>4-0</v>
      </c>
      <c r="W108" t="s">
        <v>151</v>
      </c>
      <c r="X108">
        <v>10</v>
      </c>
      <c r="Y108" t="str">
        <f t="shared" si="28"/>
        <v>30</v>
      </c>
      <c r="Z108">
        <f t="shared" si="29"/>
        <v>0</v>
      </c>
      <c r="AA108" s="24">
        <f t="shared" si="30"/>
        <v>10.583333333333334</v>
      </c>
      <c r="BB108" t="e" cm="1">
        <f t="array" ref="BB108">_xlfn.LET(_xlpm.PartF,(_xlfn.LET(_xlpm.grade, Q108,_xlpm.gradeRange, IF(_xlpm.grade=SD!$H$3, A615GR60, IF(_xlpm.grade=SD!$H$4, A615GR75, IF(_xlpm.grade=SD!$H$5, A615GR80, IF(_xlpm.grade=SD!$H$6, A615GR100, IF(_xlpm.grade=SD!$H$7, A706GR60, IF(_xlpm.grade=SD!$H$8, A706GR80)))))),_xlpm.matchValue, MATCH(1, (SD!$AW:$AW=AS108)*(SD!$AX:$AX=SD!$C$8), 0),INDEX(_xlpm.gradeRange, _xlpm.matchValue))),IF(AM108="Spiral",CONCATENATE("SP",_xlpm.PartF),_xlpm.PartF))</f>
        <v>#N/A</v>
      </c>
      <c r="BC108" cm="1">
        <f t="array" ref="BC108">_xlfn.LET(_xlpm.leftPart, LEFT(O108, FIND("@", O108) - 2),_xlpm.grade,Q108,_xlpm.gradeRange,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8" cm="1">
        <f t="array" ref="BD108">_xlfn.LET(_xlpm.leftPart, LEFT(P108, FIND("@", P108) - 2),_xlpm.grade, Q108,_xlpm.gradeRange,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8">
        <f t="shared" si="31"/>
        <v>2.5</v>
      </c>
      <c r="BF108">
        <f>IF(SD!$C$32=SD!$I$2,BE108,IF(SD!$C$32=SD!$I$3,DO108,IF(SD!$C$32=SD!$I$5,BA108,IF(SD!$C$32=SD!$I$6,(LEFT(SD!$C$35,FIND("-",SD!$C$35)-1)+RIGHT(SD!$C$35,LEN(SD!$C$35)-FIND("-",SD!$C$35))/12),IF(SD!$C$32=SD!$I$4,(AU108-(BG108+BH108)))))))</f>
        <v>0</v>
      </c>
      <c r="BG108">
        <f>IF(SD!$C$33=SD!$I$2,BE108,IF(SD!$C$33=SD!$I$3,DO108,IF(SD!$C$33=SD!$I$5,BA108,IF(SD!$C$33=SD!$I$6,(LEFT(SD!$C$35,FIND("-",SD!$C$35)-1)+RIGHT(SD!$C$35,LEN(SD!$C$35)-FIND("-",SD!$C$35))/12),IF(SD!$C$33=SD!$I$4,(AU108-(BF108+BH108)))))))</f>
        <v>-1</v>
      </c>
      <c r="BH108">
        <f>IF(SD!$C$34=SD!$I$2,BE108,IF(SD!$C$34=SD!$I$3,DO108,IF(SD!$C$34=SD!$I$5,BA108,IF(SD!$C$34=SD!$I$6,(LEFT(SD!$C$35,FIND("-",SD!$C$35)-1)+RIGHT(SD!$C$35,LEN(SD!$C$35)-FIND("-",SD!$C$35))/12),IF(SD!$C$34=SD!$I$4,(AU108-(BF108+BG108)))))))</f>
        <v>1</v>
      </c>
      <c r="BJ108">
        <f>IF(AM108="Spiral","1",MAX(ROUNDUP(IF(SD!$C$32="",AT108,BF108/(LEFT(RIGHT(N108,LEN(N108)-FIND("@",N108)),LEN(RIGHT(N108,LEN(N108)-FIND("@",N108)))-1)/12)+1),0),0))</f>
        <v>1</v>
      </c>
      <c r="BK108">
        <f>MAX(ROUNDUP(IF(SD!$C$33="","",BG108/(LEFT(RIGHT(O108,LEN(O108)-FIND("@",O108)),LEN(RIGHT(O108,LEN(O108)-FIND("@",O108)))-1)/12)+1),0),0)</f>
        <v>0</v>
      </c>
      <c r="BL108">
        <f>MAX(ROUNDUP(IF(SD!$C$34="","",BH108/(LEFT(RIGHT(P108,LEN(P108)-FIND("@",P108)),LEN(RIGHT(P108,LEN(P108)-FIND("@",P108)))-1)/12)+1),0),0)</f>
        <v>3</v>
      </c>
      <c r="BN108" t="e">
        <f t="shared" si="32"/>
        <v>#N/A</v>
      </c>
      <c r="BO108" t="e">
        <f t="shared" si="33"/>
        <v>#N/A</v>
      </c>
      <c r="BP108" t="e">
        <f t="shared" si="34"/>
        <v>#N/A</v>
      </c>
      <c r="BQ108" s="24" t="e">
        <f>IF(AM108=TRUE,(((Y108-(SD!$E$12*2))*3.14159265359)+BN108+BO108+BP108)/12+AL108,SUM(AF108:AG108,BN108,BO108,BP108,AO108,AQ108)/12)</f>
        <v>#N/A</v>
      </c>
      <c r="BR108" t="e">
        <f t="shared" si="35"/>
        <v>#N/A</v>
      </c>
      <c r="BS108" t="e">
        <f t="shared" si="36"/>
        <v>#N/A</v>
      </c>
      <c r="BT108" t="e">
        <f t="shared" si="37"/>
        <v>#N/A</v>
      </c>
      <c r="BU108" s="24" t="e">
        <f>IF(AM108=TRUE,(((Y108-(SD!$E$12*2))*3.14159265359)+BR108+BS108+BT108)/12+AL108,SUM(AF108:AG108,BR108,BS108,BT108,AO108,AQ108)/12)</f>
        <v>#N/A</v>
      </c>
      <c r="BW108" t="str">
        <f>IFERROR(LEFT(Data!L108,FIND(" -",Data!L108)-1),"")</f>
        <v/>
      </c>
      <c r="BX108" t="str">
        <f>IFERROR(IF(SD!$C$40=SD!$U$2,W108,IF(SD!$C$40=SD!$U$3,RIGHT(Data!L108,LEN(Data!L108)-(FIND("-",Data!L108)+1)),SD!$C$40)),"")</f>
        <v>#8</v>
      </c>
      <c r="BY108" t="str" cm="1">
        <f t="array" ref="BY108">IFERROR(_xlfn.LET(_xlpm.GRR,IF(AND(SD!$C$19=SD!$H$2,Grade!$G$1="Per level"),VLOOKUP(B108,Grade!$E$1:$F$200,2,FALSE),IF(AND(SD!$C$19=SD!$H$2,Grade!$G$1="Per Bar Size"),VLOOKUP(BX108,Grade!$B$1:$C$12,2,0),SD!$C$19)),_xlpm.is_equal, A107=A108,_xlpm.grade_range, IF(_xlpm.GRR=SD!$H$3, A615GR60,IF(_xlpm.GRR=SD!$H$4, A615GR75,IF(_xlpm.GRR=SD!$H$5, A615GR80,IF(_xlpm.GRR=SD!H112, A615GR100,IF(_xlpm.GRR=SD!$H$7, A706GR60,IF(_xlpm.GRR=SD!$H$8, A706GR80)))))),_xlpm.match_result, MATCH(1, (BSize=BX108)*(BCName=SD!$C$8), 0),_xlpm.final_result, INDEX(_xlpm.grade_range, _xlpm.match_result),IF(_xlpm.is_equal, "", _xlpm.final_result)),"")</f>
        <v/>
      </c>
      <c r="BZ108" t="str">
        <f>IF(A107=A108,"",IF(SD!$C$41="Match Vertical Bars ",X108,IF(SD!$C$41=SD!$V$3,BW108,SD!$C$41)))</f>
        <v/>
      </c>
      <c r="CA108" t="str" cm="1">
        <f t="array" ref="CA108">IF(A107=A108,"",IF(SD!$C$44="No T-Head",IF(SD!$C$42=SD!$Q$3,VLOOKUP(BX108,S90Range,3,FALSE),LEFT(SD!$C$42,FIND("-",SD!$C$42)-1)+(RIGHT(SD!$C$42,LEN(SD!$C$42)-FIND("-",SD!$C$42))/12)),IF(SD!$C$44="T-Head",_xlfn._xlws.FILTER(THead,(TCName=SD!$C$8)*(TSize=BX108)),IF(SD!$C$44="Level Wise",_xlfn.LET(_xlpm.result,_xlfn.XLOOKUP(B108,VDLevel,VDLevelStatus,"No"),IF(_xlpm.result="Yes",_xlfn._xlws.FILTER(THead,(TCName=SD!$C$8)*(TSize=BX108)),IF(SD!$C$42=SD!$Q$3,VLOOKUP(BX108,S90Range,3,FALSE),LEFT(SD!$C$42,FIND("-",SD!$C$42)-1)+(RIGHT(SD!$C$42,LEN(SD!$C$42)-FIND("-", SD!$C$42))/12)))),IF(SD!$C$44="BarSize Wise",_xlfn.LET(_xlpm.result,_xlfn.XLOOKUP(BX108,VDBarSize,VDBarSizeStatus,"No"),IF(_xlpm.result="Yes",_xlfn._xlws.FILTER(THead,(TCName=SD!$C$8)*(TSize=BX108)),IF(SD!$C$42=SD!$Q$3,VLOOKUP(BX108,S90Range,3,FALSE),LEFT(SD!$C$42,FIND("-",SD!$C$42)-1)+(RIGHT(SD!$C$42,LEN(SD!$C$42)-FIND("-",SD!$C$42))/12)))), "")))))</f>
        <v/>
      </c>
      <c r="CB108" t="str" cm="1">
        <f t="array" ref="CB108">_xlfn.LET(_xlpm.GRR,IF(AND(SD!$C$19=SD!$H$2,Grade!$G$1="Per level"),VLOOKUP(B108,Grade!$E$1:$F$200,2,FALSE),IF(AND(SD!$C$19=SD!$H$2,Grade!$G$1="Per Bar Size"),VLOOKUP(BX108,Grade!$B$1:$C$12,2,0),SD!$C$19)),_xlpm.is_coupler, K108="Coupler",_xlpm.condition1, SD!$C$43=SD!$W$2,_xlpm.data_j2_empty, Data!$J108="",_xlpm.lookup_table, IF(SD!$C$11="Create", Lap!$A$3:$BF$14, IF(SD!$C$11="Per Uploaded File", Lap!$A$19:$BF$30, "")),_xlpm.row_match, MATCH(BX108, Lap!$A$3:$A$14, 0),_xlpm.grade_offset, IF(IFERROR(FIND("Grade 60",_xlpm.GRR), 0) &gt; 0, 0, IF(IFERROR(FIND("Grade 80",_xlpm.GRR), 0), 1, IF(IFERROR(FIND("Grade 75",_xlpm.GRR), 0), 2, ""))),_xlpm.col_match, MATCH(VALUE(D108), Lap!$A$3:$BF$3, 0) + _xlpm.grade_offset,_xlpm.index_result, IFERROR(INDEX(_xlpm.lookup_table, _xlpm.row_match, _xlpm.col_match), Data!$J108),_xlpm.result_if_condition1, IF(_xlpm.data_j2_empty, _xlpm.index_result, Data!$J108),IF(_xlpm.is_coupler, 0, IF(_xlpm.condition1, _xlpm.result_if_condition1, SD!$C$43)))</f>
        <v>4-0</v>
      </c>
      <c r="CC108" s="24">
        <f t="shared" si="38"/>
        <v>4</v>
      </c>
      <c r="CD108">
        <f t="shared" si="39"/>
        <v>4.666666666666667</v>
      </c>
      <c r="CE108" t="str" cm="1">
        <f t="array" ref="CE108">IF(BY108="","",_xlfn._xlws.FILTER(SAC,(CName=SD!$C$8)*(EName="Vert Dowels")))</f>
        <v/>
      </c>
      <c r="CF108" t="str" cm="1">
        <f t="array" ref="CF108">IFERROR(IF(BY108="","",IF(K108="Coupler",_xlfn._xlws.FILTER(CCoupler,(CCName=SD!$C$8)*(CBSize=IF(A107=A108,W107&amp;W108,BX108&amp;W108))*(CCMFM="Male")),"")),"N/A")</f>
        <v/>
      </c>
      <c r="CG108" t="str">
        <f t="shared" si="40"/>
        <v/>
      </c>
      <c r="CH108" t="str">
        <f t="shared" si="41"/>
        <v/>
      </c>
      <c r="CI108" t="str">
        <f>_xlfn.LET(_xlpm.u3_value, U109,_xlpm.hyphen_pos,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K109="Coupler",_xlpm.coupler_value, IF(_xlpm.is_coupler, 0, _xlpm.calculated_value),_xlpm.final_value, _xlpm.calculated_value + SD!$E$13 + _xlpm.coupler_value,IF(CG108="", "", _xlpm.final_value))</f>
        <v/>
      </c>
      <c r="CJ108" t="str" cm="1">
        <f t="array" ref="CJ108">IF(CG108="","",_xlfn._xlws.FILTER(SAC,(CName=SD!$C$8)*(EName="Loose Dowels")))</f>
        <v/>
      </c>
      <c r="CK108" t="str" cm="1">
        <f t="array" ref="CK108">IFERROR(IF(CG108="","",IF(K109="Coupler",_xlfn._xlws.FILTER(CCoupler,(CCName=SD!$C$8)*(CBSize=IF(A108=A109,W108&amp;W109,""))*(CCMFM="Male")),"")),"N/A")</f>
        <v/>
      </c>
      <c r="CL108" t="str">
        <f>IFERROR(IF(AM108="Spiral","",IF(A107=A108,"",IF(SD!$C$37=0,"",SD!$C$37))),"")</f>
        <v/>
      </c>
      <c r="CN108">
        <f>IF(AM108="Spiral","",IFERROR(IF(SD!$C$36=0,"",SD!$C$36),""))</f>
        <v>5</v>
      </c>
      <c r="CP108" t="str">
        <f>IFERROR(IF(SD!$C$42=SD!$Q$3,'Take-off'!CA108,""),"")</f>
        <v/>
      </c>
      <c r="CR108">
        <f>IFERROR(IF(SD!$C$22=SD!$U$2,W108,SD!$C$22),"")</f>
        <v>0</v>
      </c>
      <c r="CS108" t="str" cm="1">
        <f t="array" ref="CS108">_xlfn.LET(_xlpm.GR,IF(AND(SD!$C$19=SD!$H$2,Grade!$G$1="Per level"),VLOOKUP(B108,Grade!$E$1:$F$200,2,FALSE),IF(AND(SD!$C$19=SD!$H$2,Grade!$G$1="Per Bar Size"),VLOOKUP(CR108,Grade!$B$1:$C$12,2,0),SD!$C$19)),IF(SD!$C$20=SD!$R$4,IF(A109=A108,"",INDEX(IF(_xlpm.GR=SD!$H$3,A615GR60,IF(_xlpm.GR=SD!$H$4,A615GR75,IF(_xlpm.GR=SD!$H$5,A615GR80,IF(_xlpm.GR=SD!H112,A615GR100,IF(_xlpm.GR=SD!$H$7,A706GR60,IF(_xlpm.GR=SD!$H$8,A706GR80)))))), MATCH(1, (BSize=CR108)*(BCName=SD!$C$8), 0))),""))</f>
        <v/>
      </c>
      <c r="CT108">
        <f>IF(A109=A108,"",IF(SD!$C$23="Match Vertical Bars ",X108,SD!$C$23))</f>
        <v>0</v>
      </c>
      <c r="CU108" t="str" cm="1">
        <f t="array" ref="CU108">IF(A109=A108,"",IF(SD!$C$20="Top dowels",IF(SD!$E$25="No T-Head",IF(SD!$C$24=SD!$Q$3,VLOOKUP(CR108,S90Range,3,FALSE),LEFT(SD!$C$24,FIND("-",SD!$C$24)-1)+(RIGHT(SD!$C$24,LEN(SD!$C$24)-FIND("-",SD!$C$24))/12)),IF(SD!$E$25="T-Head",_xlfn._xlws.FILTER(THead,(TCName=SD!$C$8)*(TSize=CR108)),IF(SD!$E$25="Level Wise",_xlfn.LET(_xlpm.result,_xlfn.XLOOKUP(B108,TDLevel,TDLevelStatus,"No"),IF(_xlpm.result="Yes",_xlfn._xlws.FILTER(THead,(TCName=SD!$C$8)*(TSize=CR108)),IF(SD!$C$24=SD!$Q$3,VLOOKUP(CR108,S90Range,3,FALSE),LEFT(SD!$C$24,FIND("-",SD!$C$24)-1)+(RIGHT(SD!$C$24,LEN(SD!$C$24)-FIND("-", SD!$C$24))/12)))),IF(SD!$E$25="BarSize Wise",_xlfn.LET(_xlpm.result,_xlfn.XLOOKUP(CR108,TDBarSize,TDBarSizeStatus,"No"),IF(_xlpm.result="Yes",_xlfn._xlws.FILTER(THead,(TCName=SD!$C$8)*(TSize=CR108)),IF(SD!$C$24=SD!$Q$3,VLOOKUP(CR108,S90Range,3,FALSE),LEFT(SD!$C$24,FIND("-",SD!$C$24)-1)+(RIGHT(SD!$C$24,LEN(SD!$C$24)-FIND("-",SD!$C$24))/12)))), "")))),""))</f>
        <v/>
      </c>
      <c r="CV108" t="str">
        <f>_xlfn.LET(_xlpm.GRR,IF(AND(SD!$C$19=SD!$H$2,Grade!$G$1="Per level"),VLOOKUP(B108,Grade!$E$1:$F$200,2,FALSE),IF(AND(SD!$C$19=SD!$H$2,Grade!$G$1="Per Bar Size"),VLOOKUP(CR108,Grade!$B$1:$C$12,2,0),SD!$C$19)),IF(SD!$C$25=SD!$W$2,IF(Data!$J108="",IFERROR(INDEX(IF(SD!$C$11="Create",Lap!$A$3:$BF$14,IF(SD!$C$11="Per Uploaded File",Lap!$A$19:$BF$30,"")),MATCH(CR108,Lap!$A$3:$A$14,0),MATCH(VALUE(D108),Lap!$A$3:$BF$3,0)+IF(IFERROR(FIND("Grade 60",_xlpm.GRR),0)&gt;0,0,IF(IFERROR(FIND("Grade 80",_xlpm.GRR),0),1,IF(IFERROR(FIND("Grade 75",_xlpm.GRR),0),2,"")))),""),Data!J108),SD!$C$43))</f>
        <v>Match Lap</v>
      </c>
      <c r="CW108">
        <f t="shared" si="42"/>
        <v>0</v>
      </c>
      <c r="CX108">
        <f t="shared" si="43"/>
        <v>0</v>
      </c>
      <c r="CY108" t="str">
        <f t="shared" si="44"/>
        <v/>
      </c>
      <c r="DA108" t="str">
        <f t="shared" si="45"/>
        <v/>
      </c>
      <c r="DB108" t="str">
        <f t="shared" si="46"/>
        <v/>
      </c>
      <c r="DC108" s="24" t="str">
        <f t="shared" si="47"/>
        <v/>
      </c>
      <c r="DD108">
        <f t="shared" si="48"/>
        <v>10.583333333333334</v>
      </c>
      <c r="DE108" t="s">
        <v>785</v>
      </c>
      <c r="DF108" t="s">
        <v>67</v>
      </c>
      <c r="DG108" t="str">
        <f>VLOOKUP(W108,'Level Wise PSI'!$F$2:$G$12,2,FALSE)</f>
        <v>Double Lift</v>
      </c>
      <c r="DI108" t="str" cm="1">
        <f t="array" ref="DI108">_xlfn.LET(_xlpm.Coup,IFERROR(IF(BY108="","",IF(K108="Coupler",_xlfn._xlws.FILTER(CCFCoupler,(CCName=SD!$C$8)*(CBSize=IF(A107=A108,W107&amp;W108,BX108&amp;W108))),"")),"N/A"),IF(_xlpm.Coup=0,"",_xlpm.Coup))</f>
        <v/>
      </c>
      <c r="DJ108" t="str" cm="1">
        <f t="array" ref="DJ108">_xlfn.LET(_xlpm.Coup3,IFERROR(IF(CG108="","",IF(K109="Coupler",_xlfn._xlws.FILTER(CCFCoupler,(CCName=SD!$C$8)*(CBSize=IF(A108=A109,W108&amp;W109,""))),"")),"N/A"),IF(_xlpm.Coup3=0,"",_xlpm.Coup3))</f>
        <v/>
      </c>
      <c r="DK108" t="str" cm="1">
        <f t="array" ref="DK108">_xlfn.LET(_xlpm.Coup2,IFERROR(IF(A108&lt;&gt;A109,"",IF(DF108="No Lap","",IF(K109="Coupler",_xlfn._xlws.FILTER(CCFCoupler,(CCName=SD!$C$8)*(CBSize=IF(A107=A108,W108&amp;W109,W108&amp;W108))),""))),"N/A"),IF(_xlpm.Coup2=0,"",_xlpm.Coup2))</f>
        <v/>
      </c>
      <c r="DM108" t="str">
        <f>IF(AM108="Spiral","",IF(SD!$C$31=SD!$Y$3,SD!$E$32*2,""))</f>
        <v/>
      </c>
      <c r="DO108" s="24">
        <f t="shared" si="49"/>
        <v>2.5</v>
      </c>
      <c r="DQ108" t="str">
        <f t="shared" si="50"/>
        <v>Lig</v>
      </c>
      <c r="DR108" t="str">
        <f>IF(AM108="Spiral",((Y108-(SD!$E$12*2))/12),"")</f>
        <v/>
      </c>
      <c r="DS108" t="str">
        <f t="shared" si="51"/>
        <v/>
      </c>
      <c r="DT108" t="str">
        <f t="shared" si="52"/>
        <v/>
      </c>
      <c r="DU108" t="str">
        <f t="shared" si="53"/>
        <v/>
      </c>
    </row>
    <row r="109" spans="1:125" x14ac:dyDescent="0.25">
      <c r="A109">
        <v>38</v>
      </c>
      <c r="B109" t="s">
        <v>664</v>
      </c>
      <c r="C109" s="15">
        <v>2429</v>
      </c>
      <c r="D109" s="15">
        <v>10000</v>
      </c>
      <c r="E109" s="15" t="s">
        <v>702</v>
      </c>
      <c r="F109" s="15" t="s">
        <v>787</v>
      </c>
      <c r="G109" t="s">
        <v>733</v>
      </c>
      <c r="H109" s="15" t="s">
        <v>788</v>
      </c>
      <c r="I109" t="s">
        <v>723</v>
      </c>
      <c r="J109" t="str">
        <f>IF(AND(SD!$C$19=SD!$H$2,Grade!$G$1="Per level"),VLOOKUP(B109,Grade!$E$1:$F$200,2,FALSE),IF(AND(SD!$C$19=SD!$H$2,Grade!$G$1="Per Bar Size"),VLOOKUP(W109,Grade!$B$1:$C$12,2,0),SD!$C$19))</f>
        <v>A615 Grade 60</v>
      </c>
      <c r="K109" t="s">
        <v>67</v>
      </c>
      <c r="L109" t="str">
        <f>IFERROR(IF(A109&lt;&gt;A110,"",IF(DF109="No Lap","",IF(K110="Lap",U109,IF(K110="Coupler",_xlfn._xlws.FILTER(CCoupler,(CCName=SD!$C$8)*(CBSize=IF(A108=A109,W109&amp;W110,W109&amp;W109))*(CCMFM="Male")),"")))),"N/A")</f>
        <v/>
      </c>
      <c r="M109" t="str">
        <f t="shared" si="27"/>
        <v/>
      </c>
      <c r="N109" t="s">
        <v>719</v>
      </c>
      <c r="O109" t="s">
        <v>720</v>
      </c>
      <c r="P109" t="s">
        <v>719</v>
      </c>
      <c r="Q109" t="str">
        <f>IF(AND(SD!$C$29=SD!$P$2,Grade!$O$1="Per level"),VLOOKUP(B109,Grade!$M$1:$N$200,2,FALSE),IF(AND(SD!$C$29=SD!$P$2,Grade!$O$1="Per Bar Size"),VLOOKUP(LEFT(N109,FIND("@",N109)-2),Grade!$J$1:$K$12,2,0),SD!$C$29))</f>
        <v>A615 Grade 60</v>
      </c>
      <c r="R109" t="s">
        <v>725</v>
      </c>
      <c r="S109" s="57">
        <v>109</v>
      </c>
      <c r="U109" t="str">
        <f>IF(Data!$J109="",IFERROR(INDEX(IF(SD!$C$11="Create",Lap!$A$3:$BF$14,IF(SD!$C$11="Per Uploaded File",Lap!$A$19:$BF$30,"")),MATCH(W109,Lap!$A$3:$A$14,0),MATCH(VALUE(D109),Lap!$A$3:$BF$3,0)+IF(IFERROR(FIND("Grade 60",J109),0)&gt;0,0,IF(IFERROR(FIND("Grade 80",J109),0),1,IF(IFERROR(FIND("Grade 75",J109),0),2,"")))),""),Data!J109)</f>
        <v>3-6</v>
      </c>
      <c r="W109" t="s">
        <v>139</v>
      </c>
      <c r="X109">
        <v>6</v>
      </c>
      <c r="Y109" t="str">
        <f t="shared" si="28"/>
        <v xml:space="preserve">14 </v>
      </c>
      <c r="Z109" t="str">
        <f t="shared" si="29"/>
        <v xml:space="preserve"> 24</v>
      </c>
      <c r="AA109" s="24">
        <f t="shared" si="30"/>
        <v>19.583333333333332</v>
      </c>
      <c r="BB109" t="e" cm="1">
        <f t="array" ref="BB109">_xlfn.LET(_xlpm.PartF,(_xlfn.LET(_xlpm.grade, Q109,_xlpm.gradeRange, IF(_xlpm.grade=SD!$H$3, A615GR60, IF(_xlpm.grade=SD!$H$4, A615GR75, IF(_xlpm.grade=SD!$H$5, A615GR80, IF(_xlpm.grade=SD!$H$6, A615GR100, IF(_xlpm.grade=SD!$H$7, A706GR60, IF(_xlpm.grade=SD!$H$8, A706GR80)))))),_xlpm.matchValue, MATCH(1, (SD!$AW:$AW=AS109)*(SD!$AX:$AX=SD!$C$8), 0),INDEX(_xlpm.gradeRange, _xlpm.matchValue))),IF(AM109="Spiral",CONCATENATE("SP",_xlpm.PartF),_xlpm.PartF))</f>
        <v>#N/A</v>
      </c>
      <c r="BC109" cm="1">
        <f t="array" ref="BC109">_xlfn.LET(_xlpm.leftPart, LEFT(O109, FIND("@", O109) - 2),_xlpm.grade,Q109,_xlpm.gradeRange,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09" cm="1">
        <f t="array" ref="BD109">_xlfn.LET(_xlpm.leftPart, LEFT(P109, FIND("@", P109) - 2),_xlpm.grade, Q109,_xlpm.gradeRange,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09">
        <f t="shared" si="31"/>
        <v>2</v>
      </c>
      <c r="BF109">
        <f>IF(SD!$C$32=SD!$I$2,BE109,IF(SD!$C$32=SD!$I$3,DO109,IF(SD!$C$32=SD!$I$5,BA109,IF(SD!$C$32=SD!$I$6,(LEFT(SD!$C$35,FIND("-",SD!$C$35)-1)+RIGHT(SD!$C$35,LEN(SD!$C$35)-FIND("-",SD!$C$35))/12),IF(SD!$C$32=SD!$I$4,(AU109-(BG109+BH109)))))))</f>
        <v>0</v>
      </c>
      <c r="BG109">
        <f>IF(SD!$C$33=SD!$I$2,BE109,IF(SD!$C$33=SD!$I$3,DO109,IF(SD!$C$33=SD!$I$5,BA109,IF(SD!$C$33=SD!$I$6,(LEFT(SD!$C$35,FIND("-",SD!$C$35)-1)+RIGHT(SD!$C$35,LEN(SD!$C$35)-FIND("-",SD!$C$35))/12),IF(SD!$C$33=SD!$I$4,(AU109-(BF109+BH109)))))))</f>
        <v>-1</v>
      </c>
      <c r="BH109">
        <f>IF(SD!$C$34=SD!$I$2,BE109,IF(SD!$C$34=SD!$I$3,DO109,IF(SD!$C$34=SD!$I$5,BA109,IF(SD!$C$34=SD!$I$6,(LEFT(SD!$C$35,FIND("-",SD!$C$35)-1)+RIGHT(SD!$C$35,LEN(SD!$C$35)-FIND("-",SD!$C$35))/12),IF(SD!$C$34=SD!$I$4,(AU109-(BF109+BG109)))))))</f>
        <v>1</v>
      </c>
      <c r="BJ109">
        <f>IF(AM109="Spiral","1",MAX(ROUNDUP(IF(SD!$C$32="",AT109,BF109/(LEFT(RIGHT(N109,LEN(N109)-FIND("@",N109)),LEN(RIGHT(N109,LEN(N109)-FIND("@",N109)))-1)/12)+1),0),0))</f>
        <v>1</v>
      </c>
      <c r="BK109">
        <f>MAX(ROUNDUP(IF(SD!$C$33="","",BG109/(LEFT(RIGHT(O109,LEN(O109)-FIND("@",O109)),LEN(RIGHT(O109,LEN(O109)-FIND("@",O109)))-1)/12)+1),0),0)</f>
        <v>0</v>
      </c>
      <c r="BL109">
        <f>MAX(ROUNDUP(IF(SD!$C$34="","",BH109/(LEFT(RIGHT(P109,LEN(P109)-FIND("@",P109)),LEN(RIGHT(P109,LEN(P109)-FIND("@",P109)))-1)/12)+1),0),0)</f>
        <v>3</v>
      </c>
      <c r="BN109" t="e">
        <f t="shared" si="32"/>
        <v>#N/A</v>
      </c>
      <c r="BO109" t="e">
        <f t="shared" si="33"/>
        <v>#N/A</v>
      </c>
      <c r="BP109" t="e">
        <f t="shared" si="34"/>
        <v>#N/A</v>
      </c>
      <c r="BQ109" s="24" t="e">
        <f>IF(AM109=TRUE,(((Y109-(SD!$E$12*2))*3.14159265359)+BN109+BO109+BP109)/12+AL109,SUM(AF109:AG109,BN109,BO109,BP109,AO109,AQ109)/12)</f>
        <v>#N/A</v>
      </c>
      <c r="BR109" t="e">
        <f t="shared" si="35"/>
        <v>#N/A</v>
      </c>
      <c r="BS109" t="e">
        <f t="shared" si="36"/>
        <v>#N/A</v>
      </c>
      <c r="BT109" t="e">
        <f t="shared" si="37"/>
        <v>#N/A</v>
      </c>
      <c r="BU109" s="24" t="e">
        <f>IF(AM109=TRUE,(((Y109-(SD!$E$12*2))*3.14159265359)+BR109+BS109+BT109)/12+AL109,SUM(AF109:AG109,BR109,BS109,BT109,AO109,AQ109)/12)</f>
        <v>#N/A</v>
      </c>
      <c r="BW109" t="str">
        <f>IFERROR(LEFT(Data!L109,FIND(" -",Data!L109)-1),"")</f>
        <v/>
      </c>
      <c r="BX109" t="str">
        <f>IFERROR(IF(SD!$C$40=SD!$U$2,W109,IF(SD!$C$40=SD!$U$3,RIGHT(Data!L109,LEN(Data!L109)-(FIND("-",Data!L109)+1)),SD!$C$40)),"")</f>
        <v>#7</v>
      </c>
      <c r="BY109" cm="1">
        <f t="array" ref="BY109">IFERROR(_xlfn.LET(_xlpm.GRR,IF(AND(SD!$C$19=SD!$H$2,Grade!$G$1="Per level"),VLOOKUP(B109,Grade!$E$1:$F$200,2,FALSE),IF(AND(SD!$C$19=SD!$H$2,Grade!$G$1="Per Bar Size"),VLOOKUP(BX109,Grade!$B$1:$C$12,2,0),SD!$C$19)),_xlpm.is_equal, A108=A109,_xlpm.grade_range, IF(_xlpm.GRR=SD!$H$3, A615GR60,IF(_xlpm.GRR=SD!$H$4, A615GR75,IF(_xlpm.GRR=SD!$H$5, A615GR80,IF(_xlpm.GRR=SD!H113, A615GR100,IF(_xlpm.GRR=SD!$H$7, A706GR60,IF(_xlpm.GRR=SD!$H$8, A706GR80)))))),_xlpm.match_result, MATCH(1, (BSize=BX109)*(BCName=SD!$C$8), 0),_xlpm.final_result, INDEX(_xlpm.grade_range, _xlpm.match_result),IF(_xlpm.is_equal, "", _xlpm.final_result)),"")</f>
        <v>7</v>
      </c>
      <c r="BZ109">
        <f>IF(A108=A109,"",IF(SD!$C$41="Match Vertical Bars ",X109,IF(SD!$C$41=SD!$V$3,BW109,SD!$C$41)))</f>
        <v>6</v>
      </c>
      <c r="CA109" cm="1">
        <f t="array" ref="CA109">IF(A108=A109,"",IF(SD!$C$44="No T-Head",IF(SD!$C$42=SD!$Q$3,VLOOKUP(BX109,S90Range,3,FALSE),LEFT(SD!$C$42,FIND("-",SD!$C$42)-1)+(RIGHT(SD!$C$42,LEN(SD!$C$42)-FIND("-",SD!$C$42))/12)),IF(SD!$C$44="T-Head",_xlfn._xlws.FILTER(THead,(TCName=SD!$C$8)*(TSize=BX109)),IF(SD!$C$44="Level Wise",_xlfn.LET(_xlpm.result,_xlfn.XLOOKUP(B109,VDLevel,VDLevelStatus,"No"),IF(_xlpm.result="Yes",_xlfn._xlws.FILTER(THead,(TCName=SD!$C$8)*(TSize=BX109)),IF(SD!$C$42=SD!$Q$3,VLOOKUP(BX109,S90Range,3,FALSE),LEFT(SD!$C$42,FIND("-",SD!$C$42)-1)+(RIGHT(SD!$C$42,LEN(SD!$C$42)-FIND("-", SD!$C$42))/12)))),IF(SD!$C$44="BarSize Wise",_xlfn.LET(_xlpm.result,_xlfn.XLOOKUP(BX109,VDBarSize,VDBarSizeStatus,"No"),IF(_xlpm.result="Yes",_xlfn._xlws.FILTER(THead,(TCName=SD!$C$8)*(TSize=BX109)),IF(SD!$C$42=SD!$Q$3,VLOOKUP(BX109,S90Range,3,FALSE),LEFT(SD!$C$42,FIND("-",SD!$C$42)-1)+(RIGHT(SD!$C$42,LEN(SD!$C$42)-FIND("-",SD!$C$42))/12)))), "")))))</f>
        <v>1.1666666666666667</v>
      </c>
      <c r="CB109" t="str" cm="1">
        <f t="array" ref="CB109">_xlfn.LET(_xlpm.GRR,IF(AND(SD!$C$19=SD!$H$2,Grade!$G$1="Per level"),VLOOKUP(B109,Grade!$E$1:$F$200,2,FALSE),IF(AND(SD!$C$19=SD!$H$2,Grade!$G$1="Per Bar Size"),VLOOKUP(BX109,Grade!$B$1:$C$12,2,0),SD!$C$19)),_xlpm.is_coupler, K109="Coupler",_xlpm.condition1, SD!$C$43=SD!$W$2,_xlpm.data_j2_empty, Data!$J109="",_xlpm.lookup_table, IF(SD!$C$11="Create", Lap!$A$3:$BF$14, IF(SD!$C$11="Per Uploaded File", Lap!$A$19:$BF$30, "")),_xlpm.row_match, MATCH(BX109, Lap!$A$3:$A$14, 0),_xlpm.grade_offset, IF(IFERROR(FIND("Grade 60",_xlpm.GRR), 0) &gt; 0, 0, IF(IFERROR(FIND("Grade 80",_xlpm.GRR), 0), 1, IF(IFERROR(FIND("Grade 75",_xlpm.GRR), 0), 2, ""))),_xlpm.col_match, MATCH(VALUE(D109), Lap!$A$3:$BF$3, 0) + _xlpm.grade_offset,_xlpm.index_result, IFERROR(INDEX(_xlpm.lookup_table, _xlpm.row_match, _xlpm.col_match), Data!$J109),_xlpm.result_if_condition1, IF(_xlpm.data_j2_empty, _xlpm.index_result, Data!$J109),IF(_xlpm.is_coupler, 0, IF(_xlpm.condition1, _xlpm.result_if_condition1, SD!$C$43)))</f>
        <v>3-6</v>
      </c>
      <c r="CC109" s="24">
        <f t="shared" si="38"/>
        <v>3.5</v>
      </c>
      <c r="CD109">
        <f t="shared" si="39"/>
        <v>8.6666666666666679</v>
      </c>
      <c r="CE109" t="str" cm="1">
        <f t="array" ref="CE109">IF(BY109="","",_xlfn._xlws.FILTER(SAC,(CName=SD!$C$8)*(EName="Vert Dowels")))</f>
        <v>2200 CD</v>
      </c>
      <c r="CF109" t="str" cm="1">
        <f t="array" ref="CF109">IFERROR(IF(BY109="","",IF(K109="Coupler",_xlfn._xlws.FILTER(CCoupler,(CCName=SD!$C$8)*(CBSize=IF(A108=A109,W108&amp;W109,BX109&amp;W109))*(CCMFM="Male")),"")),"N/A")</f>
        <v/>
      </c>
      <c r="CG109" t="str">
        <f t="shared" si="40"/>
        <v/>
      </c>
      <c r="CH109" t="str">
        <f t="shared" si="41"/>
        <v/>
      </c>
      <c r="CI109" t="str">
        <f>_xlfn.LET(_xlpm.u3_value, U110,_xlpm.hyphen_pos,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K110="Coupler",_xlpm.coupler_value, IF(_xlpm.is_coupler, 0, _xlpm.calculated_value),_xlpm.final_value, _xlpm.calculated_value + SD!$E$13 + _xlpm.coupler_value,IF(CG109="", "", _xlpm.final_value))</f>
        <v/>
      </c>
      <c r="CJ109" t="str" cm="1">
        <f t="array" ref="CJ109">IF(CG109="","",_xlfn._xlws.FILTER(SAC,(CName=SD!$C$8)*(EName="Loose Dowels")))</f>
        <v/>
      </c>
      <c r="CK109" t="str" cm="1">
        <f t="array" ref="CK109">IFERROR(IF(CG109="","",IF(K110="Coupler",_xlfn._xlws.FILTER(CCoupler,(CCName=SD!$C$8)*(CBSize=IF(A109=A110,W109&amp;W110,""))*(CCMFM="Male")),"")),"N/A")</f>
        <v/>
      </c>
      <c r="CL109">
        <f>IFERROR(IF(AM109="Spiral","",IF(A108=A109,"",IF(SD!$C$37=0,"",SD!$C$37))),"")</f>
        <v>3</v>
      </c>
      <c r="CN109">
        <f>IF(AM109="Spiral","",IFERROR(IF(SD!$C$36=0,"",SD!$C$36),""))</f>
        <v>5</v>
      </c>
      <c r="CP109">
        <f>IFERROR(IF(SD!$C$42=SD!$Q$3,'Take-off'!CA109,""),"")</f>
        <v>1.1666666666666667</v>
      </c>
      <c r="CR109">
        <f>IFERROR(IF(SD!$C$22=SD!$U$2,W109,SD!$C$22),"")</f>
        <v>0</v>
      </c>
      <c r="CS109" t="str" cm="1">
        <f t="array" ref="CS109">_xlfn.LET(_xlpm.GR,IF(AND(SD!$C$19=SD!$H$2,Grade!$G$1="Per level"),VLOOKUP(B109,Grade!$E$1:$F$200,2,FALSE),IF(AND(SD!$C$19=SD!$H$2,Grade!$G$1="Per Bar Size"),VLOOKUP(CR109,Grade!$B$1:$C$12,2,0),SD!$C$19)),IF(SD!$C$20=SD!$R$4,IF(A110=A109,"",INDEX(IF(_xlpm.GR=SD!$H$3,A615GR60,IF(_xlpm.GR=SD!$H$4,A615GR75,IF(_xlpm.GR=SD!$H$5,A615GR80,IF(_xlpm.GR=SD!H113,A615GR100,IF(_xlpm.GR=SD!$H$7,A706GR60,IF(_xlpm.GR=SD!$H$8,A706GR80)))))), MATCH(1, (BSize=CR109)*(BCName=SD!$C$8), 0))),""))</f>
        <v/>
      </c>
      <c r="CT109">
        <f>IF(A110=A109,"",IF(SD!$C$23="Match Vertical Bars ",X109,SD!$C$23))</f>
        <v>0</v>
      </c>
      <c r="CU109" t="str" cm="1">
        <f t="array" ref="CU109">IF(A110=A109,"",IF(SD!$C$20="Top dowels",IF(SD!$E$25="No T-Head",IF(SD!$C$24=SD!$Q$3,VLOOKUP(CR109,S90Range,3,FALSE),LEFT(SD!$C$24,FIND("-",SD!$C$24)-1)+(RIGHT(SD!$C$24,LEN(SD!$C$24)-FIND("-",SD!$C$24))/12)),IF(SD!$E$25="T-Head",_xlfn._xlws.FILTER(THead,(TCName=SD!$C$8)*(TSize=CR109)),IF(SD!$E$25="Level Wise",_xlfn.LET(_xlpm.result,_xlfn.XLOOKUP(B109,TDLevel,TDLevelStatus,"No"),IF(_xlpm.result="Yes",_xlfn._xlws.FILTER(THead,(TCName=SD!$C$8)*(TSize=CR109)),IF(SD!$C$24=SD!$Q$3,VLOOKUP(CR109,S90Range,3,FALSE),LEFT(SD!$C$24,FIND("-",SD!$C$24)-1)+(RIGHT(SD!$C$24,LEN(SD!$C$24)-FIND("-", SD!$C$24))/12)))),IF(SD!$E$25="BarSize Wise",_xlfn.LET(_xlpm.result,_xlfn.XLOOKUP(CR109,TDBarSize,TDBarSizeStatus,"No"),IF(_xlpm.result="Yes",_xlfn._xlws.FILTER(THead,(TCName=SD!$C$8)*(TSize=CR109)),IF(SD!$C$24=SD!$Q$3,VLOOKUP(CR109,S90Range,3,FALSE),LEFT(SD!$C$24,FIND("-",SD!$C$24)-1)+(RIGHT(SD!$C$24,LEN(SD!$C$24)-FIND("-",SD!$C$24))/12)))), "")))),""))</f>
        <v/>
      </c>
      <c r="CV109" t="str">
        <f>_xlfn.LET(_xlpm.GRR,IF(AND(SD!$C$19=SD!$H$2,Grade!$G$1="Per level"),VLOOKUP(B109,Grade!$E$1:$F$200,2,FALSE),IF(AND(SD!$C$19=SD!$H$2,Grade!$G$1="Per Bar Size"),VLOOKUP(CR109,Grade!$B$1:$C$12,2,0),SD!$C$19)),IF(SD!$C$25=SD!$W$2,IF(Data!$J109="",IFERROR(INDEX(IF(SD!$C$11="Create",Lap!$A$3:$BF$14,IF(SD!$C$11="Per Uploaded File",Lap!$A$19:$BF$30,"")),MATCH(CR109,Lap!$A$3:$A$14,0),MATCH(VALUE(D109),Lap!$A$3:$BF$3,0)+IF(IFERROR(FIND("Grade 60",_xlpm.GRR),0)&gt;0,0,IF(IFERROR(FIND("Grade 80",_xlpm.GRR),0),1,IF(IFERROR(FIND("Grade 75",_xlpm.GRR),0),2,"")))),""),Data!J109),SD!$C$43))</f>
        <v>Match Lap</v>
      </c>
      <c r="CW109">
        <f t="shared" si="42"/>
        <v>0</v>
      </c>
      <c r="CX109">
        <f t="shared" si="43"/>
        <v>0</v>
      </c>
      <c r="CY109" t="str">
        <f t="shared" si="44"/>
        <v/>
      </c>
      <c r="DA109">
        <f t="shared" si="45"/>
        <v>38</v>
      </c>
      <c r="DB109" t="str">
        <f t="shared" si="46"/>
        <v>19-7</v>
      </c>
      <c r="DC109" s="24">
        <f t="shared" si="47"/>
        <v>19.583333333333332</v>
      </c>
      <c r="DD109">
        <f t="shared" si="48"/>
        <v>19.583333333333332</v>
      </c>
      <c r="DE109" t="s">
        <v>733</v>
      </c>
      <c r="DF109" t="s">
        <v>67</v>
      </c>
      <c r="DG109" t="str">
        <f>VLOOKUP(W109,'Level Wise PSI'!$F$2:$G$12,2,FALSE)</f>
        <v>Double Lift</v>
      </c>
      <c r="DI109" t="str" cm="1">
        <f t="array" ref="DI109">_xlfn.LET(_xlpm.Coup,IFERROR(IF(BY109="","",IF(K109="Coupler",_xlfn._xlws.FILTER(CCFCoupler,(CCName=SD!$C$8)*(CBSize=IF(A108=A109,W108&amp;W109,BX109&amp;W109))),"")),"N/A"),IF(_xlpm.Coup=0,"",_xlpm.Coup))</f>
        <v/>
      </c>
      <c r="DJ109" t="str" cm="1">
        <f t="array" ref="DJ109">_xlfn.LET(_xlpm.Coup3,IFERROR(IF(CG109="","",IF(K110="Coupler",_xlfn._xlws.FILTER(CCFCoupler,(CCName=SD!$C$8)*(CBSize=IF(A109=A110,W109&amp;W110,""))),"")),"N/A"),IF(_xlpm.Coup3=0,"",_xlpm.Coup3))</f>
        <v/>
      </c>
      <c r="DK109" t="str" cm="1">
        <f t="array" ref="DK109">_xlfn.LET(_xlpm.Coup2,IFERROR(IF(A109&lt;&gt;A110,"",IF(DF109="No Lap","",IF(K110="Coupler",_xlfn._xlws.FILTER(CCFCoupler,(CCName=SD!$C$8)*(CBSize=IF(A108=A109,W109&amp;W110,W109&amp;W109))),""))),"N/A"),IF(_xlpm.Coup2=0,"",_xlpm.Coup2))</f>
        <v/>
      </c>
      <c r="DM109" t="str">
        <f>IF(AM109="Spiral","",IF(SD!$C$31=SD!$Y$3,SD!$E$32*2,""))</f>
        <v/>
      </c>
      <c r="DO109" s="24">
        <f t="shared" si="49"/>
        <v>2</v>
      </c>
      <c r="DQ109" t="str">
        <f t="shared" si="50"/>
        <v>Lig</v>
      </c>
      <c r="DR109" t="str">
        <f>IF(AM109="Spiral",((Y109-(SD!$E$12*2))/12),"")</f>
        <v/>
      </c>
      <c r="DS109" t="str">
        <f t="shared" si="51"/>
        <v/>
      </c>
      <c r="DT109" t="str">
        <f t="shared" si="52"/>
        <v/>
      </c>
      <c r="DU109" t="str">
        <f t="shared" si="53"/>
        <v/>
      </c>
    </row>
    <row r="110" spans="1:125" x14ac:dyDescent="0.25">
      <c r="A110">
        <v>39</v>
      </c>
      <c r="B110" t="s">
        <v>664</v>
      </c>
      <c r="C110" s="15">
        <v>2429</v>
      </c>
      <c r="D110" s="15">
        <v>10000</v>
      </c>
      <c r="E110" s="15" t="s">
        <v>704</v>
      </c>
      <c r="F110" s="15" t="s">
        <v>787</v>
      </c>
      <c r="G110" t="s">
        <v>733</v>
      </c>
      <c r="H110" s="15" t="s">
        <v>790</v>
      </c>
      <c r="I110" t="s">
        <v>723</v>
      </c>
      <c r="J110" t="str">
        <f>IF(AND(SD!$C$19=SD!$H$2,Grade!$G$1="Per level"),VLOOKUP(B110,Grade!$E$1:$F$200,2,FALSE),IF(AND(SD!$C$19=SD!$H$2,Grade!$G$1="Per Bar Size"),VLOOKUP(W110,Grade!$B$1:$C$12,2,0),SD!$C$19))</f>
        <v>A615 Grade 60</v>
      </c>
      <c r="K110" t="s">
        <v>67</v>
      </c>
      <c r="L110" t="str">
        <f>IFERROR(IF(A110&lt;&gt;A111,"",IF(DF110="No Lap","",IF(K111="Lap",U110,IF(K111="Coupler",_xlfn._xlws.FILTER(CCoupler,(CCName=SD!$C$8)*(CBSize=IF(A109=A110,W110&amp;W111,W110&amp;W110))*(CCMFM="Male")),"")))),"N/A")</f>
        <v/>
      </c>
      <c r="M110" t="str">
        <f t="shared" si="27"/>
        <v/>
      </c>
      <c r="N110" t="s">
        <v>719</v>
      </c>
      <c r="O110" t="s">
        <v>720</v>
      </c>
      <c r="P110" t="s">
        <v>719</v>
      </c>
      <c r="Q110" t="str">
        <f>IF(AND(SD!$C$29=SD!$P$2,Grade!$O$1="Per level"),VLOOKUP(B110,Grade!$M$1:$N$200,2,FALSE),IF(AND(SD!$C$29=SD!$P$2,Grade!$O$1="Per Bar Size"),VLOOKUP(LEFT(N110,FIND("@",N110)-2),Grade!$J$1:$K$12,2,0),SD!$C$29))</f>
        <v>A615 Grade 60</v>
      </c>
      <c r="R110" t="s">
        <v>725</v>
      </c>
      <c r="S110" s="57">
        <v>110</v>
      </c>
      <c r="U110" t="str">
        <f>IF(Data!$J110="",IFERROR(INDEX(IF(SD!$C$11="Create",Lap!$A$3:$BF$14,IF(SD!$C$11="Per Uploaded File",Lap!$A$19:$BF$30,"")),MATCH(W110,Lap!$A$3:$A$14,0),MATCH(VALUE(D110),Lap!$A$3:$BF$3,0)+IF(IFERROR(FIND("Grade 60",J110),0)&gt;0,0,IF(IFERROR(FIND("Grade 80",J110),0),1,IF(IFERROR(FIND("Grade 75",J110),0),2,"")))),""),Data!J110)</f>
        <v>3-6</v>
      </c>
      <c r="W110" t="s">
        <v>139</v>
      </c>
      <c r="X110">
        <v>6</v>
      </c>
      <c r="Y110" t="str">
        <f t="shared" si="28"/>
        <v xml:space="preserve">14 </v>
      </c>
      <c r="Z110" t="str">
        <f t="shared" si="29"/>
        <v xml:space="preserve"> 24</v>
      </c>
      <c r="AA110" s="24">
        <f t="shared" si="30"/>
        <v>12.25</v>
      </c>
      <c r="BB110" t="e" cm="1">
        <f t="array" ref="BB110">_xlfn.LET(_xlpm.PartF,(_xlfn.LET(_xlpm.grade, Q110,_xlpm.gradeRange, IF(_xlpm.grade=SD!$H$3, A615GR60, IF(_xlpm.grade=SD!$H$4, A615GR75, IF(_xlpm.grade=SD!$H$5, A615GR80, IF(_xlpm.grade=SD!$H$6, A615GR100, IF(_xlpm.grade=SD!$H$7, A706GR60, IF(_xlpm.grade=SD!$H$8, A706GR80)))))),_xlpm.matchValue, MATCH(1, (SD!$AW:$AW=AS110)*(SD!$AX:$AX=SD!$C$8), 0),INDEX(_xlpm.gradeRange, _xlpm.matchValue))),IF(AM110="Spiral",CONCATENATE("SP",_xlpm.PartF),_xlpm.PartF))</f>
        <v>#N/A</v>
      </c>
      <c r="BC110" cm="1">
        <f t="array" ref="BC110">_xlfn.LET(_xlpm.leftPart, LEFT(O110, FIND("@", O110) - 2),_xlpm.grade,Q110,_xlpm.gradeRange,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0" cm="1">
        <f t="array" ref="BD110">_xlfn.LET(_xlpm.leftPart, LEFT(P110, FIND("@", P110) - 2),_xlpm.grade, Q110,_xlpm.gradeRange,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0">
        <f t="shared" si="31"/>
        <v>2</v>
      </c>
      <c r="BF110">
        <f>IF(SD!$C$32=SD!$I$2,BE110,IF(SD!$C$32=SD!$I$3,DO110,IF(SD!$C$32=SD!$I$5,BA110,IF(SD!$C$32=SD!$I$6,(LEFT(SD!$C$35,FIND("-",SD!$C$35)-1)+RIGHT(SD!$C$35,LEN(SD!$C$35)-FIND("-",SD!$C$35))/12),IF(SD!$C$32=SD!$I$4,(AU110-(BG110+BH110)))))))</f>
        <v>0</v>
      </c>
      <c r="BG110">
        <f>IF(SD!$C$33=SD!$I$2,BE110,IF(SD!$C$33=SD!$I$3,DO110,IF(SD!$C$33=SD!$I$5,BA110,IF(SD!$C$33=SD!$I$6,(LEFT(SD!$C$35,FIND("-",SD!$C$35)-1)+RIGHT(SD!$C$35,LEN(SD!$C$35)-FIND("-",SD!$C$35))/12),IF(SD!$C$33=SD!$I$4,(AU110-(BF110+BH110)))))))</f>
        <v>-1</v>
      </c>
      <c r="BH110">
        <f>IF(SD!$C$34=SD!$I$2,BE110,IF(SD!$C$34=SD!$I$3,DO110,IF(SD!$C$34=SD!$I$5,BA110,IF(SD!$C$34=SD!$I$6,(LEFT(SD!$C$35,FIND("-",SD!$C$35)-1)+RIGHT(SD!$C$35,LEN(SD!$C$35)-FIND("-",SD!$C$35))/12),IF(SD!$C$34=SD!$I$4,(AU110-(BF110+BG110)))))))</f>
        <v>1</v>
      </c>
      <c r="BJ110">
        <f>IF(AM110="Spiral","1",MAX(ROUNDUP(IF(SD!$C$32="",AT110,BF110/(LEFT(RIGHT(N110,LEN(N110)-FIND("@",N110)),LEN(RIGHT(N110,LEN(N110)-FIND("@",N110)))-1)/12)+1),0),0))</f>
        <v>1</v>
      </c>
      <c r="BK110">
        <f>MAX(ROUNDUP(IF(SD!$C$33="","",BG110/(LEFT(RIGHT(O110,LEN(O110)-FIND("@",O110)),LEN(RIGHT(O110,LEN(O110)-FIND("@",O110)))-1)/12)+1),0),0)</f>
        <v>0</v>
      </c>
      <c r="BL110">
        <f>MAX(ROUNDUP(IF(SD!$C$34="","",BH110/(LEFT(RIGHT(P110,LEN(P110)-FIND("@",P110)),LEN(RIGHT(P110,LEN(P110)-FIND("@",P110)))-1)/12)+1),0),0)</f>
        <v>3</v>
      </c>
      <c r="BN110" t="e">
        <f t="shared" si="32"/>
        <v>#N/A</v>
      </c>
      <c r="BO110" t="e">
        <f t="shared" si="33"/>
        <v>#N/A</v>
      </c>
      <c r="BP110" t="e">
        <f t="shared" si="34"/>
        <v>#N/A</v>
      </c>
      <c r="BQ110" s="24" t="e">
        <f>IF(AM110=TRUE,(((Y110-(SD!$E$12*2))*3.14159265359)+BN110+BO110+BP110)/12+AL110,SUM(AF110:AG110,BN110,BO110,BP110,AO110,AQ110)/12)</f>
        <v>#N/A</v>
      </c>
      <c r="BR110" t="e">
        <f t="shared" si="35"/>
        <v>#N/A</v>
      </c>
      <c r="BS110" t="e">
        <f t="shared" si="36"/>
        <v>#N/A</v>
      </c>
      <c r="BT110" t="e">
        <f t="shared" si="37"/>
        <v>#N/A</v>
      </c>
      <c r="BU110" s="24" t="e">
        <f>IF(AM110=TRUE,(((Y110-(SD!$E$12*2))*3.14159265359)+BR110+BS110+BT110)/12+AL110,SUM(AF110:AG110,BR110,BS110,BT110,AO110,AQ110)/12)</f>
        <v>#N/A</v>
      </c>
      <c r="BW110" t="str">
        <f>IFERROR(LEFT(Data!L110,FIND(" -",Data!L110)-1),"")</f>
        <v/>
      </c>
      <c r="BX110" t="str">
        <f>IFERROR(IF(SD!$C$40=SD!$U$2,W110,IF(SD!$C$40=SD!$U$3,RIGHT(Data!L110,LEN(Data!L110)-(FIND("-",Data!L110)+1)),SD!$C$40)),"")</f>
        <v>#7</v>
      </c>
      <c r="BY110" cm="1">
        <f t="array" ref="BY110">IFERROR(_xlfn.LET(_xlpm.GRR,IF(AND(SD!$C$19=SD!$H$2,Grade!$G$1="Per level"),VLOOKUP(B110,Grade!$E$1:$F$200,2,FALSE),IF(AND(SD!$C$19=SD!$H$2,Grade!$G$1="Per Bar Size"),VLOOKUP(BX110,Grade!$B$1:$C$12,2,0),SD!$C$19)),_xlpm.is_equal, A109=A110,_xlpm.grade_range, IF(_xlpm.GRR=SD!$H$3, A615GR60,IF(_xlpm.GRR=SD!$H$4, A615GR75,IF(_xlpm.GRR=SD!$H$5, A615GR80,IF(_xlpm.GRR=SD!H114, A615GR100,IF(_xlpm.GRR=SD!$H$7, A706GR60,IF(_xlpm.GRR=SD!$H$8, A706GR80)))))),_xlpm.match_result, MATCH(1, (BSize=BX110)*(BCName=SD!$C$8), 0),_xlpm.final_result, INDEX(_xlpm.grade_range, _xlpm.match_result),IF(_xlpm.is_equal, "", _xlpm.final_result)),"")</f>
        <v>7</v>
      </c>
      <c r="BZ110">
        <f>IF(A109=A110,"",IF(SD!$C$41="Match Vertical Bars ",X110,IF(SD!$C$41=SD!$V$3,BW110,SD!$C$41)))</f>
        <v>6</v>
      </c>
      <c r="CA110" cm="1">
        <f t="array" ref="CA110">IF(A109=A110,"",IF(SD!$C$44="No T-Head",IF(SD!$C$42=SD!$Q$3,VLOOKUP(BX110,S90Range,3,FALSE),LEFT(SD!$C$42,FIND("-",SD!$C$42)-1)+(RIGHT(SD!$C$42,LEN(SD!$C$42)-FIND("-",SD!$C$42))/12)),IF(SD!$C$44="T-Head",_xlfn._xlws.FILTER(THead,(TCName=SD!$C$8)*(TSize=BX110)),IF(SD!$C$44="Level Wise",_xlfn.LET(_xlpm.result,_xlfn.XLOOKUP(B110,VDLevel,VDLevelStatus,"No"),IF(_xlpm.result="Yes",_xlfn._xlws.FILTER(THead,(TCName=SD!$C$8)*(TSize=BX110)),IF(SD!$C$42=SD!$Q$3,VLOOKUP(BX110,S90Range,3,FALSE),LEFT(SD!$C$42,FIND("-",SD!$C$42)-1)+(RIGHT(SD!$C$42,LEN(SD!$C$42)-FIND("-", SD!$C$42))/12)))),IF(SD!$C$44="BarSize Wise",_xlfn.LET(_xlpm.result,_xlfn.XLOOKUP(BX110,VDBarSize,VDBarSizeStatus,"No"),IF(_xlpm.result="Yes",_xlfn._xlws.FILTER(THead,(TCName=SD!$C$8)*(TSize=BX110)),IF(SD!$C$42=SD!$Q$3,VLOOKUP(BX110,S90Range,3,FALSE),LEFT(SD!$C$42,FIND("-",SD!$C$42)-1)+(RIGHT(SD!$C$42,LEN(SD!$C$42)-FIND("-",SD!$C$42))/12)))), "")))))</f>
        <v>1.1666666666666667</v>
      </c>
      <c r="CB110" t="str" cm="1">
        <f t="array" ref="CB110">_xlfn.LET(_xlpm.GRR,IF(AND(SD!$C$19=SD!$H$2,Grade!$G$1="Per level"),VLOOKUP(B110,Grade!$E$1:$F$200,2,FALSE),IF(AND(SD!$C$19=SD!$H$2,Grade!$G$1="Per Bar Size"),VLOOKUP(BX110,Grade!$B$1:$C$12,2,0),SD!$C$19)),_xlpm.is_coupler, K110="Coupler",_xlpm.condition1, SD!$C$43=SD!$W$2,_xlpm.data_j2_empty, Data!$J110="",_xlpm.lookup_table, IF(SD!$C$11="Create", Lap!$A$3:$BF$14, IF(SD!$C$11="Per Uploaded File", Lap!$A$19:$BF$30, "")),_xlpm.row_match, MATCH(BX110, Lap!$A$3:$A$14, 0),_xlpm.grade_offset, IF(IFERROR(FIND("Grade 60",_xlpm.GRR), 0) &gt; 0, 0, IF(IFERROR(FIND("Grade 80",_xlpm.GRR), 0), 1, IF(IFERROR(FIND("Grade 75",_xlpm.GRR), 0), 2, ""))),_xlpm.col_match, MATCH(VALUE(D110), Lap!$A$3:$BF$3, 0) + _xlpm.grade_offset,_xlpm.index_result, IFERROR(INDEX(_xlpm.lookup_table, _xlpm.row_match, _xlpm.col_match), Data!$J110),_xlpm.result_if_condition1, IF(_xlpm.data_j2_empty, _xlpm.index_result, Data!$J110),IF(_xlpm.is_coupler, 0, IF(_xlpm.condition1, _xlpm.result_if_condition1, SD!$C$43)))</f>
        <v>3-6</v>
      </c>
      <c r="CC110" s="24">
        <f t="shared" si="38"/>
        <v>3.5</v>
      </c>
      <c r="CD110">
        <f t="shared" si="39"/>
        <v>8.1666666666666679</v>
      </c>
      <c r="CE110" t="str" cm="1">
        <f t="array" ref="CE110">IF(BY110="","",_xlfn._xlws.FILTER(SAC,(CName=SD!$C$8)*(EName="Vert Dowels")))</f>
        <v>2200 CD</v>
      </c>
      <c r="CF110" t="str" cm="1">
        <f t="array" ref="CF110">IFERROR(IF(BY110="","",IF(K110="Coupler",_xlfn._xlws.FILTER(CCoupler,(CCName=SD!$C$8)*(CBSize=IF(A109=A110,W109&amp;W110,BX110&amp;W110))*(CCMFM="Male")),"")),"N/A")</f>
        <v/>
      </c>
      <c r="CG110" t="str">
        <f t="shared" si="40"/>
        <v/>
      </c>
      <c r="CH110" t="str">
        <f t="shared" si="41"/>
        <v/>
      </c>
      <c r="CI110" t="str">
        <f>_xlfn.LET(_xlpm.u3_value, U111,_xlpm.hyphen_pos,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K111="Coupler",_xlpm.coupler_value, IF(_xlpm.is_coupler, 0, _xlpm.calculated_value),_xlpm.final_value, _xlpm.calculated_value + SD!$E$13 + _xlpm.coupler_value,IF(CG110="", "", _xlpm.final_value))</f>
        <v/>
      </c>
      <c r="CJ110" t="str" cm="1">
        <f t="array" ref="CJ110">IF(CG110="","",_xlfn._xlws.FILTER(SAC,(CName=SD!$C$8)*(EName="Loose Dowels")))</f>
        <v/>
      </c>
      <c r="CK110" t="str" cm="1">
        <f t="array" ref="CK110">IFERROR(IF(CG110="","",IF(K111="Coupler",_xlfn._xlws.FILTER(CCoupler,(CCName=SD!$C$8)*(CBSize=IF(A110=A111,W110&amp;W111,""))*(CCMFM="Male")),"")),"N/A")</f>
        <v/>
      </c>
      <c r="CL110">
        <f>IFERROR(IF(AM110="Spiral","",IF(A109=A110,"",IF(SD!$C$37=0,"",SD!$C$37))),"")</f>
        <v>3</v>
      </c>
      <c r="CN110">
        <f>IF(AM110="Spiral","",IFERROR(IF(SD!$C$36=0,"",SD!$C$36),""))</f>
        <v>5</v>
      </c>
      <c r="CP110">
        <f>IFERROR(IF(SD!$C$42=SD!$Q$3,'Take-off'!CA110,""),"")</f>
        <v>1.1666666666666667</v>
      </c>
      <c r="CR110">
        <f>IFERROR(IF(SD!$C$22=SD!$U$2,W110,SD!$C$22),"")</f>
        <v>0</v>
      </c>
      <c r="CS110" t="str" cm="1">
        <f t="array" ref="CS110">_xlfn.LET(_xlpm.GR,IF(AND(SD!$C$19=SD!$H$2,Grade!$G$1="Per level"),VLOOKUP(B110,Grade!$E$1:$F$200,2,FALSE),IF(AND(SD!$C$19=SD!$H$2,Grade!$G$1="Per Bar Size"),VLOOKUP(CR110,Grade!$B$1:$C$12,2,0),SD!$C$19)),IF(SD!$C$20=SD!$R$4,IF(A111=A110,"",INDEX(IF(_xlpm.GR=SD!$H$3,A615GR60,IF(_xlpm.GR=SD!$H$4,A615GR75,IF(_xlpm.GR=SD!$H$5,A615GR80,IF(_xlpm.GR=SD!H114,A615GR100,IF(_xlpm.GR=SD!$H$7,A706GR60,IF(_xlpm.GR=SD!$H$8,A706GR80)))))), MATCH(1, (BSize=CR110)*(BCName=SD!$C$8), 0))),""))</f>
        <v/>
      </c>
      <c r="CT110">
        <f>IF(A111=A110,"",IF(SD!$C$23="Match Vertical Bars ",X110,SD!$C$23))</f>
        <v>0</v>
      </c>
      <c r="CU110" t="str" cm="1">
        <f t="array" ref="CU110">IF(A111=A110,"",IF(SD!$C$20="Top dowels",IF(SD!$E$25="No T-Head",IF(SD!$C$24=SD!$Q$3,VLOOKUP(CR110,S90Range,3,FALSE),LEFT(SD!$C$24,FIND("-",SD!$C$24)-1)+(RIGHT(SD!$C$24,LEN(SD!$C$24)-FIND("-",SD!$C$24))/12)),IF(SD!$E$25="T-Head",_xlfn._xlws.FILTER(THead,(TCName=SD!$C$8)*(TSize=CR110)),IF(SD!$E$25="Level Wise",_xlfn.LET(_xlpm.result,_xlfn.XLOOKUP(B110,TDLevel,TDLevelStatus,"No"),IF(_xlpm.result="Yes",_xlfn._xlws.FILTER(THead,(TCName=SD!$C$8)*(TSize=CR110)),IF(SD!$C$24=SD!$Q$3,VLOOKUP(CR110,S90Range,3,FALSE),LEFT(SD!$C$24,FIND("-",SD!$C$24)-1)+(RIGHT(SD!$C$24,LEN(SD!$C$24)-FIND("-", SD!$C$24))/12)))),IF(SD!$E$25="BarSize Wise",_xlfn.LET(_xlpm.result,_xlfn.XLOOKUP(CR110,TDBarSize,TDBarSizeStatus,"No"),IF(_xlpm.result="Yes",_xlfn._xlws.FILTER(THead,(TCName=SD!$C$8)*(TSize=CR110)),IF(SD!$C$24=SD!$Q$3,VLOOKUP(CR110,S90Range,3,FALSE),LEFT(SD!$C$24,FIND("-",SD!$C$24)-1)+(RIGHT(SD!$C$24,LEN(SD!$C$24)-FIND("-",SD!$C$24))/12)))), "")))),""))</f>
        <v/>
      </c>
      <c r="CV110" t="str">
        <f>_xlfn.LET(_xlpm.GRR,IF(AND(SD!$C$19=SD!$H$2,Grade!$G$1="Per level"),VLOOKUP(B110,Grade!$E$1:$F$200,2,FALSE),IF(AND(SD!$C$19=SD!$H$2,Grade!$G$1="Per Bar Size"),VLOOKUP(CR110,Grade!$B$1:$C$12,2,0),SD!$C$19)),IF(SD!$C$25=SD!$W$2,IF(Data!$J110="",IFERROR(INDEX(IF(SD!$C$11="Create",Lap!$A$3:$BF$14,IF(SD!$C$11="Per Uploaded File",Lap!$A$19:$BF$30,"")),MATCH(CR110,Lap!$A$3:$A$14,0),MATCH(VALUE(D110),Lap!$A$3:$BF$3,0)+IF(IFERROR(FIND("Grade 60",_xlpm.GRR),0)&gt;0,0,IF(IFERROR(FIND("Grade 80",_xlpm.GRR),0),1,IF(IFERROR(FIND("Grade 75",_xlpm.GRR),0),2,"")))),""),Data!J110),SD!$C$43))</f>
        <v>Match Lap</v>
      </c>
      <c r="CW110">
        <f t="shared" si="42"/>
        <v>0</v>
      </c>
      <c r="CX110">
        <f t="shared" si="43"/>
        <v>0</v>
      </c>
      <c r="CY110" t="str">
        <f t="shared" si="44"/>
        <v/>
      </c>
      <c r="DA110">
        <f t="shared" si="45"/>
        <v>39</v>
      </c>
      <c r="DB110" t="str">
        <f t="shared" si="46"/>
        <v>12-3</v>
      </c>
      <c r="DC110" s="24">
        <f t="shared" si="47"/>
        <v>12.25</v>
      </c>
      <c r="DD110">
        <f t="shared" si="48"/>
        <v>12.25</v>
      </c>
      <c r="DE110" t="s">
        <v>733</v>
      </c>
      <c r="DF110" t="s">
        <v>67</v>
      </c>
      <c r="DG110" t="str">
        <f>VLOOKUP(W110,'Level Wise PSI'!$F$2:$G$12,2,FALSE)</f>
        <v>Double Lift</v>
      </c>
      <c r="DI110" t="str" cm="1">
        <f t="array" ref="DI110">_xlfn.LET(_xlpm.Coup,IFERROR(IF(BY110="","",IF(K110="Coupler",_xlfn._xlws.FILTER(CCFCoupler,(CCName=SD!$C$8)*(CBSize=IF(A109=A110,W109&amp;W110,BX110&amp;W110))),"")),"N/A"),IF(_xlpm.Coup=0,"",_xlpm.Coup))</f>
        <v/>
      </c>
      <c r="DJ110" t="str" cm="1">
        <f t="array" ref="DJ110">_xlfn.LET(_xlpm.Coup3,IFERROR(IF(CG110="","",IF(K111="Coupler",_xlfn._xlws.FILTER(CCFCoupler,(CCName=SD!$C$8)*(CBSize=IF(A110=A111,W110&amp;W111,""))),"")),"N/A"),IF(_xlpm.Coup3=0,"",_xlpm.Coup3))</f>
        <v/>
      </c>
      <c r="DK110" t="str" cm="1">
        <f t="array" ref="DK110">_xlfn.LET(_xlpm.Coup2,IFERROR(IF(A110&lt;&gt;A111,"",IF(DF110="No Lap","",IF(K111="Coupler",_xlfn._xlws.FILTER(CCFCoupler,(CCName=SD!$C$8)*(CBSize=IF(A109=A110,W110&amp;W111,W110&amp;W110))),""))),"N/A"),IF(_xlpm.Coup2=0,"",_xlpm.Coup2))</f>
        <v/>
      </c>
      <c r="DM110" t="str">
        <f>IF(AM110="Spiral","",IF(SD!$C$31=SD!$Y$3,SD!$E$32*2,""))</f>
        <v/>
      </c>
      <c r="DO110" s="24">
        <f t="shared" si="49"/>
        <v>2</v>
      </c>
      <c r="DQ110" t="str">
        <f t="shared" si="50"/>
        <v>Lig</v>
      </c>
      <c r="DR110" t="str">
        <f>IF(AM110="Spiral",((Y110-(SD!$E$12*2))/12),"")</f>
        <v/>
      </c>
      <c r="DS110" t="str">
        <f t="shared" si="51"/>
        <v/>
      </c>
      <c r="DT110" t="str">
        <f t="shared" si="52"/>
        <v/>
      </c>
      <c r="DU110" t="str">
        <f t="shared" si="53"/>
        <v/>
      </c>
    </row>
    <row r="111" spans="1:125" x14ac:dyDescent="0.25">
      <c r="A111">
        <v>4</v>
      </c>
      <c r="B111" t="s">
        <v>664</v>
      </c>
      <c r="C111" s="15">
        <v>2429</v>
      </c>
      <c r="D111" s="15">
        <v>10000</v>
      </c>
      <c r="E111" t="str">
        <f>IF(B111=Level!$A$2,SD!$C$14,SD!$C$13)</f>
        <v>3-0</v>
      </c>
      <c r="F111" s="15" t="s">
        <v>787</v>
      </c>
      <c r="G111" t="s">
        <v>717</v>
      </c>
      <c r="H111" s="15" t="s">
        <v>788</v>
      </c>
      <c r="I111" t="s">
        <v>718</v>
      </c>
      <c r="J111" t="str">
        <f>IF(AND(SD!$C$19=SD!$H$2,Grade!$G$1="Per level"),VLOOKUP(B111,Grade!$E$1:$F$200,2,FALSE),IF(AND(SD!$C$19=SD!$H$2,Grade!$G$1="Per Bar Size"),VLOOKUP(W111,Grade!$B$1:$C$12,2,0),SD!$C$19))</f>
        <v>A615 Grade 60</v>
      </c>
      <c r="K111" t="s">
        <v>67</v>
      </c>
      <c r="L111" t="str">
        <f>IFERROR(IF(A111&lt;&gt;A112,"",IF(DF111="No Lap","",IF(K112="Lap",U111,IF(K112="Coupler",_xlfn._xlws.FILTER(CCoupler,(CCName=SD!$C$8)*(CBSize=IF(A110=A111,W111&amp;W112,W111&amp;W111))*(CCMFM="Male")),"")))),"N/A")</f>
        <v/>
      </c>
      <c r="M111" t="str">
        <f t="shared" si="27"/>
        <v/>
      </c>
      <c r="N111" t="s">
        <v>719</v>
      </c>
      <c r="O111" t="s">
        <v>720</v>
      </c>
      <c r="P111" t="s">
        <v>719</v>
      </c>
      <c r="Q111" t="str">
        <f>IF(AND(SD!$C$29=SD!$P$2,Grade!$O$1="Per level"),VLOOKUP(B111,Grade!$M$1:$N$200,2,FALSE),IF(AND(SD!$C$29=SD!$P$2,Grade!$O$1="Per Bar Size"),VLOOKUP(LEFT(N111,FIND("@",N111)-2),Grade!$J$1:$K$12,2,0),SD!$C$29))</f>
        <v>A615 Grade 60</v>
      </c>
      <c r="R111" t="s">
        <v>721</v>
      </c>
      <c r="S111" s="57">
        <v>111</v>
      </c>
      <c r="U111" t="str">
        <f>IF(Data!$J111="",IFERROR(INDEX(IF(SD!$C$11="Create",Lap!$A$3:$BF$14,IF(SD!$C$11="Per Uploaded File",Lap!$A$19:$BF$30,"")),MATCH(W111,Lap!$A$3:$A$14,0),MATCH(VALUE(D111),Lap!$A$3:$BF$3,0)+IF(IFERROR(FIND("Grade 60",J111),0)&gt;0,0,IF(IFERROR(FIND("Grade 80",J111),0),1,IF(IFERROR(FIND("Grade 75",J111),0),2,"")))),""),Data!J111)</f>
        <v>3-6</v>
      </c>
      <c r="W111" t="s">
        <v>139</v>
      </c>
      <c r="X111">
        <v>14</v>
      </c>
      <c r="Y111" t="str">
        <f t="shared" si="28"/>
        <v xml:space="preserve">12 </v>
      </c>
      <c r="Z111" t="str">
        <f t="shared" si="29"/>
        <v xml:space="preserve"> 56</v>
      </c>
      <c r="AA111" s="24">
        <f t="shared" si="30"/>
        <v>19.583333333333332</v>
      </c>
      <c r="BB111" t="e" cm="1">
        <f t="array" ref="BB111">_xlfn.LET(_xlpm.PartF,(_xlfn.LET(_xlpm.grade, Q111,_xlpm.gradeRange, IF(_xlpm.grade=SD!$H$3, A615GR60, IF(_xlpm.grade=SD!$H$4, A615GR75, IF(_xlpm.grade=SD!$H$5, A615GR80, IF(_xlpm.grade=SD!$H$6, A615GR100, IF(_xlpm.grade=SD!$H$7, A706GR60, IF(_xlpm.grade=SD!$H$8, A706GR80)))))),_xlpm.matchValue, MATCH(1, (SD!$AW:$AW=AS111)*(SD!$AX:$AX=SD!$C$8), 0),INDEX(_xlpm.gradeRange, _xlpm.matchValue))),IF(AM111="Spiral",CONCATENATE("SP",_xlpm.PartF),_xlpm.PartF))</f>
        <v>#N/A</v>
      </c>
      <c r="BC111" cm="1">
        <f t="array" ref="BC111">_xlfn.LET(_xlpm.leftPart, LEFT(O111, FIND("@", O111) - 2),_xlpm.grade,Q111,_xlpm.gradeRange,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1" cm="1">
        <f t="array" ref="BD111">_xlfn.LET(_xlpm.leftPart, LEFT(P111, FIND("@", P111) - 2),_xlpm.grade, Q111,_xlpm.gradeRange,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1">
        <f t="shared" si="31"/>
        <v>4.666666666666667</v>
      </c>
      <c r="BF111">
        <f>IF(SD!$C$32=SD!$I$2,BE111,IF(SD!$C$32=SD!$I$3,DO111,IF(SD!$C$32=SD!$I$5,BA111,IF(SD!$C$32=SD!$I$6,(LEFT(SD!$C$35,FIND("-",SD!$C$35)-1)+RIGHT(SD!$C$35,LEN(SD!$C$35)-FIND("-",SD!$C$35))/12),IF(SD!$C$32=SD!$I$4,(AU111-(BG111+BH111)))))))</f>
        <v>0</v>
      </c>
      <c r="BG111">
        <f>IF(SD!$C$33=SD!$I$2,BE111,IF(SD!$C$33=SD!$I$3,DO111,IF(SD!$C$33=SD!$I$5,BA111,IF(SD!$C$33=SD!$I$6,(LEFT(SD!$C$35,FIND("-",SD!$C$35)-1)+RIGHT(SD!$C$35,LEN(SD!$C$35)-FIND("-",SD!$C$35))/12),IF(SD!$C$33=SD!$I$4,(AU111-(BF111+BH111)))))))</f>
        <v>-1</v>
      </c>
      <c r="BH111">
        <f>IF(SD!$C$34=SD!$I$2,BE111,IF(SD!$C$34=SD!$I$3,DO111,IF(SD!$C$34=SD!$I$5,BA111,IF(SD!$C$34=SD!$I$6,(LEFT(SD!$C$35,FIND("-",SD!$C$35)-1)+RIGHT(SD!$C$35,LEN(SD!$C$35)-FIND("-",SD!$C$35))/12),IF(SD!$C$34=SD!$I$4,(AU111-(BF111+BG111)))))))</f>
        <v>1</v>
      </c>
      <c r="BJ111">
        <f>IF(AM111="Spiral","1",MAX(ROUNDUP(IF(SD!$C$32="",AT111,BF111/(LEFT(RIGHT(N111,LEN(N111)-FIND("@",N111)),LEN(RIGHT(N111,LEN(N111)-FIND("@",N111)))-1)/12)+1),0),0))</f>
        <v>1</v>
      </c>
      <c r="BK111">
        <f>MAX(ROUNDUP(IF(SD!$C$33="","",BG111/(LEFT(RIGHT(O111,LEN(O111)-FIND("@",O111)),LEN(RIGHT(O111,LEN(O111)-FIND("@",O111)))-1)/12)+1),0),0)</f>
        <v>0</v>
      </c>
      <c r="BL111">
        <f>MAX(ROUNDUP(IF(SD!$C$34="","",BH111/(LEFT(RIGHT(P111,LEN(P111)-FIND("@",P111)),LEN(RIGHT(P111,LEN(P111)-FIND("@",P111)))-1)/12)+1),0),0)</f>
        <v>3</v>
      </c>
      <c r="BN111" t="e">
        <f t="shared" si="32"/>
        <v>#N/A</v>
      </c>
      <c r="BO111" t="e">
        <f t="shared" si="33"/>
        <v>#N/A</v>
      </c>
      <c r="BP111" t="e">
        <f t="shared" si="34"/>
        <v>#N/A</v>
      </c>
      <c r="BQ111" s="24" t="e">
        <f>IF(AM111=TRUE,(((Y111-(SD!$E$12*2))*3.14159265359)+BN111+BO111+BP111)/12+AL111,SUM(AF111:AG111,BN111,BO111,BP111,AO111,AQ111)/12)</f>
        <v>#N/A</v>
      </c>
      <c r="BR111" t="e">
        <f t="shared" si="35"/>
        <v>#N/A</v>
      </c>
      <c r="BS111" t="e">
        <f t="shared" si="36"/>
        <v>#N/A</v>
      </c>
      <c r="BT111" t="e">
        <f t="shared" si="37"/>
        <v>#N/A</v>
      </c>
      <c r="BU111" s="24" t="e">
        <f>IF(AM111=TRUE,(((Y111-(SD!$E$12*2))*3.14159265359)+BR111+BS111+BT111)/12+AL111,SUM(AF111:AG111,BR111,BS111,BT111,AO111,AQ111)/12)</f>
        <v>#N/A</v>
      </c>
      <c r="BW111" t="str">
        <f>IFERROR(LEFT(Data!L111,FIND(" -",Data!L111)-1),"")</f>
        <v/>
      </c>
      <c r="BX111" t="str">
        <f>IFERROR(IF(SD!$C$40=SD!$U$2,W111,IF(SD!$C$40=SD!$U$3,RIGHT(Data!L111,LEN(Data!L111)-(FIND("-",Data!L111)+1)),SD!$C$40)),"")</f>
        <v>#7</v>
      </c>
      <c r="BY111" cm="1">
        <f t="array" ref="BY111">IFERROR(_xlfn.LET(_xlpm.GRR,IF(AND(SD!$C$19=SD!$H$2,Grade!$G$1="Per level"),VLOOKUP(B111,Grade!$E$1:$F$200,2,FALSE),IF(AND(SD!$C$19=SD!$H$2,Grade!$G$1="Per Bar Size"),VLOOKUP(BX111,Grade!$B$1:$C$12,2,0),SD!$C$19)),_xlpm.is_equal, A110=A111,_xlpm.grade_range, IF(_xlpm.GRR=SD!$H$3, A615GR60,IF(_xlpm.GRR=SD!$H$4, A615GR75,IF(_xlpm.GRR=SD!$H$5, A615GR80,IF(_xlpm.GRR=SD!H115, A615GR100,IF(_xlpm.GRR=SD!$H$7, A706GR60,IF(_xlpm.GRR=SD!$H$8, A706GR80)))))),_xlpm.match_result, MATCH(1, (BSize=BX111)*(BCName=SD!$C$8), 0),_xlpm.final_result, INDEX(_xlpm.grade_range, _xlpm.match_result),IF(_xlpm.is_equal, "", _xlpm.final_result)),"")</f>
        <v>7</v>
      </c>
      <c r="BZ111">
        <f>IF(A110=A111,"",IF(SD!$C$41="Match Vertical Bars ",X111,IF(SD!$C$41=SD!$V$3,BW111,SD!$C$41)))</f>
        <v>14</v>
      </c>
      <c r="CA111" cm="1">
        <f t="array" ref="CA111">IF(A110=A111,"",IF(SD!$C$44="No T-Head",IF(SD!$C$42=SD!$Q$3,VLOOKUP(BX111,S90Range,3,FALSE),LEFT(SD!$C$42,FIND("-",SD!$C$42)-1)+(RIGHT(SD!$C$42,LEN(SD!$C$42)-FIND("-",SD!$C$42))/12)),IF(SD!$C$44="T-Head",_xlfn._xlws.FILTER(THead,(TCName=SD!$C$8)*(TSize=BX111)),IF(SD!$C$44="Level Wise",_xlfn.LET(_xlpm.result,_xlfn.XLOOKUP(B111,VDLevel,VDLevelStatus,"No"),IF(_xlpm.result="Yes",_xlfn._xlws.FILTER(THead,(TCName=SD!$C$8)*(TSize=BX111)),IF(SD!$C$42=SD!$Q$3,VLOOKUP(BX111,S90Range,3,FALSE),LEFT(SD!$C$42,FIND("-",SD!$C$42)-1)+(RIGHT(SD!$C$42,LEN(SD!$C$42)-FIND("-", SD!$C$42))/12)))),IF(SD!$C$44="BarSize Wise",_xlfn.LET(_xlpm.result,_xlfn.XLOOKUP(BX111,VDBarSize,VDBarSizeStatus,"No"),IF(_xlpm.result="Yes",_xlfn._xlws.FILTER(THead,(TCName=SD!$C$8)*(TSize=BX111)),IF(SD!$C$42=SD!$Q$3,VLOOKUP(BX111,S90Range,3,FALSE),LEFT(SD!$C$42,FIND("-",SD!$C$42)-1)+(RIGHT(SD!$C$42,LEN(SD!$C$42)-FIND("-",SD!$C$42))/12)))), "")))))</f>
        <v>1.1666666666666667</v>
      </c>
      <c r="CB111" t="str" cm="1">
        <f t="array" ref="CB111">_xlfn.LET(_xlpm.GRR,IF(AND(SD!$C$19=SD!$H$2,Grade!$G$1="Per level"),VLOOKUP(B111,Grade!$E$1:$F$200,2,FALSE),IF(AND(SD!$C$19=SD!$H$2,Grade!$G$1="Per Bar Size"),VLOOKUP(BX111,Grade!$B$1:$C$12,2,0),SD!$C$19)),_xlpm.is_coupler, K111="Coupler",_xlpm.condition1, SD!$C$43=SD!$W$2,_xlpm.data_j2_empty, Data!$J111="",_xlpm.lookup_table, IF(SD!$C$11="Create", Lap!$A$3:$BF$14, IF(SD!$C$11="Per Uploaded File", Lap!$A$19:$BF$30, "")),_xlpm.row_match, MATCH(BX111, Lap!$A$3:$A$14, 0),_xlpm.grade_offset, IF(IFERROR(FIND("Grade 60",_xlpm.GRR), 0) &gt; 0, 0, IF(IFERROR(FIND("Grade 80",_xlpm.GRR), 0), 1, IF(IFERROR(FIND("Grade 75",_xlpm.GRR), 0), 2, ""))),_xlpm.col_match, MATCH(VALUE(D111), Lap!$A$3:$BF$3, 0) + _xlpm.grade_offset,_xlpm.index_result, IFERROR(INDEX(_xlpm.lookup_table, _xlpm.row_match, _xlpm.col_match), Data!$J111),_xlpm.result_if_condition1, IF(_xlpm.data_j2_empty, _xlpm.index_result, Data!$J111),IF(_xlpm.is_coupler, 0, IF(_xlpm.condition1, _xlpm.result_if_condition1, SD!$C$43)))</f>
        <v>3-6</v>
      </c>
      <c r="CC111" s="24">
        <f t="shared" si="38"/>
        <v>3.5</v>
      </c>
      <c r="CD111">
        <f t="shared" si="39"/>
        <v>7.666666666666667</v>
      </c>
      <c r="CE111" t="str" cm="1">
        <f t="array" ref="CE111">IF(BY111="","",_xlfn._xlws.FILTER(SAC,(CName=SD!$C$8)*(EName="Vert Dowels")))</f>
        <v>2200 CD</v>
      </c>
      <c r="CF111" t="str" cm="1">
        <f t="array" ref="CF111">IFERROR(IF(BY111="","",IF(K111="Coupler",_xlfn._xlws.FILTER(CCoupler,(CCName=SD!$C$8)*(CBSize=IF(A110=A111,W110&amp;W111,BX111&amp;W111))*(CCMFM="Male")),"")),"N/A")</f>
        <v/>
      </c>
      <c r="CG111" t="str">
        <f t="shared" si="40"/>
        <v/>
      </c>
      <c r="CH111" t="str">
        <f t="shared" si="41"/>
        <v/>
      </c>
      <c r="CI111" t="str">
        <f>_xlfn.LET(_xlpm.u3_value, U112,_xlpm.hyphen_pos,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K112="Coupler",_xlpm.coupler_value, IF(_xlpm.is_coupler, 0, _xlpm.calculated_value),_xlpm.final_value, _xlpm.calculated_value + SD!$E$13 + _xlpm.coupler_value,IF(CG111="", "", _xlpm.final_value))</f>
        <v/>
      </c>
      <c r="CJ111" t="str" cm="1">
        <f t="array" ref="CJ111">IF(CG111="","",_xlfn._xlws.FILTER(SAC,(CName=SD!$C$8)*(EName="Loose Dowels")))</f>
        <v/>
      </c>
      <c r="CK111" t="str" cm="1">
        <f t="array" ref="CK111">IFERROR(IF(CG111="","",IF(K112="Coupler",_xlfn._xlws.FILTER(CCoupler,(CCName=SD!$C$8)*(CBSize=IF(A111=A112,W111&amp;W112,""))*(CCMFM="Male")),"")),"N/A")</f>
        <v/>
      </c>
      <c r="CL111">
        <f>IFERROR(IF(AM111="Spiral","",IF(A110=A111,"",IF(SD!$C$37=0,"",SD!$C$37))),"")</f>
        <v>3</v>
      </c>
      <c r="CN111">
        <f>IF(AM111="Spiral","",IFERROR(IF(SD!$C$36=0,"",SD!$C$36),""))</f>
        <v>5</v>
      </c>
      <c r="CP111">
        <f>IFERROR(IF(SD!$C$42=SD!$Q$3,'Take-off'!CA111,""),"")</f>
        <v>1.1666666666666667</v>
      </c>
      <c r="CR111">
        <f>IFERROR(IF(SD!$C$22=SD!$U$2,W111,SD!$C$22),"")</f>
        <v>0</v>
      </c>
      <c r="CS111" t="str" cm="1">
        <f t="array" ref="CS111">_xlfn.LET(_xlpm.GR,IF(AND(SD!$C$19=SD!$H$2,Grade!$G$1="Per level"),VLOOKUP(B111,Grade!$E$1:$F$200,2,FALSE),IF(AND(SD!$C$19=SD!$H$2,Grade!$G$1="Per Bar Size"),VLOOKUP(CR111,Grade!$B$1:$C$12,2,0),SD!$C$19)),IF(SD!$C$20=SD!$R$4,IF(A112=A111,"",INDEX(IF(_xlpm.GR=SD!$H$3,A615GR60,IF(_xlpm.GR=SD!$H$4,A615GR75,IF(_xlpm.GR=SD!$H$5,A615GR80,IF(_xlpm.GR=SD!H115,A615GR100,IF(_xlpm.GR=SD!$H$7,A706GR60,IF(_xlpm.GR=SD!$H$8,A706GR80)))))), MATCH(1, (BSize=CR111)*(BCName=SD!$C$8), 0))),""))</f>
        <v/>
      </c>
      <c r="CT111">
        <f>IF(A112=A111,"",IF(SD!$C$23="Match Vertical Bars ",X111,SD!$C$23))</f>
        <v>0</v>
      </c>
      <c r="CU111" t="str" cm="1">
        <f t="array" ref="CU111">IF(A112=A111,"",IF(SD!$C$20="Top dowels",IF(SD!$E$25="No T-Head",IF(SD!$C$24=SD!$Q$3,VLOOKUP(CR111,S90Range,3,FALSE),LEFT(SD!$C$24,FIND("-",SD!$C$24)-1)+(RIGHT(SD!$C$24,LEN(SD!$C$24)-FIND("-",SD!$C$24))/12)),IF(SD!$E$25="T-Head",_xlfn._xlws.FILTER(THead,(TCName=SD!$C$8)*(TSize=CR111)),IF(SD!$E$25="Level Wise",_xlfn.LET(_xlpm.result,_xlfn.XLOOKUP(B111,TDLevel,TDLevelStatus,"No"),IF(_xlpm.result="Yes",_xlfn._xlws.FILTER(THead,(TCName=SD!$C$8)*(TSize=CR111)),IF(SD!$C$24=SD!$Q$3,VLOOKUP(CR111,S90Range,3,FALSE),LEFT(SD!$C$24,FIND("-",SD!$C$24)-1)+(RIGHT(SD!$C$24,LEN(SD!$C$24)-FIND("-", SD!$C$24))/12)))),IF(SD!$E$25="BarSize Wise",_xlfn.LET(_xlpm.result,_xlfn.XLOOKUP(CR111,TDBarSize,TDBarSizeStatus,"No"),IF(_xlpm.result="Yes",_xlfn._xlws.FILTER(THead,(TCName=SD!$C$8)*(TSize=CR111)),IF(SD!$C$24=SD!$Q$3,VLOOKUP(CR111,S90Range,3,FALSE),LEFT(SD!$C$24,FIND("-",SD!$C$24)-1)+(RIGHT(SD!$C$24,LEN(SD!$C$24)-FIND("-",SD!$C$24))/12)))), "")))),""))</f>
        <v/>
      </c>
      <c r="CV111" t="str">
        <f>_xlfn.LET(_xlpm.GRR,IF(AND(SD!$C$19=SD!$H$2,Grade!$G$1="Per level"),VLOOKUP(B111,Grade!$E$1:$F$200,2,FALSE),IF(AND(SD!$C$19=SD!$H$2,Grade!$G$1="Per Bar Size"),VLOOKUP(CR111,Grade!$B$1:$C$12,2,0),SD!$C$19)),IF(SD!$C$25=SD!$W$2,IF(Data!$J111="",IFERROR(INDEX(IF(SD!$C$11="Create",Lap!$A$3:$BF$14,IF(SD!$C$11="Per Uploaded File",Lap!$A$19:$BF$30,"")),MATCH(CR111,Lap!$A$3:$A$14,0),MATCH(VALUE(D111),Lap!$A$3:$BF$3,0)+IF(IFERROR(FIND("Grade 60",_xlpm.GRR),0)&gt;0,0,IF(IFERROR(FIND("Grade 80",_xlpm.GRR),0),1,IF(IFERROR(FIND("Grade 75",_xlpm.GRR),0),2,"")))),""),Data!J111),SD!$C$43))</f>
        <v>Match Lap</v>
      </c>
      <c r="CW111">
        <f t="shared" si="42"/>
        <v>0</v>
      </c>
      <c r="CX111">
        <f t="shared" si="43"/>
        <v>0</v>
      </c>
      <c r="CY111" t="str">
        <f t="shared" si="44"/>
        <v/>
      </c>
      <c r="DA111">
        <f t="shared" si="45"/>
        <v>4</v>
      </c>
      <c r="DB111" t="str">
        <f t="shared" si="46"/>
        <v>19-7</v>
      </c>
      <c r="DC111" s="24">
        <f t="shared" si="47"/>
        <v>19.583333333333332</v>
      </c>
      <c r="DD111">
        <f t="shared" si="48"/>
        <v>19.583333333333332</v>
      </c>
      <c r="DE111" t="s">
        <v>717</v>
      </c>
      <c r="DF111" t="s">
        <v>67</v>
      </c>
      <c r="DG111" t="str">
        <f>VLOOKUP(W111,'Level Wise PSI'!$F$2:$G$12,2,FALSE)</f>
        <v>Double Lift</v>
      </c>
      <c r="DI111" t="str" cm="1">
        <f t="array" ref="DI111">_xlfn.LET(_xlpm.Coup,IFERROR(IF(BY111="","",IF(K111="Coupler",_xlfn._xlws.FILTER(CCFCoupler,(CCName=SD!$C$8)*(CBSize=IF(A110=A111,W110&amp;W111,BX111&amp;W111))),"")),"N/A"),IF(_xlpm.Coup=0,"",_xlpm.Coup))</f>
        <v/>
      </c>
      <c r="DJ111" t="str" cm="1">
        <f t="array" ref="DJ111">_xlfn.LET(_xlpm.Coup3,IFERROR(IF(CG111="","",IF(K112="Coupler",_xlfn._xlws.FILTER(CCFCoupler,(CCName=SD!$C$8)*(CBSize=IF(A111=A112,W111&amp;W112,""))),"")),"N/A"),IF(_xlpm.Coup3=0,"",_xlpm.Coup3))</f>
        <v/>
      </c>
      <c r="DK111" t="str" cm="1">
        <f t="array" ref="DK111">_xlfn.LET(_xlpm.Coup2,IFERROR(IF(A111&lt;&gt;A112,"",IF(DF111="No Lap","",IF(K112="Coupler",_xlfn._xlws.FILTER(CCFCoupler,(CCName=SD!$C$8)*(CBSize=IF(A110=A111,W111&amp;W112,W111&amp;W111))),""))),"N/A"),IF(_xlpm.Coup2=0,"",_xlpm.Coup2))</f>
        <v/>
      </c>
      <c r="DM111" t="str">
        <f>IF(AM111="Spiral","",IF(SD!$C$31=SD!$Y$3,SD!$E$32*2,""))</f>
        <v/>
      </c>
      <c r="DO111" s="24">
        <f t="shared" si="49"/>
        <v>4.666666666666667</v>
      </c>
      <c r="DQ111" t="str">
        <f t="shared" si="50"/>
        <v>Lig</v>
      </c>
      <c r="DR111" t="str">
        <f>IF(AM111="Spiral",((Y111-(SD!$E$12*2))/12),"")</f>
        <v/>
      </c>
      <c r="DS111" t="str">
        <f t="shared" si="51"/>
        <v/>
      </c>
      <c r="DT111" t="str">
        <f t="shared" si="52"/>
        <v/>
      </c>
      <c r="DU111" t="str">
        <f t="shared" si="53"/>
        <v/>
      </c>
    </row>
    <row r="112" spans="1:125" x14ac:dyDescent="0.25">
      <c r="A112">
        <v>40</v>
      </c>
      <c r="B112" t="s">
        <v>664</v>
      </c>
      <c r="C112" s="15">
        <v>2429</v>
      </c>
      <c r="D112" s="15">
        <v>10000</v>
      </c>
      <c r="E112" t="str">
        <f>IF(B112=Level!$A$2,SD!$C$14,SD!$C$13)</f>
        <v>3-0</v>
      </c>
      <c r="F112" s="15" t="s">
        <v>787</v>
      </c>
      <c r="G112" t="s">
        <v>733</v>
      </c>
      <c r="H112" s="15" t="s">
        <v>788</v>
      </c>
      <c r="I112" t="s">
        <v>727</v>
      </c>
      <c r="J112" t="str">
        <f>IF(AND(SD!$C$19=SD!$H$2,Grade!$G$1="Per level"),VLOOKUP(B112,Grade!$E$1:$F$200,2,FALSE),IF(AND(SD!$C$19=SD!$H$2,Grade!$G$1="Per Bar Size"),VLOOKUP(W112,Grade!$B$1:$C$12,2,0),SD!$C$19))</f>
        <v>A615 Grade 60</v>
      </c>
      <c r="K112" t="s">
        <v>67</v>
      </c>
      <c r="L112" t="str">
        <f>IFERROR(IF(A112&lt;&gt;A113,"",IF(DF112="No Lap","",IF(K113="Lap",U112,IF(K113="Coupler",_xlfn._xlws.FILTER(CCoupler,(CCName=SD!$C$8)*(CBSize=IF(A111=A112,W112&amp;W113,W112&amp;W112))*(CCMFM="Male")),"")))),"N/A")</f>
        <v/>
      </c>
      <c r="M112" t="str">
        <f t="shared" si="27"/>
        <v/>
      </c>
      <c r="N112" t="s">
        <v>719</v>
      </c>
      <c r="O112" t="s">
        <v>720</v>
      </c>
      <c r="P112" t="s">
        <v>719</v>
      </c>
      <c r="Q112" t="str">
        <f>IF(AND(SD!$C$29=SD!$P$2,Grade!$O$1="Per level"),VLOOKUP(B112,Grade!$M$1:$N$200,2,FALSE),IF(AND(SD!$C$29=SD!$P$2,Grade!$O$1="Per Bar Size"),VLOOKUP(LEFT(N112,FIND("@",N112)-2),Grade!$J$1:$K$12,2,0),SD!$C$29))</f>
        <v>A615 Grade 60</v>
      </c>
      <c r="R112" t="s">
        <v>728</v>
      </c>
      <c r="S112" s="57">
        <v>112</v>
      </c>
      <c r="U112" t="str">
        <f>IF(Data!$J112="",IFERROR(INDEX(IF(SD!$C$11="Create",Lap!$A$3:$BF$14,IF(SD!$C$11="Per Uploaded File",Lap!$A$19:$BF$30,"")),MATCH(W112,Lap!$A$3:$A$14,0),MATCH(VALUE(D112),Lap!$A$3:$BF$3,0)+IF(IFERROR(FIND("Grade 60",J112),0)&gt;0,0,IF(IFERROR(FIND("Grade 80",J112),0),1,IF(IFERROR(FIND("Grade 75",J112),0),2,"")))),""),Data!J112)</f>
        <v>4-6</v>
      </c>
      <c r="W112" t="s">
        <v>164</v>
      </c>
      <c r="X112">
        <v>12</v>
      </c>
      <c r="Y112" t="str">
        <f t="shared" si="28"/>
        <v xml:space="preserve">14 </v>
      </c>
      <c r="Z112" t="str">
        <f t="shared" si="29"/>
        <v xml:space="preserve"> 24</v>
      </c>
      <c r="AA112" s="24">
        <f t="shared" si="30"/>
        <v>19.583333333333332</v>
      </c>
      <c r="BB112" t="e" cm="1">
        <f t="array" ref="BB112">_xlfn.LET(_xlpm.PartF,(_xlfn.LET(_xlpm.grade, Q112,_xlpm.gradeRange, IF(_xlpm.grade=SD!$H$3, A615GR60, IF(_xlpm.grade=SD!$H$4, A615GR75, IF(_xlpm.grade=SD!$H$5, A615GR80, IF(_xlpm.grade=SD!$H$6, A615GR100, IF(_xlpm.grade=SD!$H$7, A706GR60, IF(_xlpm.grade=SD!$H$8, A706GR80)))))),_xlpm.matchValue, MATCH(1, (SD!$AW:$AW=AS112)*(SD!$AX:$AX=SD!$C$8), 0),INDEX(_xlpm.gradeRange, _xlpm.matchValue))),IF(AM112="Spiral",CONCATENATE("SP",_xlpm.PartF),_xlpm.PartF))</f>
        <v>#N/A</v>
      </c>
      <c r="BC112" cm="1">
        <f t="array" ref="BC112">_xlfn.LET(_xlpm.leftPart, LEFT(O112, FIND("@", O112) - 2),_xlpm.grade,Q112,_xlpm.gradeRange,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2" cm="1">
        <f t="array" ref="BD112">_xlfn.LET(_xlpm.leftPart, LEFT(P112, FIND("@", P112) - 2),_xlpm.grade, Q112,_xlpm.gradeRange,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2">
        <f t="shared" si="31"/>
        <v>2</v>
      </c>
      <c r="BF112">
        <f>IF(SD!$C$32=SD!$I$2,BE112,IF(SD!$C$32=SD!$I$3,DO112,IF(SD!$C$32=SD!$I$5,BA112,IF(SD!$C$32=SD!$I$6,(LEFT(SD!$C$35,FIND("-",SD!$C$35)-1)+RIGHT(SD!$C$35,LEN(SD!$C$35)-FIND("-",SD!$C$35))/12),IF(SD!$C$32=SD!$I$4,(AU112-(BG112+BH112)))))))</f>
        <v>0</v>
      </c>
      <c r="BG112">
        <f>IF(SD!$C$33=SD!$I$2,BE112,IF(SD!$C$33=SD!$I$3,DO112,IF(SD!$C$33=SD!$I$5,BA112,IF(SD!$C$33=SD!$I$6,(LEFT(SD!$C$35,FIND("-",SD!$C$35)-1)+RIGHT(SD!$C$35,LEN(SD!$C$35)-FIND("-",SD!$C$35))/12),IF(SD!$C$33=SD!$I$4,(AU112-(BF112+BH112)))))))</f>
        <v>-1</v>
      </c>
      <c r="BH112">
        <f>IF(SD!$C$34=SD!$I$2,BE112,IF(SD!$C$34=SD!$I$3,DO112,IF(SD!$C$34=SD!$I$5,BA112,IF(SD!$C$34=SD!$I$6,(LEFT(SD!$C$35,FIND("-",SD!$C$35)-1)+RIGHT(SD!$C$35,LEN(SD!$C$35)-FIND("-",SD!$C$35))/12),IF(SD!$C$34=SD!$I$4,(AU112-(BF112+BG112)))))))</f>
        <v>1</v>
      </c>
      <c r="BJ112">
        <f>IF(AM112="Spiral","1",MAX(ROUNDUP(IF(SD!$C$32="",AT112,BF112/(LEFT(RIGHT(N112,LEN(N112)-FIND("@",N112)),LEN(RIGHT(N112,LEN(N112)-FIND("@",N112)))-1)/12)+1),0),0))</f>
        <v>1</v>
      </c>
      <c r="BK112">
        <f>MAX(ROUNDUP(IF(SD!$C$33="","",BG112/(LEFT(RIGHT(O112,LEN(O112)-FIND("@",O112)),LEN(RIGHT(O112,LEN(O112)-FIND("@",O112)))-1)/12)+1),0),0)</f>
        <v>0</v>
      </c>
      <c r="BL112">
        <f>MAX(ROUNDUP(IF(SD!$C$34="","",BH112/(LEFT(RIGHT(P112,LEN(P112)-FIND("@",P112)),LEN(RIGHT(P112,LEN(P112)-FIND("@",P112)))-1)/12)+1),0),0)</f>
        <v>3</v>
      </c>
      <c r="BN112" t="e">
        <f t="shared" si="32"/>
        <v>#N/A</v>
      </c>
      <c r="BO112" t="e">
        <f t="shared" si="33"/>
        <v>#N/A</v>
      </c>
      <c r="BP112" t="e">
        <f t="shared" si="34"/>
        <v>#N/A</v>
      </c>
      <c r="BQ112" s="24" t="e">
        <f>IF(AM112=TRUE,(((Y112-(SD!$E$12*2))*3.14159265359)+BN112+BO112+BP112)/12+AL112,SUM(AF112:AG112,BN112,BO112,BP112,AO112,AQ112)/12)</f>
        <v>#N/A</v>
      </c>
      <c r="BR112" t="e">
        <f t="shared" si="35"/>
        <v>#N/A</v>
      </c>
      <c r="BS112" t="e">
        <f t="shared" si="36"/>
        <v>#N/A</v>
      </c>
      <c r="BT112" t="e">
        <f t="shared" si="37"/>
        <v>#N/A</v>
      </c>
      <c r="BU112" s="24" t="e">
        <f>IF(AM112=TRUE,(((Y112-(SD!$E$12*2))*3.14159265359)+BR112+BS112+BT112)/12+AL112,SUM(AF112:AG112,BR112,BS112,BT112,AO112,AQ112)/12)</f>
        <v>#N/A</v>
      </c>
      <c r="BW112" t="str">
        <f>IFERROR(LEFT(Data!L112,FIND(" -",Data!L112)-1),"")</f>
        <v/>
      </c>
      <c r="BX112" t="str">
        <f>IFERROR(IF(SD!$C$40=SD!$U$2,W112,IF(SD!$C$40=SD!$U$3,RIGHT(Data!L112,LEN(Data!L112)-(FIND("-",Data!L112)+1)),SD!$C$40)),"")</f>
        <v>#9</v>
      </c>
      <c r="BY112" cm="1">
        <f t="array" ref="BY112">IFERROR(_xlfn.LET(_xlpm.GRR,IF(AND(SD!$C$19=SD!$H$2,Grade!$G$1="Per level"),VLOOKUP(B112,Grade!$E$1:$F$200,2,FALSE),IF(AND(SD!$C$19=SD!$H$2,Grade!$G$1="Per Bar Size"),VLOOKUP(BX112,Grade!$B$1:$C$12,2,0),SD!$C$19)),_xlpm.is_equal, A111=A112,_xlpm.grade_range, IF(_xlpm.GRR=SD!$H$3, A615GR60,IF(_xlpm.GRR=SD!$H$4, A615GR75,IF(_xlpm.GRR=SD!$H$5, A615GR80,IF(_xlpm.GRR=SD!H116, A615GR100,IF(_xlpm.GRR=SD!$H$7, A706GR60,IF(_xlpm.GRR=SD!$H$8, A706GR80)))))),_xlpm.match_result, MATCH(1, (BSize=BX112)*(BCName=SD!$C$8), 0),_xlpm.final_result, INDEX(_xlpm.grade_range, _xlpm.match_result),IF(_xlpm.is_equal, "", _xlpm.final_result)),"")</f>
        <v>9</v>
      </c>
      <c r="BZ112">
        <f>IF(A111=A112,"",IF(SD!$C$41="Match Vertical Bars ",X112,IF(SD!$C$41=SD!$V$3,BW112,SD!$C$41)))</f>
        <v>12</v>
      </c>
      <c r="CA112" cm="1">
        <f t="array" ref="CA112">IF(A111=A112,"",IF(SD!$C$44="No T-Head",IF(SD!$C$42=SD!$Q$3,VLOOKUP(BX112,S90Range,3,FALSE),LEFT(SD!$C$42,FIND("-",SD!$C$42)-1)+(RIGHT(SD!$C$42,LEN(SD!$C$42)-FIND("-",SD!$C$42))/12)),IF(SD!$C$44="T-Head",_xlfn._xlws.FILTER(THead,(TCName=SD!$C$8)*(TSize=BX112)),IF(SD!$C$44="Level Wise",_xlfn.LET(_xlpm.result,_xlfn.XLOOKUP(B112,VDLevel,VDLevelStatus,"No"),IF(_xlpm.result="Yes",_xlfn._xlws.FILTER(THead,(TCName=SD!$C$8)*(TSize=BX112)),IF(SD!$C$42=SD!$Q$3,VLOOKUP(BX112,S90Range,3,FALSE),LEFT(SD!$C$42,FIND("-",SD!$C$42)-1)+(RIGHT(SD!$C$42,LEN(SD!$C$42)-FIND("-", SD!$C$42))/12)))),IF(SD!$C$44="BarSize Wise",_xlfn.LET(_xlpm.result,_xlfn.XLOOKUP(BX112,VDBarSize,VDBarSizeStatus,"No"),IF(_xlpm.result="Yes",_xlfn._xlws.FILTER(THead,(TCName=SD!$C$8)*(TSize=BX112)),IF(SD!$C$42=SD!$Q$3,VLOOKUP(BX112,S90Range,3,FALSE),LEFT(SD!$C$42,FIND("-",SD!$C$42)-1)+(RIGHT(SD!$C$42,LEN(SD!$C$42)-FIND("-",SD!$C$42))/12)))), "")))))</f>
        <v>1.5833333333333335</v>
      </c>
      <c r="CB112" t="str" cm="1">
        <f t="array" ref="CB112">_xlfn.LET(_xlpm.GRR,IF(AND(SD!$C$19=SD!$H$2,Grade!$G$1="Per level"),VLOOKUP(B112,Grade!$E$1:$F$200,2,FALSE),IF(AND(SD!$C$19=SD!$H$2,Grade!$G$1="Per Bar Size"),VLOOKUP(BX112,Grade!$B$1:$C$12,2,0),SD!$C$19)),_xlpm.is_coupler, K112="Coupler",_xlpm.condition1, SD!$C$43=SD!$W$2,_xlpm.data_j2_empty, Data!$J112="",_xlpm.lookup_table, IF(SD!$C$11="Create", Lap!$A$3:$BF$14, IF(SD!$C$11="Per Uploaded File", Lap!$A$19:$BF$30, "")),_xlpm.row_match, MATCH(BX112, Lap!$A$3:$A$14, 0),_xlpm.grade_offset, IF(IFERROR(FIND("Grade 60",_xlpm.GRR), 0) &gt; 0, 0, IF(IFERROR(FIND("Grade 80",_xlpm.GRR), 0), 1, IF(IFERROR(FIND("Grade 75",_xlpm.GRR), 0), 2, ""))),_xlpm.col_match, MATCH(VALUE(D112), Lap!$A$3:$BF$3, 0) + _xlpm.grade_offset,_xlpm.index_result, IFERROR(INDEX(_xlpm.lookup_table, _xlpm.row_match, _xlpm.col_match), Data!$J112),_xlpm.result_if_condition1, IF(_xlpm.data_j2_empty, _xlpm.index_result, Data!$J112),IF(_xlpm.is_coupler, 0, IF(_xlpm.condition1, _xlpm.result_if_condition1, SD!$C$43)))</f>
        <v>4-6</v>
      </c>
      <c r="CC112" s="24">
        <f t="shared" si="38"/>
        <v>4.5</v>
      </c>
      <c r="CD112">
        <f t="shared" si="39"/>
        <v>9.0833333333333339</v>
      </c>
      <c r="CE112" t="str" cm="1">
        <f t="array" ref="CE112">IF(BY112="","",_xlfn._xlws.FILTER(SAC,(CName=SD!$C$8)*(EName="Vert Dowels")))</f>
        <v>2200 CD</v>
      </c>
      <c r="CF112" t="str" cm="1">
        <f t="array" ref="CF112">IFERROR(IF(BY112="","",IF(K112="Coupler",_xlfn._xlws.FILTER(CCoupler,(CCName=SD!$C$8)*(CBSize=IF(A111=A112,W111&amp;W112,BX112&amp;W112))*(CCMFM="Male")),"")),"N/A")</f>
        <v/>
      </c>
      <c r="CG112" t="str">
        <f t="shared" si="40"/>
        <v/>
      </c>
      <c r="CH112" t="str">
        <f t="shared" si="41"/>
        <v/>
      </c>
      <c r="CI112" t="str">
        <f>_xlfn.LET(_xlpm.u3_value, U113,_xlpm.hyphen_pos,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K113="Coupler",_xlpm.coupler_value, IF(_xlpm.is_coupler, 0, _xlpm.calculated_value),_xlpm.final_value, _xlpm.calculated_value + SD!$E$13 + _xlpm.coupler_value,IF(CG112="", "", _xlpm.final_value))</f>
        <v/>
      </c>
      <c r="CJ112" t="str" cm="1">
        <f t="array" ref="CJ112">IF(CG112="","",_xlfn._xlws.FILTER(SAC,(CName=SD!$C$8)*(EName="Loose Dowels")))</f>
        <v/>
      </c>
      <c r="CK112" t="str" cm="1">
        <f t="array" ref="CK112">IFERROR(IF(CG112="","",IF(K113="Coupler",_xlfn._xlws.FILTER(CCoupler,(CCName=SD!$C$8)*(CBSize=IF(A112=A113,W112&amp;W113,""))*(CCMFM="Male")),"")),"N/A")</f>
        <v/>
      </c>
      <c r="CL112">
        <f>IFERROR(IF(AM112="Spiral","",IF(A111=A112,"",IF(SD!$C$37=0,"",SD!$C$37))),"")</f>
        <v>3</v>
      </c>
      <c r="CN112">
        <f>IF(AM112="Spiral","",IFERROR(IF(SD!$C$36=0,"",SD!$C$36),""))</f>
        <v>5</v>
      </c>
      <c r="CP112">
        <f>IFERROR(IF(SD!$C$42=SD!$Q$3,'Take-off'!CA112,""),"")</f>
        <v>1.5833333333333335</v>
      </c>
      <c r="CR112">
        <f>IFERROR(IF(SD!$C$22=SD!$U$2,W112,SD!$C$22),"")</f>
        <v>0</v>
      </c>
      <c r="CS112" t="str" cm="1">
        <f t="array" ref="CS112">_xlfn.LET(_xlpm.GR,IF(AND(SD!$C$19=SD!$H$2,Grade!$G$1="Per level"),VLOOKUP(B112,Grade!$E$1:$F$200,2,FALSE),IF(AND(SD!$C$19=SD!$H$2,Grade!$G$1="Per Bar Size"),VLOOKUP(CR112,Grade!$B$1:$C$12,2,0),SD!$C$19)),IF(SD!$C$20=SD!$R$4,IF(A113=A112,"",INDEX(IF(_xlpm.GR=SD!$H$3,A615GR60,IF(_xlpm.GR=SD!$H$4,A615GR75,IF(_xlpm.GR=SD!$H$5,A615GR80,IF(_xlpm.GR=SD!H116,A615GR100,IF(_xlpm.GR=SD!$H$7,A706GR60,IF(_xlpm.GR=SD!$H$8,A706GR80)))))), MATCH(1, (BSize=CR112)*(BCName=SD!$C$8), 0))),""))</f>
        <v/>
      </c>
      <c r="CT112">
        <f>IF(A113=A112,"",IF(SD!$C$23="Match Vertical Bars ",X112,SD!$C$23))</f>
        <v>0</v>
      </c>
      <c r="CU112" t="str" cm="1">
        <f t="array" ref="CU112">IF(A113=A112,"",IF(SD!$C$20="Top dowels",IF(SD!$E$25="No T-Head",IF(SD!$C$24=SD!$Q$3,VLOOKUP(CR112,S90Range,3,FALSE),LEFT(SD!$C$24,FIND("-",SD!$C$24)-1)+(RIGHT(SD!$C$24,LEN(SD!$C$24)-FIND("-",SD!$C$24))/12)),IF(SD!$E$25="T-Head",_xlfn._xlws.FILTER(THead,(TCName=SD!$C$8)*(TSize=CR112)),IF(SD!$E$25="Level Wise",_xlfn.LET(_xlpm.result,_xlfn.XLOOKUP(B112,TDLevel,TDLevelStatus,"No"),IF(_xlpm.result="Yes",_xlfn._xlws.FILTER(THead,(TCName=SD!$C$8)*(TSize=CR112)),IF(SD!$C$24=SD!$Q$3,VLOOKUP(CR112,S90Range,3,FALSE),LEFT(SD!$C$24,FIND("-",SD!$C$24)-1)+(RIGHT(SD!$C$24,LEN(SD!$C$24)-FIND("-", SD!$C$24))/12)))),IF(SD!$E$25="BarSize Wise",_xlfn.LET(_xlpm.result,_xlfn.XLOOKUP(CR112,TDBarSize,TDBarSizeStatus,"No"),IF(_xlpm.result="Yes",_xlfn._xlws.FILTER(THead,(TCName=SD!$C$8)*(TSize=CR112)),IF(SD!$C$24=SD!$Q$3,VLOOKUP(CR112,S90Range,3,FALSE),LEFT(SD!$C$24,FIND("-",SD!$C$24)-1)+(RIGHT(SD!$C$24,LEN(SD!$C$24)-FIND("-",SD!$C$24))/12)))), "")))),""))</f>
        <v/>
      </c>
      <c r="CV112" t="str">
        <f>_xlfn.LET(_xlpm.GRR,IF(AND(SD!$C$19=SD!$H$2,Grade!$G$1="Per level"),VLOOKUP(B112,Grade!$E$1:$F$200,2,FALSE),IF(AND(SD!$C$19=SD!$H$2,Grade!$G$1="Per Bar Size"),VLOOKUP(CR112,Grade!$B$1:$C$12,2,0),SD!$C$19)),IF(SD!$C$25=SD!$W$2,IF(Data!$J112="",IFERROR(INDEX(IF(SD!$C$11="Create",Lap!$A$3:$BF$14,IF(SD!$C$11="Per Uploaded File",Lap!$A$19:$BF$30,"")),MATCH(CR112,Lap!$A$3:$A$14,0),MATCH(VALUE(D112),Lap!$A$3:$BF$3,0)+IF(IFERROR(FIND("Grade 60",_xlpm.GRR),0)&gt;0,0,IF(IFERROR(FIND("Grade 80",_xlpm.GRR),0),1,IF(IFERROR(FIND("Grade 75",_xlpm.GRR),0),2,"")))),""),Data!J112),SD!$C$43))</f>
        <v>Match Lap</v>
      </c>
      <c r="CW112">
        <f t="shared" si="42"/>
        <v>0</v>
      </c>
      <c r="CX112">
        <f t="shared" si="43"/>
        <v>0</v>
      </c>
      <c r="CY112" t="str">
        <f t="shared" si="44"/>
        <v/>
      </c>
      <c r="DA112">
        <f t="shared" si="45"/>
        <v>40</v>
      </c>
      <c r="DB112" t="str">
        <f t="shared" si="46"/>
        <v>19-7</v>
      </c>
      <c r="DC112" s="24">
        <f t="shared" si="47"/>
        <v>19.583333333333332</v>
      </c>
      <c r="DD112">
        <f t="shared" si="48"/>
        <v>19.583333333333332</v>
      </c>
      <c r="DE112" t="s">
        <v>733</v>
      </c>
      <c r="DF112" t="s">
        <v>67</v>
      </c>
      <c r="DG112" t="str">
        <f>VLOOKUP(W112,'Level Wise PSI'!$F$2:$G$12,2,FALSE)</f>
        <v>Double Lift</v>
      </c>
      <c r="DI112" t="str" cm="1">
        <f t="array" ref="DI112">_xlfn.LET(_xlpm.Coup,IFERROR(IF(BY112="","",IF(K112="Coupler",_xlfn._xlws.FILTER(CCFCoupler,(CCName=SD!$C$8)*(CBSize=IF(A111=A112,W111&amp;W112,BX112&amp;W112))),"")),"N/A"),IF(_xlpm.Coup=0,"",_xlpm.Coup))</f>
        <v/>
      </c>
      <c r="DJ112" t="str" cm="1">
        <f t="array" ref="DJ112">_xlfn.LET(_xlpm.Coup3,IFERROR(IF(CG112="","",IF(K113="Coupler",_xlfn._xlws.FILTER(CCFCoupler,(CCName=SD!$C$8)*(CBSize=IF(A112=A113,W112&amp;W113,""))),"")),"N/A"),IF(_xlpm.Coup3=0,"",_xlpm.Coup3))</f>
        <v/>
      </c>
      <c r="DK112" t="str" cm="1">
        <f t="array" ref="DK112">_xlfn.LET(_xlpm.Coup2,IFERROR(IF(A112&lt;&gt;A113,"",IF(DF112="No Lap","",IF(K113="Coupler",_xlfn._xlws.FILTER(CCFCoupler,(CCName=SD!$C$8)*(CBSize=IF(A111=A112,W112&amp;W113,W112&amp;W112))),""))),"N/A"),IF(_xlpm.Coup2=0,"",_xlpm.Coup2))</f>
        <v/>
      </c>
      <c r="DM112" t="str">
        <f>IF(AM112="Spiral","",IF(SD!$C$31=SD!$Y$3,SD!$E$32*2,""))</f>
        <v/>
      </c>
      <c r="DO112" s="24">
        <f t="shared" si="49"/>
        <v>2</v>
      </c>
      <c r="DQ112" t="str">
        <f t="shared" si="50"/>
        <v>Lig</v>
      </c>
      <c r="DR112" t="str">
        <f>IF(AM112="Spiral",((Y112-(SD!$E$12*2))/12),"")</f>
        <v/>
      </c>
      <c r="DS112" t="str">
        <f t="shared" si="51"/>
        <v/>
      </c>
      <c r="DT112" t="str">
        <f t="shared" si="52"/>
        <v/>
      </c>
      <c r="DU112" t="str">
        <f t="shared" si="53"/>
        <v/>
      </c>
    </row>
    <row r="113" spans="1:125" x14ac:dyDescent="0.25">
      <c r="A113">
        <v>41</v>
      </c>
      <c r="B113" t="s">
        <v>664</v>
      </c>
      <c r="C113" s="15">
        <v>2429</v>
      </c>
      <c r="D113" s="15">
        <v>10000</v>
      </c>
      <c r="E113" s="15" t="s">
        <v>791</v>
      </c>
      <c r="F113" s="15" t="s">
        <v>787</v>
      </c>
      <c r="G113" t="s">
        <v>742</v>
      </c>
      <c r="H113" s="15" t="s">
        <v>789</v>
      </c>
      <c r="I113" t="s">
        <v>753</v>
      </c>
      <c r="J113" t="str">
        <f>IF(AND(SD!$C$19=SD!$H$2,Grade!$G$1="Per level"),VLOOKUP(B113,Grade!$E$1:$F$200,2,FALSE),IF(AND(SD!$C$19=SD!$H$2,Grade!$G$1="Per Bar Size"),VLOOKUP(W113,Grade!$B$1:$C$12,2,0),SD!$C$19))</f>
        <v>A615 Grade 60</v>
      </c>
      <c r="K113" t="s">
        <v>67</v>
      </c>
      <c r="L113" t="str">
        <f>IFERROR(IF(A113&lt;&gt;A114,"",IF(DF113="No Lap","",IF(K114="Lap",U113,IF(K114="Coupler",_xlfn._xlws.FILTER(CCoupler,(CCName=SD!$C$8)*(CBSize=IF(A112=A113,W113&amp;W114,W113&amp;W113))*(CCMFM="Male")),"")))),"N/A")</f>
        <v/>
      </c>
      <c r="M113" t="str">
        <f t="shared" si="27"/>
        <v/>
      </c>
      <c r="N113" t="s">
        <v>719</v>
      </c>
      <c r="O113" t="s">
        <v>720</v>
      </c>
      <c r="P113" t="s">
        <v>719</v>
      </c>
      <c r="Q113" t="str">
        <f>IF(AND(SD!$C$29=SD!$P$2,Grade!$O$1="Per level"),VLOOKUP(B113,Grade!$M$1:$N$200,2,FALSE),IF(AND(SD!$C$29=SD!$P$2,Grade!$O$1="Per Bar Size"),VLOOKUP(LEFT(N113,FIND("@",N113)-2),Grade!$J$1:$K$12,2,0),SD!$C$29))</f>
        <v>A615 Grade 60</v>
      </c>
      <c r="R113" t="s">
        <v>742</v>
      </c>
      <c r="S113" s="57">
        <v>113</v>
      </c>
      <c r="U113" t="str">
        <f>IF(Data!$J113="",IFERROR(INDEX(IF(SD!$C$11="Create",Lap!$A$3:$BF$14,IF(SD!$C$11="Per Uploaded File",Lap!$A$19:$BF$30,"")),MATCH(W113,Lap!$A$3:$A$14,0),MATCH(VALUE(D113),Lap!$A$3:$BF$3,0)+IF(IFERROR(FIND("Grade 60",J113),0)&gt;0,0,IF(IFERROR(FIND("Grade 80",J113),0),1,IF(IFERROR(FIND("Grade 75",J113),0),2,"")))),""),Data!J113)</f>
        <v>4-6</v>
      </c>
      <c r="W113" t="s">
        <v>164</v>
      </c>
      <c r="X113">
        <v>8</v>
      </c>
      <c r="Y113" t="str">
        <f t="shared" si="28"/>
        <v>30</v>
      </c>
      <c r="Z113">
        <f t="shared" si="29"/>
        <v>0</v>
      </c>
      <c r="AA113" s="24">
        <f t="shared" si="30"/>
        <v>21.583333333333332</v>
      </c>
      <c r="BB113" t="e" cm="1">
        <f t="array" ref="BB113">_xlfn.LET(_xlpm.PartF,(_xlfn.LET(_xlpm.grade, Q113,_xlpm.gradeRange, IF(_xlpm.grade=SD!$H$3, A615GR60, IF(_xlpm.grade=SD!$H$4, A615GR75, IF(_xlpm.grade=SD!$H$5, A615GR80, IF(_xlpm.grade=SD!$H$6, A615GR100, IF(_xlpm.grade=SD!$H$7, A706GR60, IF(_xlpm.grade=SD!$H$8, A706GR80)))))),_xlpm.matchValue, MATCH(1, (SD!$AW:$AW=AS113)*(SD!$AX:$AX=SD!$C$8), 0),INDEX(_xlpm.gradeRange, _xlpm.matchValue))),IF(AM113="Spiral",CONCATENATE("SP",_xlpm.PartF),_xlpm.PartF))</f>
        <v>#N/A</v>
      </c>
      <c r="BC113" cm="1">
        <f t="array" ref="BC113">_xlfn.LET(_xlpm.leftPart, LEFT(O113, FIND("@", O113) - 2),_xlpm.grade,Q113,_xlpm.gradeRange,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3" cm="1">
        <f t="array" ref="BD113">_xlfn.LET(_xlpm.leftPart, LEFT(P113, FIND("@", P113) - 2),_xlpm.grade, Q113,_xlpm.gradeRange,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3">
        <f t="shared" si="31"/>
        <v>2.5</v>
      </c>
      <c r="BF113">
        <f>IF(SD!$C$32=SD!$I$2,BE113,IF(SD!$C$32=SD!$I$3,DO113,IF(SD!$C$32=SD!$I$5,BA113,IF(SD!$C$32=SD!$I$6,(LEFT(SD!$C$35,FIND("-",SD!$C$35)-1)+RIGHT(SD!$C$35,LEN(SD!$C$35)-FIND("-",SD!$C$35))/12),IF(SD!$C$32=SD!$I$4,(AU113-(BG113+BH113)))))))</f>
        <v>0</v>
      </c>
      <c r="BG113">
        <f>IF(SD!$C$33=SD!$I$2,BE113,IF(SD!$C$33=SD!$I$3,DO113,IF(SD!$C$33=SD!$I$5,BA113,IF(SD!$C$33=SD!$I$6,(LEFT(SD!$C$35,FIND("-",SD!$C$35)-1)+RIGHT(SD!$C$35,LEN(SD!$C$35)-FIND("-",SD!$C$35))/12),IF(SD!$C$33=SD!$I$4,(AU113-(BF113+BH113)))))))</f>
        <v>-1</v>
      </c>
      <c r="BH113">
        <f>IF(SD!$C$34=SD!$I$2,BE113,IF(SD!$C$34=SD!$I$3,DO113,IF(SD!$C$34=SD!$I$5,BA113,IF(SD!$C$34=SD!$I$6,(LEFT(SD!$C$35,FIND("-",SD!$C$35)-1)+RIGHT(SD!$C$35,LEN(SD!$C$35)-FIND("-",SD!$C$35))/12),IF(SD!$C$34=SD!$I$4,(AU113-(BF113+BG113)))))))</f>
        <v>1</v>
      </c>
      <c r="BJ113">
        <f>IF(AM113="Spiral","1",MAX(ROUNDUP(IF(SD!$C$32="",AT113,BF113/(LEFT(RIGHT(N113,LEN(N113)-FIND("@",N113)),LEN(RIGHT(N113,LEN(N113)-FIND("@",N113)))-1)/12)+1),0),0))</f>
        <v>1</v>
      </c>
      <c r="BK113">
        <f>MAX(ROUNDUP(IF(SD!$C$33="","",BG113/(LEFT(RIGHT(O113,LEN(O113)-FIND("@",O113)),LEN(RIGHT(O113,LEN(O113)-FIND("@",O113)))-1)/12)+1),0),0)</f>
        <v>0</v>
      </c>
      <c r="BL113">
        <f>MAX(ROUNDUP(IF(SD!$C$34="","",BH113/(LEFT(RIGHT(P113,LEN(P113)-FIND("@",P113)),LEN(RIGHT(P113,LEN(P113)-FIND("@",P113)))-1)/12)+1),0),0)</f>
        <v>3</v>
      </c>
      <c r="BN113" t="e">
        <f t="shared" si="32"/>
        <v>#N/A</v>
      </c>
      <c r="BO113" t="e">
        <f t="shared" si="33"/>
        <v>#N/A</v>
      </c>
      <c r="BP113" t="e">
        <f t="shared" si="34"/>
        <v>#N/A</v>
      </c>
      <c r="BQ113" s="24" t="e">
        <f>IF(AM113=TRUE,(((Y113-(SD!$E$12*2))*3.14159265359)+BN113+BO113+BP113)/12+AL113,SUM(AF113:AG113,BN113,BO113,BP113,AO113,AQ113)/12)</f>
        <v>#N/A</v>
      </c>
      <c r="BR113" t="e">
        <f t="shared" si="35"/>
        <v>#N/A</v>
      </c>
      <c r="BS113" t="e">
        <f t="shared" si="36"/>
        <v>#N/A</v>
      </c>
      <c r="BT113" t="e">
        <f t="shared" si="37"/>
        <v>#N/A</v>
      </c>
      <c r="BU113" s="24" t="e">
        <f>IF(AM113=TRUE,(((Y113-(SD!$E$12*2))*3.14159265359)+BR113+BS113+BT113)/12+AL113,SUM(AF113:AG113,BR113,BS113,BT113,AO113,AQ113)/12)</f>
        <v>#N/A</v>
      </c>
      <c r="BW113" t="str">
        <f>IFERROR(LEFT(Data!L113,FIND(" -",Data!L113)-1),"")</f>
        <v/>
      </c>
      <c r="BX113" t="str">
        <f>IFERROR(IF(SD!$C$40=SD!$U$2,W113,IF(SD!$C$40=SD!$U$3,RIGHT(Data!L113,LEN(Data!L113)-(FIND("-",Data!L113)+1)),SD!$C$40)),"")</f>
        <v>#9</v>
      </c>
      <c r="BY113" cm="1">
        <f t="array" ref="BY113">IFERROR(_xlfn.LET(_xlpm.GRR,IF(AND(SD!$C$19=SD!$H$2,Grade!$G$1="Per level"),VLOOKUP(B113,Grade!$E$1:$F$200,2,FALSE),IF(AND(SD!$C$19=SD!$H$2,Grade!$G$1="Per Bar Size"),VLOOKUP(BX113,Grade!$B$1:$C$12,2,0),SD!$C$19)),_xlpm.is_equal, A112=A113,_xlpm.grade_range, IF(_xlpm.GRR=SD!$H$3, A615GR60,IF(_xlpm.GRR=SD!$H$4, A615GR75,IF(_xlpm.GRR=SD!$H$5, A615GR80,IF(_xlpm.GRR=SD!H117, A615GR100,IF(_xlpm.GRR=SD!$H$7, A706GR60,IF(_xlpm.GRR=SD!$H$8, A706GR80)))))),_xlpm.match_result, MATCH(1, (BSize=BX113)*(BCName=SD!$C$8), 0),_xlpm.final_result, INDEX(_xlpm.grade_range, _xlpm.match_result),IF(_xlpm.is_equal, "", _xlpm.final_result)),"")</f>
        <v>9</v>
      </c>
      <c r="BZ113">
        <f>IF(A112=A113,"",IF(SD!$C$41="Match Vertical Bars ",X113,IF(SD!$C$41=SD!$V$3,BW113,SD!$C$41)))</f>
        <v>8</v>
      </c>
      <c r="CA113" cm="1">
        <f t="array" ref="CA113">IF(A112=A113,"",IF(SD!$C$44="No T-Head",IF(SD!$C$42=SD!$Q$3,VLOOKUP(BX113,S90Range,3,FALSE),LEFT(SD!$C$42,FIND("-",SD!$C$42)-1)+(RIGHT(SD!$C$42,LEN(SD!$C$42)-FIND("-",SD!$C$42))/12)),IF(SD!$C$44="T-Head",_xlfn._xlws.FILTER(THead,(TCName=SD!$C$8)*(TSize=BX113)),IF(SD!$C$44="Level Wise",_xlfn.LET(_xlpm.result,_xlfn.XLOOKUP(B113,VDLevel,VDLevelStatus,"No"),IF(_xlpm.result="Yes",_xlfn._xlws.FILTER(THead,(TCName=SD!$C$8)*(TSize=BX113)),IF(SD!$C$42=SD!$Q$3,VLOOKUP(BX113,S90Range,3,FALSE),LEFT(SD!$C$42,FIND("-",SD!$C$42)-1)+(RIGHT(SD!$C$42,LEN(SD!$C$42)-FIND("-", SD!$C$42))/12)))),IF(SD!$C$44="BarSize Wise",_xlfn.LET(_xlpm.result,_xlfn.XLOOKUP(BX113,VDBarSize,VDBarSizeStatus,"No"),IF(_xlpm.result="Yes",_xlfn._xlws.FILTER(THead,(TCName=SD!$C$8)*(TSize=BX113)),IF(SD!$C$42=SD!$Q$3,VLOOKUP(BX113,S90Range,3,FALSE),LEFT(SD!$C$42,FIND("-",SD!$C$42)-1)+(RIGHT(SD!$C$42,LEN(SD!$C$42)-FIND("-",SD!$C$42))/12)))), "")))))</f>
        <v>1.5833333333333335</v>
      </c>
      <c r="CB113" t="str" cm="1">
        <f t="array" ref="CB113">_xlfn.LET(_xlpm.GRR,IF(AND(SD!$C$19=SD!$H$2,Grade!$G$1="Per level"),VLOOKUP(B113,Grade!$E$1:$F$200,2,FALSE),IF(AND(SD!$C$19=SD!$H$2,Grade!$G$1="Per Bar Size"),VLOOKUP(BX113,Grade!$B$1:$C$12,2,0),SD!$C$19)),_xlpm.is_coupler, K113="Coupler",_xlpm.condition1, SD!$C$43=SD!$W$2,_xlpm.data_j2_empty, Data!$J113="",_xlpm.lookup_table, IF(SD!$C$11="Create", Lap!$A$3:$BF$14, IF(SD!$C$11="Per Uploaded File", Lap!$A$19:$BF$30, "")),_xlpm.row_match, MATCH(BX113, Lap!$A$3:$A$14, 0),_xlpm.grade_offset, IF(IFERROR(FIND("Grade 60",_xlpm.GRR), 0) &gt; 0, 0, IF(IFERROR(FIND("Grade 80",_xlpm.GRR), 0), 1, IF(IFERROR(FIND("Grade 75",_xlpm.GRR), 0), 2, ""))),_xlpm.col_match, MATCH(VALUE(D113), Lap!$A$3:$BF$3, 0) + _xlpm.grade_offset,_xlpm.index_result, IFERROR(INDEX(_xlpm.lookup_table, _xlpm.row_match, _xlpm.col_match), Data!$J113),_xlpm.result_if_condition1, IF(_xlpm.data_j2_empty, _xlpm.index_result, Data!$J113),IF(_xlpm.is_coupler, 0, IF(_xlpm.condition1, _xlpm.result_if_condition1, SD!$C$43)))</f>
        <v>4-6</v>
      </c>
      <c r="CC113" s="24">
        <f t="shared" si="38"/>
        <v>4.5</v>
      </c>
      <c r="CD113">
        <f t="shared" si="39"/>
        <v>11.916666666666668</v>
      </c>
      <c r="CE113" t="str" cm="1">
        <f t="array" ref="CE113">IF(BY113="","",_xlfn._xlws.FILTER(SAC,(CName=SD!$C$8)*(EName="Vert Dowels")))</f>
        <v>2200 CD</v>
      </c>
      <c r="CF113" t="str" cm="1">
        <f t="array" ref="CF113">IFERROR(IF(BY113="","",IF(K113="Coupler",_xlfn._xlws.FILTER(CCoupler,(CCName=SD!$C$8)*(CBSize=IF(A112=A113,W112&amp;W113,BX113&amp;W113))*(CCMFM="Male")),"")),"N/A")</f>
        <v/>
      </c>
      <c r="CG113" t="str">
        <f t="shared" si="40"/>
        <v/>
      </c>
      <c r="CH113" t="str">
        <f t="shared" si="41"/>
        <v/>
      </c>
      <c r="CI113" t="str">
        <f>_xlfn.LET(_xlpm.u3_value, U114,_xlpm.hyphen_pos,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K114="Coupler",_xlpm.coupler_value, IF(_xlpm.is_coupler, 0, _xlpm.calculated_value),_xlpm.final_value, _xlpm.calculated_value + SD!$E$13 + _xlpm.coupler_value,IF(CG113="", "", _xlpm.final_value))</f>
        <v/>
      </c>
      <c r="CJ113" t="str" cm="1">
        <f t="array" ref="CJ113">IF(CG113="","",_xlfn._xlws.FILTER(SAC,(CName=SD!$C$8)*(EName="Loose Dowels")))</f>
        <v/>
      </c>
      <c r="CK113" t="str" cm="1">
        <f t="array" ref="CK113">IFERROR(IF(CG113="","",IF(K114="Coupler",_xlfn._xlws.FILTER(CCoupler,(CCName=SD!$C$8)*(CBSize=IF(A113=A114,W113&amp;W114,""))*(CCMFM="Male")),"")),"N/A")</f>
        <v/>
      </c>
      <c r="CL113">
        <f>IFERROR(IF(AM113="Spiral","",IF(A112=A113,"",IF(SD!$C$37=0,"",SD!$C$37))),"")</f>
        <v>3</v>
      </c>
      <c r="CN113">
        <f>IF(AM113="Spiral","",IFERROR(IF(SD!$C$36=0,"",SD!$C$36),""))</f>
        <v>5</v>
      </c>
      <c r="CP113">
        <f>IFERROR(IF(SD!$C$42=SD!$Q$3,'Take-off'!CA113,""),"")</f>
        <v>1.5833333333333335</v>
      </c>
      <c r="CR113">
        <f>IFERROR(IF(SD!$C$22=SD!$U$2,W113,SD!$C$22),"")</f>
        <v>0</v>
      </c>
      <c r="CS113" t="str" cm="1">
        <f t="array" ref="CS113">_xlfn.LET(_xlpm.GR,IF(AND(SD!$C$19=SD!$H$2,Grade!$G$1="Per level"),VLOOKUP(B113,Grade!$E$1:$F$200,2,FALSE),IF(AND(SD!$C$19=SD!$H$2,Grade!$G$1="Per Bar Size"),VLOOKUP(CR113,Grade!$B$1:$C$12,2,0),SD!$C$19)),IF(SD!$C$20=SD!$R$4,IF(A114=A113,"",INDEX(IF(_xlpm.GR=SD!$H$3,A615GR60,IF(_xlpm.GR=SD!$H$4,A615GR75,IF(_xlpm.GR=SD!$H$5,A615GR80,IF(_xlpm.GR=SD!H117,A615GR100,IF(_xlpm.GR=SD!$H$7,A706GR60,IF(_xlpm.GR=SD!$H$8,A706GR80)))))), MATCH(1, (BSize=CR113)*(BCName=SD!$C$8), 0))),""))</f>
        <v/>
      </c>
      <c r="CT113">
        <f>IF(A114=A113,"",IF(SD!$C$23="Match Vertical Bars ",X113,SD!$C$23))</f>
        <v>0</v>
      </c>
      <c r="CU113" t="str" cm="1">
        <f t="array" ref="CU113">IF(A114=A113,"",IF(SD!$C$20="Top dowels",IF(SD!$E$25="No T-Head",IF(SD!$C$24=SD!$Q$3,VLOOKUP(CR113,S90Range,3,FALSE),LEFT(SD!$C$24,FIND("-",SD!$C$24)-1)+(RIGHT(SD!$C$24,LEN(SD!$C$24)-FIND("-",SD!$C$24))/12)),IF(SD!$E$25="T-Head",_xlfn._xlws.FILTER(THead,(TCName=SD!$C$8)*(TSize=CR113)),IF(SD!$E$25="Level Wise",_xlfn.LET(_xlpm.result,_xlfn.XLOOKUP(B113,TDLevel,TDLevelStatus,"No"),IF(_xlpm.result="Yes",_xlfn._xlws.FILTER(THead,(TCName=SD!$C$8)*(TSize=CR113)),IF(SD!$C$24=SD!$Q$3,VLOOKUP(CR113,S90Range,3,FALSE),LEFT(SD!$C$24,FIND("-",SD!$C$24)-1)+(RIGHT(SD!$C$24,LEN(SD!$C$24)-FIND("-", SD!$C$24))/12)))),IF(SD!$E$25="BarSize Wise",_xlfn.LET(_xlpm.result,_xlfn.XLOOKUP(CR113,TDBarSize,TDBarSizeStatus,"No"),IF(_xlpm.result="Yes",_xlfn._xlws.FILTER(THead,(TCName=SD!$C$8)*(TSize=CR113)),IF(SD!$C$24=SD!$Q$3,VLOOKUP(CR113,S90Range,3,FALSE),LEFT(SD!$C$24,FIND("-",SD!$C$24)-1)+(RIGHT(SD!$C$24,LEN(SD!$C$24)-FIND("-",SD!$C$24))/12)))), "")))),""))</f>
        <v/>
      </c>
      <c r="CV113" t="str">
        <f>_xlfn.LET(_xlpm.GRR,IF(AND(SD!$C$19=SD!$H$2,Grade!$G$1="Per level"),VLOOKUP(B113,Grade!$E$1:$F$200,2,FALSE),IF(AND(SD!$C$19=SD!$H$2,Grade!$G$1="Per Bar Size"),VLOOKUP(CR113,Grade!$B$1:$C$12,2,0),SD!$C$19)),IF(SD!$C$25=SD!$W$2,IF(Data!$J113="",IFERROR(INDEX(IF(SD!$C$11="Create",Lap!$A$3:$BF$14,IF(SD!$C$11="Per Uploaded File",Lap!$A$19:$BF$30,"")),MATCH(CR113,Lap!$A$3:$A$14,0),MATCH(VALUE(D113),Lap!$A$3:$BF$3,0)+IF(IFERROR(FIND("Grade 60",_xlpm.GRR),0)&gt;0,0,IF(IFERROR(FIND("Grade 80",_xlpm.GRR),0),1,IF(IFERROR(FIND("Grade 75",_xlpm.GRR),0),2,"")))),""),Data!J113),SD!$C$43))</f>
        <v>Match Lap</v>
      </c>
      <c r="CW113">
        <f t="shared" si="42"/>
        <v>0</v>
      </c>
      <c r="CX113">
        <f t="shared" si="43"/>
        <v>0</v>
      </c>
      <c r="CY113" t="str">
        <f t="shared" si="44"/>
        <v/>
      </c>
      <c r="DA113">
        <f t="shared" si="45"/>
        <v>41</v>
      </c>
      <c r="DB113" t="str">
        <f t="shared" si="46"/>
        <v>21-7</v>
      </c>
      <c r="DC113" s="24">
        <f t="shared" si="47"/>
        <v>21.583333333333332</v>
      </c>
      <c r="DD113">
        <f t="shared" si="48"/>
        <v>21.583333333333332</v>
      </c>
      <c r="DE113" t="s">
        <v>742</v>
      </c>
      <c r="DF113" t="s">
        <v>67</v>
      </c>
      <c r="DG113" t="str">
        <f>VLOOKUP(W113,'Level Wise PSI'!$F$2:$G$12,2,FALSE)</f>
        <v>Double Lift</v>
      </c>
      <c r="DI113" t="str" cm="1">
        <f t="array" ref="DI113">_xlfn.LET(_xlpm.Coup,IFERROR(IF(BY113="","",IF(K113="Coupler",_xlfn._xlws.FILTER(CCFCoupler,(CCName=SD!$C$8)*(CBSize=IF(A112=A113,W112&amp;W113,BX113&amp;W113))),"")),"N/A"),IF(_xlpm.Coup=0,"",_xlpm.Coup))</f>
        <v/>
      </c>
      <c r="DJ113" t="str" cm="1">
        <f t="array" ref="DJ113">_xlfn.LET(_xlpm.Coup3,IFERROR(IF(CG113="","",IF(K114="Coupler",_xlfn._xlws.FILTER(CCFCoupler,(CCName=SD!$C$8)*(CBSize=IF(A113=A114,W113&amp;W114,""))),"")),"N/A"),IF(_xlpm.Coup3=0,"",_xlpm.Coup3))</f>
        <v/>
      </c>
      <c r="DK113" t="str" cm="1">
        <f t="array" ref="DK113">_xlfn.LET(_xlpm.Coup2,IFERROR(IF(A113&lt;&gt;A114,"",IF(DF113="No Lap","",IF(K114="Coupler",_xlfn._xlws.FILTER(CCFCoupler,(CCName=SD!$C$8)*(CBSize=IF(A112=A113,W113&amp;W114,W113&amp;W113))),""))),"N/A"),IF(_xlpm.Coup2=0,"",_xlpm.Coup2))</f>
        <v/>
      </c>
      <c r="DM113" t="str">
        <f>IF(AM113="Spiral","",IF(SD!$C$31=SD!$Y$3,SD!$E$32*2,""))</f>
        <v/>
      </c>
      <c r="DO113" s="24">
        <f t="shared" si="49"/>
        <v>2.5</v>
      </c>
      <c r="DQ113" t="str">
        <f t="shared" si="50"/>
        <v>Lig</v>
      </c>
      <c r="DR113" t="str">
        <f>IF(AM113="Spiral",((Y113-(SD!$E$12*2))/12),"")</f>
        <v/>
      </c>
      <c r="DS113" t="str">
        <f t="shared" si="51"/>
        <v/>
      </c>
      <c r="DT113" t="str">
        <f t="shared" si="52"/>
        <v/>
      </c>
      <c r="DU113" t="str">
        <f t="shared" si="53"/>
        <v/>
      </c>
    </row>
    <row r="114" spans="1:125" x14ac:dyDescent="0.25">
      <c r="A114">
        <v>42</v>
      </c>
      <c r="B114" t="s">
        <v>664</v>
      </c>
      <c r="C114" s="15">
        <v>2429</v>
      </c>
      <c r="D114" s="15">
        <v>10000</v>
      </c>
      <c r="E114" t="str">
        <f>IF(B114=Level!$A$2,SD!$C$14,SD!$C$13)</f>
        <v>3-0</v>
      </c>
      <c r="F114" s="15" t="s">
        <v>787</v>
      </c>
      <c r="G114" t="s">
        <v>734</v>
      </c>
      <c r="H114" s="15" t="s">
        <v>789</v>
      </c>
      <c r="I114" t="s">
        <v>735</v>
      </c>
      <c r="J114" t="str">
        <f>IF(AND(SD!$C$19=SD!$H$2,Grade!$G$1="Per level"),VLOOKUP(B114,Grade!$E$1:$F$200,2,FALSE),IF(AND(SD!$C$19=SD!$H$2,Grade!$G$1="Per Bar Size"),VLOOKUP(W114,Grade!$B$1:$C$12,2,0),SD!$C$19))</f>
        <v>A615 Grade 60</v>
      </c>
      <c r="K114" t="s">
        <v>67</v>
      </c>
      <c r="L114" t="str">
        <f>IFERROR(IF(A114&lt;&gt;A115,"",IF(DF114="No Lap","",IF(K115="Lap",U114,IF(K115="Coupler",_xlfn._xlws.FILTER(CCoupler,(CCName=SD!$C$8)*(CBSize=IF(A113=A114,W114&amp;W115,W114&amp;W114))*(CCMFM="Male")),"")))),"N/A")</f>
        <v/>
      </c>
      <c r="M114" t="str">
        <f t="shared" si="27"/>
        <v/>
      </c>
      <c r="N114" t="s">
        <v>719</v>
      </c>
      <c r="O114" t="s">
        <v>720</v>
      </c>
      <c r="P114" t="s">
        <v>719</v>
      </c>
      <c r="Q114" t="str">
        <f>IF(AND(SD!$C$29=SD!$P$2,Grade!$O$1="Per level"),VLOOKUP(B114,Grade!$M$1:$N$200,2,FALSE),IF(AND(SD!$C$29=SD!$P$2,Grade!$O$1="Per Bar Size"),VLOOKUP(LEFT(N114,FIND("@",N114)-2),Grade!$J$1:$K$12,2,0),SD!$C$29))</f>
        <v>A615 Grade 60</v>
      </c>
      <c r="R114" t="s">
        <v>736</v>
      </c>
      <c r="S114" s="57">
        <v>114</v>
      </c>
      <c r="U114" t="str">
        <f>IF(Data!$J114="",IFERROR(INDEX(IF(SD!$C$11="Create",Lap!$A$3:$BF$14,IF(SD!$C$11="Per Uploaded File",Lap!$A$19:$BF$30,"")),MATCH(W114,Lap!$A$3:$A$14,0),MATCH(VALUE(D114),Lap!$A$3:$BF$3,0)+IF(IFERROR(FIND("Grade 60",J114),0)&gt;0,0,IF(IFERROR(FIND("Grade 80",J114),0),1,IF(IFERROR(FIND("Grade 75",J114),0),2,"")))),""),Data!J114)</f>
        <v>3-6</v>
      </c>
      <c r="W114" t="s">
        <v>139</v>
      </c>
      <c r="X114">
        <v>8</v>
      </c>
      <c r="Y114" t="str">
        <f t="shared" si="28"/>
        <v xml:space="preserve">16 </v>
      </c>
      <c r="Z114" t="str">
        <f t="shared" si="29"/>
        <v xml:space="preserve"> 30</v>
      </c>
      <c r="AA114" s="24">
        <f t="shared" si="30"/>
        <v>21.583333333333332</v>
      </c>
      <c r="BB114" t="e" cm="1">
        <f t="array" ref="BB114">_xlfn.LET(_xlpm.PartF,(_xlfn.LET(_xlpm.grade, Q114,_xlpm.gradeRange, IF(_xlpm.grade=SD!$H$3, A615GR60, IF(_xlpm.grade=SD!$H$4, A615GR75, IF(_xlpm.grade=SD!$H$5, A615GR80, IF(_xlpm.grade=SD!$H$6, A615GR100, IF(_xlpm.grade=SD!$H$7, A706GR60, IF(_xlpm.grade=SD!$H$8, A706GR80)))))),_xlpm.matchValue, MATCH(1, (SD!$AW:$AW=AS114)*(SD!$AX:$AX=SD!$C$8), 0),INDEX(_xlpm.gradeRange, _xlpm.matchValue))),IF(AM114="Spiral",CONCATENATE("SP",_xlpm.PartF),_xlpm.PartF))</f>
        <v>#N/A</v>
      </c>
      <c r="BC114" cm="1">
        <f t="array" ref="BC114">_xlfn.LET(_xlpm.leftPart, LEFT(O114, FIND("@", O114) - 2),_xlpm.grade,Q114,_xlpm.gradeRange,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4" cm="1">
        <f t="array" ref="BD114">_xlfn.LET(_xlpm.leftPart, LEFT(P114, FIND("@", P114) - 2),_xlpm.grade, Q114,_xlpm.gradeRange,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4">
        <f t="shared" si="31"/>
        <v>2.5</v>
      </c>
      <c r="BF114">
        <f>IF(SD!$C$32=SD!$I$2,BE114,IF(SD!$C$32=SD!$I$3,DO114,IF(SD!$C$32=SD!$I$5,BA114,IF(SD!$C$32=SD!$I$6,(LEFT(SD!$C$35,FIND("-",SD!$C$35)-1)+RIGHT(SD!$C$35,LEN(SD!$C$35)-FIND("-",SD!$C$35))/12),IF(SD!$C$32=SD!$I$4,(AU114-(BG114+BH114)))))))</f>
        <v>0</v>
      </c>
      <c r="BG114">
        <f>IF(SD!$C$33=SD!$I$2,BE114,IF(SD!$C$33=SD!$I$3,DO114,IF(SD!$C$33=SD!$I$5,BA114,IF(SD!$C$33=SD!$I$6,(LEFT(SD!$C$35,FIND("-",SD!$C$35)-1)+RIGHT(SD!$C$35,LEN(SD!$C$35)-FIND("-",SD!$C$35))/12),IF(SD!$C$33=SD!$I$4,(AU114-(BF114+BH114)))))))</f>
        <v>-1</v>
      </c>
      <c r="BH114">
        <f>IF(SD!$C$34=SD!$I$2,BE114,IF(SD!$C$34=SD!$I$3,DO114,IF(SD!$C$34=SD!$I$5,BA114,IF(SD!$C$34=SD!$I$6,(LEFT(SD!$C$35,FIND("-",SD!$C$35)-1)+RIGHT(SD!$C$35,LEN(SD!$C$35)-FIND("-",SD!$C$35))/12),IF(SD!$C$34=SD!$I$4,(AU114-(BF114+BG114)))))))</f>
        <v>1</v>
      </c>
      <c r="BJ114">
        <f>IF(AM114="Spiral","1",MAX(ROUNDUP(IF(SD!$C$32="",AT114,BF114/(LEFT(RIGHT(N114,LEN(N114)-FIND("@",N114)),LEN(RIGHT(N114,LEN(N114)-FIND("@",N114)))-1)/12)+1),0),0))</f>
        <v>1</v>
      </c>
      <c r="BK114">
        <f>MAX(ROUNDUP(IF(SD!$C$33="","",BG114/(LEFT(RIGHT(O114,LEN(O114)-FIND("@",O114)),LEN(RIGHT(O114,LEN(O114)-FIND("@",O114)))-1)/12)+1),0),0)</f>
        <v>0</v>
      </c>
      <c r="BL114">
        <f>MAX(ROUNDUP(IF(SD!$C$34="","",BH114/(LEFT(RIGHT(P114,LEN(P114)-FIND("@",P114)),LEN(RIGHT(P114,LEN(P114)-FIND("@",P114)))-1)/12)+1),0),0)</f>
        <v>3</v>
      </c>
      <c r="BN114" t="e">
        <f t="shared" si="32"/>
        <v>#N/A</v>
      </c>
      <c r="BO114" t="e">
        <f t="shared" si="33"/>
        <v>#N/A</v>
      </c>
      <c r="BP114" t="e">
        <f t="shared" si="34"/>
        <v>#N/A</v>
      </c>
      <c r="BQ114" s="24" t="e">
        <f>IF(AM114=TRUE,(((Y114-(SD!$E$12*2))*3.14159265359)+BN114+BO114+BP114)/12+AL114,SUM(AF114:AG114,BN114,BO114,BP114,AO114,AQ114)/12)</f>
        <v>#N/A</v>
      </c>
      <c r="BR114" t="e">
        <f t="shared" si="35"/>
        <v>#N/A</v>
      </c>
      <c r="BS114" t="e">
        <f t="shared" si="36"/>
        <v>#N/A</v>
      </c>
      <c r="BT114" t="e">
        <f t="shared" si="37"/>
        <v>#N/A</v>
      </c>
      <c r="BU114" s="24" t="e">
        <f>IF(AM114=TRUE,(((Y114-(SD!$E$12*2))*3.14159265359)+BR114+BS114+BT114)/12+AL114,SUM(AF114:AG114,BR114,BS114,BT114,AO114,AQ114)/12)</f>
        <v>#N/A</v>
      </c>
      <c r="BW114" t="str">
        <f>IFERROR(LEFT(Data!L114,FIND(" -",Data!L114)-1),"")</f>
        <v/>
      </c>
      <c r="BX114" t="str">
        <f>IFERROR(IF(SD!$C$40=SD!$U$2,W114,IF(SD!$C$40=SD!$U$3,RIGHT(Data!L114,LEN(Data!L114)-(FIND("-",Data!L114)+1)),SD!$C$40)),"")</f>
        <v>#7</v>
      </c>
      <c r="BY114" cm="1">
        <f t="array" ref="BY114">IFERROR(_xlfn.LET(_xlpm.GRR,IF(AND(SD!$C$19=SD!$H$2,Grade!$G$1="Per level"),VLOOKUP(B114,Grade!$E$1:$F$200,2,FALSE),IF(AND(SD!$C$19=SD!$H$2,Grade!$G$1="Per Bar Size"),VLOOKUP(BX114,Grade!$B$1:$C$12,2,0),SD!$C$19)),_xlpm.is_equal, A113=A114,_xlpm.grade_range, IF(_xlpm.GRR=SD!$H$3, A615GR60,IF(_xlpm.GRR=SD!$H$4, A615GR75,IF(_xlpm.GRR=SD!$H$5, A615GR80,IF(_xlpm.GRR=SD!H118, A615GR100,IF(_xlpm.GRR=SD!$H$7, A706GR60,IF(_xlpm.GRR=SD!$H$8, A706GR80)))))),_xlpm.match_result, MATCH(1, (BSize=BX114)*(BCName=SD!$C$8), 0),_xlpm.final_result, INDEX(_xlpm.grade_range, _xlpm.match_result),IF(_xlpm.is_equal, "", _xlpm.final_result)),"")</f>
        <v>7</v>
      </c>
      <c r="BZ114">
        <f>IF(A113=A114,"",IF(SD!$C$41="Match Vertical Bars ",X114,IF(SD!$C$41=SD!$V$3,BW114,SD!$C$41)))</f>
        <v>8</v>
      </c>
      <c r="CA114" cm="1">
        <f t="array" ref="CA114">IF(A113=A114,"",IF(SD!$C$44="No T-Head",IF(SD!$C$42=SD!$Q$3,VLOOKUP(BX114,S90Range,3,FALSE),LEFT(SD!$C$42,FIND("-",SD!$C$42)-1)+(RIGHT(SD!$C$42,LEN(SD!$C$42)-FIND("-",SD!$C$42))/12)),IF(SD!$C$44="T-Head",_xlfn._xlws.FILTER(THead,(TCName=SD!$C$8)*(TSize=BX114)),IF(SD!$C$44="Level Wise",_xlfn.LET(_xlpm.result,_xlfn.XLOOKUP(B114,VDLevel,VDLevelStatus,"No"),IF(_xlpm.result="Yes",_xlfn._xlws.FILTER(THead,(TCName=SD!$C$8)*(TSize=BX114)),IF(SD!$C$42=SD!$Q$3,VLOOKUP(BX114,S90Range,3,FALSE),LEFT(SD!$C$42,FIND("-",SD!$C$42)-1)+(RIGHT(SD!$C$42,LEN(SD!$C$42)-FIND("-", SD!$C$42))/12)))),IF(SD!$C$44="BarSize Wise",_xlfn.LET(_xlpm.result,_xlfn.XLOOKUP(BX114,VDBarSize,VDBarSizeStatus,"No"),IF(_xlpm.result="Yes",_xlfn._xlws.FILTER(THead,(TCName=SD!$C$8)*(TSize=BX114)),IF(SD!$C$42=SD!$Q$3,VLOOKUP(BX114,S90Range,3,FALSE),LEFT(SD!$C$42,FIND("-",SD!$C$42)-1)+(RIGHT(SD!$C$42,LEN(SD!$C$42)-FIND("-",SD!$C$42))/12)))), "")))))</f>
        <v>1.1666666666666667</v>
      </c>
      <c r="CB114" t="str" cm="1">
        <f t="array" ref="CB114">_xlfn.LET(_xlpm.GRR,IF(AND(SD!$C$19=SD!$H$2,Grade!$G$1="Per level"),VLOOKUP(B114,Grade!$E$1:$F$200,2,FALSE),IF(AND(SD!$C$19=SD!$H$2,Grade!$G$1="Per Bar Size"),VLOOKUP(BX114,Grade!$B$1:$C$12,2,0),SD!$C$19)),_xlpm.is_coupler, K114="Coupler",_xlpm.condition1, SD!$C$43=SD!$W$2,_xlpm.data_j2_empty, Data!$J114="",_xlpm.lookup_table, IF(SD!$C$11="Create", Lap!$A$3:$BF$14, IF(SD!$C$11="Per Uploaded File", Lap!$A$19:$BF$30, "")),_xlpm.row_match, MATCH(BX114, Lap!$A$3:$A$14, 0),_xlpm.grade_offset, IF(IFERROR(FIND("Grade 60",_xlpm.GRR), 0) &gt; 0, 0, IF(IFERROR(FIND("Grade 80",_xlpm.GRR), 0), 1, IF(IFERROR(FIND("Grade 75",_xlpm.GRR), 0), 2, ""))),_xlpm.col_match, MATCH(VALUE(D114), Lap!$A$3:$BF$3, 0) + _xlpm.grade_offset,_xlpm.index_result, IFERROR(INDEX(_xlpm.lookup_table, _xlpm.row_match, _xlpm.col_match), Data!$J114),_xlpm.result_if_condition1, IF(_xlpm.data_j2_empty, _xlpm.index_result, Data!$J114),IF(_xlpm.is_coupler, 0, IF(_xlpm.condition1, _xlpm.result_if_condition1, SD!$C$43)))</f>
        <v>3-6</v>
      </c>
      <c r="CC114" s="24">
        <f t="shared" si="38"/>
        <v>3.5</v>
      </c>
      <c r="CD114">
        <f t="shared" si="39"/>
        <v>7.666666666666667</v>
      </c>
      <c r="CE114" t="str" cm="1">
        <f t="array" ref="CE114">IF(BY114="","",_xlfn._xlws.FILTER(SAC,(CName=SD!$C$8)*(EName="Vert Dowels")))</f>
        <v>2200 CD</v>
      </c>
      <c r="CF114" t="str" cm="1">
        <f t="array" ref="CF114">IFERROR(IF(BY114="","",IF(K114="Coupler",_xlfn._xlws.FILTER(CCoupler,(CCName=SD!$C$8)*(CBSize=IF(A113=A114,W113&amp;W114,BX114&amp;W114))*(CCMFM="Male")),"")),"N/A")</f>
        <v/>
      </c>
      <c r="CG114" t="str">
        <f t="shared" si="40"/>
        <v/>
      </c>
      <c r="CH114" t="str">
        <f t="shared" si="41"/>
        <v/>
      </c>
      <c r="CI114" t="str">
        <f>_xlfn.LET(_xlpm.u3_value, U115,_xlpm.hyphen_pos,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K115="Coupler",_xlpm.coupler_value, IF(_xlpm.is_coupler, 0, _xlpm.calculated_value),_xlpm.final_value, _xlpm.calculated_value + SD!$E$13 + _xlpm.coupler_value,IF(CG114="", "", _xlpm.final_value))</f>
        <v/>
      </c>
      <c r="CJ114" t="str" cm="1">
        <f t="array" ref="CJ114">IF(CG114="","",_xlfn._xlws.FILTER(SAC,(CName=SD!$C$8)*(EName="Loose Dowels")))</f>
        <v/>
      </c>
      <c r="CK114" t="str" cm="1">
        <f t="array" ref="CK114">IFERROR(IF(CG114="","",IF(K115="Coupler",_xlfn._xlws.FILTER(CCoupler,(CCName=SD!$C$8)*(CBSize=IF(A114=A115,W114&amp;W115,""))*(CCMFM="Male")),"")),"N/A")</f>
        <v/>
      </c>
      <c r="CL114">
        <f>IFERROR(IF(AM114="Spiral","",IF(A113=A114,"",IF(SD!$C$37=0,"",SD!$C$37))),"")</f>
        <v>3</v>
      </c>
      <c r="CN114">
        <f>IF(AM114="Spiral","",IFERROR(IF(SD!$C$36=0,"",SD!$C$36),""))</f>
        <v>5</v>
      </c>
      <c r="CP114">
        <f>IFERROR(IF(SD!$C$42=SD!$Q$3,'Take-off'!CA114,""),"")</f>
        <v>1.1666666666666667</v>
      </c>
      <c r="CR114">
        <f>IFERROR(IF(SD!$C$22=SD!$U$2,W114,SD!$C$22),"")</f>
        <v>0</v>
      </c>
      <c r="CS114" t="str" cm="1">
        <f t="array" ref="CS114">_xlfn.LET(_xlpm.GR,IF(AND(SD!$C$19=SD!$H$2,Grade!$G$1="Per level"),VLOOKUP(B114,Grade!$E$1:$F$200,2,FALSE),IF(AND(SD!$C$19=SD!$H$2,Grade!$G$1="Per Bar Size"),VLOOKUP(CR114,Grade!$B$1:$C$12,2,0),SD!$C$19)),IF(SD!$C$20=SD!$R$4,IF(A115=A114,"",INDEX(IF(_xlpm.GR=SD!$H$3,A615GR60,IF(_xlpm.GR=SD!$H$4,A615GR75,IF(_xlpm.GR=SD!$H$5,A615GR80,IF(_xlpm.GR=SD!H118,A615GR100,IF(_xlpm.GR=SD!$H$7,A706GR60,IF(_xlpm.GR=SD!$H$8,A706GR80)))))), MATCH(1, (BSize=CR114)*(BCName=SD!$C$8), 0))),""))</f>
        <v/>
      </c>
      <c r="CT114">
        <f>IF(A115=A114,"",IF(SD!$C$23="Match Vertical Bars ",X114,SD!$C$23))</f>
        <v>0</v>
      </c>
      <c r="CU114" t="str" cm="1">
        <f t="array" ref="CU114">IF(A115=A114,"",IF(SD!$C$20="Top dowels",IF(SD!$E$25="No T-Head",IF(SD!$C$24=SD!$Q$3,VLOOKUP(CR114,S90Range,3,FALSE),LEFT(SD!$C$24,FIND("-",SD!$C$24)-1)+(RIGHT(SD!$C$24,LEN(SD!$C$24)-FIND("-",SD!$C$24))/12)),IF(SD!$E$25="T-Head",_xlfn._xlws.FILTER(THead,(TCName=SD!$C$8)*(TSize=CR114)),IF(SD!$E$25="Level Wise",_xlfn.LET(_xlpm.result,_xlfn.XLOOKUP(B114,TDLevel,TDLevelStatus,"No"),IF(_xlpm.result="Yes",_xlfn._xlws.FILTER(THead,(TCName=SD!$C$8)*(TSize=CR114)),IF(SD!$C$24=SD!$Q$3,VLOOKUP(CR114,S90Range,3,FALSE),LEFT(SD!$C$24,FIND("-",SD!$C$24)-1)+(RIGHT(SD!$C$24,LEN(SD!$C$24)-FIND("-", SD!$C$24))/12)))),IF(SD!$E$25="BarSize Wise",_xlfn.LET(_xlpm.result,_xlfn.XLOOKUP(CR114,TDBarSize,TDBarSizeStatus,"No"),IF(_xlpm.result="Yes",_xlfn._xlws.FILTER(THead,(TCName=SD!$C$8)*(TSize=CR114)),IF(SD!$C$24=SD!$Q$3,VLOOKUP(CR114,S90Range,3,FALSE),LEFT(SD!$C$24,FIND("-",SD!$C$24)-1)+(RIGHT(SD!$C$24,LEN(SD!$C$24)-FIND("-",SD!$C$24))/12)))), "")))),""))</f>
        <v/>
      </c>
      <c r="CV114" t="str">
        <f>_xlfn.LET(_xlpm.GRR,IF(AND(SD!$C$19=SD!$H$2,Grade!$G$1="Per level"),VLOOKUP(B114,Grade!$E$1:$F$200,2,FALSE),IF(AND(SD!$C$19=SD!$H$2,Grade!$G$1="Per Bar Size"),VLOOKUP(CR114,Grade!$B$1:$C$12,2,0),SD!$C$19)),IF(SD!$C$25=SD!$W$2,IF(Data!$J114="",IFERROR(INDEX(IF(SD!$C$11="Create",Lap!$A$3:$BF$14,IF(SD!$C$11="Per Uploaded File",Lap!$A$19:$BF$30,"")),MATCH(CR114,Lap!$A$3:$A$14,0),MATCH(VALUE(D114),Lap!$A$3:$BF$3,0)+IF(IFERROR(FIND("Grade 60",_xlpm.GRR),0)&gt;0,0,IF(IFERROR(FIND("Grade 80",_xlpm.GRR),0),1,IF(IFERROR(FIND("Grade 75",_xlpm.GRR),0),2,"")))),""),Data!J114),SD!$C$43))</f>
        <v>Match Lap</v>
      </c>
      <c r="CW114">
        <f t="shared" si="42"/>
        <v>0</v>
      </c>
      <c r="CX114">
        <f t="shared" si="43"/>
        <v>0</v>
      </c>
      <c r="CY114" t="str">
        <f t="shared" si="44"/>
        <v/>
      </c>
      <c r="DA114">
        <f t="shared" si="45"/>
        <v>42</v>
      </c>
      <c r="DB114" t="str">
        <f t="shared" si="46"/>
        <v>21-7</v>
      </c>
      <c r="DC114" s="24">
        <f t="shared" si="47"/>
        <v>21.583333333333332</v>
      </c>
      <c r="DD114">
        <f t="shared" si="48"/>
        <v>21.583333333333332</v>
      </c>
      <c r="DE114" t="s">
        <v>734</v>
      </c>
      <c r="DF114" t="s">
        <v>67</v>
      </c>
      <c r="DG114" t="str">
        <f>VLOOKUP(W114,'Level Wise PSI'!$F$2:$G$12,2,FALSE)</f>
        <v>Double Lift</v>
      </c>
      <c r="DI114" t="str" cm="1">
        <f t="array" ref="DI114">_xlfn.LET(_xlpm.Coup,IFERROR(IF(BY114="","",IF(K114="Coupler",_xlfn._xlws.FILTER(CCFCoupler,(CCName=SD!$C$8)*(CBSize=IF(A113=A114,W113&amp;W114,BX114&amp;W114))),"")),"N/A"),IF(_xlpm.Coup=0,"",_xlpm.Coup))</f>
        <v/>
      </c>
      <c r="DJ114" t="str" cm="1">
        <f t="array" ref="DJ114">_xlfn.LET(_xlpm.Coup3,IFERROR(IF(CG114="","",IF(K115="Coupler",_xlfn._xlws.FILTER(CCFCoupler,(CCName=SD!$C$8)*(CBSize=IF(A114=A115,W114&amp;W115,""))),"")),"N/A"),IF(_xlpm.Coup3=0,"",_xlpm.Coup3))</f>
        <v/>
      </c>
      <c r="DK114" t="str" cm="1">
        <f t="array" ref="DK114">_xlfn.LET(_xlpm.Coup2,IFERROR(IF(A114&lt;&gt;A115,"",IF(DF114="No Lap","",IF(K115="Coupler",_xlfn._xlws.FILTER(CCFCoupler,(CCName=SD!$C$8)*(CBSize=IF(A113=A114,W114&amp;W115,W114&amp;W114))),""))),"N/A"),IF(_xlpm.Coup2=0,"",_xlpm.Coup2))</f>
        <v/>
      </c>
      <c r="DM114" t="str">
        <f>IF(AM114="Spiral","",IF(SD!$C$31=SD!$Y$3,SD!$E$32*2,""))</f>
        <v/>
      </c>
      <c r="DO114" s="24">
        <f t="shared" si="49"/>
        <v>2.5</v>
      </c>
      <c r="DQ114" t="str">
        <f t="shared" si="50"/>
        <v>Lig</v>
      </c>
      <c r="DR114" t="str">
        <f>IF(AM114="Spiral",((Y114-(SD!$E$12*2))/12),"")</f>
        <v/>
      </c>
      <c r="DS114" t="str">
        <f t="shared" si="51"/>
        <v/>
      </c>
      <c r="DT114" t="str">
        <f t="shared" si="52"/>
        <v/>
      </c>
      <c r="DU114" t="str">
        <f t="shared" si="53"/>
        <v/>
      </c>
    </row>
    <row r="115" spans="1:125" x14ac:dyDescent="0.25">
      <c r="A115">
        <v>43</v>
      </c>
      <c r="B115" t="s">
        <v>664</v>
      </c>
      <c r="C115" s="15">
        <v>2429</v>
      </c>
      <c r="D115" s="15">
        <v>10000</v>
      </c>
      <c r="E115" s="15" t="s">
        <v>570</v>
      </c>
      <c r="F115" s="15" t="s">
        <v>787</v>
      </c>
      <c r="G115" t="s">
        <v>734</v>
      </c>
      <c r="H115" s="15" t="s">
        <v>788</v>
      </c>
      <c r="I115" t="s">
        <v>735</v>
      </c>
      <c r="J115" t="str">
        <f>IF(AND(SD!$C$19=SD!$H$2,Grade!$G$1="Per level"),VLOOKUP(B115,Grade!$E$1:$F$200,2,FALSE),IF(AND(SD!$C$19=SD!$H$2,Grade!$G$1="Per Bar Size"),VLOOKUP(W115,Grade!$B$1:$C$12,2,0),SD!$C$19))</f>
        <v>A615 Grade 60</v>
      </c>
      <c r="K115" t="s">
        <v>67</v>
      </c>
      <c r="L115" t="str">
        <f>IFERROR(IF(A115&lt;&gt;A116,"",IF(DF115="No Lap","",IF(K116="Lap",U115,IF(K116="Coupler",_xlfn._xlws.FILTER(CCoupler,(CCName=SD!$C$8)*(CBSize=IF(A114=A115,W115&amp;W116,W115&amp;W115))*(CCMFM="Male")),"")))),"N/A")</f>
        <v/>
      </c>
      <c r="M115" t="str">
        <f t="shared" si="27"/>
        <v/>
      </c>
      <c r="N115" t="s">
        <v>719</v>
      </c>
      <c r="O115" t="s">
        <v>720</v>
      </c>
      <c r="P115" t="s">
        <v>719</v>
      </c>
      <c r="Q115" t="str">
        <f>IF(AND(SD!$C$29=SD!$P$2,Grade!$O$1="Per level"),VLOOKUP(B115,Grade!$M$1:$N$200,2,FALSE),IF(AND(SD!$C$29=SD!$P$2,Grade!$O$1="Per Bar Size"),VLOOKUP(LEFT(N115,FIND("@",N115)-2),Grade!$J$1:$K$12,2,0),SD!$C$29))</f>
        <v>A615 Grade 60</v>
      </c>
      <c r="R115" t="s">
        <v>736</v>
      </c>
      <c r="S115" s="57">
        <v>115</v>
      </c>
      <c r="U115" t="str">
        <f>IF(Data!$J115="",IFERROR(INDEX(IF(SD!$C$11="Create",Lap!$A$3:$BF$14,IF(SD!$C$11="Per Uploaded File",Lap!$A$19:$BF$30,"")),MATCH(W115,Lap!$A$3:$A$14,0),MATCH(VALUE(D115),Lap!$A$3:$BF$3,0)+IF(IFERROR(FIND("Grade 60",J115),0)&gt;0,0,IF(IFERROR(FIND("Grade 80",J115),0),1,IF(IFERROR(FIND("Grade 75",J115),0),2,"")))),""),Data!J115)</f>
        <v>3-6</v>
      </c>
      <c r="W115" t="s">
        <v>139</v>
      </c>
      <c r="X115">
        <v>8</v>
      </c>
      <c r="Y115" t="str">
        <f t="shared" si="28"/>
        <v xml:space="preserve">16 </v>
      </c>
      <c r="Z115" t="str">
        <f t="shared" si="29"/>
        <v xml:space="preserve"> 30</v>
      </c>
      <c r="AA115" s="24">
        <f t="shared" si="30"/>
        <v>19.583333333333332</v>
      </c>
      <c r="BB115" t="e" cm="1">
        <f t="array" ref="BB115">_xlfn.LET(_xlpm.PartF,(_xlfn.LET(_xlpm.grade, Q115,_xlpm.gradeRange, IF(_xlpm.grade=SD!$H$3, A615GR60, IF(_xlpm.grade=SD!$H$4, A615GR75, IF(_xlpm.grade=SD!$H$5, A615GR80, IF(_xlpm.grade=SD!$H$6, A615GR100, IF(_xlpm.grade=SD!$H$7, A706GR60, IF(_xlpm.grade=SD!$H$8, A706GR80)))))),_xlpm.matchValue, MATCH(1, (SD!$AW:$AW=AS115)*(SD!$AX:$AX=SD!$C$8), 0),INDEX(_xlpm.gradeRange, _xlpm.matchValue))),IF(AM115="Spiral",CONCATENATE("SP",_xlpm.PartF),_xlpm.PartF))</f>
        <v>#N/A</v>
      </c>
      <c r="BC115" cm="1">
        <f t="array" ref="BC115">_xlfn.LET(_xlpm.leftPart, LEFT(O115, FIND("@", O115) - 2),_xlpm.grade,Q115,_xlpm.gradeRange,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5" cm="1">
        <f t="array" ref="BD115">_xlfn.LET(_xlpm.leftPart, LEFT(P115, FIND("@", P115) - 2),_xlpm.grade, Q115,_xlpm.gradeRange,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5">
        <f t="shared" si="31"/>
        <v>2.5</v>
      </c>
      <c r="BF115">
        <f>IF(SD!$C$32=SD!$I$2,BE115,IF(SD!$C$32=SD!$I$3,DO115,IF(SD!$C$32=SD!$I$5,BA115,IF(SD!$C$32=SD!$I$6,(LEFT(SD!$C$35,FIND("-",SD!$C$35)-1)+RIGHT(SD!$C$35,LEN(SD!$C$35)-FIND("-",SD!$C$35))/12),IF(SD!$C$32=SD!$I$4,(AU115-(BG115+BH115)))))))</f>
        <v>0</v>
      </c>
      <c r="BG115">
        <f>IF(SD!$C$33=SD!$I$2,BE115,IF(SD!$C$33=SD!$I$3,DO115,IF(SD!$C$33=SD!$I$5,BA115,IF(SD!$C$33=SD!$I$6,(LEFT(SD!$C$35,FIND("-",SD!$C$35)-1)+RIGHT(SD!$C$35,LEN(SD!$C$35)-FIND("-",SD!$C$35))/12),IF(SD!$C$33=SD!$I$4,(AU115-(BF115+BH115)))))))</f>
        <v>-1</v>
      </c>
      <c r="BH115">
        <f>IF(SD!$C$34=SD!$I$2,BE115,IF(SD!$C$34=SD!$I$3,DO115,IF(SD!$C$34=SD!$I$5,BA115,IF(SD!$C$34=SD!$I$6,(LEFT(SD!$C$35,FIND("-",SD!$C$35)-1)+RIGHT(SD!$C$35,LEN(SD!$C$35)-FIND("-",SD!$C$35))/12),IF(SD!$C$34=SD!$I$4,(AU115-(BF115+BG115)))))))</f>
        <v>1</v>
      </c>
      <c r="BJ115">
        <f>IF(AM115="Spiral","1",MAX(ROUNDUP(IF(SD!$C$32="",AT115,BF115/(LEFT(RIGHT(N115,LEN(N115)-FIND("@",N115)),LEN(RIGHT(N115,LEN(N115)-FIND("@",N115)))-1)/12)+1),0),0))</f>
        <v>1</v>
      </c>
      <c r="BK115">
        <f>MAX(ROUNDUP(IF(SD!$C$33="","",BG115/(LEFT(RIGHT(O115,LEN(O115)-FIND("@",O115)),LEN(RIGHT(O115,LEN(O115)-FIND("@",O115)))-1)/12)+1),0),0)</f>
        <v>0</v>
      </c>
      <c r="BL115">
        <f>MAX(ROUNDUP(IF(SD!$C$34="","",BH115/(LEFT(RIGHT(P115,LEN(P115)-FIND("@",P115)),LEN(RIGHT(P115,LEN(P115)-FIND("@",P115)))-1)/12)+1),0),0)</f>
        <v>3</v>
      </c>
      <c r="BN115" t="e">
        <f t="shared" si="32"/>
        <v>#N/A</v>
      </c>
      <c r="BO115" t="e">
        <f t="shared" si="33"/>
        <v>#N/A</v>
      </c>
      <c r="BP115" t="e">
        <f t="shared" si="34"/>
        <v>#N/A</v>
      </c>
      <c r="BQ115" s="24" t="e">
        <f>IF(AM115=TRUE,(((Y115-(SD!$E$12*2))*3.14159265359)+BN115+BO115+BP115)/12+AL115,SUM(AF115:AG115,BN115,BO115,BP115,AO115,AQ115)/12)</f>
        <v>#N/A</v>
      </c>
      <c r="BR115" t="e">
        <f t="shared" si="35"/>
        <v>#N/A</v>
      </c>
      <c r="BS115" t="e">
        <f t="shared" si="36"/>
        <v>#N/A</v>
      </c>
      <c r="BT115" t="e">
        <f t="shared" si="37"/>
        <v>#N/A</v>
      </c>
      <c r="BU115" s="24" t="e">
        <f>IF(AM115=TRUE,(((Y115-(SD!$E$12*2))*3.14159265359)+BR115+BS115+BT115)/12+AL115,SUM(AF115:AG115,BR115,BS115,BT115,AO115,AQ115)/12)</f>
        <v>#N/A</v>
      </c>
      <c r="BW115" t="str">
        <f>IFERROR(LEFT(Data!L115,FIND(" -",Data!L115)-1),"")</f>
        <v/>
      </c>
      <c r="BX115" t="str">
        <f>IFERROR(IF(SD!$C$40=SD!$U$2,W115,IF(SD!$C$40=SD!$U$3,RIGHT(Data!L115,LEN(Data!L115)-(FIND("-",Data!L115)+1)),SD!$C$40)),"")</f>
        <v>#7</v>
      </c>
      <c r="BY115" cm="1">
        <f t="array" ref="BY115">IFERROR(_xlfn.LET(_xlpm.GRR,IF(AND(SD!$C$19=SD!$H$2,Grade!$G$1="Per level"),VLOOKUP(B115,Grade!$E$1:$F$200,2,FALSE),IF(AND(SD!$C$19=SD!$H$2,Grade!$G$1="Per Bar Size"),VLOOKUP(BX115,Grade!$B$1:$C$12,2,0),SD!$C$19)),_xlpm.is_equal, A114=A115,_xlpm.grade_range, IF(_xlpm.GRR=SD!$H$3, A615GR60,IF(_xlpm.GRR=SD!$H$4, A615GR75,IF(_xlpm.GRR=SD!$H$5, A615GR80,IF(_xlpm.GRR=SD!H119, A615GR100,IF(_xlpm.GRR=SD!$H$7, A706GR60,IF(_xlpm.GRR=SD!$H$8, A706GR80)))))),_xlpm.match_result, MATCH(1, (BSize=BX115)*(BCName=SD!$C$8), 0),_xlpm.final_result, INDEX(_xlpm.grade_range, _xlpm.match_result),IF(_xlpm.is_equal, "", _xlpm.final_result)),"")</f>
        <v>7</v>
      </c>
      <c r="BZ115">
        <f>IF(A114=A115,"",IF(SD!$C$41="Match Vertical Bars ",X115,IF(SD!$C$41=SD!$V$3,BW115,SD!$C$41)))</f>
        <v>8</v>
      </c>
      <c r="CA115" cm="1">
        <f t="array" ref="CA115">IF(A114=A115,"",IF(SD!$C$44="No T-Head",IF(SD!$C$42=SD!$Q$3,VLOOKUP(BX115,S90Range,3,FALSE),LEFT(SD!$C$42,FIND("-",SD!$C$42)-1)+(RIGHT(SD!$C$42,LEN(SD!$C$42)-FIND("-",SD!$C$42))/12)),IF(SD!$C$44="T-Head",_xlfn._xlws.FILTER(THead,(TCName=SD!$C$8)*(TSize=BX115)),IF(SD!$C$44="Level Wise",_xlfn.LET(_xlpm.result,_xlfn.XLOOKUP(B115,VDLevel,VDLevelStatus,"No"),IF(_xlpm.result="Yes",_xlfn._xlws.FILTER(THead,(TCName=SD!$C$8)*(TSize=BX115)),IF(SD!$C$42=SD!$Q$3,VLOOKUP(BX115,S90Range,3,FALSE),LEFT(SD!$C$42,FIND("-",SD!$C$42)-1)+(RIGHT(SD!$C$42,LEN(SD!$C$42)-FIND("-", SD!$C$42))/12)))),IF(SD!$C$44="BarSize Wise",_xlfn.LET(_xlpm.result,_xlfn.XLOOKUP(BX115,VDBarSize,VDBarSizeStatus,"No"),IF(_xlpm.result="Yes",_xlfn._xlws.FILTER(THead,(TCName=SD!$C$8)*(TSize=BX115)),IF(SD!$C$42=SD!$Q$3,VLOOKUP(BX115,S90Range,3,FALSE),LEFT(SD!$C$42,FIND("-",SD!$C$42)-1)+(RIGHT(SD!$C$42,LEN(SD!$C$42)-FIND("-",SD!$C$42))/12)))), "")))))</f>
        <v>1.1666666666666667</v>
      </c>
      <c r="CB115" t="str" cm="1">
        <f t="array" ref="CB115">_xlfn.LET(_xlpm.GRR,IF(AND(SD!$C$19=SD!$H$2,Grade!$G$1="Per level"),VLOOKUP(B115,Grade!$E$1:$F$200,2,FALSE),IF(AND(SD!$C$19=SD!$H$2,Grade!$G$1="Per Bar Size"),VLOOKUP(BX115,Grade!$B$1:$C$12,2,0),SD!$C$19)),_xlpm.is_coupler, K115="Coupler",_xlpm.condition1, SD!$C$43=SD!$W$2,_xlpm.data_j2_empty, Data!$J115="",_xlpm.lookup_table, IF(SD!$C$11="Create", Lap!$A$3:$BF$14, IF(SD!$C$11="Per Uploaded File", Lap!$A$19:$BF$30, "")),_xlpm.row_match, MATCH(BX115, Lap!$A$3:$A$14, 0),_xlpm.grade_offset, IF(IFERROR(FIND("Grade 60",_xlpm.GRR), 0) &gt; 0, 0, IF(IFERROR(FIND("Grade 80",_xlpm.GRR), 0), 1, IF(IFERROR(FIND("Grade 75",_xlpm.GRR), 0), 2, ""))),_xlpm.col_match, MATCH(VALUE(D115), Lap!$A$3:$BF$3, 0) + _xlpm.grade_offset,_xlpm.index_result, IFERROR(INDEX(_xlpm.lookup_table, _xlpm.row_match, _xlpm.col_match), Data!$J115),_xlpm.result_if_condition1, IF(_xlpm.data_j2_empty, _xlpm.index_result, Data!$J115),IF(_xlpm.is_coupler, 0, IF(_xlpm.condition1, _xlpm.result_if_condition1, SD!$C$43)))</f>
        <v>3-6</v>
      </c>
      <c r="CC115" s="24">
        <f t="shared" si="38"/>
        <v>3.5</v>
      </c>
      <c r="CD115">
        <f t="shared" si="39"/>
        <v>6.666666666666667</v>
      </c>
      <c r="CE115" t="str" cm="1">
        <f t="array" ref="CE115">IF(BY115="","",_xlfn._xlws.FILTER(SAC,(CName=SD!$C$8)*(EName="Vert Dowels")))</f>
        <v>2200 CD</v>
      </c>
      <c r="CF115" t="str" cm="1">
        <f t="array" ref="CF115">IFERROR(IF(BY115="","",IF(K115="Coupler",_xlfn._xlws.FILTER(CCoupler,(CCName=SD!$C$8)*(CBSize=IF(A114=A115,W114&amp;W115,BX115&amp;W115))*(CCMFM="Male")),"")),"N/A")</f>
        <v/>
      </c>
      <c r="CG115" t="str">
        <f t="shared" si="40"/>
        <v/>
      </c>
      <c r="CH115" t="str">
        <f t="shared" si="41"/>
        <v/>
      </c>
      <c r="CI115" t="str">
        <f>_xlfn.LET(_xlpm.u3_value, U116,_xlpm.hyphen_pos,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K116="Coupler",_xlpm.coupler_value, IF(_xlpm.is_coupler, 0, _xlpm.calculated_value),_xlpm.final_value, _xlpm.calculated_value + SD!$E$13 + _xlpm.coupler_value,IF(CG115="", "", _xlpm.final_value))</f>
        <v/>
      </c>
      <c r="CJ115" t="str" cm="1">
        <f t="array" ref="CJ115">IF(CG115="","",_xlfn._xlws.FILTER(SAC,(CName=SD!$C$8)*(EName="Loose Dowels")))</f>
        <v/>
      </c>
      <c r="CK115" t="str" cm="1">
        <f t="array" ref="CK115">IFERROR(IF(CG115="","",IF(K116="Coupler",_xlfn._xlws.FILTER(CCoupler,(CCName=SD!$C$8)*(CBSize=IF(A115=A116,W115&amp;W116,""))*(CCMFM="Male")),"")),"N/A")</f>
        <v/>
      </c>
      <c r="CL115">
        <f>IFERROR(IF(AM115="Spiral","",IF(A114=A115,"",IF(SD!$C$37=0,"",SD!$C$37))),"")</f>
        <v>3</v>
      </c>
      <c r="CN115">
        <f>IF(AM115="Spiral","",IFERROR(IF(SD!$C$36=0,"",SD!$C$36),""))</f>
        <v>5</v>
      </c>
      <c r="CP115">
        <f>IFERROR(IF(SD!$C$42=SD!$Q$3,'Take-off'!CA115,""),"")</f>
        <v>1.1666666666666667</v>
      </c>
      <c r="CR115">
        <f>IFERROR(IF(SD!$C$22=SD!$U$2,W115,SD!$C$22),"")</f>
        <v>0</v>
      </c>
      <c r="CS115" t="str" cm="1">
        <f t="array" ref="CS115">_xlfn.LET(_xlpm.GR,IF(AND(SD!$C$19=SD!$H$2,Grade!$G$1="Per level"),VLOOKUP(B115,Grade!$E$1:$F$200,2,FALSE),IF(AND(SD!$C$19=SD!$H$2,Grade!$G$1="Per Bar Size"),VLOOKUP(CR115,Grade!$B$1:$C$12,2,0),SD!$C$19)),IF(SD!$C$20=SD!$R$4,IF(A116=A115,"",INDEX(IF(_xlpm.GR=SD!$H$3,A615GR60,IF(_xlpm.GR=SD!$H$4,A615GR75,IF(_xlpm.GR=SD!$H$5,A615GR80,IF(_xlpm.GR=SD!H119,A615GR100,IF(_xlpm.GR=SD!$H$7,A706GR60,IF(_xlpm.GR=SD!$H$8,A706GR80)))))), MATCH(1, (BSize=CR115)*(BCName=SD!$C$8), 0))),""))</f>
        <v/>
      </c>
      <c r="CT115">
        <f>IF(A116=A115,"",IF(SD!$C$23="Match Vertical Bars ",X115,SD!$C$23))</f>
        <v>0</v>
      </c>
      <c r="CU115" t="str" cm="1">
        <f t="array" ref="CU115">IF(A116=A115,"",IF(SD!$C$20="Top dowels",IF(SD!$E$25="No T-Head",IF(SD!$C$24=SD!$Q$3,VLOOKUP(CR115,S90Range,3,FALSE),LEFT(SD!$C$24,FIND("-",SD!$C$24)-1)+(RIGHT(SD!$C$24,LEN(SD!$C$24)-FIND("-",SD!$C$24))/12)),IF(SD!$E$25="T-Head",_xlfn._xlws.FILTER(THead,(TCName=SD!$C$8)*(TSize=CR115)),IF(SD!$E$25="Level Wise",_xlfn.LET(_xlpm.result,_xlfn.XLOOKUP(B115,TDLevel,TDLevelStatus,"No"),IF(_xlpm.result="Yes",_xlfn._xlws.FILTER(THead,(TCName=SD!$C$8)*(TSize=CR115)),IF(SD!$C$24=SD!$Q$3,VLOOKUP(CR115,S90Range,3,FALSE),LEFT(SD!$C$24,FIND("-",SD!$C$24)-1)+(RIGHT(SD!$C$24,LEN(SD!$C$24)-FIND("-", SD!$C$24))/12)))),IF(SD!$E$25="BarSize Wise",_xlfn.LET(_xlpm.result,_xlfn.XLOOKUP(CR115,TDBarSize,TDBarSizeStatus,"No"),IF(_xlpm.result="Yes",_xlfn._xlws.FILTER(THead,(TCName=SD!$C$8)*(TSize=CR115)),IF(SD!$C$24=SD!$Q$3,VLOOKUP(CR115,S90Range,3,FALSE),LEFT(SD!$C$24,FIND("-",SD!$C$24)-1)+(RIGHT(SD!$C$24,LEN(SD!$C$24)-FIND("-",SD!$C$24))/12)))), "")))),""))</f>
        <v/>
      </c>
      <c r="CV115" t="str">
        <f>_xlfn.LET(_xlpm.GRR,IF(AND(SD!$C$19=SD!$H$2,Grade!$G$1="Per level"),VLOOKUP(B115,Grade!$E$1:$F$200,2,FALSE),IF(AND(SD!$C$19=SD!$H$2,Grade!$G$1="Per Bar Size"),VLOOKUP(CR115,Grade!$B$1:$C$12,2,0),SD!$C$19)),IF(SD!$C$25=SD!$W$2,IF(Data!$J115="",IFERROR(INDEX(IF(SD!$C$11="Create",Lap!$A$3:$BF$14,IF(SD!$C$11="Per Uploaded File",Lap!$A$19:$BF$30,"")),MATCH(CR115,Lap!$A$3:$A$14,0),MATCH(VALUE(D115),Lap!$A$3:$BF$3,0)+IF(IFERROR(FIND("Grade 60",_xlpm.GRR),0)&gt;0,0,IF(IFERROR(FIND("Grade 80",_xlpm.GRR),0),1,IF(IFERROR(FIND("Grade 75",_xlpm.GRR),0),2,"")))),""),Data!J115),SD!$C$43))</f>
        <v>Match Lap</v>
      </c>
      <c r="CW115">
        <f t="shared" si="42"/>
        <v>0</v>
      </c>
      <c r="CX115">
        <f t="shared" si="43"/>
        <v>0</v>
      </c>
      <c r="CY115" t="str">
        <f t="shared" si="44"/>
        <v/>
      </c>
      <c r="DA115">
        <f t="shared" si="45"/>
        <v>43</v>
      </c>
      <c r="DB115" t="str">
        <f t="shared" si="46"/>
        <v>19-7</v>
      </c>
      <c r="DC115" s="24">
        <f t="shared" si="47"/>
        <v>19.583333333333332</v>
      </c>
      <c r="DD115">
        <f t="shared" si="48"/>
        <v>19.583333333333332</v>
      </c>
      <c r="DE115" t="s">
        <v>734</v>
      </c>
      <c r="DF115" t="s">
        <v>67</v>
      </c>
      <c r="DG115" t="str">
        <f>VLOOKUP(W115,'Level Wise PSI'!$F$2:$G$12,2,FALSE)</f>
        <v>Double Lift</v>
      </c>
      <c r="DI115" t="str" cm="1">
        <f t="array" ref="DI115">_xlfn.LET(_xlpm.Coup,IFERROR(IF(BY115="","",IF(K115="Coupler",_xlfn._xlws.FILTER(CCFCoupler,(CCName=SD!$C$8)*(CBSize=IF(A114=A115,W114&amp;W115,BX115&amp;W115))),"")),"N/A"),IF(_xlpm.Coup=0,"",_xlpm.Coup))</f>
        <v/>
      </c>
      <c r="DJ115" t="str" cm="1">
        <f t="array" ref="DJ115">_xlfn.LET(_xlpm.Coup3,IFERROR(IF(CG115="","",IF(K116="Coupler",_xlfn._xlws.FILTER(CCFCoupler,(CCName=SD!$C$8)*(CBSize=IF(A115=A116,W115&amp;W116,""))),"")),"N/A"),IF(_xlpm.Coup3=0,"",_xlpm.Coup3))</f>
        <v/>
      </c>
      <c r="DK115" t="str" cm="1">
        <f t="array" ref="DK115">_xlfn.LET(_xlpm.Coup2,IFERROR(IF(A115&lt;&gt;A116,"",IF(DF115="No Lap","",IF(K116="Coupler",_xlfn._xlws.FILTER(CCFCoupler,(CCName=SD!$C$8)*(CBSize=IF(A114=A115,W115&amp;W116,W115&amp;W115))),""))),"N/A"),IF(_xlpm.Coup2=0,"",_xlpm.Coup2))</f>
        <v/>
      </c>
      <c r="DM115" t="str">
        <f>IF(AM115="Spiral","",IF(SD!$C$31=SD!$Y$3,SD!$E$32*2,""))</f>
        <v/>
      </c>
      <c r="DO115" s="24">
        <f t="shared" si="49"/>
        <v>2.5</v>
      </c>
      <c r="DQ115" t="str">
        <f t="shared" si="50"/>
        <v>Lig</v>
      </c>
      <c r="DR115" t="str">
        <f>IF(AM115="Spiral",((Y115-(SD!$E$12*2))/12),"")</f>
        <v/>
      </c>
      <c r="DS115" t="str">
        <f t="shared" si="51"/>
        <v/>
      </c>
      <c r="DT115" t="str">
        <f t="shared" si="52"/>
        <v/>
      </c>
      <c r="DU115" t="str">
        <f t="shared" si="53"/>
        <v/>
      </c>
    </row>
    <row r="116" spans="1:125" x14ac:dyDescent="0.25">
      <c r="A116">
        <v>44</v>
      </c>
      <c r="B116" t="s">
        <v>664</v>
      </c>
      <c r="C116" s="15">
        <v>2429</v>
      </c>
      <c r="D116" s="15">
        <v>10000</v>
      </c>
      <c r="E116" t="str">
        <f>IF(B116=Level!$A$2,SD!$C$14,SD!$C$13)</f>
        <v>3-0</v>
      </c>
      <c r="F116" s="15" t="s">
        <v>787</v>
      </c>
      <c r="G116" t="s">
        <v>734</v>
      </c>
      <c r="H116" s="15" t="s">
        <v>788</v>
      </c>
      <c r="I116" t="s">
        <v>735</v>
      </c>
      <c r="J116" t="str">
        <f>IF(AND(SD!$C$19=SD!$H$2,Grade!$G$1="Per level"),VLOOKUP(B116,Grade!$E$1:$F$200,2,FALSE),IF(AND(SD!$C$19=SD!$H$2,Grade!$G$1="Per Bar Size"),VLOOKUP(W116,Grade!$B$1:$C$12,2,0),SD!$C$19))</f>
        <v>A615 Grade 60</v>
      </c>
      <c r="K116" t="s">
        <v>67</v>
      </c>
      <c r="L116" t="str">
        <f>IFERROR(IF(A116&lt;&gt;A117,"",IF(DF116="No Lap","",IF(K117="Lap",U116,IF(K117="Coupler",_xlfn._xlws.FILTER(CCoupler,(CCName=SD!$C$8)*(CBSize=IF(A115=A116,W116&amp;W117,W116&amp;W116))*(CCMFM="Male")),"")))),"N/A")</f>
        <v/>
      </c>
      <c r="M116" t="str">
        <f t="shared" si="27"/>
        <v/>
      </c>
      <c r="N116" t="s">
        <v>719</v>
      </c>
      <c r="O116" t="s">
        <v>720</v>
      </c>
      <c r="P116" t="s">
        <v>719</v>
      </c>
      <c r="Q116" t="str">
        <f>IF(AND(SD!$C$29=SD!$P$2,Grade!$O$1="Per level"),VLOOKUP(B116,Grade!$M$1:$N$200,2,FALSE),IF(AND(SD!$C$29=SD!$P$2,Grade!$O$1="Per Bar Size"),VLOOKUP(LEFT(N116,FIND("@",N116)-2),Grade!$J$1:$K$12,2,0),SD!$C$29))</f>
        <v>A615 Grade 60</v>
      </c>
      <c r="R116" t="s">
        <v>736</v>
      </c>
      <c r="S116" s="57">
        <v>116</v>
      </c>
      <c r="U116" t="str">
        <f>IF(Data!$J116="",IFERROR(INDEX(IF(SD!$C$11="Create",Lap!$A$3:$BF$14,IF(SD!$C$11="Per Uploaded File",Lap!$A$19:$BF$30,"")),MATCH(W116,Lap!$A$3:$A$14,0),MATCH(VALUE(D116),Lap!$A$3:$BF$3,0)+IF(IFERROR(FIND("Grade 60",J116),0)&gt;0,0,IF(IFERROR(FIND("Grade 80",J116),0),1,IF(IFERROR(FIND("Grade 75",J116),0),2,"")))),""),Data!J116)</f>
        <v>3-6</v>
      </c>
      <c r="W116" t="s">
        <v>139</v>
      </c>
      <c r="X116">
        <v>8</v>
      </c>
      <c r="Y116" t="str">
        <f t="shared" si="28"/>
        <v xml:space="preserve">16 </v>
      </c>
      <c r="Z116" t="str">
        <f t="shared" si="29"/>
        <v xml:space="preserve"> 30</v>
      </c>
      <c r="AA116" s="24">
        <f t="shared" si="30"/>
        <v>19.583333333333332</v>
      </c>
      <c r="BB116" t="e" cm="1">
        <f t="array" ref="BB116">_xlfn.LET(_xlpm.PartF,(_xlfn.LET(_xlpm.grade, Q116,_xlpm.gradeRange, IF(_xlpm.grade=SD!$H$3, A615GR60, IF(_xlpm.grade=SD!$H$4, A615GR75, IF(_xlpm.grade=SD!$H$5, A615GR80, IF(_xlpm.grade=SD!$H$6, A615GR100, IF(_xlpm.grade=SD!$H$7, A706GR60, IF(_xlpm.grade=SD!$H$8, A706GR80)))))),_xlpm.matchValue, MATCH(1, (SD!$AW:$AW=AS116)*(SD!$AX:$AX=SD!$C$8), 0),INDEX(_xlpm.gradeRange, _xlpm.matchValue))),IF(AM116="Spiral",CONCATENATE("SP",_xlpm.PartF),_xlpm.PartF))</f>
        <v>#N/A</v>
      </c>
      <c r="BC116" cm="1">
        <f t="array" ref="BC116">_xlfn.LET(_xlpm.leftPart, LEFT(O116, FIND("@", O116) - 2),_xlpm.grade,Q116,_xlpm.gradeRange,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6" cm="1">
        <f t="array" ref="BD116">_xlfn.LET(_xlpm.leftPart, LEFT(P116, FIND("@", P116) - 2),_xlpm.grade, Q116,_xlpm.gradeRange,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6">
        <f t="shared" si="31"/>
        <v>2.5</v>
      </c>
      <c r="BF116">
        <f>IF(SD!$C$32=SD!$I$2,BE116,IF(SD!$C$32=SD!$I$3,DO116,IF(SD!$C$32=SD!$I$5,BA116,IF(SD!$C$32=SD!$I$6,(LEFT(SD!$C$35,FIND("-",SD!$C$35)-1)+RIGHT(SD!$C$35,LEN(SD!$C$35)-FIND("-",SD!$C$35))/12),IF(SD!$C$32=SD!$I$4,(AU116-(BG116+BH116)))))))</f>
        <v>0</v>
      </c>
      <c r="BG116">
        <f>IF(SD!$C$33=SD!$I$2,BE116,IF(SD!$C$33=SD!$I$3,DO116,IF(SD!$C$33=SD!$I$5,BA116,IF(SD!$C$33=SD!$I$6,(LEFT(SD!$C$35,FIND("-",SD!$C$35)-1)+RIGHT(SD!$C$35,LEN(SD!$C$35)-FIND("-",SD!$C$35))/12),IF(SD!$C$33=SD!$I$4,(AU116-(BF116+BH116)))))))</f>
        <v>-1</v>
      </c>
      <c r="BH116">
        <f>IF(SD!$C$34=SD!$I$2,BE116,IF(SD!$C$34=SD!$I$3,DO116,IF(SD!$C$34=SD!$I$5,BA116,IF(SD!$C$34=SD!$I$6,(LEFT(SD!$C$35,FIND("-",SD!$C$35)-1)+RIGHT(SD!$C$35,LEN(SD!$C$35)-FIND("-",SD!$C$35))/12),IF(SD!$C$34=SD!$I$4,(AU116-(BF116+BG116)))))))</f>
        <v>1</v>
      </c>
      <c r="BJ116">
        <f>IF(AM116="Spiral","1",MAX(ROUNDUP(IF(SD!$C$32="",AT116,BF116/(LEFT(RIGHT(N116,LEN(N116)-FIND("@",N116)),LEN(RIGHT(N116,LEN(N116)-FIND("@",N116)))-1)/12)+1),0),0))</f>
        <v>1</v>
      </c>
      <c r="BK116">
        <f>MAX(ROUNDUP(IF(SD!$C$33="","",BG116/(LEFT(RIGHT(O116,LEN(O116)-FIND("@",O116)),LEN(RIGHT(O116,LEN(O116)-FIND("@",O116)))-1)/12)+1),0),0)</f>
        <v>0</v>
      </c>
      <c r="BL116">
        <f>MAX(ROUNDUP(IF(SD!$C$34="","",BH116/(LEFT(RIGHT(P116,LEN(P116)-FIND("@",P116)),LEN(RIGHT(P116,LEN(P116)-FIND("@",P116)))-1)/12)+1),0),0)</f>
        <v>3</v>
      </c>
      <c r="BN116" t="e">
        <f t="shared" si="32"/>
        <v>#N/A</v>
      </c>
      <c r="BO116" t="e">
        <f t="shared" si="33"/>
        <v>#N/A</v>
      </c>
      <c r="BP116" t="e">
        <f t="shared" si="34"/>
        <v>#N/A</v>
      </c>
      <c r="BQ116" s="24" t="e">
        <f>IF(AM116=TRUE,(((Y116-(SD!$E$12*2))*3.14159265359)+BN116+BO116+BP116)/12+AL116,SUM(AF116:AG116,BN116,BO116,BP116,AO116,AQ116)/12)</f>
        <v>#N/A</v>
      </c>
      <c r="BR116" t="e">
        <f t="shared" si="35"/>
        <v>#N/A</v>
      </c>
      <c r="BS116" t="e">
        <f t="shared" si="36"/>
        <v>#N/A</v>
      </c>
      <c r="BT116" t="e">
        <f t="shared" si="37"/>
        <v>#N/A</v>
      </c>
      <c r="BU116" s="24" t="e">
        <f>IF(AM116=TRUE,(((Y116-(SD!$E$12*2))*3.14159265359)+BR116+BS116+BT116)/12+AL116,SUM(AF116:AG116,BR116,BS116,BT116,AO116,AQ116)/12)</f>
        <v>#N/A</v>
      </c>
      <c r="BW116" t="str">
        <f>IFERROR(LEFT(Data!L116,FIND(" -",Data!L116)-1),"")</f>
        <v/>
      </c>
      <c r="BX116" t="str">
        <f>IFERROR(IF(SD!$C$40=SD!$U$2,W116,IF(SD!$C$40=SD!$U$3,RIGHT(Data!L116,LEN(Data!L116)-(FIND("-",Data!L116)+1)),SD!$C$40)),"")</f>
        <v>#7</v>
      </c>
      <c r="BY116" cm="1">
        <f t="array" ref="BY116">IFERROR(_xlfn.LET(_xlpm.GRR,IF(AND(SD!$C$19=SD!$H$2,Grade!$G$1="Per level"),VLOOKUP(B116,Grade!$E$1:$F$200,2,FALSE),IF(AND(SD!$C$19=SD!$H$2,Grade!$G$1="Per Bar Size"),VLOOKUP(BX116,Grade!$B$1:$C$12,2,0),SD!$C$19)),_xlpm.is_equal, A115=A116,_xlpm.grade_range, IF(_xlpm.GRR=SD!$H$3, A615GR60,IF(_xlpm.GRR=SD!$H$4, A615GR75,IF(_xlpm.GRR=SD!$H$5, A615GR80,IF(_xlpm.GRR=SD!H120, A615GR100,IF(_xlpm.GRR=SD!$H$7, A706GR60,IF(_xlpm.GRR=SD!$H$8, A706GR80)))))),_xlpm.match_result, MATCH(1, (BSize=BX116)*(BCName=SD!$C$8), 0),_xlpm.final_result, INDEX(_xlpm.grade_range, _xlpm.match_result),IF(_xlpm.is_equal, "", _xlpm.final_result)),"")</f>
        <v>7</v>
      </c>
      <c r="BZ116">
        <f>IF(A115=A116,"",IF(SD!$C$41="Match Vertical Bars ",X116,IF(SD!$C$41=SD!$V$3,BW116,SD!$C$41)))</f>
        <v>8</v>
      </c>
      <c r="CA116" cm="1">
        <f t="array" ref="CA116">IF(A115=A116,"",IF(SD!$C$44="No T-Head",IF(SD!$C$42=SD!$Q$3,VLOOKUP(BX116,S90Range,3,FALSE),LEFT(SD!$C$42,FIND("-",SD!$C$42)-1)+(RIGHT(SD!$C$42,LEN(SD!$C$42)-FIND("-",SD!$C$42))/12)),IF(SD!$C$44="T-Head",_xlfn._xlws.FILTER(THead,(TCName=SD!$C$8)*(TSize=BX116)),IF(SD!$C$44="Level Wise",_xlfn.LET(_xlpm.result,_xlfn.XLOOKUP(B116,VDLevel,VDLevelStatus,"No"),IF(_xlpm.result="Yes",_xlfn._xlws.FILTER(THead,(TCName=SD!$C$8)*(TSize=BX116)),IF(SD!$C$42=SD!$Q$3,VLOOKUP(BX116,S90Range,3,FALSE),LEFT(SD!$C$42,FIND("-",SD!$C$42)-1)+(RIGHT(SD!$C$42,LEN(SD!$C$42)-FIND("-", SD!$C$42))/12)))),IF(SD!$C$44="BarSize Wise",_xlfn.LET(_xlpm.result,_xlfn.XLOOKUP(BX116,VDBarSize,VDBarSizeStatus,"No"),IF(_xlpm.result="Yes",_xlfn._xlws.FILTER(THead,(TCName=SD!$C$8)*(TSize=BX116)),IF(SD!$C$42=SD!$Q$3,VLOOKUP(BX116,S90Range,3,FALSE),LEFT(SD!$C$42,FIND("-",SD!$C$42)-1)+(RIGHT(SD!$C$42,LEN(SD!$C$42)-FIND("-",SD!$C$42))/12)))), "")))))</f>
        <v>1.1666666666666667</v>
      </c>
      <c r="CB116" t="str" cm="1">
        <f t="array" ref="CB116">_xlfn.LET(_xlpm.GRR,IF(AND(SD!$C$19=SD!$H$2,Grade!$G$1="Per level"),VLOOKUP(B116,Grade!$E$1:$F$200,2,FALSE),IF(AND(SD!$C$19=SD!$H$2,Grade!$G$1="Per Bar Size"),VLOOKUP(BX116,Grade!$B$1:$C$12,2,0),SD!$C$19)),_xlpm.is_coupler, K116="Coupler",_xlpm.condition1, SD!$C$43=SD!$W$2,_xlpm.data_j2_empty, Data!$J116="",_xlpm.lookup_table, IF(SD!$C$11="Create", Lap!$A$3:$BF$14, IF(SD!$C$11="Per Uploaded File", Lap!$A$19:$BF$30, "")),_xlpm.row_match, MATCH(BX116, Lap!$A$3:$A$14, 0),_xlpm.grade_offset, IF(IFERROR(FIND("Grade 60",_xlpm.GRR), 0) &gt; 0, 0, IF(IFERROR(FIND("Grade 80",_xlpm.GRR), 0), 1, IF(IFERROR(FIND("Grade 75",_xlpm.GRR), 0), 2, ""))),_xlpm.col_match, MATCH(VALUE(D116), Lap!$A$3:$BF$3, 0) + _xlpm.grade_offset,_xlpm.index_result, IFERROR(INDEX(_xlpm.lookup_table, _xlpm.row_match, _xlpm.col_match), Data!$J116),_xlpm.result_if_condition1, IF(_xlpm.data_j2_empty, _xlpm.index_result, Data!$J116),IF(_xlpm.is_coupler, 0, IF(_xlpm.condition1, _xlpm.result_if_condition1, SD!$C$43)))</f>
        <v>3-6</v>
      </c>
      <c r="CC116" s="24">
        <f t="shared" si="38"/>
        <v>3.5</v>
      </c>
      <c r="CD116">
        <f t="shared" si="39"/>
        <v>7.666666666666667</v>
      </c>
      <c r="CE116" t="str" cm="1">
        <f t="array" ref="CE116">IF(BY116="","",_xlfn._xlws.FILTER(SAC,(CName=SD!$C$8)*(EName="Vert Dowels")))</f>
        <v>2200 CD</v>
      </c>
      <c r="CF116" t="str" cm="1">
        <f t="array" ref="CF116">IFERROR(IF(BY116="","",IF(K116="Coupler",_xlfn._xlws.FILTER(CCoupler,(CCName=SD!$C$8)*(CBSize=IF(A115=A116,W115&amp;W116,BX116&amp;W116))*(CCMFM="Male")),"")),"N/A")</f>
        <v/>
      </c>
      <c r="CG116" t="str">
        <f t="shared" si="40"/>
        <v/>
      </c>
      <c r="CH116" t="str">
        <f t="shared" si="41"/>
        <v/>
      </c>
      <c r="CI116" t="str">
        <f>_xlfn.LET(_xlpm.u3_value, U117,_xlpm.hyphen_pos,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K117="Coupler",_xlpm.coupler_value, IF(_xlpm.is_coupler, 0, _xlpm.calculated_value),_xlpm.final_value, _xlpm.calculated_value + SD!$E$13 + _xlpm.coupler_value,IF(CG116="", "", _xlpm.final_value))</f>
        <v/>
      </c>
      <c r="CJ116" t="str" cm="1">
        <f t="array" ref="CJ116">IF(CG116="","",_xlfn._xlws.FILTER(SAC,(CName=SD!$C$8)*(EName="Loose Dowels")))</f>
        <v/>
      </c>
      <c r="CK116" t="str" cm="1">
        <f t="array" ref="CK116">IFERROR(IF(CG116="","",IF(K117="Coupler",_xlfn._xlws.FILTER(CCoupler,(CCName=SD!$C$8)*(CBSize=IF(A116=A117,W116&amp;W117,""))*(CCMFM="Male")),"")),"N/A")</f>
        <v/>
      </c>
      <c r="CL116">
        <f>IFERROR(IF(AM116="Spiral","",IF(A115=A116,"",IF(SD!$C$37=0,"",SD!$C$37))),"")</f>
        <v>3</v>
      </c>
      <c r="CN116">
        <f>IF(AM116="Spiral","",IFERROR(IF(SD!$C$36=0,"",SD!$C$36),""))</f>
        <v>5</v>
      </c>
      <c r="CP116">
        <f>IFERROR(IF(SD!$C$42=SD!$Q$3,'Take-off'!CA116,""),"")</f>
        <v>1.1666666666666667</v>
      </c>
      <c r="CR116">
        <f>IFERROR(IF(SD!$C$22=SD!$U$2,W116,SD!$C$22),"")</f>
        <v>0</v>
      </c>
      <c r="CS116" t="str" cm="1">
        <f t="array" ref="CS116">_xlfn.LET(_xlpm.GR,IF(AND(SD!$C$19=SD!$H$2,Grade!$G$1="Per level"),VLOOKUP(B116,Grade!$E$1:$F$200,2,FALSE),IF(AND(SD!$C$19=SD!$H$2,Grade!$G$1="Per Bar Size"),VLOOKUP(CR116,Grade!$B$1:$C$12,2,0),SD!$C$19)),IF(SD!$C$20=SD!$R$4,IF(A117=A116,"",INDEX(IF(_xlpm.GR=SD!$H$3,A615GR60,IF(_xlpm.GR=SD!$H$4,A615GR75,IF(_xlpm.GR=SD!$H$5,A615GR80,IF(_xlpm.GR=SD!H120,A615GR100,IF(_xlpm.GR=SD!$H$7,A706GR60,IF(_xlpm.GR=SD!$H$8,A706GR80)))))), MATCH(1, (BSize=CR116)*(BCName=SD!$C$8), 0))),""))</f>
        <v/>
      </c>
      <c r="CT116">
        <f>IF(A117=A116,"",IF(SD!$C$23="Match Vertical Bars ",X116,SD!$C$23))</f>
        <v>0</v>
      </c>
      <c r="CU116" t="str" cm="1">
        <f t="array" ref="CU116">IF(A117=A116,"",IF(SD!$C$20="Top dowels",IF(SD!$E$25="No T-Head",IF(SD!$C$24=SD!$Q$3,VLOOKUP(CR116,S90Range,3,FALSE),LEFT(SD!$C$24,FIND("-",SD!$C$24)-1)+(RIGHT(SD!$C$24,LEN(SD!$C$24)-FIND("-",SD!$C$24))/12)),IF(SD!$E$25="T-Head",_xlfn._xlws.FILTER(THead,(TCName=SD!$C$8)*(TSize=CR116)),IF(SD!$E$25="Level Wise",_xlfn.LET(_xlpm.result,_xlfn.XLOOKUP(B116,TDLevel,TDLevelStatus,"No"),IF(_xlpm.result="Yes",_xlfn._xlws.FILTER(THead,(TCName=SD!$C$8)*(TSize=CR116)),IF(SD!$C$24=SD!$Q$3,VLOOKUP(CR116,S90Range,3,FALSE),LEFT(SD!$C$24,FIND("-",SD!$C$24)-1)+(RIGHT(SD!$C$24,LEN(SD!$C$24)-FIND("-", SD!$C$24))/12)))),IF(SD!$E$25="BarSize Wise",_xlfn.LET(_xlpm.result,_xlfn.XLOOKUP(CR116,TDBarSize,TDBarSizeStatus,"No"),IF(_xlpm.result="Yes",_xlfn._xlws.FILTER(THead,(TCName=SD!$C$8)*(TSize=CR116)),IF(SD!$C$24=SD!$Q$3,VLOOKUP(CR116,S90Range,3,FALSE),LEFT(SD!$C$24,FIND("-",SD!$C$24)-1)+(RIGHT(SD!$C$24,LEN(SD!$C$24)-FIND("-",SD!$C$24))/12)))), "")))),""))</f>
        <v/>
      </c>
      <c r="CV116" t="str">
        <f>_xlfn.LET(_xlpm.GRR,IF(AND(SD!$C$19=SD!$H$2,Grade!$G$1="Per level"),VLOOKUP(B116,Grade!$E$1:$F$200,2,FALSE),IF(AND(SD!$C$19=SD!$H$2,Grade!$G$1="Per Bar Size"),VLOOKUP(CR116,Grade!$B$1:$C$12,2,0),SD!$C$19)),IF(SD!$C$25=SD!$W$2,IF(Data!$J116="",IFERROR(INDEX(IF(SD!$C$11="Create",Lap!$A$3:$BF$14,IF(SD!$C$11="Per Uploaded File",Lap!$A$19:$BF$30,"")),MATCH(CR116,Lap!$A$3:$A$14,0),MATCH(VALUE(D116),Lap!$A$3:$BF$3,0)+IF(IFERROR(FIND("Grade 60",_xlpm.GRR),0)&gt;0,0,IF(IFERROR(FIND("Grade 80",_xlpm.GRR),0),1,IF(IFERROR(FIND("Grade 75",_xlpm.GRR),0),2,"")))),""),Data!J116),SD!$C$43))</f>
        <v>Match Lap</v>
      </c>
      <c r="CW116">
        <f t="shared" si="42"/>
        <v>0</v>
      </c>
      <c r="CX116">
        <f t="shared" si="43"/>
        <v>0</v>
      </c>
      <c r="CY116" t="str">
        <f t="shared" si="44"/>
        <v/>
      </c>
      <c r="DA116">
        <f t="shared" si="45"/>
        <v>44</v>
      </c>
      <c r="DB116" t="str">
        <f t="shared" si="46"/>
        <v>19-7</v>
      </c>
      <c r="DC116" s="24">
        <f t="shared" si="47"/>
        <v>19.583333333333332</v>
      </c>
      <c r="DD116">
        <f t="shared" si="48"/>
        <v>19.583333333333332</v>
      </c>
      <c r="DE116" t="s">
        <v>734</v>
      </c>
      <c r="DF116" t="s">
        <v>67</v>
      </c>
      <c r="DG116" t="str">
        <f>VLOOKUP(W116,'Level Wise PSI'!$F$2:$G$12,2,FALSE)</f>
        <v>Double Lift</v>
      </c>
      <c r="DI116" t="str" cm="1">
        <f t="array" ref="DI116">_xlfn.LET(_xlpm.Coup,IFERROR(IF(BY116="","",IF(K116="Coupler",_xlfn._xlws.FILTER(CCFCoupler,(CCName=SD!$C$8)*(CBSize=IF(A115=A116,W115&amp;W116,BX116&amp;W116))),"")),"N/A"),IF(_xlpm.Coup=0,"",_xlpm.Coup))</f>
        <v/>
      </c>
      <c r="DJ116" t="str" cm="1">
        <f t="array" ref="DJ116">_xlfn.LET(_xlpm.Coup3,IFERROR(IF(CG116="","",IF(K117="Coupler",_xlfn._xlws.FILTER(CCFCoupler,(CCName=SD!$C$8)*(CBSize=IF(A116=A117,W116&amp;W117,""))),"")),"N/A"),IF(_xlpm.Coup3=0,"",_xlpm.Coup3))</f>
        <v/>
      </c>
      <c r="DK116" t="str" cm="1">
        <f t="array" ref="DK116">_xlfn.LET(_xlpm.Coup2,IFERROR(IF(A116&lt;&gt;A117,"",IF(DF116="No Lap","",IF(K117="Coupler",_xlfn._xlws.FILTER(CCFCoupler,(CCName=SD!$C$8)*(CBSize=IF(A115=A116,W116&amp;W117,W116&amp;W116))),""))),"N/A"),IF(_xlpm.Coup2=0,"",_xlpm.Coup2))</f>
        <v/>
      </c>
      <c r="DM116" t="str">
        <f>IF(AM116="Spiral","",IF(SD!$C$31=SD!$Y$3,SD!$E$32*2,""))</f>
        <v/>
      </c>
      <c r="DO116" s="24">
        <f t="shared" si="49"/>
        <v>2.5</v>
      </c>
      <c r="DQ116" t="str">
        <f t="shared" si="50"/>
        <v>Lig</v>
      </c>
      <c r="DR116" t="str">
        <f>IF(AM116="Spiral",((Y116-(SD!$E$12*2))/12),"")</f>
        <v/>
      </c>
      <c r="DS116" t="str">
        <f t="shared" si="51"/>
        <v/>
      </c>
      <c r="DT116" t="str">
        <f t="shared" si="52"/>
        <v/>
      </c>
      <c r="DU116" t="str">
        <f t="shared" si="53"/>
        <v/>
      </c>
    </row>
    <row r="117" spans="1:125" x14ac:dyDescent="0.25">
      <c r="A117">
        <v>45</v>
      </c>
      <c r="B117" t="s">
        <v>664</v>
      </c>
      <c r="C117" s="15">
        <v>2429</v>
      </c>
      <c r="D117" s="15">
        <v>10000</v>
      </c>
      <c r="E117" s="15" t="s">
        <v>711</v>
      </c>
      <c r="F117" s="15" t="s">
        <v>787</v>
      </c>
      <c r="G117" t="s">
        <v>740</v>
      </c>
      <c r="H117" s="15" t="s">
        <v>789</v>
      </c>
      <c r="I117" t="s">
        <v>741</v>
      </c>
      <c r="J117" t="str">
        <f>IF(AND(SD!$C$19=SD!$H$2,Grade!$G$1="Per level"),VLOOKUP(B117,Grade!$E$1:$F$200,2,FALSE),IF(AND(SD!$C$19=SD!$H$2,Grade!$G$1="Per Bar Size"),VLOOKUP(W117,Grade!$B$1:$C$12,2,0),SD!$C$19))</f>
        <v>A615 Grade 60</v>
      </c>
      <c r="K117" t="s">
        <v>67</v>
      </c>
      <c r="L117" t="str">
        <f>IFERROR(IF(A117&lt;&gt;A118,"",IF(DF117="No Lap","",IF(K118="Lap",U117,IF(K118="Coupler",_xlfn._xlws.FILTER(CCoupler,(CCName=SD!$C$8)*(CBSize=IF(A116=A117,W117&amp;W118,W117&amp;W117))*(CCMFM="Male")),"")))),"N/A")</f>
        <v>5-1</v>
      </c>
      <c r="M117" t="str">
        <f t="shared" si="27"/>
        <v/>
      </c>
      <c r="N117" t="s">
        <v>719</v>
      </c>
      <c r="O117" t="s">
        <v>720</v>
      </c>
      <c r="P117" t="s">
        <v>719</v>
      </c>
      <c r="Q117" t="str">
        <f>IF(AND(SD!$C$29=SD!$P$2,Grade!$O$1="Per level"),VLOOKUP(B117,Grade!$M$1:$N$200,2,FALSE),IF(AND(SD!$C$29=SD!$P$2,Grade!$O$1="Per Bar Size"),VLOOKUP(LEFT(N117,FIND("@",N117)-2),Grade!$J$1:$K$12,2,0),SD!$C$29))</f>
        <v>A615 Grade 60</v>
      </c>
      <c r="R117" t="s">
        <v>740</v>
      </c>
      <c r="S117" s="57">
        <v>117</v>
      </c>
      <c r="U117" t="str">
        <f>IF(Data!$J117="",IFERROR(INDEX(IF(SD!$C$11="Create",Lap!$A$3:$BF$14,IF(SD!$C$11="Per Uploaded File",Lap!$A$19:$BF$30,"")),MATCH(W117,Lap!$A$3:$A$14,0),MATCH(VALUE(D117),Lap!$A$3:$BF$3,0)+IF(IFERROR(FIND("Grade 60",J117),0)&gt;0,0,IF(IFERROR(FIND("Grade 80",J117),0),1,IF(IFERROR(FIND("Grade 75",J117),0),2,"")))),""),Data!J117)</f>
        <v>5-1</v>
      </c>
      <c r="W117" t="s">
        <v>176</v>
      </c>
      <c r="X117">
        <v>10</v>
      </c>
      <c r="Y117" t="str">
        <f t="shared" si="28"/>
        <v>36</v>
      </c>
      <c r="Z117">
        <f t="shared" si="29"/>
        <v>0</v>
      </c>
      <c r="AA117" s="24">
        <f t="shared" si="30"/>
        <v>26.666666666666668</v>
      </c>
      <c r="BB117" t="e" cm="1">
        <f t="array" ref="BB117">_xlfn.LET(_xlpm.PartF,(_xlfn.LET(_xlpm.grade, Q117,_xlpm.gradeRange, IF(_xlpm.grade=SD!$H$3, A615GR60, IF(_xlpm.grade=SD!$H$4, A615GR75, IF(_xlpm.grade=SD!$H$5, A615GR80, IF(_xlpm.grade=SD!$H$6, A615GR100, IF(_xlpm.grade=SD!$H$7, A706GR60, IF(_xlpm.grade=SD!$H$8, A706GR80)))))),_xlpm.matchValue, MATCH(1, (SD!$AW:$AW=AS117)*(SD!$AX:$AX=SD!$C$8), 0),INDEX(_xlpm.gradeRange, _xlpm.matchValue))),IF(AM117="Spiral",CONCATENATE("SP",_xlpm.PartF),_xlpm.PartF))</f>
        <v>#N/A</v>
      </c>
      <c r="BC117" cm="1">
        <f t="array" ref="BC117">_xlfn.LET(_xlpm.leftPart, LEFT(O117, FIND("@", O117) - 2),_xlpm.grade,Q117,_xlpm.gradeRange,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7" cm="1">
        <f t="array" ref="BD117">_xlfn.LET(_xlpm.leftPart, LEFT(P117, FIND("@", P117) - 2),_xlpm.grade, Q117,_xlpm.gradeRange,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7">
        <f t="shared" si="31"/>
        <v>3</v>
      </c>
      <c r="BF117">
        <f>IF(SD!$C$32=SD!$I$2,BE117,IF(SD!$C$32=SD!$I$3,DO117,IF(SD!$C$32=SD!$I$5,BA117,IF(SD!$C$32=SD!$I$6,(LEFT(SD!$C$35,FIND("-",SD!$C$35)-1)+RIGHT(SD!$C$35,LEN(SD!$C$35)-FIND("-",SD!$C$35))/12),IF(SD!$C$32=SD!$I$4,(AU117-(BG117+BH117)))))))</f>
        <v>0</v>
      </c>
      <c r="BG117">
        <f>IF(SD!$C$33=SD!$I$2,BE117,IF(SD!$C$33=SD!$I$3,DO117,IF(SD!$C$33=SD!$I$5,BA117,IF(SD!$C$33=SD!$I$6,(LEFT(SD!$C$35,FIND("-",SD!$C$35)-1)+RIGHT(SD!$C$35,LEN(SD!$C$35)-FIND("-",SD!$C$35))/12),IF(SD!$C$33=SD!$I$4,(AU117-(BF117+BH117)))))))</f>
        <v>-1</v>
      </c>
      <c r="BH117">
        <f>IF(SD!$C$34=SD!$I$2,BE117,IF(SD!$C$34=SD!$I$3,DO117,IF(SD!$C$34=SD!$I$5,BA117,IF(SD!$C$34=SD!$I$6,(LEFT(SD!$C$35,FIND("-",SD!$C$35)-1)+RIGHT(SD!$C$35,LEN(SD!$C$35)-FIND("-",SD!$C$35))/12),IF(SD!$C$34=SD!$I$4,(AU117-(BF117+BG117)))))))</f>
        <v>1</v>
      </c>
      <c r="BJ117">
        <f>IF(AM117="Spiral","1",MAX(ROUNDUP(IF(SD!$C$32="",AT117,BF117/(LEFT(RIGHT(N117,LEN(N117)-FIND("@",N117)),LEN(RIGHT(N117,LEN(N117)-FIND("@",N117)))-1)/12)+1),0),0))</f>
        <v>1</v>
      </c>
      <c r="BK117">
        <f>MAX(ROUNDUP(IF(SD!$C$33="","",BG117/(LEFT(RIGHT(O117,LEN(O117)-FIND("@",O117)),LEN(RIGHT(O117,LEN(O117)-FIND("@",O117)))-1)/12)+1),0),0)</f>
        <v>0</v>
      </c>
      <c r="BL117">
        <f>MAX(ROUNDUP(IF(SD!$C$34="","",BH117/(LEFT(RIGHT(P117,LEN(P117)-FIND("@",P117)),LEN(RIGHT(P117,LEN(P117)-FIND("@",P117)))-1)/12)+1),0),0)</f>
        <v>3</v>
      </c>
      <c r="BN117" t="e">
        <f t="shared" si="32"/>
        <v>#N/A</v>
      </c>
      <c r="BO117" t="e">
        <f t="shared" si="33"/>
        <v>#N/A</v>
      </c>
      <c r="BP117" t="e">
        <f t="shared" si="34"/>
        <v>#N/A</v>
      </c>
      <c r="BQ117" s="24" t="e">
        <f>IF(AM117=TRUE,(((Y117-(SD!$E$12*2))*3.14159265359)+BN117+BO117+BP117)/12+AL117,SUM(AF117:AG117,BN117,BO117,BP117,AO117,AQ117)/12)</f>
        <v>#N/A</v>
      </c>
      <c r="BR117" t="e">
        <f t="shared" si="35"/>
        <v>#N/A</v>
      </c>
      <c r="BS117" t="e">
        <f t="shared" si="36"/>
        <v>#N/A</v>
      </c>
      <c r="BT117" t="e">
        <f t="shared" si="37"/>
        <v>#N/A</v>
      </c>
      <c r="BU117" s="24" t="e">
        <f>IF(AM117=TRUE,(((Y117-(SD!$E$12*2))*3.14159265359)+BR117+BS117+BT117)/12+AL117,SUM(AF117:AG117,BR117,BS117,BT117,AO117,AQ117)/12)</f>
        <v>#N/A</v>
      </c>
      <c r="BW117" t="str">
        <f>IFERROR(LEFT(Data!L117,FIND(" -",Data!L117)-1),"")</f>
        <v/>
      </c>
      <c r="BX117" t="str">
        <f>IFERROR(IF(SD!$C$40=SD!$U$2,W117,IF(SD!$C$40=SD!$U$3,RIGHT(Data!L117,LEN(Data!L117)-(FIND("-",Data!L117)+1)),SD!$C$40)),"")</f>
        <v>#10</v>
      </c>
      <c r="BY117" cm="1">
        <f t="array" ref="BY117">IFERROR(_xlfn.LET(_xlpm.GRR,IF(AND(SD!$C$19=SD!$H$2,Grade!$G$1="Per level"),VLOOKUP(B117,Grade!$E$1:$F$200,2,FALSE),IF(AND(SD!$C$19=SD!$H$2,Grade!$G$1="Per Bar Size"),VLOOKUP(BX117,Grade!$B$1:$C$12,2,0),SD!$C$19)),_xlpm.is_equal, A116=A117,_xlpm.grade_range, IF(_xlpm.GRR=SD!$H$3, A615GR60,IF(_xlpm.GRR=SD!$H$4, A615GR75,IF(_xlpm.GRR=SD!$H$5, A615GR80,IF(_xlpm.GRR=SD!H121, A615GR100,IF(_xlpm.GRR=SD!$H$7, A706GR60,IF(_xlpm.GRR=SD!$H$8, A706GR80)))))),_xlpm.match_result, MATCH(1, (BSize=BX117)*(BCName=SD!$C$8), 0),_xlpm.final_result, INDEX(_xlpm.grade_range, _xlpm.match_result),IF(_xlpm.is_equal, "", _xlpm.final_result)),"")</f>
        <v>10</v>
      </c>
      <c r="BZ117">
        <f>IF(A116=A117,"",IF(SD!$C$41="Match Vertical Bars ",X117,IF(SD!$C$41=SD!$V$3,BW117,SD!$C$41)))</f>
        <v>10</v>
      </c>
      <c r="CA117" cm="1">
        <f t="array" ref="CA117">IF(A116=A117,"",IF(SD!$C$44="No T-Head",IF(SD!$C$42=SD!$Q$3,VLOOKUP(BX117,S90Range,3,FALSE),LEFT(SD!$C$42,FIND("-",SD!$C$42)-1)+(RIGHT(SD!$C$42,LEN(SD!$C$42)-FIND("-",SD!$C$42))/12)),IF(SD!$C$44="T-Head",_xlfn._xlws.FILTER(THead,(TCName=SD!$C$8)*(TSize=BX117)),IF(SD!$C$44="Level Wise",_xlfn.LET(_xlpm.result,_xlfn.XLOOKUP(B117,VDLevel,VDLevelStatus,"No"),IF(_xlpm.result="Yes",_xlfn._xlws.FILTER(THead,(TCName=SD!$C$8)*(TSize=BX117)),IF(SD!$C$42=SD!$Q$3,VLOOKUP(BX117,S90Range,3,FALSE),LEFT(SD!$C$42,FIND("-",SD!$C$42)-1)+(RIGHT(SD!$C$42,LEN(SD!$C$42)-FIND("-", SD!$C$42))/12)))),IF(SD!$C$44="BarSize Wise",_xlfn.LET(_xlpm.result,_xlfn.XLOOKUP(BX117,VDBarSize,VDBarSizeStatus,"No"),IF(_xlpm.result="Yes",_xlfn._xlws.FILTER(THead,(TCName=SD!$C$8)*(TSize=BX117)),IF(SD!$C$42=SD!$Q$3,VLOOKUP(BX117,S90Range,3,FALSE),LEFT(SD!$C$42,FIND("-",SD!$C$42)-1)+(RIGHT(SD!$C$42,LEN(SD!$C$42)-FIND("-",SD!$C$42))/12)))), "")))))</f>
        <v>1.8333333333333335</v>
      </c>
      <c r="CB117" t="str" cm="1">
        <f t="array" ref="CB117">_xlfn.LET(_xlpm.GRR,IF(AND(SD!$C$19=SD!$H$2,Grade!$G$1="Per level"),VLOOKUP(B117,Grade!$E$1:$F$200,2,FALSE),IF(AND(SD!$C$19=SD!$H$2,Grade!$G$1="Per Bar Size"),VLOOKUP(BX117,Grade!$B$1:$C$12,2,0),SD!$C$19)),_xlpm.is_coupler, K117="Coupler",_xlpm.condition1, SD!$C$43=SD!$W$2,_xlpm.data_j2_empty, Data!$J117="",_xlpm.lookup_table, IF(SD!$C$11="Create", Lap!$A$3:$BF$14, IF(SD!$C$11="Per Uploaded File", Lap!$A$19:$BF$30, "")),_xlpm.row_match, MATCH(BX117, Lap!$A$3:$A$14, 0),_xlpm.grade_offset, IF(IFERROR(FIND("Grade 60",_xlpm.GRR), 0) &gt; 0, 0, IF(IFERROR(FIND("Grade 80",_xlpm.GRR), 0), 1, IF(IFERROR(FIND("Grade 75",_xlpm.GRR), 0), 2, ""))),_xlpm.col_match, MATCH(VALUE(D117), Lap!$A$3:$BF$3, 0) + _xlpm.grade_offset,_xlpm.index_result, IFERROR(INDEX(_xlpm.lookup_table, _xlpm.row_match, _xlpm.col_match), Data!$J117),_xlpm.result_if_condition1, IF(_xlpm.data_j2_empty, _xlpm.index_result, Data!$J117),IF(_xlpm.is_coupler, 0, IF(_xlpm.condition1, _xlpm.result_if_condition1, SD!$C$43)))</f>
        <v>5-1</v>
      </c>
      <c r="CC117" s="24">
        <f t="shared" si="38"/>
        <v>5.083333333333333</v>
      </c>
      <c r="CD117">
        <f t="shared" si="39"/>
        <v>12.583333333333332</v>
      </c>
      <c r="CE117" t="str" cm="1">
        <f t="array" ref="CE117">IF(BY117="","",_xlfn._xlws.FILTER(SAC,(CName=SD!$C$8)*(EName="Vert Dowels")))</f>
        <v>2200 CD</v>
      </c>
      <c r="CF117" t="str" cm="1">
        <f t="array" ref="CF117">IFERROR(IF(BY117="","",IF(K117="Coupler",_xlfn._xlws.FILTER(CCoupler,(CCName=SD!$C$8)*(CBSize=IF(A116=A117,W116&amp;W117,BX117&amp;W117))*(CCMFM="Male")),"")),"N/A")</f>
        <v/>
      </c>
      <c r="CG117" t="str">
        <f t="shared" si="40"/>
        <v/>
      </c>
      <c r="CH117" t="str">
        <f t="shared" si="41"/>
        <v/>
      </c>
      <c r="CI117" t="str">
        <f>_xlfn.LET(_xlpm.u3_value, U118,_xlpm.hyphen_pos,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K118="Coupler",_xlpm.coupler_value, IF(_xlpm.is_coupler, 0, _xlpm.calculated_value),_xlpm.final_value, _xlpm.calculated_value + SD!$E$13 + _xlpm.coupler_value,IF(CG117="", "", _xlpm.final_value))</f>
        <v/>
      </c>
      <c r="CJ117" t="str" cm="1">
        <f t="array" ref="CJ117">IF(CG117="","",_xlfn._xlws.FILTER(SAC,(CName=SD!$C$8)*(EName="Loose Dowels")))</f>
        <v/>
      </c>
      <c r="CK117" t="str" cm="1">
        <f t="array" ref="CK117">IFERROR(IF(CG117="","",IF(K118="Coupler",_xlfn._xlws.FILTER(CCoupler,(CCName=SD!$C$8)*(CBSize=IF(A117=A118,W117&amp;W118,""))*(CCMFM="Male")),"")),"N/A")</f>
        <v/>
      </c>
      <c r="CL117">
        <f>IFERROR(IF(AM117="Spiral","",IF(A116=A117,"",IF(SD!$C$37=0,"",SD!$C$37))),"")</f>
        <v>3</v>
      </c>
      <c r="CN117">
        <f>IF(AM117="Spiral","",IFERROR(IF(SD!$C$36=0,"",SD!$C$36),""))</f>
        <v>5</v>
      </c>
      <c r="CP117">
        <f>IFERROR(IF(SD!$C$42=SD!$Q$3,'Take-off'!CA117,""),"")</f>
        <v>1.8333333333333335</v>
      </c>
      <c r="CR117">
        <f>IFERROR(IF(SD!$C$22=SD!$U$2,W117,SD!$C$22),"")</f>
        <v>0</v>
      </c>
      <c r="CS117" t="str" cm="1">
        <f t="array" ref="CS117">_xlfn.LET(_xlpm.GR,IF(AND(SD!$C$19=SD!$H$2,Grade!$G$1="Per level"),VLOOKUP(B117,Grade!$E$1:$F$200,2,FALSE),IF(AND(SD!$C$19=SD!$H$2,Grade!$G$1="Per Bar Size"),VLOOKUP(CR117,Grade!$B$1:$C$12,2,0),SD!$C$19)),IF(SD!$C$20=SD!$R$4,IF(A118=A117,"",INDEX(IF(_xlpm.GR=SD!$H$3,A615GR60,IF(_xlpm.GR=SD!$H$4,A615GR75,IF(_xlpm.GR=SD!$H$5,A615GR80,IF(_xlpm.GR=SD!H121,A615GR100,IF(_xlpm.GR=SD!$H$7,A706GR60,IF(_xlpm.GR=SD!$H$8,A706GR80)))))), MATCH(1, (BSize=CR117)*(BCName=SD!$C$8), 0))),""))</f>
        <v/>
      </c>
      <c r="CT117" t="str">
        <f>IF(A118=A117,"",IF(SD!$C$23="Match Vertical Bars ",X117,SD!$C$23))</f>
        <v/>
      </c>
      <c r="CU117" t="str" cm="1">
        <f t="array" ref="CU117">IF(A118=A117,"",IF(SD!$C$20="Top dowels",IF(SD!$E$25="No T-Head",IF(SD!$C$24=SD!$Q$3,VLOOKUP(CR117,S90Range,3,FALSE),LEFT(SD!$C$24,FIND("-",SD!$C$24)-1)+(RIGHT(SD!$C$24,LEN(SD!$C$24)-FIND("-",SD!$C$24))/12)),IF(SD!$E$25="T-Head",_xlfn._xlws.FILTER(THead,(TCName=SD!$C$8)*(TSize=CR117)),IF(SD!$E$25="Level Wise",_xlfn.LET(_xlpm.result,_xlfn.XLOOKUP(B117,TDLevel,TDLevelStatus,"No"),IF(_xlpm.result="Yes",_xlfn._xlws.FILTER(THead,(TCName=SD!$C$8)*(TSize=CR117)),IF(SD!$C$24=SD!$Q$3,VLOOKUP(CR117,S90Range,3,FALSE),LEFT(SD!$C$24,FIND("-",SD!$C$24)-1)+(RIGHT(SD!$C$24,LEN(SD!$C$24)-FIND("-", SD!$C$24))/12)))),IF(SD!$E$25="BarSize Wise",_xlfn.LET(_xlpm.result,_xlfn.XLOOKUP(CR117,TDBarSize,TDBarSizeStatus,"No"),IF(_xlpm.result="Yes",_xlfn._xlws.FILTER(THead,(TCName=SD!$C$8)*(TSize=CR117)),IF(SD!$C$24=SD!$Q$3,VLOOKUP(CR117,S90Range,3,FALSE),LEFT(SD!$C$24,FIND("-",SD!$C$24)-1)+(RIGHT(SD!$C$24,LEN(SD!$C$24)-FIND("-",SD!$C$24))/12)))), "")))),""))</f>
        <v/>
      </c>
      <c r="CV117" t="str">
        <f>_xlfn.LET(_xlpm.GRR,IF(AND(SD!$C$19=SD!$H$2,Grade!$G$1="Per level"),VLOOKUP(B117,Grade!$E$1:$F$200,2,FALSE),IF(AND(SD!$C$19=SD!$H$2,Grade!$G$1="Per Bar Size"),VLOOKUP(CR117,Grade!$B$1:$C$12,2,0),SD!$C$19)),IF(SD!$C$25=SD!$W$2,IF(Data!$J117="",IFERROR(INDEX(IF(SD!$C$11="Create",Lap!$A$3:$BF$14,IF(SD!$C$11="Per Uploaded File",Lap!$A$19:$BF$30,"")),MATCH(CR117,Lap!$A$3:$A$14,0),MATCH(VALUE(D117),Lap!$A$3:$BF$3,0)+IF(IFERROR(FIND("Grade 60",_xlpm.GRR),0)&gt;0,0,IF(IFERROR(FIND("Grade 80",_xlpm.GRR),0),1,IF(IFERROR(FIND("Grade 75",_xlpm.GRR),0),2,"")))),""),Data!J117),SD!$C$43))</f>
        <v>Match Lap</v>
      </c>
      <c r="CW117">
        <f t="shared" si="42"/>
        <v>0</v>
      </c>
      <c r="CX117">
        <f t="shared" si="43"/>
        <v>0</v>
      </c>
      <c r="CY117" t="str">
        <f t="shared" si="44"/>
        <v/>
      </c>
      <c r="DA117">
        <f t="shared" si="45"/>
        <v>45</v>
      </c>
      <c r="DB117" t="str">
        <f t="shared" si="46"/>
        <v>138-0</v>
      </c>
      <c r="DC117" s="24">
        <f t="shared" si="47"/>
        <v>137.99999999999997</v>
      </c>
      <c r="DD117">
        <f t="shared" si="48"/>
        <v>21.583333333333332</v>
      </c>
      <c r="DE117" t="s">
        <v>785</v>
      </c>
      <c r="DF117" t="s">
        <v>67</v>
      </c>
      <c r="DG117" t="str">
        <f>VLOOKUP(W117,'Level Wise PSI'!$F$2:$G$12,2,FALSE)</f>
        <v>Double Lift</v>
      </c>
      <c r="DI117" t="str" cm="1">
        <f t="array" ref="DI117">_xlfn.LET(_xlpm.Coup,IFERROR(IF(BY117="","",IF(K117="Coupler",_xlfn._xlws.FILTER(CCFCoupler,(CCName=SD!$C$8)*(CBSize=IF(A116=A117,W116&amp;W117,BX117&amp;W117))),"")),"N/A"),IF(_xlpm.Coup=0,"",_xlpm.Coup))</f>
        <v/>
      </c>
      <c r="DJ117" t="str" cm="1">
        <f t="array" ref="DJ117">_xlfn.LET(_xlpm.Coup3,IFERROR(IF(CG117="","",IF(K118="Coupler",_xlfn._xlws.FILTER(CCFCoupler,(CCName=SD!$C$8)*(CBSize=IF(A117=A118,W117&amp;W118,""))),"")),"N/A"),IF(_xlpm.Coup3=0,"",_xlpm.Coup3))</f>
        <v/>
      </c>
      <c r="DK117" t="str" cm="1">
        <f t="array" ref="DK117">_xlfn.LET(_xlpm.Coup2,IFERROR(IF(A117&lt;&gt;A118,"",IF(DF117="No Lap","",IF(K118="Coupler",_xlfn._xlws.FILTER(CCFCoupler,(CCName=SD!$C$8)*(CBSize=IF(A116=A117,W117&amp;W118,W117&amp;W117))),""))),"N/A"),IF(_xlpm.Coup2=0,"",_xlpm.Coup2))</f>
        <v/>
      </c>
      <c r="DM117" t="str">
        <f>IF(AM117="Spiral","",IF(SD!$C$31=SD!$Y$3,SD!$E$32*2,""))</f>
        <v/>
      </c>
      <c r="DO117" s="24">
        <f t="shared" si="49"/>
        <v>3</v>
      </c>
      <c r="DQ117" t="str">
        <f t="shared" si="50"/>
        <v>Lig</v>
      </c>
      <c r="DR117" t="str">
        <f>IF(AM117="Spiral",((Y117-(SD!$E$12*2))/12),"")</f>
        <v/>
      </c>
      <c r="DS117" t="str">
        <f t="shared" si="51"/>
        <v/>
      </c>
      <c r="DT117" t="str">
        <f t="shared" si="52"/>
        <v/>
      </c>
      <c r="DU117" t="str">
        <f t="shared" si="53"/>
        <v/>
      </c>
    </row>
    <row r="118" spans="1:125" x14ac:dyDescent="0.25">
      <c r="A118">
        <v>45</v>
      </c>
      <c r="B118" t="s">
        <v>667</v>
      </c>
      <c r="C118" s="15">
        <v>2429</v>
      </c>
      <c r="D118" s="15">
        <v>10000</v>
      </c>
      <c r="E118" t="str">
        <f>IF(B118=Level!$A$2,SD!$C$14,SD!$C$13)</f>
        <v>0-8</v>
      </c>
      <c r="F118" s="15" t="s">
        <v>787</v>
      </c>
      <c r="G118" t="s">
        <v>740</v>
      </c>
      <c r="H118" t="str">
        <f>RIGHT(VLOOKUP(B118,Level!A:C,3,FALSE),LEN(VLOOKUP(B118,Level!A:C,3,FALSE))-1)</f>
        <v>10-7</v>
      </c>
      <c r="I118" t="s">
        <v>741</v>
      </c>
      <c r="J118" t="str">
        <f>IF(AND(SD!$C$19=SD!$H$2,Grade!$G$1="Per level"),VLOOKUP(B118,Grade!$E$1:$F$200,2,FALSE),IF(AND(SD!$C$19=SD!$H$2,Grade!$G$1="Per Bar Size"),VLOOKUP(W118,Grade!$B$1:$C$12,2,0),SD!$C$19))</f>
        <v>A615 Grade 60</v>
      </c>
      <c r="K118" t="s">
        <v>67</v>
      </c>
      <c r="L118" t="str">
        <f>IFERROR(IF(A118&lt;&gt;A119,"",IF(DF118="No Lap","",IF(K119="Lap",U118,IF(K119="Coupler",_xlfn._xlws.FILTER(CCoupler,(CCName=SD!$C$8)*(CBSize=IF(A117=A118,W118&amp;W119,W118&amp;W118))*(CCMFM="Male")),"")))),"N/A")</f>
        <v>5-1</v>
      </c>
      <c r="M118" t="str">
        <f t="shared" si="27"/>
        <v/>
      </c>
      <c r="N118" t="s">
        <v>719</v>
      </c>
      <c r="O118" t="s">
        <v>720</v>
      </c>
      <c r="P118" t="s">
        <v>719</v>
      </c>
      <c r="Q118" t="str">
        <f>IF(AND(SD!$C$29=SD!$P$2,Grade!$O$1="Per level"),VLOOKUP(B118,Grade!$M$1:$N$200,2,FALSE),IF(AND(SD!$C$29=SD!$P$2,Grade!$O$1="Per Bar Size"),VLOOKUP(LEFT(N118,FIND("@",N118)-2),Grade!$J$1:$K$12,2,0),SD!$C$29))</f>
        <v>A615 Grade 60</v>
      </c>
      <c r="R118" t="s">
        <v>740</v>
      </c>
      <c r="S118" s="57">
        <v>118</v>
      </c>
      <c r="U118" t="str">
        <f>IF(Data!$J118="",IFERROR(INDEX(IF(SD!$C$11="Create",Lap!$A$3:$BF$14,IF(SD!$C$11="Per Uploaded File",Lap!$A$19:$BF$30,"")),MATCH(W118,Lap!$A$3:$A$14,0),MATCH(VALUE(D118),Lap!$A$3:$BF$3,0)+IF(IFERROR(FIND("Grade 60",J118),0)&gt;0,0,IF(IFERROR(FIND("Grade 80",J118),0),1,IF(IFERROR(FIND("Grade 75",J118),0),2,"")))),""),Data!J118)</f>
        <v>5-1</v>
      </c>
      <c r="W118" t="s">
        <v>176</v>
      </c>
      <c r="X118">
        <v>10</v>
      </c>
      <c r="Y118" t="str">
        <f t="shared" si="28"/>
        <v>36</v>
      </c>
      <c r="Z118">
        <f t="shared" si="29"/>
        <v>0</v>
      </c>
      <c r="AA118" s="24">
        <f t="shared" si="30"/>
        <v>15.666666666666666</v>
      </c>
      <c r="BB118" t="e" cm="1">
        <f t="array" ref="BB118">_xlfn.LET(_xlpm.PartF,(_xlfn.LET(_xlpm.grade, Q118,_xlpm.gradeRange, IF(_xlpm.grade=SD!$H$3, A615GR60, IF(_xlpm.grade=SD!$H$4, A615GR75, IF(_xlpm.grade=SD!$H$5, A615GR80, IF(_xlpm.grade=SD!$H$6, A615GR100, IF(_xlpm.grade=SD!$H$7, A706GR60, IF(_xlpm.grade=SD!$H$8, A706GR80)))))),_xlpm.matchValue, MATCH(1, (SD!$AW:$AW=AS118)*(SD!$AX:$AX=SD!$C$8), 0),INDEX(_xlpm.gradeRange, _xlpm.matchValue))),IF(AM118="Spiral",CONCATENATE("SP",_xlpm.PartF),_xlpm.PartF))</f>
        <v>#N/A</v>
      </c>
      <c r="BC118" cm="1">
        <f t="array" ref="BC118">_xlfn.LET(_xlpm.leftPart, LEFT(O118, FIND("@", O118) - 2),_xlpm.grade,Q118,_xlpm.gradeRange,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8" cm="1">
        <f t="array" ref="BD118">_xlfn.LET(_xlpm.leftPart, LEFT(P118, FIND("@", P118) - 2),_xlpm.grade, Q118,_xlpm.gradeRange,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8">
        <f t="shared" si="31"/>
        <v>3</v>
      </c>
      <c r="BF118">
        <f>IF(SD!$C$32=SD!$I$2,BE118,IF(SD!$C$32=SD!$I$3,DO118,IF(SD!$C$32=SD!$I$5,BA118,IF(SD!$C$32=SD!$I$6,(LEFT(SD!$C$35,FIND("-",SD!$C$35)-1)+RIGHT(SD!$C$35,LEN(SD!$C$35)-FIND("-",SD!$C$35))/12),IF(SD!$C$32=SD!$I$4,(AU118-(BG118+BH118)))))))</f>
        <v>0</v>
      </c>
      <c r="BG118">
        <f>IF(SD!$C$33=SD!$I$2,BE118,IF(SD!$C$33=SD!$I$3,DO118,IF(SD!$C$33=SD!$I$5,BA118,IF(SD!$C$33=SD!$I$6,(LEFT(SD!$C$35,FIND("-",SD!$C$35)-1)+RIGHT(SD!$C$35,LEN(SD!$C$35)-FIND("-",SD!$C$35))/12),IF(SD!$C$33=SD!$I$4,(AU118-(BF118+BH118)))))))</f>
        <v>-1</v>
      </c>
      <c r="BH118">
        <f>IF(SD!$C$34=SD!$I$2,BE118,IF(SD!$C$34=SD!$I$3,DO118,IF(SD!$C$34=SD!$I$5,BA118,IF(SD!$C$34=SD!$I$6,(LEFT(SD!$C$35,FIND("-",SD!$C$35)-1)+RIGHT(SD!$C$35,LEN(SD!$C$35)-FIND("-",SD!$C$35))/12),IF(SD!$C$34=SD!$I$4,(AU118-(BF118+BG118)))))))</f>
        <v>1</v>
      </c>
      <c r="BJ118">
        <f>IF(AM118="Spiral","1",MAX(ROUNDUP(IF(SD!$C$32="",AT118,BF118/(LEFT(RIGHT(N118,LEN(N118)-FIND("@",N118)),LEN(RIGHT(N118,LEN(N118)-FIND("@",N118)))-1)/12)+1),0),0))</f>
        <v>1</v>
      </c>
      <c r="BK118">
        <f>MAX(ROUNDUP(IF(SD!$C$33="","",BG118/(LEFT(RIGHT(O118,LEN(O118)-FIND("@",O118)),LEN(RIGHT(O118,LEN(O118)-FIND("@",O118)))-1)/12)+1),0),0)</f>
        <v>0</v>
      </c>
      <c r="BL118">
        <f>MAX(ROUNDUP(IF(SD!$C$34="","",BH118/(LEFT(RIGHT(P118,LEN(P118)-FIND("@",P118)),LEN(RIGHT(P118,LEN(P118)-FIND("@",P118)))-1)/12)+1),0),0)</f>
        <v>3</v>
      </c>
      <c r="BN118" t="e">
        <f t="shared" si="32"/>
        <v>#N/A</v>
      </c>
      <c r="BO118" t="e">
        <f t="shared" si="33"/>
        <v>#N/A</v>
      </c>
      <c r="BP118" t="e">
        <f t="shared" si="34"/>
        <v>#N/A</v>
      </c>
      <c r="BQ118" s="24" t="e">
        <f>IF(AM118=TRUE,(((Y118-(SD!$E$12*2))*3.14159265359)+BN118+BO118+BP118)/12+AL118,SUM(AF118:AG118,BN118,BO118,BP118,AO118,AQ118)/12)</f>
        <v>#N/A</v>
      </c>
      <c r="BR118" t="e">
        <f t="shared" si="35"/>
        <v>#N/A</v>
      </c>
      <c r="BS118" t="e">
        <f t="shared" si="36"/>
        <v>#N/A</v>
      </c>
      <c r="BT118" t="e">
        <f t="shared" si="37"/>
        <v>#N/A</v>
      </c>
      <c r="BU118" s="24" t="e">
        <f>IF(AM118=TRUE,(((Y118-(SD!$E$12*2))*3.14159265359)+BR118+BS118+BT118)/12+AL118,SUM(AF118:AG118,BR118,BS118,BT118,AO118,AQ118)/12)</f>
        <v>#N/A</v>
      </c>
      <c r="BW118" t="str">
        <f>IFERROR(LEFT(Data!L118,FIND(" -",Data!L118)-1),"")</f>
        <v/>
      </c>
      <c r="BX118" t="str">
        <f>IFERROR(IF(SD!$C$40=SD!$U$2,W118,IF(SD!$C$40=SD!$U$3,RIGHT(Data!L118,LEN(Data!L118)-(FIND("-",Data!L118)+1)),SD!$C$40)),"")</f>
        <v>#10</v>
      </c>
      <c r="BY118" t="str" cm="1">
        <f t="array" ref="BY118">IFERROR(_xlfn.LET(_xlpm.GRR,IF(AND(SD!$C$19=SD!$H$2,Grade!$G$1="Per level"),VLOOKUP(B118,Grade!$E$1:$F$200,2,FALSE),IF(AND(SD!$C$19=SD!$H$2,Grade!$G$1="Per Bar Size"),VLOOKUP(BX118,Grade!$B$1:$C$12,2,0),SD!$C$19)),_xlpm.is_equal, A117=A118,_xlpm.grade_range, IF(_xlpm.GRR=SD!$H$3, A615GR60,IF(_xlpm.GRR=SD!$H$4, A615GR75,IF(_xlpm.GRR=SD!$H$5, A615GR80,IF(_xlpm.GRR=SD!H122, A615GR100,IF(_xlpm.GRR=SD!$H$7, A706GR60,IF(_xlpm.GRR=SD!$H$8, A706GR80)))))),_xlpm.match_result, MATCH(1, (BSize=BX118)*(BCName=SD!$C$8), 0),_xlpm.final_result, INDEX(_xlpm.grade_range, _xlpm.match_result),IF(_xlpm.is_equal, "", _xlpm.final_result)),"")</f>
        <v/>
      </c>
      <c r="BZ118" t="str">
        <f>IF(A117=A118,"",IF(SD!$C$41="Match Vertical Bars ",X118,IF(SD!$C$41=SD!$V$3,BW118,SD!$C$41)))</f>
        <v/>
      </c>
      <c r="CA118" t="str" cm="1">
        <f t="array" ref="CA118">IF(A117=A118,"",IF(SD!$C$44="No T-Head",IF(SD!$C$42=SD!$Q$3,VLOOKUP(BX118,S90Range,3,FALSE),LEFT(SD!$C$42,FIND("-",SD!$C$42)-1)+(RIGHT(SD!$C$42,LEN(SD!$C$42)-FIND("-",SD!$C$42))/12)),IF(SD!$C$44="T-Head",_xlfn._xlws.FILTER(THead,(TCName=SD!$C$8)*(TSize=BX118)),IF(SD!$C$44="Level Wise",_xlfn.LET(_xlpm.result,_xlfn.XLOOKUP(B118,VDLevel,VDLevelStatus,"No"),IF(_xlpm.result="Yes",_xlfn._xlws.FILTER(THead,(TCName=SD!$C$8)*(TSize=BX118)),IF(SD!$C$42=SD!$Q$3,VLOOKUP(BX118,S90Range,3,FALSE),LEFT(SD!$C$42,FIND("-",SD!$C$42)-1)+(RIGHT(SD!$C$42,LEN(SD!$C$42)-FIND("-", SD!$C$42))/12)))),IF(SD!$C$44="BarSize Wise",_xlfn.LET(_xlpm.result,_xlfn.XLOOKUP(BX118,VDBarSize,VDBarSizeStatus,"No"),IF(_xlpm.result="Yes",_xlfn._xlws.FILTER(THead,(TCName=SD!$C$8)*(TSize=BX118)),IF(SD!$C$42=SD!$Q$3,VLOOKUP(BX118,S90Range,3,FALSE),LEFT(SD!$C$42,FIND("-",SD!$C$42)-1)+(RIGHT(SD!$C$42,LEN(SD!$C$42)-FIND("-",SD!$C$42))/12)))), "")))))</f>
        <v/>
      </c>
      <c r="CB118" t="str" cm="1">
        <f t="array" ref="CB118">_xlfn.LET(_xlpm.GRR,IF(AND(SD!$C$19=SD!$H$2,Grade!$G$1="Per level"),VLOOKUP(B118,Grade!$E$1:$F$200,2,FALSE),IF(AND(SD!$C$19=SD!$H$2,Grade!$G$1="Per Bar Size"),VLOOKUP(BX118,Grade!$B$1:$C$12,2,0),SD!$C$19)),_xlpm.is_coupler, K118="Coupler",_xlpm.condition1, SD!$C$43=SD!$W$2,_xlpm.data_j2_empty, Data!$J118="",_xlpm.lookup_table, IF(SD!$C$11="Create", Lap!$A$3:$BF$14, IF(SD!$C$11="Per Uploaded File", Lap!$A$19:$BF$30, "")),_xlpm.row_match, MATCH(BX118, Lap!$A$3:$A$14, 0),_xlpm.grade_offset, IF(IFERROR(FIND("Grade 60",_xlpm.GRR), 0) &gt; 0, 0, IF(IFERROR(FIND("Grade 80",_xlpm.GRR), 0), 1, IF(IFERROR(FIND("Grade 75",_xlpm.GRR), 0), 2, ""))),_xlpm.col_match, MATCH(VALUE(D118), Lap!$A$3:$BF$3, 0) + _xlpm.grade_offset,_xlpm.index_result, IFERROR(INDEX(_xlpm.lookup_table, _xlpm.row_match, _xlpm.col_match), Data!$J118),_xlpm.result_if_condition1, IF(_xlpm.data_j2_empty, _xlpm.index_result, Data!$J118),IF(_xlpm.is_coupler, 0, IF(_xlpm.condition1, _xlpm.result_if_condition1, SD!$C$43)))</f>
        <v>5-1</v>
      </c>
      <c r="CC118" s="24">
        <f t="shared" si="38"/>
        <v>5.083333333333333</v>
      </c>
      <c r="CD118">
        <f t="shared" si="39"/>
        <v>5.75</v>
      </c>
      <c r="CE118" t="str" cm="1">
        <f t="array" ref="CE118">IF(BY118="","",_xlfn._xlws.FILTER(SAC,(CName=SD!$C$8)*(EName="Vert Dowels")))</f>
        <v/>
      </c>
      <c r="CF118" t="str" cm="1">
        <f t="array" ref="CF118">IFERROR(IF(BY118="","",IF(K118="Coupler",_xlfn._xlws.FILTER(CCoupler,(CCName=SD!$C$8)*(CBSize=IF(A117=A118,W117&amp;W118,BX118&amp;W118))*(CCMFM="Male")),"")),"N/A")</f>
        <v/>
      </c>
      <c r="CG118" t="str">
        <f t="shared" si="40"/>
        <v/>
      </c>
      <c r="CH118" t="str">
        <f t="shared" si="41"/>
        <v/>
      </c>
      <c r="CI118" t="str">
        <f>_xlfn.LET(_xlpm.u3_value, U119,_xlpm.hyphen_pos,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K119="Coupler",_xlpm.coupler_value, IF(_xlpm.is_coupler, 0, _xlpm.calculated_value),_xlpm.final_value, _xlpm.calculated_value + SD!$E$13 + _xlpm.coupler_value,IF(CG118="", "", _xlpm.final_value))</f>
        <v/>
      </c>
      <c r="CJ118" t="str" cm="1">
        <f t="array" ref="CJ118">IF(CG118="","",_xlfn._xlws.FILTER(SAC,(CName=SD!$C$8)*(EName="Loose Dowels")))</f>
        <v/>
      </c>
      <c r="CK118" t="str" cm="1">
        <f t="array" ref="CK118">IFERROR(IF(CG118="","",IF(K119="Coupler",_xlfn._xlws.FILTER(CCoupler,(CCName=SD!$C$8)*(CBSize=IF(A118=A119,W118&amp;W119,""))*(CCMFM="Male")),"")),"N/A")</f>
        <v/>
      </c>
      <c r="CL118" t="str">
        <f>IFERROR(IF(AM118="Spiral","",IF(A117=A118,"",IF(SD!$C$37=0,"",SD!$C$37))),"")</f>
        <v/>
      </c>
      <c r="CN118">
        <f>IF(AM118="Spiral","",IFERROR(IF(SD!$C$36=0,"",SD!$C$36),""))</f>
        <v>5</v>
      </c>
      <c r="CP118" t="str">
        <f>IFERROR(IF(SD!$C$42=SD!$Q$3,'Take-off'!CA118,""),"")</f>
        <v/>
      </c>
      <c r="CR118">
        <f>IFERROR(IF(SD!$C$22=SD!$U$2,W118,SD!$C$22),"")</f>
        <v>0</v>
      </c>
      <c r="CS118" t="str" cm="1">
        <f t="array" ref="CS118">_xlfn.LET(_xlpm.GR,IF(AND(SD!$C$19=SD!$H$2,Grade!$G$1="Per level"),VLOOKUP(B118,Grade!$E$1:$F$200,2,FALSE),IF(AND(SD!$C$19=SD!$H$2,Grade!$G$1="Per Bar Size"),VLOOKUP(CR118,Grade!$B$1:$C$12,2,0),SD!$C$19)),IF(SD!$C$20=SD!$R$4,IF(A119=A118,"",INDEX(IF(_xlpm.GR=SD!$H$3,A615GR60,IF(_xlpm.GR=SD!$H$4,A615GR75,IF(_xlpm.GR=SD!$H$5,A615GR80,IF(_xlpm.GR=SD!H122,A615GR100,IF(_xlpm.GR=SD!$H$7,A706GR60,IF(_xlpm.GR=SD!$H$8,A706GR80)))))), MATCH(1, (BSize=CR118)*(BCName=SD!$C$8), 0))),""))</f>
        <v/>
      </c>
      <c r="CT118" t="str">
        <f>IF(A119=A118,"",IF(SD!$C$23="Match Vertical Bars ",X118,SD!$C$23))</f>
        <v/>
      </c>
      <c r="CU118" t="str" cm="1">
        <f t="array" ref="CU118">IF(A119=A118,"",IF(SD!$C$20="Top dowels",IF(SD!$E$25="No T-Head",IF(SD!$C$24=SD!$Q$3,VLOOKUP(CR118,S90Range,3,FALSE),LEFT(SD!$C$24,FIND("-",SD!$C$24)-1)+(RIGHT(SD!$C$24,LEN(SD!$C$24)-FIND("-",SD!$C$24))/12)),IF(SD!$E$25="T-Head",_xlfn._xlws.FILTER(THead,(TCName=SD!$C$8)*(TSize=CR118)),IF(SD!$E$25="Level Wise",_xlfn.LET(_xlpm.result,_xlfn.XLOOKUP(B118,TDLevel,TDLevelStatus,"No"),IF(_xlpm.result="Yes",_xlfn._xlws.FILTER(THead,(TCName=SD!$C$8)*(TSize=CR118)),IF(SD!$C$24=SD!$Q$3,VLOOKUP(CR118,S90Range,3,FALSE),LEFT(SD!$C$24,FIND("-",SD!$C$24)-1)+(RIGHT(SD!$C$24,LEN(SD!$C$24)-FIND("-", SD!$C$24))/12)))),IF(SD!$E$25="BarSize Wise",_xlfn.LET(_xlpm.result,_xlfn.XLOOKUP(CR118,TDBarSize,TDBarSizeStatus,"No"),IF(_xlpm.result="Yes",_xlfn._xlws.FILTER(THead,(TCName=SD!$C$8)*(TSize=CR118)),IF(SD!$C$24=SD!$Q$3,VLOOKUP(CR118,S90Range,3,FALSE),LEFT(SD!$C$24,FIND("-",SD!$C$24)-1)+(RIGHT(SD!$C$24,LEN(SD!$C$24)-FIND("-",SD!$C$24))/12)))), "")))),""))</f>
        <v/>
      </c>
      <c r="CV118" t="str">
        <f>_xlfn.LET(_xlpm.GRR,IF(AND(SD!$C$19=SD!$H$2,Grade!$G$1="Per level"),VLOOKUP(B118,Grade!$E$1:$F$200,2,FALSE),IF(AND(SD!$C$19=SD!$H$2,Grade!$G$1="Per Bar Size"),VLOOKUP(CR118,Grade!$B$1:$C$12,2,0),SD!$C$19)),IF(SD!$C$25=SD!$W$2,IF(Data!$J118="",IFERROR(INDEX(IF(SD!$C$11="Create",Lap!$A$3:$BF$14,IF(SD!$C$11="Per Uploaded File",Lap!$A$19:$BF$30,"")),MATCH(CR118,Lap!$A$3:$A$14,0),MATCH(VALUE(D118),Lap!$A$3:$BF$3,0)+IF(IFERROR(FIND("Grade 60",_xlpm.GRR),0)&gt;0,0,IF(IFERROR(FIND("Grade 80",_xlpm.GRR),0),1,IF(IFERROR(FIND("Grade 75",_xlpm.GRR),0),2,"")))),""),Data!J118),SD!$C$43))</f>
        <v>Match Lap</v>
      </c>
      <c r="CW118">
        <f t="shared" si="42"/>
        <v>0</v>
      </c>
      <c r="CX118">
        <f t="shared" si="43"/>
        <v>0</v>
      </c>
      <c r="CY118" t="str">
        <f t="shared" si="44"/>
        <v/>
      </c>
      <c r="DA118" t="str">
        <f t="shared" si="45"/>
        <v/>
      </c>
      <c r="DB118" t="str">
        <f t="shared" si="46"/>
        <v/>
      </c>
      <c r="DC118" s="24" t="str">
        <f t="shared" si="47"/>
        <v/>
      </c>
      <c r="DD118">
        <f t="shared" si="48"/>
        <v>10.583333333333334</v>
      </c>
      <c r="DE118" t="s">
        <v>785</v>
      </c>
      <c r="DF118" t="s">
        <v>67</v>
      </c>
      <c r="DG118" t="str">
        <f>VLOOKUP(W118,'Level Wise PSI'!$F$2:$G$12,2,FALSE)</f>
        <v>Double Lift</v>
      </c>
      <c r="DI118" t="str" cm="1">
        <f t="array" ref="DI118">_xlfn.LET(_xlpm.Coup,IFERROR(IF(BY118="","",IF(K118="Coupler",_xlfn._xlws.FILTER(CCFCoupler,(CCName=SD!$C$8)*(CBSize=IF(A117=A118,W117&amp;W118,BX118&amp;W118))),"")),"N/A"),IF(_xlpm.Coup=0,"",_xlpm.Coup))</f>
        <v/>
      </c>
      <c r="DJ118" t="str" cm="1">
        <f t="array" ref="DJ118">_xlfn.LET(_xlpm.Coup3,IFERROR(IF(CG118="","",IF(K119="Coupler",_xlfn._xlws.FILTER(CCFCoupler,(CCName=SD!$C$8)*(CBSize=IF(A118=A119,W118&amp;W119,""))),"")),"N/A"),IF(_xlpm.Coup3=0,"",_xlpm.Coup3))</f>
        <v/>
      </c>
      <c r="DK118" t="str" cm="1">
        <f t="array" ref="DK118">_xlfn.LET(_xlpm.Coup2,IFERROR(IF(A118&lt;&gt;A119,"",IF(DF118="No Lap","",IF(K119="Coupler",_xlfn._xlws.FILTER(CCFCoupler,(CCName=SD!$C$8)*(CBSize=IF(A117=A118,W118&amp;W119,W118&amp;W118))),""))),"N/A"),IF(_xlpm.Coup2=0,"",_xlpm.Coup2))</f>
        <v/>
      </c>
      <c r="DM118" t="str">
        <f>IF(AM118="Spiral","",IF(SD!$C$31=SD!$Y$3,SD!$E$32*2,""))</f>
        <v/>
      </c>
      <c r="DO118" s="24">
        <f t="shared" si="49"/>
        <v>3</v>
      </c>
      <c r="DQ118" t="str">
        <f t="shared" si="50"/>
        <v>Lig</v>
      </c>
      <c r="DR118" t="str">
        <f>IF(AM118="Spiral",((Y118-(SD!$E$12*2))/12),"")</f>
        <v/>
      </c>
      <c r="DS118" t="str">
        <f t="shared" si="51"/>
        <v/>
      </c>
      <c r="DT118" t="str">
        <f t="shared" si="52"/>
        <v/>
      </c>
      <c r="DU118" t="str">
        <f t="shared" si="53"/>
        <v/>
      </c>
    </row>
    <row r="119" spans="1:125" x14ac:dyDescent="0.25">
      <c r="A119">
        <v>45</v>
      </c>
      <c r="B119" t="s">
        <v>670</v>
      </c>
      <c r="C119" s="15">
        <v>2429</v>
      </c>
      <c r="D119" s="15">
        <v>10000</v>
      </c>
      <c r="E119" t="str">
        <f>IF(B119=Level!$A$2,SD!$C$14,SD!$C$13)</f>
        <v>0-8</v>
      </c>
      <c r="F119" s="15" t="s">
        <v>787</v>
      </c>
      <c r="G119" t="s">
        <v>742</v>
      </c>
      <c r="H119" t="str">
        <f>RIGHT(VLOOKUP(B119,Level!A:C,3,FALSE),LEN(VLOOKUP(B119,Level!A:C,3,FALSE))-1)</f>
        <v>10-7</v>
      </c>
      <c r="I119" t="s">
        <v>743</v>
      </c>
      <c r="J119" t="str">
        <f>IF(AND(SD!$C$19=SD!$H$2,Grade!$G$1="Per level"),VLOOKUP(B119,Grade!$E$1:$F$200,2,FALSE),IF(AND(SD!$C$19=SD!$H$2,Grade!$G$1="Per Bar Size"),VLOOKUP(W119,Grade!$B$1:$C$12,2,0),SD!$C$19))</f>
        <v>A615 Grade 60</v>
      </c>
      <c r="K119" t="s">
        <v>67</v>
      </c>
      <c r="L119" t="str">
        <f>IFERROR(IF(A119&lt;&gt;A120,"",IF(DF119="No Lap","",IF(K120="Lap",U119,IF(K120="Coupler",_xlfn._xlws.FILTER(CCoupler,(CCName=SD!$C$8)*(CBSize=IF(A118=A119,W119&amp;W120,W119&amp;W119))*(CCMFM="Male")),"")))),"N/A")</f>
        <v>5-1</v>
      </c>
      <c r="M119" t="str">
        <f t="shared" si="27"/>
        <v/>
      </c>
      <c r="N119" t="s">
        <v>719</v>
      </c>
      <c r="O119" t="s">
        <v>720</v>
      </c>
      <c r="P119" t="s">
        <v>719</v>
      </c>
      <c r="Q119" t="str">
        <f>IF(AND(SD!$C$29=SD!$P$2,Grade!$O$1="Per level"),VLOOKUP(B119,Grade!$M$1:$N$200,2,FALSE),IF(AND(SD!$C$29=SD!$P$2,Grade!$O$1="Per Bar Size"),VLOOKUP(LEFT(N119,FIND("@",N119)-2),Grade!$J$1:$K$12,2,0),SD!$C$29))</f>
        <v>A615 Grade 60</v>
      </c>
      <c r="R119" t="s">
        <v>742</v>
      </c>
      <c r="S119" s="57">
        <v>119</v>
      </c>
      <c r="U119" t="str">
        <f>IF(Data!$J119="",IFERROR(INDEX(IF(SD!$C$11="Create",Lap!$A$3:$BF$14,IF(SD!$C$11="Per Uploaded File",Lap!$A$19:$BF$30,"")),MATCH(W119,Lap!$A$3:$A$14,0),MATCH(VALUE(D119),Lap!$A$3:$BF$3,0)+IF(IFERROR(FIND("Grade 60",J119),0)&gt;0,0,IF(IFERROR(FIND("Grade 80",J119),0),1,IF(IFERROR(FIND("Grade 75",J119),0),2,"")))),""),Data!J119)</f>
        <v>5-1</v>
      </c>
      <c r="W119" t="s">
        <v>176</v>
      </c>
      <c r="X119">
        <v>6</v>
      </c>
      <c r="Y119" t="str">
        <f t="shared" si="28"/>
        <v>30</v>
      </c>
      <c r="Z119">
        <f t="shared" si="29"/>
        <v>0</v>
      </c>
      <c r="AA119" s="24">
        <f t="shared" si="30"/>
        <v>15.666666666666666</v>
      </c>
      <c r="BB119" t="e" cm="1">
        <f t="array" ref="BB119">_xlfn.LET(_xlpm.PartF,(_xlfn.LET(_xlpm.grade, Q119,_xlpm.gradeRange, IF(_xlpm.grade=SD!$H$3, A615GR60, IF(_xlpm.grade=SD!$H$4, A615GR75, IF(_xlpm.grade=SD!$H$5, A615GR80, IF(_xlpm.grade=SD!$H$6, A615GR100, IF(_xlpm.grade=SD!$H$7, A706GR60, IF(_xlpm.grade=SD!$H$8, A706GR80)))))),_xlpm.matchValue, MATCH(1, (SD!$AW:$AW=AS119)*(SD!$AX:$AX=SD!$C$8), 0),INDEX(_xlpm.gradeRange, _xlpm.matchValue))),IF(AM119="Spiral",CONCATENATE("SP",_xlpm.PartF),_xlpm.PartF))</f>
        <v>#N/A</v>
      </c>
      <c r="BC119" cm="1">
        <f t="array" ref="BC119">_xlfn.LET(_xlpm.leftPart, LEFT(O119, FIND("@", O119) - 2),_xlpm.grade,Q119,_xlpm.gradeRange,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19" cm="1">
        <f t="array" ref="BD119">_xlfn.LET(_xlpm.leftPart, LEFT(P119, FIND("@", P119) - 2),_xlpm.grade, Q119,_xlpm.gradeRange,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19">
        <f t="shared" si="31"/>
        <v>2.5</v>
      </c>
      <c r="BF119">
        <f>IF(SD!$C$32=SD!$I$2,BE119,IF(SD!$C$32=SD!$I$3,DO119,IF(SD!$C$32=SD!$I$5,BA119,IF(SD!$C$32=SD!$I$6,(LEFT(SD!$C$35,FIND("-",SD!$C$35)-1)+RIGHT(SD!$C$35,LEN(SD!$C$35)-FIND("-",SD!$C$35))/12),IF(SD!$C$32=SD!$I$4,(AU119-(BG119+BH119)))))))</f>
        <v>0</v>
      </c>
      <c r="BG119">
        <f>IF(SD!$C$33=SD!$I$2,BE119,IF(SD!$C$33=SD!$I$3,DO119,IF(SD!$C$33=SD!$I$5,BA119,IF(SD!$C$33=SD!$I$6,(LEFT(SD!$C$35,FIND("-",SD!$C$35)-1)+RIGHT(SD!$C$35,LEN(SD!$C$35)-FIND("-",SD!$C$35))/12),IF(SD!$C$33=SD!$I$4,(AU119-(BF119+BH119)))))))</f>
        <v>-1</v>
      </c>
      <c r="BH119">
        <f>IF(SD!$C$34=SD!$I$2,BE119,IF(SD!$C$34=SD!$I$3,DO119,IF(SD!$C$34=SD!$I$5,BA119,IF(SD!$C$34=SD!$I$6,(LEFT(SD!$C$35,FIND("-",SD!$C$35)-1)+RIGHT(SD!$C$35,LEN(SD!$C$35)-FIND("-",SD!$C$35))/12),IF(SD!$C$34=SD!$I$4,(AU119-(BF119+BG119)))))))</f>
        <v>1</v>
      </c>
      <c r="BJ119">
        <f>IF(AM119="Spiral","1",MAX(ROUNDUP(IF(SD!$C$32="",AT119,BF119/(LEFT(RIGHT(N119,LEN(N119)-FIND("@",N119)),LEN(RIGHT(N119,LEN(N119)-FIND("@",N119)))-1)/12)+1),0),0))</f>
        <v>1</v>
      </c>
      <c r="BK119">
        <f>MAX(ROUNDUP(IF(SD!$C$33="","",BG119/(LEFT(RIGHT(O119,LEN(O119)-FIND("@",O119)),LEN(RIGHT(O119,LEN(O119)-FIND("@",O119)))-1)/12)+1),0),0)</f>
        <v>0</v>
      </c>
      <c r="BL119">
        <f>MAX(ROUNDUP(IF(SD!$C$34="","",BH119/(LEFT(RIGHT(P119,LEN(P119)-FIND("@",P119)),LEN(RIGHT(P119,LEN(P119)-FIND("@",P119)))-1)/12)+1),0),0)</f>
        <v>3</v>
      </c>
      <c r="BN119" t="e">
        <f t="shared" si="32"/>
        <v>#N/A</v>
      </c>
      <c r="BO119" t="e">
        <f t="shared" si="33"/>
        <v>#N/A</v>
      </c>
      <c r="BP119" t="e">
        <f t="shared" si="34"/>
        <v>#N/A</v>
      </c>
      <c r="BQ119" s="24" t="e">
        <f>IF(AM119=TRUE,(((Y119-(SD!$E$12*2))*3.14159265359)+BN119+BO119+BP119)/12+AL119,SUM(AF119:AG119,BN119,BO119,BP119,AO119,AQ119)/12)</f>
        <v>#N/A</v>
      </c>
      <c r="BR119" t="e">
        <f t="shared" si="35"/>
        <v>#N/A</v>
      </c>
      <c r="BS119" t="e">
        <f t="shared" si="36"/>
        <v>#N/A</v>
      </c>
      <c r="BT119" t="e">
        <f t="shared" si="37"/>
        <v>#N/A</v>
      </c>
      <c r="BU119" s="24" t="e">
        <f>IF(AM119=TRUE,(((Y119-(SD!$E$12*2))*3.14159265359)+BR119+BS119+BT119)/12+AL119,SUM(AF119:AG119,BR119,BS119,BT119,AO119,AQ119)/12)</f>
        <v>#N/A</v>
      </c>
      <c r="BW119" t="str">
        <f>IFERROR(LEFT(Data!L119,FIND(" -",Data!L119)-1),"")</f>
        <v/>
      </c>
      <c r="BX119" t="str">
        <f>IFERROR(IF(SD!$C$40=SD!$U$2,W119,IF(SD!$C$40=SD!$U$3,RIGHT(Data!L119,LEN(Data!L119)-(FIND("-",Data!L119)+1)),SD!$C$40)),"")</f>
        <v>#10</v>
      </c>
      <c r="BY119" t="str" cm="1">
        <f t="array" ref="BY119">IFERROR(_xlfn.LET(_xlpm.GRR,IF(AND(SD!$C$19=SD!$H$2,Grade!$G$1="Per level"),VLOOKUP(B119,Grade!$E$1:$F$200,2,FALSE),IF(AND(SD!$C$19=SD!$H$2,Grade!$G$1="Per Bar Size"),VLOOKUP(BX119,Grade!$B$1:$C$12,2,0),SD!$C$19)),_xlpm.is_equal, A118=A119,_xlpm.grade_range, IF(_xlpm.GRR=SD!$H$3, A615GR60,IF(_xlpm.GRR=SD!$H$4, A615GR75,IF(_xlpm.GRR=SD!$H$5, A615GR80,IF(_xlpm.GRR=SD!H123, A615GR100,IF(_xlpm.GRR=SD!$H$7, A706GR60,IF(_xlpm.GRR=SD!$H$8, A706GR80)))))),_xlpm.match_result, MATCH(1, (BSize=BX119)*(BCName=SD!$C$8), 0),_xlpm.final_result, INDEX(_xlpm.grade_range, _xlpm.match_result),IF(_xlpm.is_equal, "", _xlpm.final_result)),"")</f>
        <v/>
      </c>
      <c r="BZ119" t="str">
        <f>IF(A118=A119,"",IF(SD!$C$41="Match Vertical Bars ",X119,IF(SD!$C$41=SD!$V$3,BW119,SD!$C$41)))</f>
        <v/>
      </c>
      <c r="CA119" t="str" cm="1">
        <f t="array" ref="CA119">IF(A118=A119,"",IF(SD!$C$44="No T-Head",IF(SD!$C$42=SD!$Q$3,VLOOKUP(BX119,S90Range,3,FALSE),LEFT(SD!$C$42,FIND("-",SD!$C$42)-1)+(RIGHT(SD!$C$42,LEN(SD!$C$42)-FIND("-",SD!$C$42))/12)),IF(SD!$C$44="T-Head",_xlfn._xlws.FILTER(THead,(TCName=SD!$C$8)*(TSize=BX119)),IF(SD!$C$44="Level Wise",_xlfn.LET(_xlpm.result,_xlfn.XLOOKUP(B119,VDLevel,VDLevelStatus,"No"),IF(_xlpm.result="Yes",_xlfn._xlws.FILTER(THead,(TCName=SD!$C$8)*(TSize=BX119)),IF(SD!$C$42=SD!$Q$3,VLOOKUP(BX119,S90Range,3,FALSE),LEFT(SD!$C$42,FIND("-",SD!$C$42)-1)+(RIGHT(SD!$C$42,LEN(SD!$C$42)-FIND("-", SD!$C$42))/12)))),IF(SD!$C$44="BarSize Wise",_xlfn.LET(_xlpm.result,_xlfn.XLOOKUP(BX119,VDBarSize,VDBarSizeStatus,"No"),IF(_xlpm.result="Yes",_xlfn._xlws.FILTER(THead,(TCName=SD!$C$8)*(TSize=BX119)),IF(SD!$C$42=SD!$Q$3,VLOOKUP(BX119,S90Range,3,FALSE),LEFT(SD!$C$42,FIND("-",SD!$C$42)-1)+(RIGHT(SD!$C$42,LEN(SD!$C$42)-FIND("-",SD!$C$42))/12)))), "")))))</f>
        <v/>
      </c>
      <c r="CB119" t="str" cm="1">
        <f t="array" ref="CB119">_xlfn.LET(_xlpm.GRR,IF(AND(SD!$C$19=SD!$H$2,Grade!$G$1="Per level"),VLOOKUP(B119,Grade!$E$1:$F$200,2,FALSE),IF(AND(SD!$C$19=SD!$H$2,Grade!$G$1="Per Bar Size"),VLOOKUP(BX119,Grade!$B$1:$C$12,2,0),SD!$C$19)),_xlpm.is_coupler, K119="Coupler",_xlpm.condition1, SD!$C$43=SD!$W$2,_xlpm.data_j2_empty, Data!$J119="",_xlpm.lookup_table, IF(SD!$C$11="Create", Lap!$A$3:$BF$14, IF(SD!$C$11="Per Uploaded File", Lap!$A$19:$BF$30, "")),_xlpm.row_match, MATCH(BX119, Lap!$A$3:$A$14, 0),_xlpm.grade_offset, IF(IFERROR(FIND("Grade 60",_xlpm.GRR), 0) &gt; 0, 0, IF(IFERROR(FIND("Grade 80",_xlpm.GRR), 0), 1, IF(IFERROR(FIND("Grade 75",_xlpm.GRR), 0), 2, ""))),_xlpm.col_match, MATCH(VALUE(D119), Lap!$A$3:$BF$3, 0) + _xlpm.grade_offset,_xlpm.index_result, IFERROR(INDEX(_xlpm.lookup_table, _xlpm.row_match, _xlpm.col_match), Data!$J119),_xlpm.result_if_condition1, IF(_xlpm.data_j2_empty, _xlpm.index_result, Data!$J119),IF(_xlpm.is_coupler, 0, IF(_xlpm.condition1, _xlpm.result_if_condition1, SD!$C$43)))</f>
        <v>5-1</v>
      </c>
      <c r="CC119" s="24">
        <f t="shared" si="38"/>
        <v>5.083333333333333</v>
      </c>
      <c r="CD119">
        <f t="shared" si="39"/>
        <v>5.75</v>
      </c>
      <c r="CE119" t="str" cm="1">
        <f t="array" ref="CE119">IF(BY119="","",_xlfn._xlws.FILTER(SAC,(CName=SD!$C$8)*(EName="Vert Dowels")))</f>
        <v/>
      </c>
      <c r="CF119" t="str" cm="1">
        <f t="array" ref="CF119">IFERROR(IF(BY119="","",IF(K119="Coupler",_xlfn._xlws.FILTER(CCoupler,(CCName=SD!$C$8)*(CBSize=IF(A118=A119,W118&amp;W119,BX119&amp;W119))*(CCMFM="Male")),"")),"N/A")</f>
        <v/>
      </c>
      <c r="CG119" t="str">
        <f t="shared" si="40"/>
        <v/>
      </c>
      <c r="CH119" t="str">
        <f t="shared" si="41"/>
        <v/>
      </c>
      <c r="CI119" t="str">
        <f>_xlfn.LET(_xlpm.u3_value, U120,_xlpm.hyphen_pos,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K120="Coupler",_xlpm.coupler_value, IF(_xlpm.is_coupler, 0, _xlpm.calculated_value),_xlpm.final_value, _xlpm.calculated_value + SD!$E$13 + _xlpm.coupler_value,IF(CG119="", "", _xlpm.final_value))</f>
        <v/>
      </c>
      <c r="CJ119" t="str" cm="1">
        <f t="array" ref="CJ119">IF(CG119="","",_xlfn._xlws.FILTER(SAC,(CName=SD!$C$8)*(EName="Loose Dowels")))</f>
        <v/>
      </c>
      <c r="CK119" t="str" cm="1">
        <f t="array" ref="CK119">IFERROR(IF(CG119="","",IF(K120="Coupler",_xlfn._xlws.FILTER(CCoupler,(CCName=SD!$C$8)*(CBSize=IF(A119=A120,W119&amp;W120,""))*(CCMFM="Male")),"")),"N/A")</f>
        <v/>
      </c>
      <c r="CL119" t="str">
        <f>IFERROR(IF(AM119="Spiral","",IF(A118=A119,"",IF(SD!$C$37=0,"",SD!$C$37))),"")</f>
        <v/>
      </c>
      <c r="CN119">
        <f>IF(AM119="Spiral","",IFERROR(IF(SD!$C$36=0,"",SD!$C$36),""))</f>
        <v>5</v>
      </c>
      <c r="CP119" t="str">
        <f>IFERROR(IF(SD!$C$42=SD!$Q$3,'Take-off'!CA119,""),"")</f>
        <v/>
      </c>
      <c r="CR119">
        <f>IFERROR(IF(SD!$C$22=SD!$U$2,W119,SD!$C$22),"")</f>
        <v>0</v>
      </c>
      <c r="CS119" t="str" cm="1">
        <f t="array" ref="CS119">_xlfn.LET(_xlpm.GR,IF(AND(SD!$C$19=SD!$H$2,Grade!$G$1="Per level"),VLOOKUP(B119,Grade!$E$1:$F$200,2,FALSE),IF(AND(SD!$C$19=SD!$H$2,Grade!$G$1="Per Bar Size"),VLOOKUP(CR119,Grade!$B$1:$C$12,2,0),SD!$C$19)),IF(SD!$C$20=SD!$R$4,IF(A120=A119,"",INDEX(IF(_xlpm.GR=SD!$H$3,A615GR60,IF(_xlpm.GR=SD!$H$4,A615GR75,IF(_xlpm.GR=SD!$H$5,A615GR80,IF(_xlpm.GR=SD!H123,A615GR100,IF(_xlpm.GR=SD!$H$7,A706GR60,IF(_xlpm.GR=SD!$H$8,A706GR80)))))), MATCH(1, (BSize=CR119)*(BCName=SD!$C$8), 0))),""))</f>
        <v/>
      </c>
      <c r="CT119" t="str">
        <f>IF(A120=A119,"",IF(SD!$C$23="Match Vertical Bars ",X119,SD!$C$23))</f>
        <v/>
      </c>
      <c r="CU119" t="str" cm="1">
        <f t="array" ref="CU119">IF(A120=A119,"",IF(SD!$C$20="Top dowels",IF(SD!$E$25="No T-Head",IF(SD!$C$24=SD!$Q$3,VLOOKUP(CR119,S90Range,3,FALSE),LEFT(SD!$C$24,FIND("-",SD!$C$24)-1)+(RIGHT(SD!$C$24,LEN(SD!$C$24)-FIND("-",SD!$C$24))/12)),IF(SD!$E$25="T-Head",_xlfn._xlws.FILTER(THead,(TCName=SD!$C$8)*(TSize=CR119)),IF(SD!$E$25="Level Wise",_xlfn.LET(_xlpm.result,_xlfn.XLOOKUP(B119,TDLevel,TDLevelStatus,"No"),IF(_xlpm.result="Yes",_xlfn._xlws.FILTER(THead,(TCName=SD!$C$8)*(TSize=CR119)),IF(SD!$C$24=SD!$Q$3,VLOOKUP(CR119,S90Range,3,FALSE),LEFT(SD!$C$24,FIND("-",SD!$C$24)-1)+(RIGHT(SD!$C$24,LEN(SD!$C$24)-FIND("-", SD!$C$24))/12)))),IF(SD!$E$25="BarSize Wise",_xlfn.LET(_xlpm.result,_xlfn.XLOOKUP(CR119,TDBarSize,TDBarSizeStatus,"No"),IF(_xlpm.result="Yes",_xlfn._xlws.FILTER(THead,(TCName=SD!$C$8)*(TSize=CR119)),IF(SD!$C$24=SD!$Q$3,VLOOKUP(CR119,S90Range,3,FALSE),LEFT(SD!$C$24,FIND("-",SD!$C$24)-1)+(RIGHT(SD!$C$24,LEN(SD!$C$24)-FIND("-",SD!$C$24))/12)))), "")))),""))</f>
        <v/>
      </c>
      <c r="CV119" t="str">
        <f>_xlfn.LET(_xlpm.GRR,IF(AND(SD!$C$19=SD!$H$2,Grade!$G$1="Per level"),VLOOKUP(B119,Grade!$E$1:$F$200,2,FALSE),IF(AND(SD!$C$19=SD!$H$2,Grade!$G$1="Per Bar Size"),VLOOKUP(CR119,Grade!$B$1:$C$12,2,0),SD!$C$19)),IF(SD!$C$25=SD!$W$2,IF(Data!$J119="",IFERROR(INDEX(IF(SD!$C$11="Create",Lap!$A$3:$BF$14,IF(SD!$C$11="Per Uploaded File",Lap!$A$19:$BF$30,"")),MATCH(CR119,Lap!$A$3:$A$14,0),MATCH(VALUE(D119),Lap!$A$3:$BF$3,0)+IF(IFERROR(FIND("Grade 60",_xlpm.GRR),0)&gt;0,0,IF(IFERROR(FIND("Grade 80",_xlpm.GRR),0),1,IF(IFERROR(FIND("Grade 75",_xlpm.GRR),0),2,"")))),""),Data!J119),SD!$C$43))</f>
        <v>Match Lap</v>
      </c>
      <c r="CW119">
        <f t="shared" si="42"/>
        <v>0</v>
      </c>
      <c r="CX119">
        <f t="shared" si="43"/>
        <v>0</v>
      </c>
      <c r="CY119" t="str">
        <f t="shared" si="44"/>
        <v/>
      </c>
      <c r="DA119" t="str">
        <f t="shared" si="45"/>
        <v/>
      </c>
      <c r="DB119" t="str">
        <f t="shared" si="46"/>
        <v/>
      </c>
      <c r="DC119" s="24" t="str">
        <f t="shared" si="47"/>
        <v/>
      </c>
      <c r="DD119">
        <f t="shared" si="48"/>
        <v>10.583333333333334</v>
      </c>
      <c r="DE119" t="s">
        <v>785</v>
      </c>
      <c r="DF119" t="s">
        <v>67</v>
      </c>
      <c r="DG119" t="str">
        <f>VLOOKUP(W119,'Level Wise PSI'!$F$2:$G$12,2,FALSE)</f>
        <v>Double Lift</v>
      </c>
      <c r="DI119" t="str" cm="1">
        <f t="array" ref="DI119">_xlfn.LET(_xlpm.Coup,IFERROR(IF(BY119="","",IF(K119="Coupler",_xlfn._xlws.FILTER(CCFCoupler,(CCName=SD!$C$8)*(CBSize=IF(A118=A119,W118&amp;W119,BX119&amp;W119))),"")),"N/A"),IF(_xlpm.Coup=0,"",_xlpm.Coup))</f>
        <v/>
      </c>
      <c r="DJ119" t="str" cm="1">
        <f t="array" ref="DJ119">_xlfn.LET(_xlpm.Coup3,IFERROR(IF(CG119="","",IF(K120="Coupler",_xlfn._xlws.FILTER(CCFCoupler,(CCName=SD!$C$8)*(CBSize=IF(A119=A120,W119&amp;W120,""))),"")),"N/A"),IF(_xlpm.Coup3=0,"",_xlpm.Coup3))</f>
        <v/>
      </c>
      <c r="DK119" t="str" cm="1">
        <f t="array" ref="DK119">_xlfn.LET(_xlpm.Coup2,IFERROR(IF(A119&lt;&gt;A120,"",IF(DF119="No Lap","",IF(K120="Coupler",_xlfn._xlws.FILTER(CCFCoupler,(CCName=SD!$C$8)*(CBSize=IF(A118=A119,W119&amp;W120,W119&amp;W119))),""))),"N/A"),IF(_xlpm.Coup2=0,"",_xlpm.Coup2))</f>
        <v/>
      </c>
      <c r="DM119" t="str">
        <f>IF(AM119="Spiral","",IF(SD!$C$31=SD!$Y$3,SD!$E$32*2,""))</f>
        <v/>
      </c>
      <c r="DO119" s="24">
        <f t="shared" si="49"/>
        <v>2.5</v>
      </c>
      <c r="DQ119" t="str">
        <f t="shared" si="50"/>
        <v>Lig</v>
      </c>
      <c r="DR119" t="str">
        <f>IF(AM119="Spiral",((Y119-(SD!$E$12*2))/12),"")</f>
        <v/>
      </c>
      <c r="DS119" t="str">
        <f t="shared" si="51"/>
        <v/>
      </c>
      <c r="DT119" t="str">
        <f t="shared" si="52"/>
        <v/>
      </c>
      <c r="DU119" t="str">
        <f t="shared" si="53"/>
        <v/>
      </c>
    </row>
    <row r="120" spans="1:125" x14ac:dyDescent="0.25">
      <c r="A120">
        <v>45</v>
      </c>
      <c r="B120" t="s">
        <v>672</v>
      </c>
      <c r="C120" s="15">
        <v>2429</v>
      </c>
      <c r="D120" s="15">
        <v>10000</v>
      </c>
      <c r="E120" t="str">
        <f>IF(B120=Level!$A$2,SD!$C$14,SD!$C$13)</f>
        <v>0-8</v>
      </c>
      <c r="F120" s="15" t="s">
        <v>787</v>
      </c>
      <c r="G120" t="s">
        <v>742</v>
      </c>
      <c r="H120" t="str">
        <f>RIGHT(VLOOKUP(B120,Level!A:C,3,FALSE),LEN(VLOOKUP(B120,Level!A:C,3,FALSE))-1)</f>
        <v>10-7</v>
      </c>
      <c r="I120" t="s">
        <v>743</v>
      </c>
      <c r="J120" t="str">
        <f>IF(AND(SD!$C$19=SD!$H$2,Grade!$G$1="Per level"),VLOOKUP(B120,Grade!$E$1:$F$200,2,FALSE),IF(AND(SD!$C$19=SD!$H$2,Grade!$G$1="Per Bar Size"),VLOOKUP(W120,Grade!$B$1:$C$12,2,0),SD!$C$19))</f>
        <v>A615 Grade 60</v>
      </c>
      <c r="K120" t="s">
        <v>67</v>
      </c>
      <c r="L120" t="str">
        <f>IFERROR(IF(A120&lt;&gt;A121,"",IF(DF120="No Lap","",IF(K121="Lap",U120,IF(K121="Coupler",_xlfn._xlws.FILTER(CCoupler,(CCName=SD!$C$8)*(CBSize=IF(A119=A120,W120&amp;W121,W120&amp;W120))*(CCMFM="Male")),"")))),"N/A")</f>
        <v>5-1</v>
      </c>
      <c r="M120" t="str">
        <f t="shared" si="27"/>
        <v/>
      </c>
      <c r="N120" t="s">
        <v>719</v>
      </c>
      <c r="O120" t="s">
        <v>720</v>
      </c>
      <c r="P120" t="s">
        <v>719</v>
      </c>
      <c r="Q120" t="str">
        <f>IF(AND(SD!$C$29=SD!$P$2,Grade!$O$1="Per level"),VLOOKUP(B120,Grade!$M$1:$N$200,2,FALSE),IF(AND(SD!$C$29=SD!$P$2,Grade!$O$1="Per Bar Size"),VLOOKUP(LEFT(N120,FIND("@",N120)-2),Grade!$J$1:$K$12,2,0),SD!$C$29))</f>
        <v>A615 Grade 60</v>
      </c>
      <c r="R120" t="s">
        <v>742</v>
      </c>
      <c r="S120" s="57">
        <v>120</v>
      </c>
      <c r="U120" t="str">
        <f>IF(Data!$J120="",IFERROR(INDEX(IF(SD!$C$11="Create",Lap!$A$3:$BF$14,IF(SD!$C$11="Per Uploaded File",Lap!$A$19:$BF$30,"")),MATCH(W120,Lap!$A$3:$A$14,0),MATCH(VALUE(D120),Lap!$A$3:$BF$3,0)+IF(IFERROR(FIND("Grade 60",J120),0)&gt;0,0,IF(IFERROR(FIND("Grade 80",J120),0),1,IF(IFERROR(FIND("Grade 75",J120),0),2,"")))),""),Data!J120)</f>
        <v>5-1</v>
      </c>
      <c r="W120" t="s">
        <v>176</v>
      </c>
      <c r="X120">
        <v>6</v>
      </c>
      <c r="Y120" t="str">
        <f t="shared" si="28"/>
        <v>30</v>
      </c>
      <c r="Z120">
        <f t="shared" si="29"/>
        <v>0</v>
      </c>
      <c r="AA120" s="24">
        <f t="shared" si="30"/>
        <v>15.666666666666666</v>
      </c>
      <c r="BB120" t="e" cm="1">
        <f t="array" ref="BB120">_xlfn.LET(_xlpm.PartF,(_xlfn.LET(_xlpm.grade, Q120,_xlpm.gradeRange, IF(_xlpm.grade=SD!$H$3, A615GR60, IF(_xlpm.grade=SD!$H$4, A615GR75, IF(_xlpm.grade=SD!$H$5, A615GR80, IF(_xlpm.grade=SD!$H$6, A615GR100, IF(_xlpm.grade=SD!$H$7, A706GR60, IF(_xlpm.grade=SD!$H$8, A706GR80)))))),_xlpm.matchValue, MATCH(1, (SD!$AW:$AW=AS120)*(SD!$AX:$AX=SD!$C$8), 0),INDEX(_xlpm.gradeRange, _xlpm.matchValue))),IF(AM120="Spiral",CONCATENATE("SP",_xlpm.PartF),_xlpm.PartF))</f>
        <v>#N/A</v>
      </c>
      <c r="BC120" cm="1">
        <f t="array" ref="BC120">_xlfn.LET(_xlpm.leftPart, LEFT(O120, FIND("@", O120) - 2),_xlpm.grade,Q120,_xlpm.gradeRange,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0" cm="1">
        <f t="array" ref="BD120">_xlfn.LET(_xlpm.leftPart, LEFT(P120, FIND("@", P120) - 2),_xlpm.grade, Q120,_xlpm.gradeRange,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0">
        <f t="shared" si="31"/>
        <v>2.5</v>
      </c>
      <c r="BF120">
        <f>IF(SD!$C$32=SD!$I$2,BE120,IF(SD!$C$32=SD!$I$3,DO120,IF(SD!$C$32=SD!$I$5,BA120,IF(SD!$C$32=SD!$I$6,(LEFT(SD!$C$35,FIND("-",SD!$C$35)-1)+RIGHT(SD!$C$35,LEN(SD!$C$35)-FIND("-",SD!$C$35))/12),IF(SD!$C$32=SD!$I$4,(AU120-(BG120+BH120)))))))</f>
        <v>0</v>
      </c>
      <c r="BG120">
        <f>IF(SD!$C$33=SD!$I$2,BE120,IF(SD!$C$33=SD!$I$3,DO120,IF(SD!$C$33=SD!$I$5,BA120,IF(SD!$C$33=SD!$I$6,(LEFT(SD!$C$35,FIND("-",SD!$C$35)-1)+RIGHT(SD!$C$35,LEN(SD!$C$35)-FIND("-",SD!$C$35))/12),IF(SD!$C$33=SD!$I$4,(AU120-(BF120+BH120)))))))</f>
        <v>-1</v>
      </c>
      <c r="BH120">
        <f>IF(SD!$C$34=SD!$I$2,BE120,IF(SD!$C$34=SD!$I$3,DO120,IF(SD!$C$34=SD!$I$5,BA120,IF(SD!$C$34=SD!$I$6,(LEFT(SD!$C$35,FIND("-",SD!$C$35)-1)+RIGHT(SD!$C$35,LEN(SD!$C$35)-FIND("-",SD!$C$35))/12),IF(SD!$C$34=SD!$I$4,(AU120-(BF120+BG120)))))))</f>
        <v>1</v>
      </c>
      <c r="BJ120">
        <f>IF(AM120="Spiral","1",MAX(ROUNDUP(IF(SD!$C$32="",AT120,BF120/(LEFT(RIGHT(N120,LEN(N120)-FIND("@",N120)),LEN(RIGHT(N120,LEN(N120)-FIND("@",N120)))-1)/12)+1),0),0))</f>
        <v>1</v>
      </c>
      <c r="BK120">
        <f>MAX(ROUNDUP(IF(SD!$C$33="","",BG120/(LEFT(RIGHT(O120,LEN(O120)-FIND("@",O120)),LEN(RIGHT(O120,LEN(O120)-FIND("@",O120)))-1)/12)+1),0),0)</f>
        <v>0</v>
      </c>
      <c r="BL120">
        <f>MAX(ROUNDUP(IF(SD!$C$34="","",BH120/(LEFT(RIGHT(P120,LEN(P120)-FIND("@",P120)),LEN(RIGHT(P120,LEN(P120)-FIND("@",P120)))-1)/12)+1),0),0)</f>
        <v>3</v>
      </c>
      <c r="BN120" t="e">
        <f t="shared" si="32"/>
        <v>#N/A</v>
      </c>
      <c r="BO120" t="e">
        <f t="shared" si="33"/>
        <v>#N/A</v>
      </c>
      <c r="BP120" t="e">
        <f t="shared" si="34"/>
        <v>#N/A</v>
      </c>
      <c r="BQ120" s="24" t="e">
        <f>IF(AM120=TRUE,(((Y120-(SD!$E$12*2))*3.14159265359)+BN120+BO120+BP120)/12+AL120,SUM(AF120:AG120,BN120,BO120,BP120,AO120,AQ120)/12)</f>
        <v>#N/A</v>
      </c>
      <c r="BR120" t="e">
        <f t="shared" si="35"/>
        <v>#N/A</v>
      </c>
      <c r="BS120" t="e">
        <f t="shared" si="36"/>
        <v>#N/A</v>
      </c>
      <c r="BT120" t="e">
        <f t="shared" si="37"/>
        <v>#N/A</v>
      </c>
      <c r="BU120" s="24" t="e">
        <f>IF(AM120=TRUE,(((Y120-(SD!$E$12*2))*3.14159265359)+BR120+BS120+BT120)/12+AL120,SUM(AF120:AG120,BR120,BS120,BT120,AO120,AQ120)/12)</f>
        <v>#N/A</v>
      </c>
      <c r="BW120" t="str">
        <f>IFERROR(LEFT(Data!L120,FIND(" -",Data!L120)-1),"")</f>
        <v/>
      </c>
      <c r="BX120" t="str">
        <f>IFERROR(IF(SD!$C$40=SD!$U$2,W120,IF(SD!$C$40=SD!$U$3,RIGHT(Data!L120,LEN(Data!L120)-(FIND("-",Data!L120)+1)),SD!$C$40)),"")</f>
        <v>#10</v>
      </c>
      <c r="BY120" t="str" cm="1">
        <f t="array" ref="BY120">IFERROR(_xlfn.LET(_xlpm.GRR,IF(AND(SD!$C$19=SD!$H$2,Grade!$G$1="Per level"),VLOOKUP(B120,Grade!$E$1:$F$200,2,FALSE),IF(AND(SD!$C$19=SD!$H$2,Grade!$G$1="Per Bar Size"),VLOOKUP(BX120,Grade!$B$1:$C$12,2,0),SD!$C$19)),_xlpm.is_equal, A119=A120,_xlpm.grade_range, IF(_xlpm.GRR=SD!$H$3, A615GR60,IF(_xlpm.GRR=SD!$H$4, A615GR75,IF(_xlpm.GRR=SD!$H$5, A615GR80,IF(_xlpm.GRR=SD!H124, A615GR100,IF(_xlpm.GRR=SD!$H$7, A706GR60,IF(_xlpm.GRR=SD!$H$8, A706GR80)))))),_xlpm.match_result, MATCH(1, (BSize=BX120)*(BCName=SD!$C$8), 0),_xlpm.final_result, INDEX(_xlpm.grade_range, _xlpm.match_result),IF(_xlpm.is_equal, "", _xlpm.final_result)),"")</f>
        <v/>
      </c>
      <c r="BZ120" t="str">
        <f>IF(A119=A120,"",IF(SD!$C$41="Match Vertical Bars ",X120,IF(SD!$C$41=SD!$V$3,BW120,SD!$C$41)))</f>
        <v/>
      </c>
      <c r="CA120" t="str" cm="1">
        <f t="array" ref="CA120">IF(A119=A120,"",IF(SD!$C$44="No T-Head",IF(SD!$C$42=SD!$Q$3,VLOOKUP(BX120,S90Range,3,FALSE),LEFT(SD!$C$42,FIND("-",SD!$C$42)-1)+(RIGHT(SD!$C$42,LEN(SD!$C$42)-FIND("-",SD!$C$42))/12)),IF(SD!$C$44="T-Head",_xlfn._xlws.FILTER(THead,(TCName=SD!$C$8)*(TSize=BX120)),IF(SD!$C$44="Level Wise",_xlfn.LET(_xlpm.result,_xlfn.XLOOKUP(B120,VDLevel,VDLevelStatus,"No"),IF(_xlpm.result="Yes",_xlfn._xlws.FILTER(THead,(TCName=SD!$C$8)*(TSize=BX120)),IF(SD!$C$42=SD!$Q$3,VLOOKUP(BX120,S90Range,3,FALSE),LEFT(SD!$C$42,FIND("-",SD!$C$42)-1)+(RIGHT(SD!$C$42,LEN(SD!$C$42)-FIND("-", SD!$C$42))/12)))),IF(SD!$C$44="BarSize Wise",_xlfn.LET(_xlpm.result,_xlfn.XLOOKUP(BX120,VDBarSize,VDBarSizeStatus,"No"),IF(_xlpm.result="Yes",_xlfn._xlws.FILTER(THead,(TCName=SD!$C$8)*(TSize=BX120)),IF(SD!$C$42=SD!$Q$3,VLOOKUP(BX120,S90Range,3,FALSE),LEFT(SD!$C$42,FIND("-",SD!$C$42)-1)+(RIGHT(SD!$C$42,LEN(SD!$C$42)-FIND("-",SD!$C$42))/12)))), "")))))</f>
        <v/>
      </c>
      <c r="CB120" t="str" cm="1">
        <f t="array" ref="CB120">_xlfn.LET(_xlpm.GRR,IF(AND(SD!$C$19=SD!$H$2,Grade!$G$1="Per level"),VLOOKUP(B120,Grade!$E$1:$F$200,2,FALSE),IF(AND(SD!$C$19=SD!$H$2,Grade!$G$1="Per Bar Size"),VLOOKUP(BX120,Grade!$B$1:$C$12,2,0),SD!$C$19)),_xlpm.is_coupler, K120="Coupler",_xlpm.condition1, SD!$C$43=SD!$W$2,_xlpm.data_j2_empty, Data!$J120="",_xlpm.lookup_table, IF(SD!$C$11="Create", Lap!$A$3:$BF$14, IF(SD!$C$11="Per Uploaded File", Lap!$A$19:$BF$30, "")),_xlpm.row_match, MATCH(BX120, Lap!$A$3:$A$14, 0),_xlpm.grade_offset, IF(IFERROR(FIND("Grade 60",_xlpm.GRR), 0) &gt; 0, 0, IF(IFERROR(FIND("Grade 80",_xlpm.GRR), 0), 1, IF(IFERROR(FIND("Grade 75",_xlpm.GRR), 0), 2, ""))),_xlpm.col_match, MATCH(VALUE(D120), Lap!$A$3:$BF$3, 0) + _xlpm.grade_offset,_xlpm.index_result, IFERROR(INDEX(_xlpm.lookup_table, _xlpm.row_match, _xlpm.col_match), Data!$J120),_xlpm.result_if_condition1, IF(_xlpm.data_j2_empty, _xlpm.index_result, Data!$J120),IF(_xlpm.is_coupler, 0, IF(_xlpm.condition1, _xlpm.result_if_condition1, SD!$C$43)))</f>
        <v>5-1</v>
      </c>
      <c r="CC120" s="24">
        <f t="shared" si="38"/>
        <v>5.083333333333333</v>
      </c>
      <c r="CD120">
        <f t="shared" si="39"/>
        <v>5.75</v>
      </c>
      <c r="CE120" t="str" cm="1">
        <f t="array" ref="CE120">IF(BY120="","",_xlfn._xlws.FILTER(SAC,(CName=SD!$C$8)*(EName="Vert Dowels")))</f>
        <v/>
      </c>
      <c r="CF120" t="str" cm="1">
        <f t="array" ref="CF120">IFERROR(IF(BY120="","",IF(K120="Coupler",_xlfn._xlws.FILTER(CCoupler,(CCName=SD!$C$8)*(CBSize=IF(A119=A120,W119&amp;W120,BX120&amp;W120))*(CCMFM="Male")),"")),"N/A")</f>
        <v/>
      </c>
      <c r="CG120" t="str">
        <f t="shared" si="40"/>
        <v/>
      </c>
      <c r="CH120" t="str">
        <f t="shared" si="41"/>
        <v/>
      </c>
      <c r="CI120" t="str">
        <f>_xlfn.LET(_xlpm.u3_value, U121,_xlpm.hyphen_pos,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K121="Coupler",_xlpm.coupler_value, IF(_xlpm.is_coupler, 0, _xlpm.calculated_value),_xlpm.final_value, _xlpm.calculated_value + SD!$E$13 + _xlpm.coupler_value,IF(CG120="", "", _xlpm.final_value))</f>
        <v/>
      </c>
      <c r="CJ120" t="str" cm="1">
        <f t="array" ref="CJ120">IF(CG120="","",_xlfn._xlws.FILTER(SAC,(CName=SD!$C$8)*(EName="Loose Dowels")))</f>
        <v/>
      </c>
      <c r="CK120" t="str" cm="1">
        <f t="array" ref="CK120">IFERROR(IF(CG120="","",IF(K121="Coupler",_xlfn._xlws.FILTER(CCoupler,(CCName=SD!$C$8)*(CBSize=IF(A120=A121,W120&amp;W121,""))*(CCMFM="Male")),"")),"N/A")</f>
        <v/>
      </c>
      <c r="CL120" t="str">
        <f>IFERROR(IF(AM120="Spiral","",IF(A119=A120,"",IF(SD!$C$37=0,"",SD!$C$37))),"")</f>
        <v/>
      </c>
      <c r="CN120">
        <f>IF(AM120="Spiral","",IFERROR(IF(SD!$C$36=0,"",SD!$C$36),""))</f>
        <v>5</v>
      </c>
      <c r="CP120" t="str">
        <f>IFERROR(IF(SD!$C$42=SD!$Q$3,'Take-off'!CA120,""),"")</f>
        <v/>
      </c>
      <c r="CR120">
        <f>IFERROR(IF(SD!$C$22=SD!$U$2,W120,SD!$C$22),"")</f>
        <v>0</v>
      </c>
      <c r="CS120" t="str" cm="1">
        <f t="array" ref="CS120">_xlfn.LET(_xlpm.GR,IF(AND(SD!$C$19=SD!$H$2,Grade!$G$1="Per level"),VLOOKUP(B120,Grade!$E$1:$F$200,2,FALSE),IF(AND(SD!$C$19=SD!$H$2,Grade!$G$1="Per Bar Size"),VLOOKUP(CR120,Grade!$B$1:$C$12,2,0),SD!$C$19)),IF(SD!$C$20=SD!$R$4,IF(A121=A120,"",INDEX(IF(_xlpm.GR=SD!$H$3,A615GR60,IF(_xlpm.GR=SD!$H$4,A615GR75,IF(_xlpm.GR=SD!$H$5,A615GR80,IF(_xlpm.GR=SD!H124,A615GR100,IF(_xlpm.GR=SD!$H$7,A706GR60,IF(_xlpm.GR=SD!$H$8,A706GR80)))))), MATCH(1, (BSize=CR120)*(BCName=SD!$C$8), 0))),""))</f>
        <v/>
      </c>
      <c r="CT120" t="str">
        <f>IF(A121=A120,"",IF(SD!$C$23="Match Vertical Bars ",X120,SD!$C$23))</f>
        <v/>
      </c>
      <c r="CU120" t="str" cm="1">
        <f t="array" ref="CU120">IF(A121=A120,"",IF(SD!$C$20="Top dowels",IF(SD!$E$25="No T-Head",IF(SD!$C$24=SD!$Q$3,VLOOKUP(CR120,S90Range,3,FALSE),LEFT(SD!$C$24,FIND("-",SD!$C$24)-1)+(RIGHT(SD!$C$24,LEN(SD!$C$24)-FIND("-",SD!$C$24))/12)),IF(SD!$E$25="T-Head",_xlfn._xlws.FILTER(THead,(TCName=SD!$C$8)*(TSize=CR120)),IF(SD!$E$25="Level Wise",_xlfn.LET(_xlpm.result,_xlfn.XLOOKUP(B120,TDLevel,TDLevelStatus,"No"),IF(_xlpm.result="Yes",_xlfn._xlws.FILTER(THead,(TCName=SD!$C$8)*(TSize=CR120)),IF(SD!$C$24=SD!$Q$3,VLOOKUP(CR120,S90Range,3,FALSE),LEFT(SD!$C$24,FIND("-",SD!$C$24)-1)+(RIGHT(SD!$C$24,LEN(SD!$C$24)-FIND("-", SD!$C$24))/12)))),IF(SD!$E$25="BarSize Wise",_xlfn.LET(_xlpm.result,_xlfn.XLOOKUP(CR120,TDBarSize,TDBarSizeStatus,"No"),IF(_xlpm.result="Yes",_xlfn._xlws.FILTER(THead,(TCName=SD!$C$8)*(TSize=CR120)),IF(SD!$C$24=SD!$Q$3,VLOOKUP(CR120,S90Range,3,FALSE),LEFT(SD!$C$24,FIND("-",SD!$C$24)-1)+(RIGHT(SD!$C$24,LEN(SD!$C$24)-FIND("-",SD!$C$24))/12)))), "")))),""))</f>
        <v/>
      </c>
      <c r="CV120" t="str">
        <f>_xlfn.LET(_xlpm.GRR,IF(AND(SD!$C$19=SD!$H$2,Grade!$G$1="Per level"),VLOOKUP(B120,Grade!$E$1:$F$200,2,FALSE),IF(AND(SD!$C$19=SD!$H$2,Grade!$G$1="Per Bar Size"),VLOOKUP(CR120,Grade!$B$1:$C$12,2,0),SD!$C$19)),IF(SD!$C$25=SD!$W$2,IF(Data!$J120="",IFERROR(INDEX(IF(SD!$C$11="Create",Lap!$A$3:$BF$14,IF(SD!$C$11="Per Uploaded File",Lap!$A$19:$BF$30,"")),MATCH(CR120,Lap!$A$3:$A$14,0),MATCH(VALUE(D120),Lap!$A$3:$BF$3,0)+IF(IFERROR(FIND("Grade 60",_xlpm.GRR),0)&gt;0,0,IF(IFERROR(FIND("Grade 80",_xlpm.GRR),0),1,IF(IFERROR(FIND("Grade 75",_xlpm.GRR),0),2,"")))),""),Data!J120),SD!$C$43))</f>
        <v>Match Lap</v>
      </c>
      <c r="CW120">
        <f t="shared" si="42"/>
        <v>0</v>
      </c>
      <c r="CX120">
        <f t="shared" si="43"/>
        <v>0</v>
      </c>
      <c r="CY120" t="str">
        <f t="shared" si="44"/>
        <v/>
      </c>
      <c r="DA120" t="str">
        <f t="shared" si="45"/>
        <v/>
      </c>
      <c r="DB120" t="str">
        <f t="shared" si="46"/>
        <v/>
      </c>
      <c r="DC120" s="24" t="str">
        <f t="shared" si="47"/>
        <v/>
      </c>
      <c r="DD120">
        <f t="shared" si="48"/>
        <v>10.583333333333334</v>
      </c>
      <c r="DE120" t="s">
        <v>785</v>
      </c>
      <c r="DF120" t="s">
        <v>67</v>
      </c>
      <c r="DG120" t="str">
        <f>VLOOKUP(W120,'Level Wise PSI'!$F$2:$G$12,2,FALSE)</f>
        <v>Double Lift</v>
      </c>
      <c r="DI120" t="str" cm="1">
        <f t="array" ref="DI120">_xlfn.LET(_xlpm.Coup,IFERROR(IF(BY120="","",IF(K120="Coupler",_xlfn._xlws.FILTER(CCFCoupler,(CCName=SD!$C$8)*(CBSize=IF(A119=A120,W119&amp;W120,BX120&amp;W120))),"")),"N/A"),IF(_xlpm.Coup=0,"",_xlpm.Coup))</f>
        <v/>
      </c>
      <c r="DJ120" t="str" cm="1">
        <f t="array" ref="DJ120">_xlfn.LET(_xlpm.Coup3,IFERROR(IF(CG120="","",IF(K121="Coupler",_xlfn._xlws.FILTER(CCFCoupler,(CCName=SD!$C$8)*(CBSize=IF(A120=A121,W120&amp;W121,""))),"")),"N/A"),IF(_xlpm.Coup3=0,"",_xlpm.Coup3))</f>
        <v/>
      </c>
      <c r="DK120" t="str" cm="1">
        <f t="array" ref="DK120">_xlfn.LET(_xlpm.Coup2,IFERROR(IF(A120&lt;&gt;A121,"",IF(DF120="No Lap","",IF(K121="Coupler",_xlfn._xlws.FILTER(CCFCoupler,(CCName=SD!$C$8)*(CBSize=IF(A119=A120,W120&amp;W121,W120&amp;W120))),""))),"N/A"),IF(_xlpm.Coup2=0,"",_xlpm.Coup2))</f>
        <v/>
      </c>
      <c r="DM120" t="str">
        <f>IF(AM120="Spiral","",IF(SD!$C$31=SD!$Y$3,SD!$E$32*2,""))</f>
        <v/>
      </c>
      <c r="DO120" s="24">
        <f t="shared" si="49"/>
        <v>2.5</v>
      </c>
      <c r="DQ120" t="str">
        <f t="shared" si="50"/>
        <v>Lig</v>
      </c>
      <c r="DR120" t="str">
        <f>IF(AM120="Spiral",((Y120-(SD!$E$12*2))/12),"")</f>
        <v/>
      </c>
      <c r="DS120" t="str">
        <f t="shared" si="51"/>
        <v/>
      </c>
      <c r="DT120" t="str">
        <f t="shared" si="52"/>
        <v/>
      </c>
      <c r="DU120" t="str">
        <f t="shared" si="53"/>
        <v/>
      </c>
    </row>
    <row r="121" spans="1:125" x14ac:dyDescent="0.25">
      <c r="A121">
        <v>45</v>
      </c>
      <c r="B121" t="s">
        <v>674</v>
      </c>
      <c r="C121" s="15">
        <v>2429</v>
      </c>
      <c r="D121" s="15">
        <v>10000</v>
      </c>
      <c r="E121" t="str">
        <f>IF(B121=Level!$A$2,SD!$C$14,SD!$C$13)</f>
        <v>0-8</v>
      </c>
      <c r="F121" s="15" t="s">
        <v>787</v>
      </c>
      <c r="G121" t="s">
        <v>742</v>
      </c>
      <c r="H121" t="str">
        <f>RIGHT(VLOOKUP(B121,Level!A:C,3,FALSE),LEN(VLOOKUP(B121,Level!A:C,3,FALSE))-1)</f>
        <v>10-7</v>
      </c>
      <c r="I121" t="s">
        <v>743</v>
      </c>
      <c r="J121" t="str">
        <f>IF(AND(SD!$C$19=SD!$H$2,Grade!$G$1="Per level"),VLOOKUP(B121,Grade!$E$1:$F$200,2,FALSE),IF(AND(SD!$C$19=SD!$H$2,Grade!$G$1="Per Bar Size"),VLOOKUP(W121,Grade!$B$1:$C$12,2,0),SD!$C$19))</f>
        <v>A615 Grade 60</v>
      </c>
      <c r="K121" t="s">
        <v>67</v>
      </c>
      <c r="L121" t="str">
        <f>IFERROR(IF(A121&lt;&gt;A122,"",IF(DF121="No Lap","",IF(K122="Lap",U121,IF(K122="Coupler",_xlfn._xlws.FILTER(CCoupler,(CCName=SD!$C$8)*(CBSize=IF(A120=A121,W121&amp;W122,W121&amp;W121))*(CCMFM="Male")),"")))),"N/A")</f>
        <v>5-1</v>
      </c>
      <c r="M121" t="str">
        <f t="shared" si="27"/>
        <v/>
      </c>
      <c r="N121" t="s">
        <v>719</v>
      </c>
      <c r="O121" t="s">
        <v>720</v>
      </c>
      <c r="P121" t="s">
        <v>719</v>
      </c>
      <c r="Q121" t="str">
        <f>IF(AND(SD!$C$29=SD!$P$2,Grade!$O$1="Per level"),VLOOKUP(B121,Grade!$M$1:$N$200,2,FALSE),IF(AND(SD!$C$29=SD!$P$2,Grade!$O$1="Per Bar Size"),VLOOKUP(LEFT(N121,FIND("@",N121)-2),Grade!$J$1:$K$12,2,0),SD!$C$29))</f>
        <v>A615 Grade 60</v>
      </c>
      <c r="R121" t="s">
        <v>742</v>
      </c>
      <c r="S121" s="57">
        <v>121</v>
      </c>
      <c r="U121" t="str">
        <f>IF(Data!$J121="",IFERROR(INDEX(IF(SD!$C$11="Create",Lap!$A$3:$BF$14,IF(SD!$C$11="Per Uploaded File",Lap!$A$19:$BF$30,"")),MATCH(W121,Lap!$A$3:$A$14,0),MATCH(VALUE(D121),Lap!$A$3:$BF$3,0)+IF(IFERROR(FIND("Grade 60",J121),0)&gt;0,0,IF(IFERROR(FIND("Grade 80",J121),0),1,IF(IFERROR(FIND("Grade 75",J121),0),2,"")))),""),Data!J121)</f>
        <v>5-1</v>
      </c>
      <c r="W121" t="s">
        <v>176</v>
      </c>
      <c r="X121">
        <v>6</v>
      </c>
      <c r="Y121" t="str">
        <f t="shared" si="28"/>
        <v>30</v>
      </c>
      <c r="Z121">
        <f t="shared" si="29"/>
        <v>0</v>
      </c>
      <c r="AA121" s="24">
        <f t="shared" si="30"/>
        <v>15.666666666666666</v>
      </c>
      <c r="BB121" t="e" cm="1">
        <f t="array" ref="BB121">_xlfn.LET(_xlpm.PartF,(_xlfn.LET(_xlpm.grade, Q121,_xlpm.gradeRange, IF(_xlpm.grade=SD!$H$3, A615GR60, IF(_xlpm.grade=SD!$H$4, A615GR75, IF(_xlpm.grade=SD!$H$5, A615GR80, IF(_xlpm.grade=SD!$H$6, A615GR100, IF(_xlpm.grade=SD!$H$7, A706GR60, IF(_xlpm.grade=SD!$H$8, A706GR80)))))),_xlpm.matchValue, MATCH(1, (SD!$AW:$AW=AS121)*(SD!$AX:$AX=SD!$C$8), 0),INDEX(_xlpm.gradeRange, _xlpm.matchValue))),IF(AM121="Spiral",CONCATENATE("SP",_xlpm.PartF),_xlpm.PartF))</f>
        <v>#N/A</v>
      </c>
      <c r="BC121" cm="1">
        <f t="array" ref="BC121">_xlfn.LET(_xlpm.leftPart, LEFT(O121, FIND("@", O121) - 2),_xlpm.grade,Q121,_xlpm.gradeRange,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1" cm="1">
        <f t="array" ref="BD121">_xlfn.LET(_xlpm.leftPart, LEFT(P121, FIND("@", P121) - 2),_xlpm.grade, Q121,_xlpm.gradeRange,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1">
        <f t="shared" si="31"/>
        <v>2.5</v>
      </c>
      <c r="BF121">
        <f>IF(SD!$C$32=SD!$I$2,BE121,IF(SD!$C$32=SD!$I$3,DO121,IF(SD!$C$32=SD!$I$5,BA121,IF(SD!$C$32=SD!$I$6,(LEFT(SD!$C$35,FIND("-",SD!$C$35)-1)+RIGHT(SD!$C$35,LEN(SD!$C$35)-FIND("-",SD!$C$35))/12),IF(SD!$C$32=SD!$I$4,(AU121-(BG121+BH121)))))))</f>
        <v>0</v>
      </c>
      <c r="BG121">
        <f>IF(SD!$C$33=SD!$I$2,BE121,IF(SD!$C$33=SD!$I$3,DO121,IF(SD!$C$33=SD!$I$5,BA121,IF(SD!$C$33=SD!$I$6,(LEFT(SD!$C$35,FIND("-",SD!$C$35)-1)+RIGHT(SD!$C$35,LEN(SD!$C$35)-FIND("-",SD!$C$35))/12),IF(SD!$C$33=SD!$I$4,(AU121-(BF121+BH121)))))))</f>
        <v>-1</v>
      </c>
      <c r="BH121">
        <f>IF(SD!$C$34=SD!$I$2,BE121,IF(SD!$C$34=SD!$I$3,DO121,IF(SD!$C$34=SD!$I$5,BA121,IF(SD!$C$34=SD!$I$6,(LEFT(SD!$C$35,FIND("-",SD!$C$35)-1)+RIGHT(SD!$C$35,LEN(SD!$C$35)-FIND("-",SD!$C$35))/12),IF(SD!$C$34=SD!$I$4,(AU121-(BF121+BG121)))))))</f>
        <v>1</v>
      </c>
      <c r="BJ121">
        <f>IF(AM121="Spiral","1",MAX(ROUNDUP(IF(SD!$C$32="",AT121,BF121/(LEFT(RIGHT(N121,LEN(N121)-FIND("@",N121)),LEN(RIGHT(N121,LEN(N121)-FIND("@",N121)))-1)/12)+1),0),0))</f>
        <v>1</v>
      </c>
      <c r="BK121">
        <f>MAX(ROUNDUP(IF(SD!$C$33="","",BG121/(LEFT(RIGHT(O121,LEN(O121)-FIND("@",O121)),LEN(RIGHT(O121,LEN(O121)-FIND("@",O121)))-1)/12)+1),0),0)</f>
        <v>0</v>
      </c>
      <c r="BL121">
        <f>MAX(ROUNDUP(IF(SD!$C$34="","",BH121/(LEFT(RIGHT(P121,LEN(P121)-FIND("@",P121)),LEN(RIGHT(P121,LEN(P121)-FIND("@",P121)))-1)/12)+1),0),0)</f>
        <v>3</v>
      </c>
      <c r="BN121" t="e">
        <f t="shared" si="32"/>
        <v>#N/A</v>
      </c>
      <c r="BO121" t="e">
        <f t="shared" si="33"/>
        <v>#N/A</v>
      </c>
      <c r="BP121" t="e">
        <f t="shared" si="34"/>
        <v>#N/A</v>
      </c>
      <c r="BQ121" s="24" t="e">
        <f>IF(AM121=TRUE,(((Y121-(SD!$E$12*2))*3.14159265359)+BN121+BO121+BP121)/12+AL121,SUM(AF121:AG121,BN121,BO121,BP121,AO121,AQ121)/12)</f>
        <v>#N/A</v>
      </c>
      <c r="BR121" t="e">
        <f t="shared" si="35"/>
        <v>#N/A</v>
      </c>
      <c r="BS121" t="e">
        <f t="shared" si="36"/>
        <v>#N/A</v>
      </c>
      <c r="BT121" t="e">
        <f t="shared" si="37"/>
        <v>#N/A</v>
      </c>
      <c r="BU121" s="24" t="e">
        <f>IF(AM121=TRUE,(((Y121-(SD!$E$12*2))*3.14159265359)+BR121+BS121+BT121)/12+AL121,SUM(AF121:AG121,BR121,BS121,BT121,AO121,AQ121)/12)</f>
        <v>#N/A</v>
      </c>
      <c r="BW121" t="str">
        <f>IFERROR(LEFT(Data!L121,FIND(" -",Data!L121)-1),"")</f>
        <v/>
      </c>
      <c r="BX121" t="str">
        <f>IFERROR(IF(SD!$C$40=SD!$U$2,W121,IF(SD!$C$40=SD!$U$3,RIGHT(Data!L121,LEN(Data!L121)-(FIND("-",Data!L121)+1)),SD!$C$40)),"")</f>
        <v>#10</v>
      </c>
      <c r="BY121" t="str" cm="1">
        <f t="array" ref="BY121">IFERROR(_xlfn.LET(_xlpm.GRR,IF(AND(SD!$C$19=SD!$H$2,Grade!$G$1="Per level"),VLOOKUP(B121,Grade!$E$1:$F$200,2,FALSE),IF(AND(SD!$C$19=SD!$H$2,Grade!$G$1="Per Bar Size"),VLOOKUP(BX121,Grade!$B$1:$C$12,2,0),SD!$C$19)),_xlpm.is_equal, A120=A121,_xlpm.grade_range, IF(_xlpm.GRR=SD!$H$3, A615GR60,IF(_xlpm.GRR=SD!$H$4, A615GR75,IF(_xlpm.GRR=SD!$H$5, A615GR80,IF(_xlpm.GRR=SD!H125, A615GR100,IF(_xlpm.GRR=SD!$H$7, A706GR60,IF(_xlpm.GRR=SD!$H$8, A706GR80)))))),_xlpm.match_result, MATCH(1, (BSize=BX121)*(BCName=SD!$C$8), 0),_xlpm.final_result, INDEX(_xlpm.grade_range, _xlpm.match_result),IF(_xlpm.is_equal, "", _xlpm.final_result)),"")</f>
        <v/>
      </c>
      <c r="BZ121" t="str">
        <f>IF(A120=A121,"",IF(SD!$C$41="Match Vertical Bars ",X121,IF(SD!$C$41=SD!$V$3,BW121,SD!$C$41)))</f>
        <v/>
      </c>
      <c r="CA121" t="str" cm="1">
        <f t="array" ref="CA121">IF(A120=A121,"",IF(SD!$C$44="No T-Head",IF(SD!$C$42=SD!$Q$3,VLOOKUP(BX121,S90Range,3,FALSE),LEFT(SD!$C$42,FIND("-",SD!$C$42)-1)+(RIGHT(SD!$C$42,LEN(SD!$C$42)-FIND("-",SD!$C$42))/12)),IF(SD!$C$44="T-Head",_xlfn._xlws.FILTER(THead,(TCName=SD!$C$8)*(TSize=BX121)),IF(SD!$C$44="Level Wise",_xlfn.LET(_xlpm.result,_xlfn.XLOOKUP(B121,VDLevel,VDLevelStatus,"No"),IF(_xlpm.result="Yes",_xlfn._xlws.FILTER(THead,(TCName=SD!$C$8)*(TSize=BX121)),IF(SD!$C$42=SD!$Q$3,VLOOKUP(BX121,S90Range,3,FALSE),LEFT(SD!$C$42,FIND("-",SD!$C$42)-1)+(RIGHT(SD!$C$42,LEN(SD!$C$42)-FIND("-", SD!$C$42))/12)))),IF(SD!$C$44="BarSize Wise",_xlfn.LET(_xlpm.result,_xlfn.XLOOKUP(BX121,VDBarSize,VDBarSizeStatus,"No"),IF(_xlpm.result="Yes",_xlfn._xlws.FILTER(THead,(TCName=SD!$C$8)*(TSize=BX121)),IF(SD!$C$42=SD!$Q$3,VLOOKUP(BX121,S90Range,3,FALSE),LEFT(SD!$C$42,FIND("-",SD!$C$42)-1)+(RIGHT(SD!$C$42,LEN(SD!$C$42)-FIND("-",SD!$C$42))/12)))), "")))))</f>
        <v/>
      </c>
      <c r="CB121" t="str" cm="1">
        <f t="array" ref="CB121">_xlfn.LET(_xlpm.GRR,IF(AND(SD!$C$19=SD!$H$2,Grade!$G$1="Per level"),VLOOKUP(B121,Grade!$E$1:$F$200,2,FALSE),IF(AND(SD!$C$19=SD!$H$2,Grade!$G$1="Per Bar Size"),VLOOKUP(BX121,Grade!$B$1:$C$12,2,0),SD!$C$19)),_xlpm.is_coupler, K121="Coupler",_xlpm.condition1, SD!$C$43=SD!$W$2,_xlpm.data_j2_empty, Data!$J121="",_xlpm.lookup_table, IF(SD!$C$11="Create", Lap!$A$3:$BF$14, IF(SD!$C$11="Per Uploaded File", Lap!$A$19:$BF$30, "")),_xlpm.row_match, MATCH(BX121, Lap!$A$3:$A$14, 0),_xlpm.grade_offset, IF(IFERROR(FIND("Grade 60",_xlpm.GRR), 0) &gt; 0, 0, IF(IFERROR(FIND("Grade 80",_xlpm.GRR), 0), 1, IF(IFERROR(FIND("Grade 75",_xlpm.GRR), 0), 2, ""))),_xlpm.col_match, MATCH(VALUE(D121), Lap!$A$3:$BF$3, 0) + _xlpm.grade_offset,_xlpm.index_result, IFERROR(INDEX(_xlpm.lookup_table, _xlpm.row_match, _xlpm.col_match), Data!$J121),_xlpm.result_if_condition1, IF(_xlpm.data_j2_empty, _xlpm.index_result, Data!$J121),IF(_xlpm.is_coupler, 0, IF(_xlpm.condition1, _xlpm.result_if_condition1, SD!$C$43)))</f>
        <v>5-1</v>
      </c>
      <c r="CC121" s="24">
        <f t="shared" si="38"/>
        <v>5.083333333333333</v>
      </c>
      <c r="CD121">
        <f t="shared" si="39"/>
        <v>5.75</v>
      </c>
      <c r="CE121" t="str" cm="1">
        <f t="array" ref="CE121">IF(BY121="","",_xlfn._xlws.FILTER(SAC,(CName=SD!$C$8)*(EName="Vert Dowels")))</f>
        <v/>
      </c>
      <c r="CF121" t="str" cm="1">
        <f t="array" ref="CF121">IFERROR(IF(BY121="","",IF(K121="Coupler",_xlfn._xlws.FILTER(CCoupler,(CCName=SD!$C$8)*(CBSize=IF(A120=A121,W120&amp;W121,BX121&amp;W121))*(CCMFM="Male")),"")),"N/A")</f>
        <v/>
      </c>
      <c r="CG121" t="str">
        <f t="shared" si="40"/>
        <v/>
      </c>
      <c r="CH121" t="str">
        <f t="shared" si="41"/>
        <v/>
      </c>
      <c r="CI121" t="str">
        <f>_xlfn.LET(_xlpm.u3_value, U122,_xlpm.hyphen_pos,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K122="Coupler",_xlpm.coupler_value, IF(_xlpm.is_coupler, 0, _xlpm.calculated_value),_xlpm.final_value, _xlpm.calculated_value + SD!$E$13 + _xlpm.coupler_value,IF(CG121="", "", _xlpm.final_value))</f>
        <v/>
      </c>
      <c r="CJ121" t="str" cm="1">
        <f t="array" ref="CJ121">IF(CG121="","",_xlfn._xlws.FILTER(SAC,(CName=SD!$C$8)*(EName="Loose Dowels")))</f>
        <v/>
      </c>
      <c r="CK121" t="str" cm="1">
        <f t="array" ref="CK121">IFERROR(IF(CG121="","",IF(K122="Coupler",_xlfn._xlws.FILTER(CCoupler,(CCName=SD!$C$8)*(CBSize=IF(A121=A122,W121&amp;W122,""))*(CCMFM="Male")),"")),"N/A")</f>
        <v/>
      </c>
      <c r="CL121" t="str">
        <f>IFERROR(IF(AM121="Spiral","",IF(A120=A121,"",IF(SD!$C$37=0,"",SD!$C$37))),"")</f>
        <v/>
      </c>
      <c r="CN121">
        <f>IF(AM121="Spiral","",IFERROR(IF(SD!$C$36=0,"",SD!$C$36),""))</f>
        <v>5</v>
      </c>
      <c r="CP121" t="str">
        <f>IFERROR(IF(SD!$C$42=SD!$Q$3,'Take-off'!CA121,""),"")</f>
        <v/>
      </c>
      <c r="CR121">
        <f>IFERROR(IF(SD!$C$22=SD!$U$2,W121,SD!$C$22),"")</f>
        <v>0</v>
      </c>
      <c r="CS121" t="str" cm="1">
        <f t="array" ref="CS121">_xlfn.LET(_xlpm.GR,IF(AND(SD!$C$19=SD!$H$2,Grade!$G$1="Per level"),VLOOKUP(B121,Grade!$E$1:$F$200,2,FALSE),IF(AND(SD!$C$19=SD!$H$2,Grade!$G$1="Per Bar Size"),VLOOKUP(CR121,Grade!$B$1:$C$12,2,0),SD!$C$19)),IF(SD!$C$20=SD!$R$4,IF(A122=A121,"",INDEX(IF(_xlpm.GR=SD!$H$3,A615GR60,IF(_xlpm.GR=SD!$H$4,A615GR75,IF(_xlpm.GR=SD!$H$5,A615GR80,IF(_xlpm.GR=SD!H125,A615GR100,IF(_xlpm.GR=SD!$H$7,A706GR60,IF(_xlpm.GR=SD!$H$8,A706GR80)))))), MATCH(1, (BSize=CR121)*(BCName=SD!$C$8), 0))),""))</f>
        <v/>
      </c>
      <c r="CT121" t="str">
        <f>IF(A122=A121,"",IF(SD!$C$23="Match Vertical Bars ",X121,SD!$C$23))</f>
        <v/>
      </c>
      <c r="CU121" t="str" cm="1">
        <f t="array" ref="CU121">IF(A122=A121,"",IF(SD!$C$20="Top dowels",IF(SD!$E$25="No T-Head",IF(SD!$C$24=SD!$Q$3,VLOOKUP(CR121,S90Range,3,FALSE),LEFT(SD!$C$24,FIND("-",SD!$C$24)-1)+(RIGHT(SD!$C$24,LEN(SD!$C$24)-FIND("-",SD!$C$24))/12)),IF(SD!$E$25="T-Head",_xlfn._xlws.FILTER(THead,(TCName=SD!$C$8)*(TSize=CR121)),IF(SD!$E$25="Level Wise",_xlfn.LET(_xlpm.result,_xlfn.XLOOKUP(B121,TDLevel,TDLevelStatus,"No"),IF(_xlpm.result="Yes",_xlfn._xlws.FILTER(THead,(TCName=SD!$C$8)*(TSize=CR121)),IF(SD!$C$24=SD!$Q$3,VLOOKUP(CR121,S90Range,3,FALSE),LEFT(SD!$C$24,FIND("-",SD!$C$24)-1)+(RIGHT(SD!$C$24,LEN(SD!$C$24)-FIND("-", SD!$C$24))/12)))),IF(SD!$E$25="BarSize Wise",_xlfn.LET(_xlpm.result,_xlfn.XLOOKUP(CR121,TDBarSize,TDBarSizeStatus,"No"),IF(_xlpm.result="Yes",_xlfn._xlws.FILTER(THead,(TCName=SD!$C$8)*(TSize=CR121)),IF(SD!$C$24=SD!$Q$3,VLOOKUP(CR121,S90Range,3,FALSE),LEFT(SD!$C$24,FIND("-",SD!$C$24)-1)+(RIGHT(SD!$C$24,LEN(SD!$C$24)-FIND("-",SD!$C$24))/12)))), "")))),""))</f>
        <v/>
      </c>
      <c r="CV121" t="str">
        <f>_xlfn.LET(_xlpm.GRR,IF(AND(SD!$C$19=SD!$H$2,Grade!$G$1="Per level"),VLOOKUP(B121,Grade!$E$1:$F$200,2,FALSE),IF(AND(SD!$C$19=SD!$H$2,Grade!$G$1="Per Bar Size"),VLOOKUP(CR121,Grade!$B$1:$C$12,2,0),SD!$C$19)),IF(SD!$C$25=SD!$W$2,IF(Data!$J121="",IFERROR(INDEX(IF(SD!$C$11="Create",Lap!$A$3:$BF$14,IF(SD!$C$11="Per Uploaded File",Lap!$A$19:$BF$30,"")),MATCH(CR121,Lap!$A$3:$A$14,0),MATCH(VALUE(D121),Lap!$A$3:$BF$3,0)+IF(IFERROR(FIND("Grade 60",_xlpm.GRR),0)&gt;0,0,IF(IFERROR(FIND("Grade 80",_xlpm.GRR),0),1,IF(IFERROR(FIND("Grade 75",_xlpm.GRR),0),2,"")))),""),Data!J121),SD!$C$43))</f>
        <v>Match Lap</v>
      </c>
      <c r="CW121">
        <f t="shared" si="42"/>
        <v>0</v>
      </c>
      <c r="CX121">
        <f t="shared" si="43"/>
        <v>0</v>
      </c>
      <c r="CY121" t="str">
        <f t="shared" si="44"/>
        <v/>
      </c>
      <c r="DA121" t="str">
        <f t="shared" si="45"/>
        <v/>
      </c>
      <c r="DB121" t="str">
        <f t="shared" si="46"/>
        <v/>
      </c>
      <c r="DC121" s="24" t="str">
        <f t="shared" si="47"/>
        <v/>
      </c>
      <c r="DD121">
        <f t="shared" si="48"/>
        <v>10.583333333333334</v>
      </c>
      <c r="DE121" t="s">
        <v>785</v>
      </c>
      <c r="DF121" t="s">
        <v>67</v>
      </c>
      <c r="DG121" t="str">
        <f>VLOOKUP(W121,'Level Wise PSI'!$F$2:$G$12,2,FALSE)</f>
        <v>Double Lift</v>
      </c>
      <c r="DI121" t="str" cm="1">
        <f t="array" ref="DI121">_xlfn.LET(_xlpm.Coup,IFERROR(IF(BY121="","",IF(K121="Coupler",_xlfn._xlws.FILTER(CCFCoupler,(CCName=SD!$C$8)*(CBSize=IF(A120=A121,W120&amp;W121,BX121&amp;W121))),"")),"N/A"),IF(_xlpm.Coup=0,"",_xlpm.Coup))</f>
        <v/>
      </c>
      <c r="DJ121" t="str" cm="1">
        <f t="array" ref="DJ121">_xlfn.LET(_xlpm.Coup3,IFERROR(IF(CG121="","",IF(K122="Coupler",_xlfn._xlws.FILTER(CCFCoupler,(CCName=SD!$C$8)*(CBSize=IF(A121=A122,W121&amp;W122,""))),"")),"N/A"),IF(_xlpm.Coup3=0,"",_xlpm.Coup3))</f>
        <v/>
      </c>
      <c r="DK121" t="str" cm="1">
        <f t="array" ref="DK121">_xlfn.LET(_xlpm.Coup2,IFERROR(IF(A121&lt;&gt;A122,"",IF(DF121="No Lap","",IF(K122="Coupler",_xlfn._xlws.FILTER(CCFCoupler,(CCName=SD!$C$8)*(CBSize=IF(A120=A121,W121&amp;W122,W121&amp;W121))),""))),"N/A"),IF(_xlpm.Coup2=0,"",_xlpm.Coup2))</f>
        <v/>
      </c>
      <c r="DM121" t="str">
        <f>IF(AM121="Spiral","",IF(SD!$C$31=SD!$Y$3,SD!$E$32*2,""))</f>
        <v/>
      </c>
      <c r="DO121" s="24">
        <f t="shared" si="49"/>
        <v>2.5</v>
      </c>
      <c r="DQ121" t="str">
        <f t="shared" si="50"/>
        <v>Lig</v>
      </c>
      <c r="DR121" t="str">
        <f>IF(AM121="Spiral",((Y121-(SD!$E$12*2))/12),"")</f>
        <v/>
      </c>
      <c r="DS121" t="str">
        <f t="shared" si="51"/>
        <v/>
      </c>
      <c r="DT121" t="str">
        <f t="shared" si="52"/>
        <v/>
      </c>
      <c r="DU121" t="str">
        <f t="shared" si="53"/>
        <v/>
      </c>
    </row>
    <row r="122" spans="1:125" x14ac:dyDescent="0.25">
      <c r="A122">
        <v>45</v>
      </c>
      <c r="B122" t="s">
        <v>676</v>
      </c>
      <c r="C122" s="15">
        <v>2429</v>
      </c>
      <c r="D122" s="15">
        <v>10000</v>
      </c>
      <c r="E122" t="str">
        <f>IF(B122=Level!$A$2,SD!$C$14,SD!$C$13)</f>
        <v>0-8</v>
      </c>
      <c r="F122" s="15" t="s">
        <v>787</v>
      </c>
      <c r="G122" t="s">
        <v>742</v>
      </c>
      <c r="H122" t="str">
        <f>RIGHT(VLOOKUP(B122,Level!A:C,3,FALSE),LEN(VLOOKUP(B122,Level!A:C,3,FALSE))-1)</f>
        <v>10-7</v>
      </c>
      <c r="I122" t="s">
        <v>743</v>
      </c>
      <c r="J122" t="str">
        <f>IF(AND(SD!$C$19=SD!$H$2,Grade!$G$1="Per level"),VLOOKUP(B122,Grade!$E$1:$F$200,2,FALSE),IF(AND(SD!$C$19=SD!$H$2,Grade!$G$1="Per Bar Size"),VLOOKUP(W122,Grade!$B$1:$C$12,2,0),SD!$C$19))</f>
        <v>A615 Grade 60</v>
      </c>
      <c r="K122" t="s">
        <v>67</v>
      </c>
      <c r="L122" t="str">
        <f>IFERROR(IF(A122&lt;&gt;A123,"",IF(DF122="No Lap","",IF(K123="Lap",U122,IF(K123="Coupler",_xlfn._xlws.FILTER(CCoupler,(CCName=SD!$C$8)*(CBSize=IF(A121=A122,W122&amp;W123,W122&amp;W122))*(CCMFM="Male")),"")))),"N/A")</f>
        <v>5-1</v>
      </c>
      <c r="M122" t="str">
        <f t="shared" si="27"/>
        <v/>
      </c>
      <c r="N122" t="s">
        <v>719</v>
      </c>
      <c r="O122" t="s">
        <v>720</v>
      </c>
      <c r="P122" t="s">
        <v>719</v>
      </c>
      <c r="Q122" t="str">
        <f>IF(AND(SD!$C$29=SD!$P$2,Grade!$O$1="Per level"),VLOOKUP(B122,Grade!$M$1:$N$200,2,FALSE),IF(AND(SD!$C$29=SD!$P$2,Grade!$O$1="Per Bar Size"),VLOOKUP(LEFT(N122,FIND("@",N122)-2),Grade!$J$1:$K$12,2,0),SD!$C$29))</f>
        <v>A615 Grade 60</v>
      </c>
      <c r="R122" t="s">
        <v>742</v>
      </c>
      <c r="S122" s="57">
        <v>122</v>
      </c>
      <c r="U122" t="str">
        <f>IF(Data!$J122="",IFERROR(INDEX(IF(SD!$C$11="Create",Lap!$A$3:$BF$14,IF(SD!$C$11="Per Uploaded File",Lap!$A$19:$BF$30,"")),MATCH(W122,Lap!$A$3:$A$14,0),MATCH(VALUE(D122),Lap!$A$3:$BF$3,0)+IF(IFERROR(FIND("Grade 60",J122),0)&gt;0,0,IF(IFERROR(FIND("Grade 80",J122),0),1,IF(IFERROR(FIND("Grade 75",J122),0),2,"")))),""),Data!J122)</f>
        <v>5-1</v>
      </c>
      <c r="W122" t="s">
        <v>176</v>
      </c>
      <c r="X122">
        <v>6</v>
      </c>
      <c r="Y122" t="str">
        <f t="shared" si="28"/>
        <v>30</v>
      </c>
      <c r="Z122">
        <f t="shared" si="29"/>
        <v>0</v>
      </c>
      <c r="AA122" s="24">
        <f t="shared" si="30"/>
        <v>15.666666666666666</v>
      </c>
      <c r="BB122" t="e" cm="1">
        <f t="array" ref="BB122">_xlfn.LET(_xlpm.PartF,(_xlfn.LET(_xlpm.grade, Q122,_xlpm.gradeRange, IF(_xlpm.grade=SD!$H$3, A615GR60, IF(_xlpm.grade=SD!$H$4, A615GR75, IF(_xlpm.grade=SD!$H$5, A615GR80, IF(_xlpm.grade=SD!$H$6, A615GR100, IF(_xlpm.grade=SD!$H$7, A706GR60, IF(_xlpm.grade=SD!$H$8, A706GR80)))))),_xlpm.matchValue, MATCH(1, (SD!$AW:$AW=AS122)*(SD!$AX:$AX=SD!$C$8), 0),INDEX(_xlpm.gradeRange, _xlpm.matchValue))),IF(AM122="Spiral",CONCATENATE("SP",_xlpm.PartF),_xlpm.PartF))</f>
        <v>#N/A</v>
      </c>
      <c r="BC122" cm="1">
        <f t="array" ref="BC122">_xlfn.LET(_xlpm.leftPart, LEFT(O122, FIND("@", O122) - 2),_xlpm.grade,Q122,_xlpm.gradeRange,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2" cm="1">
        <f t="array" ref="BD122">_xlfn.LET(_xlpm.leftPart, LEFT(P122, FIND("@", P122) - 2),_xlpm.grade, Q122,_xlpm.gradeRange,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2">
        <f t="shared" si="31"/>
        <v>2.5</v>
      </c>
      <c r="BF122">
        <f>IF(SD!$C$32=SD!$I$2,BE122,IF(SD!$C$32=SD!$I$3,DO122,IF(SD!$C$32=SD!$I$5,BA122,IF(SD!$C$32=SD!$I$6,(LEFT(SD!$C$35,FIND("-",SD!$C$35)-1)+RIGHT(SD!$C$35,LEN(SD!$C$35)-FIND("-",SD!$C$35))/12),IF(SD!$C$32=SD!$I$4,(AU122-(BG122+BH122)))))))</f>
        <v>0</v>
      </c>
      <c r="BG122">
        <f>IF(SD!$C$33=SD!$I$2,BE122,IF(SD!$C$33=SD!$I$3,DO122,IF(SD!$C$33=SD!$I$5,BA122,IF(SD!$C$33=SD!$I$6,(LEFT(SD!$C$35,FIND("-",SD!$C$35)-1)+RIGHT(SD!$C$35,LEN(SD!$C$35)-FIND("-",SD!$C$35))/12),IF(SD!$C$33=SD!$I$4,(AU122-(BF122+BH122)))))))</f>
        <v>-1</v>
      </c>
      <c r="BH122">
        <f>IF(SD!$C$34=SD!$I$2,BE122,IF(SD!$C$34=SD!$I$3,DO122,IF(SD!$C$34=SD!$I$5,BA122,IF(SD!$C$34=SD!$I$6,(LEFT(SD!$C$35,FIND("-",SD!$C$35)-1)+RIGHT(SD!$C$35,LEN(SD!$C$35)-FIND("-",SD!$C$35))/12),IF(SD!$C$34=SD!$I$4,(AU122-(BF122+BG122)))))))</f>
        <v>1</v>
      </c>
      <c r="BJ122">
        <f>IF(AM122="Spiral","1",MAX(ROUNDUP(IF(SD!$C$32="",AT122,BF122/(LEFT(RIGHT(N122,LEN(N122)-FIND("@",N122)),LEN(RIGHT(N122,LEN(N122)-FIND("@",N122)))-1)/12)+1),0),0))</f>
        <v>1</v>
      </c>
      <c r="BK122">
        <f>MAX(ROUNDUP(IF(SD!$C$33="","",BG122/(LEFT(RIGHT(O122,LEN(O122)-FIND("@",O122)),LEN(RIGHT(O122,LEN(O122)-FIND("@",O122)))-1)/12)+1),0),0)</f>
        <v>0</v>
      </c>
      <c r="BL122">
        <f>MAX(ROUNDUP(IF(SD!$C$34="","",BH122/(LEFT(RIGHT(P122,LEN(P122)-FIND("@",P122)),LEN(RIGHT(P122,LEN(P122)-FIND("@",P122)))-1)/12)+1),0),0)</f>
        <v>3</v>
      </c>
      <c r="BN122" t="e">
        <f t="shared" si="32"/>
        <v>#N/A</v>
      </c>
      <c r="BO122" t="e">
        <f t="shared" si="33"/>
        <v>#N/A</v>
      </c>
      <c r="BP122" t="e">
        <f t="shared" si="34"/>
        <v>#N/A</v>
      </c>
      <c r="BQ122" s="24" t="e">
        <f>IF(AM122=TRUE,(((Y122-(SD!$E$12*2))*3.14159265359)+BN122+BO122+BP122)/12+AL122,SUM(AF122:AG122,BN122,BO122,BP122,AO122,AQ122)/12)</f>
        <v>#N/A</v>
      </c>
      <c r="BR122" t="e">
        <f t="shared" si="35"/>
        <v>#N/A</v>
      </c>
      <c r="BS122" t="e">
        <f t="shared" si="36"/>
        <v>#N/A</v>
      </c>
      <c r="BT122" t="e">
        <f t="shared" si="37"/>
        <v>#N/A</v>
      </c>
      <c r="BU122" s="24" t="e">
        <f>IF(AM122=TRUE,(((Y122-(SD!$E$12*2))*3.14159265359)+BR122+BS122+BT122)/12+AL122,SUM(AF122:AG122,BR122,BS122,BT122,AO122,AQ122)/12)</f>
        <v>#N/A</v>
      </c>
      <c r="BW122" t="str">
        <f>IFERROR(LEFT(Data!L122,FIND(" -",Data!L122)-1),"")</f>
        <v/>
      </c>
      <c r="BX122" t="str">
        <f>IFERROR(IF(SD!$C$40=SD!$U$2,W122,IF(SD!$C$40=SD!$U$3,RIGHT(Data!L122,LEN(Data!L122)-(FIND("-",Data!L122)+1)),SD!$C$40)),"")</f>
        <v>#10</v>
      </c>
      <c r="BY122" t="str" cm="1">
        <f t="array" ref="BY122">IFERROR(_xlfn.LET(_xlpm.GRR,IF(AND(SD!$C$19=SD!$H$2,Grade!$G$1="Per level"),VLOOKUP(B122,Grade!$E$1:$F$200,2,FALSE),IF(AND(SD!$C$19=SD!$H$2,Grade!$G$1="Per Bar Size"),VLOOKUP(BX122,Grade!$B$1:$C$12,2,0),SD!$C$19)),_xlpm.is_equal, A121=A122,_xlpm.grade_range, IF(_xlpm.GRR=SD!$H$3, A615GR60,IF(_xlpm.GRR=SD!$H$4, A615GR75,IF(_xlpm.GRR=SD!$H$5, A615GR80,IF(_xlpm.GRR=SD!H126, A615GR100,IF(_xlpm.GRR=SD!$H$7, A706GR60,IF(_xlpm.GRR=SD!$H$8, A706GR80)))))),_xlpm.match_result, MATCH(1, (BSize=BX122)*(BCName=SD!$C$8), 0),_xlpm.final_result, INDEX(_xlpm.grade_range, _xlpm.match_result),IF(_xlpm.is_equal, "", _xlpm.final_result)),"")</f>
        <v/>
      </c>
      <c r="BZ122" t="str">
        <f>IF(A121=A122,"",IF(SD!$C$41="Match Vertical Bars ",X122,IF(SD!$C$41=SD!$V$3,BW122,SD!$C$41)))</f>
        <v/>
      </c>
      <c r="CA122" t="str" cm="1">
        <f t="array" ref="CA122">IF(A121=A122,"",IF(SD!$C$44="No T-Head",IF(SD!$C$42=SD!$Q$3,VLOOKUP(BX122,S90Range,3,FALSE),LEFT(SD!$C$42,FIND("-",SD!$C$42)-1)+(RIGHT(SD!$C$42,LEN(SD!$C$42)-FIND("-",SD!$C$42))/12)),IF(SD!$C$44="T-Head",_xlfn._xlws.FILTER(THead,(TCName=SD!$C$8)*(TSize=BX122)),IF(SD!$C$44="Level Wise",_xlfn.LET(_xlpm.result,_xlfn.XLOOKUP(B122,VDLevel,VDLevelStatus,"No"),IF(_xlpm.result="Yes",_xlfn._xlws.FILTER(THead,(TCName=SD!$C$8)*(TSize=BX122)),IF(SD!$C$42=SD!$Q$3,VLOOKUP(BX122,S90Range,3,FALSE),LEFT(SD!$C$42,FIND("-",SD!$C$42)-1)+(RIGHT(SD!$C$42,LEN(SD!$C$42)-FIND("-", SD!$C$42))/12)))),IF(SD!$C$44="BarSize Wise",_xlfn.LET(_xlpm.result,_xlfn.XLOOKUP(BX122,VDBarSize,VDBarSizeStatus,"No"),IF(_xlpm.result="Yes",_xlfn._xlws.FILTER(THead,(TCName=SD!$C$8)*(TSize=BX122)),IF(SD!$C$42=SD!$Q$3,VLOOKUP(BX122,S90Range,3,FALSE),LEFT(SD!$C$42,FIND("-",SD!$C$42)-1)+(RIGHT(SD!$C$42,LEN(SD!$C$42)-FIND("-",SD!$C$42))/12)))), "")))))</f>
        <v/>
      </c>
      <c r="CB122" t="str" cm="1">
        <f t="array" ref="CB122">_xlfn.LET(_xlpm.GRR,IF(AND(SD!$C$19=SD!$H$2,Grade!$G$1="Per level"),VLOOKUP(B122,Grade!$E$1:$F$200,2,FALSE),IF(AND(SD!$C$19=SD!$H$2,Grade!$G$1="Per Bar Size"),VLOOKUP(BX122,Grade!$B$1:$C$12,2,0),SD!$C$19)),_xlpm.is_coupler, K122="Coupler",_xlpm.condition1, SD!$C$43=SD!$W$2,_xlpm.data_j2_empty, Data!$J122="",_xlpm.lookup_table, IF(SD!$C$11="Create", Lap!$A$3:$BF$14, IF(SD!$C$11="Per Uploaded File", Lap!$A$19:$BF$30, "")),_xlpm.row_match, MATCH(BX122, Lap!$A$3:$A$14, 0),_xlpm.grade_offset, IF(IFERROR(FIND("Grade 60",_xlpm.GRR), 0) &gt; 0, 0, IF(IFERROR(FIND("Grade 80",_xlpm.GRR), 0), 1, IF(IFERROR(FIND("Grade 75",_xlpm.GRR), 0), 2, ""))),_xlpm.col_match, MATCH(VALUE(D122), Lap!$A$3:$BF$3, 0) + _xlpm.grade_offset,_xlpm.index_result, IFERROR(INDEX(_xlpm.lookup_table, _xlpm.row_match, _xlpm.col_match), Data!$J122),_xlpm.result_if_condition1, IF(_xlpm.data_j2_empty, _xlpm.index_result, Data!$J122),IF(_xlpm.is_coupler, 0, IF(_xlpm.condition1, _xlpm.result_if_condition1, SD!$C$43)))</f>
        <v>5-1</v>
      </c>
      <c r="CC122" s="24">
        <f t="shared" si="38"/>
        <v>5.083333333333333</v>
      </c>
      <c r="CD122">
        <f t="shared" si="39"/>
        <v>5.75</v>
      </c>
      <c r="CE122" t="str" cm="1">
        <f t="array" ref="CE122">IF(BY122="","",_xlfn._xlws.FILTER(SAC,(CName=SD!$C$8)*(EName="Vert Dowels")))</f>
        <v/>
      </c>
      <c r="CF122" t="str" cm="1">
        <f t="array" ref="CF122">IFERROR(IF(BY122="","",IF(K122="Coupler",_xlfn._xlws.FILTER(CCoupler,(CCName=SD!$C$8)*(CBSize=IF(A121=A122,W121&amp;W122,BX122&amp;W122))*(CCMFM="Male")),"")),"N/A")</f>
        <v/>
      </c>
      <c r="CG122" t="str">
        <f t="shared" si="40"/>
        <v/>
      </c>
      <c r="CH122" t="str">
        <f t="shared" si="41"/>
        <v/>
      </c>
      <c r="CI122" t="str">
        <f>_xlfn.LET(_xlpm.u3_value, U123,_xlpm.hyphen_pos,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K123="Coupler",_xlpm.coupler_value, IF(_xlpm.is_coupler, 0, _xlpm.calculated_value),_xlpm.final_value, _xlpm.calculated_value + SD!$E$13 + _xlpm.coupler_value,IF(CG122="", "", _xlpm.final_value))</f>
        <v/>
      </c>
      <c r="CJ122" t="str" cm="1">
        <f t="array" ref="CJ122">IF(CG122="","",_xlfn._xlws.FILTER(SAC,(CName=SD!$C$8)*(EName="Loose Dowels")))</f>
        <v/>
      </c>
      <c r="CK122" t="str" cm="1">
        <f t="array" ref="CK122">IFERROR(IF(CG122="","",IF(K123="Coupler",_xlfn._xlws.FILTER(CCoupler,(CCName=SD!$C$8)*(CBSize=IF(A122=A123,W122&amp;W123,""))*(CCMFM="Male")),"")),"N/A")</f>
        <v/>
      </c>
      <c r="CL122" t="str">
        <f>IFERROR(IF(AM122="Spiral","",IF(A121=A122,"",IF(SD!$C$37=0,"",SD!$C$37))),"")</f>
        <v/>
      </c>
      <c r="CN122">
        <f>IF(AM122="Spiral","",IFERROR(IF(SD!$C$36=0,"",SD!$C$36),""))</f>
        <v>5</v>
      </c>
      <c r="CP122" t="str">
        <f>IFERROR(IF(SD!$C$42=SD!$Q$3,'Take-off'!CA122,""),"")</f>
        <v/>
      </c>
      <c r="CR122">
        <f>IFERROR(IF(SD!$C$22=SD!$U$2,W122,SD!$C$22),"")</f>
        <v>0</v>
      </c>
      <c r="CS122" t="str" cm="1">
        <f t="array" ref="CS122">_xlfn.LET(_xlpm.GR,IF(AND(SD!$C$19=SD!$H$2,Grade!$G$1="Per level"),VLOOKUP(B122,Grade!$E$1:$F$200,2,FALSE),IF(AND(SD!$C$19=SD!$H$2,Grade!$G$1="Per Bar Size"),VLOOKUP(CR122,Grade!$B$1:$C$12,2,0),SD!$C$19)),IF(SD!$C$20=SD!$R$4,IF(A123=A122,"",INDEX(IF(_xlpm.GR=SD!$H$3,A615GR60,IF(_xlpm.GR=SD!$H$4,A615GR75,IF(_xlpm.GR=SD!$H$5,A615GR80,IF(_xlpm.GR=SD!H126,A615GR100,IF(_xlpm.GR=SD!$H$7,A706GR60,IF(_xlpm.GR=SD!$H$8,A706GR80)))))), MATCH(1, (BSize=CR122)*(BCName=SD!$C$8), 0))),""))</f>
        <v/>
      </c>
      <c r="CT122" t="str">
        <f>IF(A123=A122,"",IF(SD!$C$23="Match Vertical Bars ",X122,SD!$C$23))</f>
        <v/>
      </c>
      <c r="CU122" t="str" cm="1">
        <f t="array" ref="CU122">IF(A123=A122,"",IF(SD!$C$20="Top dowels",IF(SD!$E$25="No T-Head",IF(SD!$C$24=SD!$Q$3,VLOOKUP(CR122,S90Range,3,FALSE),LEFT(SD!$C$24,FIND("-",SD!$C$24)-1)+(RIGHT(SD!$C$24,LEN(SD!$C$24)-FIND("-",SD!$C$24))/12)),IF(SD!$E$25="T-Head",_xlfn._xlws.FILTER(THead,(TCName=SD!$C$8)*(TSize=CR122)),IF(SD!$E$25="Level Wise",_xlfn.LET(_xlpm.result,_xlfn.XLOOKUP(B122,TDLevel,TDLevelStatus,"No"),IF(_xlpm.result="Yes",_xlfn._xlws.FILTER(THead,(TCName=SD!$C$8)*(TSize=CR122)),IF(SD!$C$24=SD!$Q$3,VLOOKUP(CR122,S90Range,3,FALSE),LEFT(SD!$C$24,FIND("-",SD!$C$24)-1)+(RIGHT(SD!$C$24,LEN(SD!$C$24)-FIND("-", SD!$C$24))/12)))),IF(SD!$E$25="BarSize Wise",_xlfn.LET(_xlpm.result,_xlfn.XLOOKUP(CR122,TDBarSize,TDBarSizeStatus,"No"),IF(_xlpm.result="Yes",_xlfn._xlws.FILTER(THead,(TCName=SD!$C$8)*(TSize=CR122)),IF(SD!$C$24=SD!$Q$3,VLOOKUP(CR122,S90Range,3,FALSE),LEFT(SD!$C$24,FIND("-",SD!$C$24)-1)+(RIGHT(SD!$C$24,LEN(SD!$C$24)-FIND("-",SD!$C$24))/12)))), "")))),""))</f>
        <v/>
      </c>
      <c r="CV122" t="str">
        <f>_xlfn.LET(_xlpm.GRR,IF(AND(SD!$C$19=SD!$H$2,Grade!$G$1="Per level"),VLOOKUP(B122,Grade!$E$1:$F$200,2,FALSE),IF(AND(SD!$C$19=SD!$H$2,Grade!$G$1="Per Bar Size"),VLOOKUP(CR122,Grade!$B$1:$C$12,2,0),SD!$C$19)),IF(SD!$C$25=SD!$W$2,IF(Data!$J122="",IFERROR(INDEX(IF(SD!$C$11="Create",Lap!$A$3:$BF$14,IF(SD!$C$11="Per Uploaded File",Lap!$A$19:$BF$30,"")),MATCH(CR122,Lap!$A$3:$A$14,0),MATCH(VALUE(D122),Lap!$A$3:$BF$3,0)+IF(IFERROR(FIND("Grade 60",_xlpm.GRR),0)&gt;0,0,IF(IFERROR(FIND("Grade 80",_xlpm.GRR),0),1,IF(IFERROR(FIND("Grade 75",_xlpm.GRR),0),2,"")))),""),Data!J122),SD!$C$43))</f>
        <v>Match Lap</v>
      </c>
      <c r="CW122">
        <f t="shared" si="42"/>
        <v>0</v>
      </c>
      <c r="CX122">
        <f t="shared" si="43"/>
        <v>0</v>
      </c>
      <c r="CY122" t="str">
        <f t="shared" si="44"/>
        <v/>
      </c>
      <c r="DA122" t="str">
        <f t="shared" si="45"/>
        <v/>
      </c>
      <c r="DB122" t="str">
        <f t="shared" si="46"/>
        <v/>
      </c>
      <c r="DC122" s="24" t="str">
        <f t="shared" si="47"/>
        <v/>
      </c>
      <c r="DD122">
        <f t="shared" si="48"/>
        <v>10.583333333333334</v>
      </c>
      <c r="DE122" t="s">
        <v>785</v>
      </c>
      <c r="DF122" t="s">
        <v>67</v>
      </c>
      <c r="DG122" t="str">
        <f>VLOOKUP(W122,'Level Wise PSI'!$F$2:$G$12,2,FALSE)</f>
        <v>Double Lift</v>
      </c>
      <c r="DI122" t="str" cm="1">
        <f t="array" ref="DI122">_xlfn.LET(_xlpm.Coup,IFERROR(IF(BY122="","",IF(K122="Coupler",_xlfn._xlws.FILTER(CCFCoupler,(CCName=SD!$C$8)*(CBSize=IF(A121=A122,W121&amp;W122,BX122&amp;W122))),"")),"N/A"),IF(_xlpm.Coup=0,"",_xlpm.Coup))</f>
        <v/>
      </c>
      <c r="DJ122" t="str" cm="1">
        <f t="array" ref="DJ122">_xlfn.LET(_xlpm.Coup3,IFERROR(IF(CG122="","",IF(K123="Coupler",_xlfn._xlws.FILTER(CCFCoupler,(CCName=SD!$C$8)*(CBSize=IF(A122=A123,W122&amp;W123,""))),"")),"N/A"),IF(_xlpm.Coup3=0,"",_xlpm.Coup3))</f>
        <v/>
      </c>
      <c r="DK122" t="str" cm="1">
        <f t="array" ref="DK122">_xlfn.LET(_xlpm.Coup2,IFERROR(IF(A122&lt;&gt;A123,"",IF(DF122="No Lap","",IF(K123="Coupler",_xlfn._xlws.FILTER(CCFCoupler,(CCName=SD!$C$8)*(CBSize=IF(A121=A122,W122&amp;W123,W122&amp;W122))),""))),"N/A"),IF(_xlpm.Coup2=0,"",_xlpm.Coup2))</f>
        <v/>
      </c>
      <c r="DM122" t="str">
        <f>IF(AM122="Spiral","",IF(SD!$C$31=SD!$Y$3,SD!$E$32*2,""))</f>
        <v/>
      </c>
      <c r="DO122" s="24">
        <f t="shared" si="49"/>
        <v>2.5</v>
      </c>
      <c r="DQ122" t="str">
        <f t="shared" si="50"/>
        <v>Lig</v>
      </c>
      <c r="DR122" t="str">
        <f>IF(AM122="Spiral",((Y122-(SD!$E$12*2))/12),"")</f>
        <v/>
      </c>
      <c r="DS122" t="str">
        <f t="shared" si="51"/>
        <v/>
      </c>
      <c r="DT122" t="str">
        <f t="shared" si="52"/>
        <v/>
      </c>
      <c r="DU122" t="str">
        <f t="shared" si="53"/>
        <v/>
      </c>
    </row>
    <row r="123" spans="1:125" x14ac:dyDescent="0.25">
      <c r="A123">
        <v>45</v>
      </c>
      <c r="B123" t="s">
        <v>678</v>
      </c>
      <c r="C123" s="15">
        <v>2429</v>
      </c>
      <c r="D123" s="15">
        <v>10000</v>
      </c>
      <c r="E123" t="str">
        <f>IF(B123=Level!$A$2,SD!$C$14,SD!$C$13)</f>
        <v>0-8</v>
      </c>
      <c r="F123" s="15" t="s">
        <v>787</v>
      </c>
      <c r="G123" t="s">
        <v>742</v>
      </c>
      <c r="H123" t="str">
        <f>RIGHT(VLOOKUP(B123,Level!A:C,3,FALSE),LEN(VLOOKUP(B123,Level!A:C,3,FALSE))-1)</f>
        <v>10-7</v>
      </c>
      <c r="I123" t="s">
        <v>743</v>
      </c>
      <c r="J123" t="str">
        <f>IF(AND(SD!$C$19=SD!$H$2,Grade!$G$1="Per level"),VLOOKUP(B123,Grade!$E$1:$F$200,2,FALSE),IF(AND(SD!$C$19=SD!$H$2,Grade!$G$1="Per Bar Size"),VLOOKUP(W123,Grade!$B$1:$C$12,2,0),SD!$C$19))</f>
        <v>A615 Grade 60</v>
      </c>
      <c r="K123" t="s">
        <v>67</v>
      </c>
      <c r="L123" t="str">
        <f>IFERROR(IF(A123&lt;&gt;A124,"",IF(DF123="No Lap","",IF(K124="Lap",U123,IF(K124="Coupler",_xlfn._xlws.FILTER(CCoupler,(CCName=SD!$C$8)*(CBSize=IF(A122=A123,W123&amp;W124,W123&amp;W123))*(CCMFM="Male")),"")))),"N/A")</f>
        <v>5-1</v>
      </c>
      <c r="M123" t="str">
        <f t="shared" si="27"/>
        <v/>
      </c>
      <c r="N123" t="s">
        <v>719</v>
      </c>
      <c r="O123" t="s">
        <v>720</v>
      </c>
      <c r="P123" t="s">
        <v>719</v>
      </c>
      <c r="Q123" t="str">
        <f>IF(AND(SD!$C$29=SD!$P$2,Grade!$O$1="Per level"),VLOOKUP(B123,Grade!$M$1:$N$200,2,FALSE),IF(AND(SD!$C$29=SD!$P$2,Grade!$O$1="Per Bar Size"),VLOOKUP(LEFT(N123,FIND("@",N123)-2),Grade!$J$1:$K$12,2,0),SD!$C$29))</f>
        <v>A615 Grade 60</v>
      </c>
      <c r="R123" t="s">
        <v>742</v>
      </c>
      <c r="S123" s="57">
        <v>123</v>
      </c>
      <c r="U123" t="str">
        <f>IF(Data!$J123="",IFERROR(INDEX(IF(SD!$C$11="Create",Lap!$A$3:$BF$14,IF(SD!$C$11="Per Uploaded File",Lap!$A$19:$BF$30,"")),MATCH(W123,Lap!$A$3:$A$14,0),MATCH(VALUE(D123),Lap!$A$3:$BF$3,0)+IF(IFERROR(FIND("Grade 60",J123),0)&gt;0,0,IF(IFERROR(FIND("Grade 80",J123),0),1,IF(IFERROR(FIND("Grade 75",J123),0),2,"")))),""),Data!J123)</f>
        <v>5-1</v>
      </c>
      <c r="W123" t="s">
        <v>176</v>
      </c>
      <c r="X123">
        <v>6</v>
      </c>
      <c r="Y123" t="str">
        <f t="shared" si="28"/>
        <v>30</v>
      </c>
      <c r="Z123">
        <f t="shared" si="29"/>
        <v>0</v>
      </c>
      <c r="AA123" s="24">
        <f t="shared" si="30"/>
        <v>15.666666666666666</v>
      </c>
      <c r="BB123" t="e" cm="1">
        <f t="array" ref="BB123">_xlfn.LET(_xlpm.PartF,(_xlfn.LET(_xlpm.grade, Q123,_xlpm.gradeRange, IF(_xlpm.grade=SD!$H$3, A615GR60, IF(_xlpm.grade=SD!$H$4, A615GR75, IF(_xlpm.grade=SD!$H$5, A615GR80, IF(_xlpm.grade=SD!$H$6, A615GR100, IF(_xlpm.grade=SD!$H$7, A706GR60, IF(_xlpm.grade=SD!$H$8, A706GR80)))))),_xlpm.matchValue, MATCH(1, (SD!$AW:$AW=AS123)*(SD!$AX:$AX=SD!$C$8), 0),INDEX(_xlpm.gradeRange, _xlpm.matchValue))),IF(AM123="Spiral",CONCATENATE("SP",_xlpm.PartF),_xlpm.PartF))</f>
        <v>#N/A</v>
      </c>
      <c r="BC123" cm="1">
        <f t="array" ref="BC123">_xlfn.LET(_xlpm.leftPart, LEFT(O123, FIND("@", O123) - 2),_xlpm.grade,Q123,_xlpm.gradeRange,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3" cm="1">
        <f t="array" ref="BD123">_xlfn.LET(_xlpm.leftPart, LEFT(P123, FIND("@", P123) - 2),_xlpm.grade, Q123,_xlpm.gradeRange,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3">
        <f t="shared" si="31"/>
        <v>2.5</v>
      </c>
      <c r="BF123">
        <f>IF(SD!$C$32=SD!$I$2,BE123,IF(SD!$C$32=SD!$I$3,DO123,IF(SD!$C$32=SD!$I$5,BA123,IF(SD!$C$32=SD!$I$6,(LEFT(SD!$C$35,FIND("-",SD!$C$35)-1)+RIGHT(SD!$C$35,LEN(SD!$C$35)-FIND("-",SD!$C$35))/12),IF(SD!$C$32=SD!$I$4,(AU123-(BG123+BH123)))))))</f>
        <v>0</v>
      </c>
      <c r="BG123">
        <f>IF(SD!$C$33=SD!$I$2,BE123,IF(SD!$C$33=SD!$I$3,DO123,IF(SD!$C$33=SD!$I$5,BA123,IF(SD!$C$33=SD!$I$6,(LEFT(SD!$C$35,FIND("-",SD!$C$35)-1)+RIGHT(SD!$C$35,LEN(SD!$C$35)-FIND("-",SD!$C$35))/12),IF(SD!$C$33=SD!$I$4,(AU123-(BF123+BH123)))))))</f>
        <v>-1</v>
      </c>
      <c r="BH123">
        <f>IF(SD!$C$34=SD!$I$2,BE123,IF(SD!$C$34=SD!$I$3,DO123,IF(SD!$C$34=SD!$I$5,BA123,IF(SD!$C$34=SD!$I$6,(LEFT(SD!$C$35,FIND("-",SD!$C$35)-1)+RIGHT(SD!$C$35,LEN(SD!$C$35)-FIND("-",SD!$C$35))/12),IF(SD!$C$34=SD!$I$4,(AU123-(BF123+BG123)))))))</f>
        <v>1</v>
      </c>
      <c r="BJ123">
        <f>IF(AM123="Spiral","1",MAX(ROUNDUP(IF(SD!$C$32="",AT123,BF123/(LEFT(RIGHT(N123,LEN(N123)-FIND("@",N123)),LEN(RIGHT(N123,LEN(N123)-FIND("@",N123)))-1)/12)+1),0),0))</f>
        <v>1</v>
      </c>
      <c r="BK123">
        <f>MAX(ROUNDUP(IF(SD!$C$33="","",BG123/(LEFT(RIGHT(O123,LEN(O123)-FIND("@",O123)),LEN(RIGHT(O123,LEN(O123)-FIND("@",O123)))-1)/12)+1),0),0)</f>
        <v>0</v>
      </c>
      <c r="BL123">
        <f>MAX(ROUNDUP(IF(SD!$C$34="","",BH123/(LEFT(RIGHT(P123,LEN(P123)-FIND("@",P123)),LEN(RIGHT(P123,LEN(P123)-FIND("@",P123)))-1)/12)+1),0),0)</f>
        <v>3</v>
      </c>
      <c r="BN123" t="e">
        <f t="shared" si="32"/>
        <v>#N/A</v>
      </c>
      <c r="BO123" t="e">
        <f t="shared" si="33"/>
        <v>#N/A</v>
      </c>
      <c r="BP123" t="e">
        <f t="shared" si="34"/>
        <v>#N/A</v>
      </c>
      <c r="BQ123" s="24" t="e">
        <f>IF(AM123=TRUE,(((Y123-(SD!$E$12*2))*3.14159265359)+BN123+BO123+BP123)/12+AL123,SUM(AF123:AG123,BN123,BO123,BP123,AO123,AQ123)/12)</f>
        <v>#N/A</v>
      </c>
      <c r="BR123" t="e">
        <f t="shared" si="35"/>
        <v>#N/A</v>
      </c>
      <c r="BS123" t="e">
        <f t="shared" si="36"/>
        <v>#N/A</v>
      </c>
      <c r="BT123" t="e">
        <f t="shared" si="37"/>
        <v>#N/A</v>
      </c>
      <c r="BU123" s="24" t="e">
        <f>IF(AM123=TRUE,(((Y123-(SD!$E$12*2))*3.14159265359)+BR123+BS123+BT123)/12+AL123,SUM(AF123:AG123,BR123,BS123,BT123,AO123,AQ123)/12)</f>
        <v>#N/A</v>
      </c>
      <c r="BW123" t="str">
        <f>IFERROR(LEFT(Data!L123,FIND(" -",Data!L123)-1),"")</f>
        <v/>
      </c>
      <c r="BX123" t="str">
        <f>IFERROR(IF(SD!$C$40=SD!$U$2,W123,IF(SD!$C$40=SD!$U$3,RIGHT(Data!L123,LEN(Data!L123)-(FIND("-",Data!L123)+1)),SD!$C$40)),"")</f>
        <v>#10</v>
      </c>
      <c r="BY123" t="str" cm="1">
        <f t="array" ref="BY123">IFERROR(_xlfn.LET(_xlpm.GRR,IF(AND(SD!$C$19=SD!$H$2,Grade!$G$1="Per level"),VLOOKUP(B123,Grade!$E$1:$F$200,2,FALSE),IF(AND(SD!$C$19=SD!$H$2,Grade!$G$1="Per Bar Size"),VLOOKUP(BX123,Grade!$B$1:$C$12,2,0),SD!$C$19)),_xlpm.is_equal, A122=A123,_xlpm.grade_range, IF(_xlpm.GRR=SD!$H$3, A615GR60,IF(_xlpm.GRR=SD!$H$4, A615GR75,IF(_xlpm.GRR=SD!$H$5, A615GR80,IF(_xlpm.GRR=SD!H127, A615GR100,IF(_xlpm.GRR=SD!$H$7, A706GR60,IF(_xlpm.GRR=SD!$H$8, A706GR80)))))),_xlpm.match_result, MATCH(1, (BSize=BX123)*(BCName=SD!$C$8), 0),_xlpm.final_result, INDEX(_xlpm.grade_range, _xlpm.match_result),IF(_xlpm.is_equal, "", _xlpm.final_result)),"")</f>
        <v/>
      </c>
      <c r="BZ123" t="str">
        <f>IF(A122=A123,"",IF(SD!$C$41="Match Vertical Bars ",X123,IF(SD!$C$41=SD!$V$3,BW123,SD!$C$41)))</f>
        <v/>
      </c>
      <c r="CA123" t="str" cm="1">
        <f t="array" ref="CA123">IF(A122=A123,"",IF(SD!$C$44="No T-Head",IF(SD!$C$42=SD!$Q$3,VLOOKUP(BX123,S90Range,3,FALSE),LEFT(SD!$C$42,FIND("-",SD!$C$42)-1)+(RIGHT(SD!$C$42,LEN(SD!$C$42)-FIND("-",SD!$C$42))/12)),IF(SD!$C$44="T-Head",_xlfn._xlws.FILTER(THead,(TCName=SD!$C$8)*(TSize=BX123)),IF(SD!$C$44="Level Wise",_xlfn.LET(_xlpm.result,_xlfn.XLOOKUP(B123,VDLevel,VDLevelStatus,"No"),IF(_xlpm.result="Yes",_xlfn._xlws.FILTER(THead,(TCName=SD!$C$8)*(TSize=BX123)),IF(SD!$C$42=SD!$Q$3,VLOOKUP(BX123,S90Range,3,FALSE),LEFT(SD!$C$42,FIND("-",SD!$C$42)-1)+(RIGHT(SD!$C$42,LEN(SD!$C$42)-FIND("-", SD!$C$42))/12)))),IF(SD!$C$44="BarSize Wise",_xlfn.LET(_xlpm.result,_xlfn.XLOOKUP(BX123,VDBarSize,VDBarSizeStatus,"No"),IF(_xlpm.result="Yes",_xlfn._xlws.FILTER(THead,(TCName=SD!$C$8)*(TSize=BX123)),IF(SD!$C$42=SD!$Q$3,VLOOKUP(BX123,S90Range,3,FALSE),LEFT(SD!$C$42,FIND("-",SD!$C$42)-1)+(RIGHT(SD!$C$42,LEN(SD!$C$42)-FIND("-",SD!$C$42))/12)))), "")))))</f>
        <v/>
      </c>
      <c r="CB123" t="str" cm="1">
        <f t="array" ref="CB123">_xlfn.LET(_xlpm.GRR,IF(AND(SD!$C$19=SD!$H$2,Grade!$G$1="Per level"),VLOOKUP(B123,Grade!$E$1:$F$200,2,FALSE),IF(AND(SD!$C$19=SD!$H$2,Grade!$G$1="Per Bar Size"),VLOOKUP(BX123,Grade!$B$1:$C$12,2,0),SD!$C$19)),_xlpm.is_coupler, K123="Coupler",_xlpm.condition1, SD!$C$43=SD!$W$2,_xlpm.data_j2_empty, Data!$J123="",_xlpm.lookup_table, IF(SD!$C$11="Create", Lap!$A$3:$BF$14, IF(SD!$C$11="Per Uploaded File", Lap!$A$19:$BF$30, "")),_xlpm.row_match, MATCH(BX123, Lap!$A$3:$A$14, 0),_xlpm.grade_offset, IF(IFERROR(FIND("Grade 60",_xlpm.GRR), 0) &gt; 0, 0, IF(IFERROR(FIND("Grade 80",_xlpm.GRR), 0), 1, IF(IFERROR(FIND("Grade 75",_xlpm.GRR), 0), 2, ""))),_xlpm.col_match, MATCH(VALUE(D123), Lap!$A$3:$BF$3, 0) + _xlpm.grade_offset,_xlpm.index_result, IFERROR(INDEX(_xlpm.lookup_table, _xlpm.row_match, _xlpm.col_match), Data!$J123),_xlpm.result_if_condition1, IF(_xlpm.data_j2_empty, _xlpm.index_result, Data!$J123),IF(_xlpm.is_coupler, 0, IF(_xlpm.condition1, _xlpm.result_if_condition1, SD!$C$43)))</f>
        <v>5-1</v>
      </c>
      <c r="CC123" s="24">
        <f t="shared" si="38"/>
        <v>5.083333333333333</v>
      </c>
      <c r="CD123">
        <f t="shared" si="39"/>
        <v>5.75</v>
      </c>
      <c r="CE123" t="str" cm="1">
        <f t="array" ref="CE123">IF(BY123="","",_xlfn._xlws.FILTER(SAC,(CName=SD!$C$8)*(EName="Vert Dowels")))</f>
        <v/>
      </c>
      <c r="CF123" t="str" cm="1">
        <f t="array" ref="CF123">IFERROR(IF(BY123="","",IF(K123="Coupler",_xlfn._xlws.FILTER(CCoupler,(CCName=SD!$C$8)*(CBSize=IF(A122=A123,W122&amp;W123,BX123&amp;W123))*(CCMFM="Male")),"")),"N/A")</f>
        <v/>
      </c>
      <c r="CG123" t="str">
        <f t="shared" si="40"/>
        <v/>
      </c>
      <c r="CH123" t="str">
        <f t="shared" si="41"/>
        <v/>
      </c>
      <c r="CI123" t="str">
        <f>_xlfn.LET(_xlpm.u3_value, U124,_xlpm.hyphen_pos,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K124="Coupler",_xlpm.coupler_value, IF(_xlpm.is_coupler, 0, _xlpm.calculated_value),_xlpm.final_value, _xlpm.calculated_value + SD!$E$13 + _xlpm.coupler_value,IF(CG123="", "", _xlpm.final_value))</f>
        <v/>
      </c>
      <c r="CJ123" t="str" cm="1">
        <f t="array" ref="CJ123">IF(CG123="","",_xlfn._xlws.FILTER(SAC,(CName=SD!$C$8)*(EName="Loose Dowels")))</f>
        <v/>
      </c>
      <c r="CK123" t="str" cm="1">
        <f t="array" ref="CK123">IFERROR(IF(CG123="","",IF(K124="Coupler",_xlfn._xlws.FILTER(CCoupler,(CCName=SD!$C$8)*(CBSize=IF(A123=A124,W123&amp;W124,""))*(CCMFM="Male")),"")),"N/A")</f>
        <v/>
      </c>
      <c r="CL123" t="str">
        <f>IFERROR(IF(AM123="Spiral","",IF(A122=A123,"",IF(SD!$C$37=0,"",SD!$C$37))),"")</f>
        <v/>
      </c>
      <c r="CN123">
        <f>IF(AM123="Spiral","",IFERROR(IF(SD!$C$36=0,"",SD!$C$36),""))</f>
        <v>5</v>
      </c>
      <c r="CP123" t="str">
        <f>IFERROR(IF(SD!$C$42=SD!$Q$3,'Take-off'!CA123,""),"")</f>
        <v/>
      </c>
      <c r="CR123">
        <f>IFERROR(IF(SD!$C$22=SD!$U$2,W123,SD!$C$22),"")</f>
        <v>0</v>
      </c>
      <c r="CS123" t="str" cm="1">
        <f t="array" ref="CS123">_xlfn.LET(_xlpm.GR,IF(AND(SD!$C$19=SD!$H$2,Grade!$G$1="Per level"),VLOOKUP(B123,Grade!$E$1:$F$200,2,FALSE),IF(AND(SD!$C$19=SD!$H$2,Grade!$G$1="Per Bar Size"),VLOOKUP(CR123,Grade!$B$1:$C$12,2,0),SD!$C$19)),IF(SD!$C$20=SD!$R$4,IF(A124=A123,"",INDEX(IF(_xlpm.GR=SD!$H$3,A615GR60,IF(_xlpm.GR=SD!$H$4,A615GR75,IF(_xlpm.GR=SD!$H$5,A615GR80,IF(_xlpm.GR=SD!H127,A615GR100,IF(_xlpm.GR=SD!$H$7,A706GR60,IF(_xlpm.GR=SD!$H$8,A706GR80)))))), MATCH(1, (BSize=CR123)*(BCName=SD!$C$8), 0))),""))</f>
        <v/>
      </c>
      <c r="CT123" t="str">
        <f>IF(A124=A123,"",IF(SD!$C$23="Match Vertical Bars ",X123,SD!$C$23))</f>
        <v/>
      </c>
      <c r="CU123" t="str" cm="1">
        <f t="array" ref="CU123">IF(A124=A123,"",IF(SD!$C$20="Top dowels",IF(SD!$E$25="No T-Head",IF(SD!$C$24=SD!$Q$3,VLOOKUP(CR123,S90Range,3,FALSE),LEFT(SD!$C$24,FIND("-",SD!$C$24)-1)+(RIGHT(SD!$C$24,LEN(SD!$C$24)-FIND("-",SD!$C$24))/12)),IF(SD!$E$25="T-Head",_xlfn._xlws.FILTER(THead,(TCName=SD!$C$8)*(TSize=CR123)),IF(SD!$E$25="Level Wise",_xlfn.LET(_xlpm.result,_xlfn.XLOOKUP(B123,TDLevel,TDLevelStatus,"No"),IF(_xlpm.result="Yes",_xlfn._xlws.FILTER(THead,(TCName=SD!$C$8)*(TSize=CR123)),IF(SD!$C$24=SD!$Q$3,VLOOKUP(CR123,S90Range,3,FALSE),LEFT(SD!$C$24,FIND("-",SD!$C$24)-1)+(RIGHT(SD!$C$24,LEN(SD!$C$24)-FIND("-", SD!$C$24))/12)))),IF(SD!$E$25="BarSize Wise",_xlfn.LET(_xlpm.result,_xlfn.XLOOKUP(CR123,TDBarSize,TDBarSizeStatus,"No"),IF(_xlpm.result="Yes",_xlfn._xlws.FILTER(THead,(TCName=SD!$C$8)*(TSize=CR123)),IF(SD!$C$24=SD!$Q$3,VLOOKUP(CR123,S90Range,3,FALSE),LEFT(SD!$C$24,FIND("-",SD!$C$24)-1)+(RIGHT(SD!$C$24,LEN(SD!$C$24)-FIND("-",SD!$C$24))/12)))), "")))),""))</f>
        <v/>
      </c>
      <c r="CV123" t="str">
        <f>_xlfn.LET(_xlpm.GRR,IF(AND(SD!$C$19=SD!$H$2,Grade!$G$1="Per level"),VLOOKUP(B123,Grade!$E$1:$F$200,2,FALSE),IF(AND(SD!$C$19=SD!$H$2,Grade!$G$1="Per Bar Size"),VLOOKUP(CR123,Grade!$B$1:$C$12,2,0),SD!$C$19)),IF(SD!$C$25=SD!$W$2,IF(Data!$J123="",IFERROR(INDEX(IF(SD!$C$11="Create",Lap!$A$3:$BF$14,IF(SD!$C$11="Per Uploaded File",Lap!$A$19:$BF$30,"")),MATCH(CR123,Lap!$A$3:$A$14,0),MATCH(VALUE(D123),Lap!$A$3:$BF$3,0)+IF(IFERROR(FIND("Grade 60",_xlpm.GRR),0)&gt;0,0,IF(IFERROR(FIND("Grade 80",_xlpm.GRR),0),1,IF(IFERROR(FIND("Grade 75",_xlpm.GRR),0),2,"")))),""),Data!J123),SD!$C$43))</f>
        <v>Match Lap</v>
      </c>
      <c r="CW123">
        <f t="shared" si="42"/>
        <v>0</v>
      </c>
      <c r="CX123">
        <f t="shared" si="43"/>
        <v>0</v>
      </c>
      <c r="CY123" t="str">
        <f t="shared" si="44"/>
        <v/>
      </c>
      <c r="DA123" t="str">
        <f t="shared" si="45"/>
        <v/>
      </c>
      <c r="DB123" t="str">
        <f t="shared" si="46"/>
        <v/>
      </c>
      <c r="DC123" s="24" t="str">
        <f t="shared" si="47"/>
        <v/>
      </c>
      <c r="DD123">
        <f t="shared" si="48"/>
        <v>10.583333333333334</v>
      </c>
      <c r="DE123" t="s">
        <v>785</v>
      </c>
      <c r="DF123" t="s">
        <v>67</v>
      </c>
      <c r="DG123" t="str">
        <f>VLOOKUP(W123,'Level Wise PSI'!$F$2:$G$12,2,FALSE)</f>
        <v>Double Lift</v>
      </c>
      <c r="DI123" t="str" cm="1">
        <f t="array" ref="DI123">_xlfn.LET(_xlpm.Coup,IFERROR(IF(BY123="","",IF(K123="Coupler",_xlfn._xlws.FILTER(CCFCoupler,(CCName=SD!$C$8)*(CBSize=IF(A122=A123,W122&amp;W123,BX123&amp;W123))),"")),"N/A"),IF(_xlpm.Coup=0,"",_xlpm.Coup))</f>
        <v/>
      </c>
      <c r="DJ123" t="str" cm="1">
        <f t="array" ref="DJ123">_xlfn.LET(_xlpm.Coup3,IFERROR(IF(CG123="","",IF(K124="Coupler",_xlfn._xlws.FILTER(CCFCoupler,(CCName=SD!$C$8)*(CBSize=IF(A123=A124,W123&amp;W124,""))),"")),"N/A"),IF(_xlpm.Coup3=0,"",_xlpm.Coup3))</f>
        <v/>
      </c>
      <c r="DK123" t="str" cm="1">
        <f t="array" ref="DK123">_xlfn.LET(_xlpm.Coup2,IFERROR(IF(A123&lt;&gt;A124,"",IF(DF123="No Lap","",IF(K124="Coupler",_xlfn._xlws.FILTER(CCFCoupler,(CCName=SD!$C$8)*(CBSize=IF(A122=A123,W123&amp;W124,W123&amp;W123))),""))),"N/A"),IF(_xlpm.Coup2=0,"",_xlpm.Coup2))</f>
        <v/>
      </c>
      <c r="DM123" t="str">
        <f>IF(AM123="Spiral","",IF(SD!$C$31=SD!$Y$3,SD!$E$32*2,""))</f>
        <v/>
      </c>
      <c r="DO123" s="24">
        <f t="shared" si="49"/>
        <v>2.5</v>
      </c>
      <c r="DQ123" t="str">
        <f t="shared" si="50"/>
        <v>Lig</v>
      </c>
      <c r="DR123" t="str">
        <f>IF(AM123="Spiral",((Y123-(SD!$E$12*2))/12),"")</f>
        <v/>
      </c>
      <c r="DS123" t="str">
        <f t="shared" si="51"/>
        <v/>
      </c>
      <c r="DT123" t="str">
        <f t="shared" si="52"/>
        <v/>
      </c>
      <c r="DU123" t="str">
        <f t="shared" si="53"/>
        <v/>
      </c>
    </row>
    <row r="124" spans="1:125" x14ac:dyDescent="0.25">
      <c r="A124">
        <v>45</v>
      </c>
      <c r="B124" t="s">
        <v>680</v>
      </c>
      <c r="C124" s="15">
        <v>2429</v>
      </c>
      <c r="D124" s="15">
        <v>10000</v>
      </c>
      <c r="E124" t="str">
        <f>IF(B124=Level!$A$2,SD!$C$14,SD!$C$13)</f>
        <v>0-8</v>
      </c>
      <c r="F124" s="15" t="s">
        <v>787</v>
      </c>
      <c r="G124" t="s">
        <v>742</v>
      </c>
      <c r="H124" t="str">
        <f>RIGHT(VLOOKUP(B124,Level!A:C,3,FALSE),LEN(VLOOKUP(B124,Level!A:C,3,FALSE))-1)</f>
        <v>10-7</v>
      </c>
      <c r="I124" t="s">
        <v>743</v>
      </c>
      <c r="J124" t="str">
        <f>IF(AND(SD!$C$19=SD!$H$2,Grade!$G$1="Per level"),VLOOKUP(B124,Grade!$E$1:$F$200,2,FALSE),IF(AND(SD!$C$19=SD!$H$2,Grade!$G$1="Per Bar Size"),VLOOKUP(W124,Grade!$B$1:$C$12,2,0),SD!$C$19))</f>
        <v>A615 Grade 60</v>
      </c>
      <c r="K124" t="s">
        <v>67</v>
      </c>
      <c r="L124" t="str">
        <f>IFERROR(IF(A124&lt;&gt;A125,"",IF(DF124="No Lap","",IF(K125="Lap",U124,IF(K125="Coupler",_xlfn._xlws.FILTER(CCoupler,(CCName=SD!$C$8)*(CBSize=IF(A123=A124,W124&amp;W125,W124&amp;W124))*(CCMFM="Male")),"")))),"N/A")</f>
        <v>5-1</v>
      </c>
      <c r="M124" t="str">
        <f t="shared" si="27"/>
        <v/>
      </c>
      <c r="N124" t="s">
        <v>719</v>
      </c>
      <c r="O124" t="s">
        <v>720</v>
      </c>
      <c r="P124" t="s">
        <v>719</v>
      </c>
      <c r="Q124" t="str">
        <f>IF(AND(SD!$C$29=SD!$P$2,Grade!$O$1="Per level"),VLOOKUP(B124,Grade!$M$1:$N$200,2,FALSE),IF(AND(SD!$C$29=SD!$P$2,Grade!$O$1="Per Bar Size"),VLOOKUP(LEFT(N124,FIND("@",N124)-2),Grade!$J$1:$K$12,2,0),SD!$C$29))</f>
        <v>A615 Grade 60</v>
      </c>
      <c r="R124" t="s">
        <v>742</v>
      </c>
      <c r="S124" s="57">
        <v>124</v>
      </c>
      <c r="U124" t="str">
        <f>IF(Data!$J124="",IFERROR(INDEX(IF(SD!$C$11="Create",Lap!$A$3:$BF$14,IF(SD!$C$11="Per Uploaded File",Lap!$A$19:$BF$30,"")),MATCH(W124,Lap!$A$3:$A$14,0),MATCH(VALUE(D124),Lap!$A$3:$BF$3,0)+IF(IFERROR(FIND("Grade 60",J124),0)&gt;0,0,IF(IFERROR(FIND("Grade 80",J124),0),1,IF(IFERROR(FIND("Grade 75",J124),0),2,"")))),""),Data!J124)</f>
        <v>5-1</v>
      </c>
      <c r="W124" t="s">
        <v>176</v>
      </c>
      <c r="X124">
        <v>6</v>
      </c>
      <c r="Y124" t="str">
        <f t="shared" si="28"/>
        <v>30</v>
      </c>
      <c r="Z124">
        <f t="shared" si="29"/>
        <v>0</v>
      </c>
      <c r="AA124" s="24">
        <f t="shared" si="30"/>
        <v>15.666666666666666</v>
      </c>
      <c r="BB124" t="e" cm="1">
        <f t="array" ref="BB124">_xlfn.LET(_xlpm.PartF,(_xlfn.LET(_xlpm.grade, Q124,_xlpm.gradeRange, IF(_xlpm.grade=SD!$H$3, A615GR60, IF(_xlpm.grade=SD!$H$4, A615GR75, IF(_xlpm.grade=SD!$H$5, A615GR80, IF(_xlpm.grade=SD!$H$6, A615GR100, IF(_xlpm.grade=SD!$H$7, A706GR60, IF(_xlpm.grade=SD!$H$8, A706GR80)))))),_xlpm.matchValue, MATCH(1, (SD!$AW:$AW=AS124)*(SD!$AX:$AX=SD!$C$8), 0),INDEX(_xlpm.gradeRange, _xlpm.matchValue))),IF(AM124="Spiral",CONCATENATE("SP",_xlpm.PartF),_xlpm.PartF))</f>
        <v>#N/A</v>
      </c>
      <c r="BC124" cm="1">
        <f t="array" ref="BC124">_xlfn.LET(_xlpm.leftPart, LEFT(O124, FIND("@", O124) - 2),_xlpm.grade,Q124,_xlpm.gradeRange,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4" cm="1">
        <f t="array" ref="BD124">_xlfn.LET(_xlpm.leftPart, LEFT(P124, FIND("@", P124) - 2),_xlpm.grade, Q124,_xlpm.gradeRange,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4">
        <f t="shared" si="31"/>
        <v>2.5</v>
      </c>
      <c r="BF124">
        <f>IF(SD!$C$32=SD!$I$2,BE124,IF(SD!$C$32=SD!$I$3,DO124,IF(SD!$C$32=SD!$I$5,BA124,IF(SD!$C$32=SD!$I$6,(LEFT(SD!$C$35,FIND("-",SD!$C$35)-1)+RIGHT(SD!$C$35,LEN(SD!$C$35)-FIND("-",SD!$C$35))/12),IF(SD!$C$32=SD!$I$4,(AU124-(BG124+BH124)))))))</f>
        <v>0</v>
      </c>
      <c r="BG124">
        <f>IF(SD!$C$33=SD!$I$2,BE124,IF(SD!$C$33=SD!$I$3,DO124,IF(SD!$C$33=SD!$I$5,BA124,IF(SD!$C$33=SD!$I$6,(LEFT(SD!$C$35,FIND("-",SD!$C$35)-1)+RIGHT(SD!$C$35,LEN(SD!$C$35)-FIND("-",SD!$C$35))/12),IF(SD!$C$33=SD!$I$4,(AU124-(BF124+BH124)))))))</f>
        <v>-1</v>
      </c>
      <c r="BH124">
        <f>IF(SD!$C$34=SD!$I$2,BE124,IF(SD!$C$34=SD!$I$3,DO124,IF(SD!$C$34=SD!$I$5,BA124,IF(SD!$C$34=SD!$I$6,(LEFT(SD!$C$35,FIND("-",SD!$C$35)-1)+RIGHT(SD!$C$35,LEN(SD!$C$35)-FIND("-",SD!$C$35))/12),IF(SD!$C$34=SD!$I$4,(AU124-(BF124+BG124)))))))</f>
        <v>1</v>
      </c>
      <c r="BJ124">
        <f>IF(AM124="Spiral","1",MAX(ROUNDUP(IF(SD!$C$32="",AT124,BF124/(LEFT(RIGHT(N124,LEN(N124)-FIND("@",N124)),LEN(RIGHT(N124,LEN(N124)-FIND("@",N124)))-1)/12)+1),0),0))</f>
        <v>1</v>
      </c>
      <c r="BK124">
        <f>MAX(ROUNDUP(IF(SD!$C$33="","",BG124/(LEFT(RIGHT(O124,LEN(O124)-FIND("@",O124)),LEN(RIGHT(O124,LEN(O124)-FIND("@",O124)))-1)/12)+1),0),0)</f>
        <v>0</v>
      </c>
      <c r="BL124">
        <f>MAX(ROUNDUP(IF(SD!$C$34="","",BH124/(LEFT(RIGHT(P124,LEN(P124)-FIND("@",P124)),LEN(RIGHT(P124,LEN(P124)-FIND("@",P124)))-1)/12)+1),0),0)</f>
        <v>3</v>
      </c>
      <c r="BN124" t="e">
        <f t="shared" si="32"/>
        <v>#N/A</v>
      </c>
      <c r="BO124" t="e">
        <f t="shared" si="33"/>
        <v>#N/A</v>
      </c>
      <c r="BP124" t="e">
        <f t="shared" si="34"/>
        <v>#N/A</v>
      </c>
      <c r="BQ124" s="24" t="e">
        <f>IF(AM124=TRUE,(((Y124-(SD!$E$12*2))*3.14159265359)+BN124+BO124+BP124)/12+AL124,SUM(AF124:AG124,BN124,BO124,BP124,AO124,AQ124)/12)</f>
        <v>#N/A</v>
      </c>
      <c r="BR124" t="e">
        <f t="shared" si="35"/>
        <v>#N/A</v>
      </c>
      <c r="BS124" t="e">
        <f t="shared" si="36"/>
        <v>#N/A</v>
      </c>
      <c r="BT124" t="e">
        <f t="shared" si="37"/>
        <v>#N/A</v>
      </c>
      <c r="BU124" s="24" t="e">
        <f>IF(AM124=TRUE,(((Y124-(SD!$E$12*2))*3.14159265359)+BR124+BS124+BT124)/12+AL124,SUM(AF124:AG124,BR124,BS124,BT124,AO124,AQ124)/12)</f>
        <v>#N/A</v>
      </c>
      <c r="BW124" t="str">
        <f>IFERROR(LEFT(Data!L124,FIND(" -",Data!L124)-1),"")</f>
        <v/>
      </c>
      <c r="BX124" t="str">
        <f>IFERROR(IF(SD!$C$40=SD!$U$2,W124,IF(SD!$C$40=SD!$U$3,RIGHT(Data!L124,LEN(Data!L124)-(FIND("-",Data!L124)+1)),SD!$C$40)),"")</f>
        <v>#10</v>
      </c>
      <c r="BY124" t="str" cm="1">
        <f t="array" ref="BY124">IFERROR(_xlfn.LET(_xlpm.GRR,IF(AND(SD!$C$19=SD!$H$2,Grade!$G$1="Per level"),VLOOKUP(B124,Grade!$E$1:$F$200,2,FALSE),IF(AND(SD!$C$19=SD!$H$2,Grade!$G$1="Per Bar Size"),VLOOKUP(BX124,Grade!$B$1:$C$12,2,0),SD!$C$19)),_xlpm.is_equal, A123=A124,_xlpm.grade_range, IF(_xlpm.GRR=SD!$H$3, A615GR60,IF(_xlpm.GRR=SD!$H$4, A615GR75,IF(_xlpm.GRR=SD!$H$5, A615GR80,IF(_xlpm.GRR=SD!H128, A615GR100,IF(_xlpm.GRR=SD!$H$7, A706GR60,IF(_xlpm.GRR=SD!$H$8, A706GR80)))))),_xlpm.match_result, MATCH(1, (BSize=BX124)*(BCName=SD!$C$8), 0),_xlpm.final_result, INDEX(_xlpm.grade_range, _xlpm.match_result),IF(_xlpm.is_equal, "", _xlpm.final_result)),"")</f>
        <v/>
      </c>
      <c r="BZ124" t="str">
        <f>IF(A123=A124,"",IF(SD!$C$41="Match Vertical Bars ",X124,IF(SD!$C$41=SD!$V$3,BW124,SD!$C$41)))</f>
        <v/>
      </c>
      <c r="CA124" t="str" cm="1">
        <f t="array" ref="CA124">IF(A123=A124,"",IF(SD!$C$44="No T-Head",IF(SD!$C$42=SD!$Q$3,VLOOKUP(BX124,S90Range,3,FALSE),LEFT(SD!$C$42,FIND("-",SD!$C$42)-1)+(RIGHT(SD!$C$42,LEN(SD!$C$42)-FIND("-",SD!$C$42))/12)),IF(SD!$C$44="T-Head",_xlfn._xlws.FILTER(THead,(TCName=SD!$C$8)*(TSize=BX124)),IF(SD!$C$44="Level Wise",_xlfn.LET(_xlpm.result,_xlfn.XLOOKUP(B124,VDLevel,VDLevelStatus,"No"),IF(_xlpm.result="Yes",_xlfn._xlws.FILTER(THead,(TCName=SD!$C$8)*(TSize=BX124)),IF(SD!$C$42=SD!$Q$3,VLOOKUP(BX124,S90Range,3,FALSE),LEFT(SD!$C$42,FIND("-",SD!$C$42)-1)+(RIGHT(SD!$C$42,LEN(SD!$C$42)-FIND("-", SD!$C$42))/12)))),IF(SD!$C$44="BarSize Wise",_xlfn.LET(_xlpm.result,_xlfn.XLOOKUP(BX124,VDBarSize,VDBarSizeStatus,"No"),IF(_xlpm.result="Yes",_xlfn._xlws.FILTER(THead,(TCName=SD!$C$8)*(TSize=BX124)),IF(SD!$C$42=SD!$Q$3,VLOOKUP(BX124,S90Range,3,FALSE),LEFT(SD!$C$42,FIND("-",SD!$C$42)-1)+(RIGHT(SD!$C$42,LEN(SD!$C$42)-FIND("-",SD!$C$42))/12)))), "")))))</f>
        <v/>
      </c>
      <c r="CB124" t="str" cm="1">
        <f t="array" ref="CB124">_xlfn.LET(_xlpm.GRR,IF(AND(SD!$C$19=SD!$H$2,Grade!$G$1="Per level"),VLOOKUP(B124,Grade!$E$1:$F$200,2,FALSE),IF(AND(SD!$C$19=SD!$H$2,Grade!$G$1="Per Bar Size"),VLOOKUP(BX124,Grade!$B$1:$C$12,2,0),SD!$C$19)),_xlpm.is_coupler, K124="Coupler",_xlpm.condition1, SD!$C$43=SD!$W$2,_xlpm.data_j2_empty, Data!$J124="",_xlpm.lookup_table, IF(SD!$C$11="Create", Lap!$A$3:$BF$14, IF(SD!$C$11="Per Uploaded File", Lap!$A$19:$BF$30, "")),_xlpm.row_match, MATCH(BX124, Lap!$A$3:$A$14, 0),_xlpm.grade_offset, IF(IFERROR(FIND("Grade 60",_xlpm.GRR), 0) &gt; 0, 0, IF(IFERROR(FIND("Grade 80",_xlpm.GRR), 0), 1, IF(IFERROR(FIND("Grade 75",_xlpm.GRR), 0), 2, ""))),_xlpm.col_match, MATCH(VALUE(D124), Lap!$A$3:$BF$3, 0) + _xlpm.grade_offset,_xlpm.index_result, IFERROR(INDEX(_xlpm.lookup_table, _xlpm.row_match, _xlpm.col_match), Data!$J124),_xlpm.result_if_condition1, IF(_xlpm.data_j2_empty, _xlpm.index_result, Data!$J124),IF(_xlpm.is_coupler, 0, IF(_xlpm.condition1, _xlpm.result_if_condition1, SD!$C$43)))</f>
        <v>5-1</v>
      </c>
      <c r="CC124" s="24">
        <f t="shared" si="38"/>
        <v>5.083333333333333</v>
      </c>
      <c r="CD124">
        <f t="shared" si="39"/>
        <v>5.75</v>
      </c>
      <c r="CE124" t="str" cm="1">
        <f t="array" ref="CE124">IF(BY124="","",_xlfn._xlws.FILTER(SAC,(CName=SD!$C$8)*(EName="Vert Dowels")))</f>
        <v/>
      </c>
      <c r="CF124" t="str" cm="1">
        <f t="array" ref="CF124">IFERROR(IF(BY124="","",IF(K124="Coupler",_xlfn._xlws.FILTER(CCoupler,(CCName=SD!$C$8)*(CBSize=IF(A123=A124,W123&amp;W124,BX124&amp;W124))*(CCMFM="Male")),"")),"N/A")</f>
        <v/>
      </c>
      <c r="CG124" t="str">
        <f t="shared" si="40"/>
        <v/>
      </c>
      <c r="CH124" t="str">
        <f t="shared" si="41"/>
        <v/>
      </c>
      <c r="CI124" t="str">
        <f>_xlfn.LET(_xlpm.u3_value, U125,_xlpm.hyphen_pos,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K125="Coupler",_xlpm.coupler_value, IF(_xlpm.is_coupler, 0, _xlpm.calculated_value),_xlpm.final_value, _xlpm.calculated_value + SD!$E$13 + _xlpm.coupler_value,IF(CG124="", "", _xlpm.final_value))</f>
        <v/>
      </c>
      <c r="CJ124" t="str" cm="1">
        <f t="array" ref="CJ124">IF(CG124="","",_xlfn._xlws.FILTER(SAC,(CName=SD!$C$8)*(EName="Loose Dowels")))</f>
        <v/>
      </c>
      <c r="CK124" t="str" cm="1">
        <f t="array" ref="CK124">IFERROR(IF(CG124="","",IF(K125="Coupler",_xlfn._xlws.FILTER(CCoupler,(CCName=SD!$C$8)*(CBSize=IF(A124=A125,W124&amp;W125,""))*(CCMFM="Male")),"")),"N/A")</f>
        <v/>
      </c>
      <c r="CL124" t="str">
        <f>IFERROR(IF(AM124="Spiral","",IF(A123=A124,"",IF(SD!$C$37=0,"",SD!$C$37))),"")</f>
        <v/>
      </c>
      <c r="CN124">
        <f>IF(AM124="Spiral","",IFERROR(IF(SD!$C$36=0,"",SD!$C$36),""))</f>
        <v>5</v>
      </c>
      <c r="CP124" t="str">
        <f>IFERROR(IF(SD!$C$42=SD!$Q$3,'Take-off'!CA124,""),"")</f>
        <v/>
      </c>
      <c r="CR124">
        <f>IFERROR(IF(SD!$C$22=SD!$U$2,W124,SD!$C$22),"")</f>
        <v>0</v>
      </c>
      <c r="CS124" t="str" cm="1">
        <f t="array" ref="CS124">_xlfn.LET(_xlpm.GR,IF(AND(SD!$C$19=SD!$H$2,Grade!$G$1="Per level"),VLOOKUP(B124,Grade!$E$1:$F$200,2,FALSE),IF(AND(SD!$C$19=SD!$H$2,Grade!$G$1="Per Bar Size"),VLOOKUP(CR124,Grade!$B$1:$C$12,2,0),SD!$C$19)),IF(SD!$C$20=SD!$R$4,IF(A125=A124,"",INDEX(IF(_xlpm.GR=SD!$H$3,A615GR60,IF(_xlpm.GR=SD!$H$4,A615GR75,IF(_xlpm.GR=SD!$H$5,A615GR80,IF(_xlpm.GR=SD!H128,A615GR100,IF(_xlpm.GR=SD!$H$7,A706GR60,IF(_xlpm.GR=SD!$H$8,A706GR80)))))), MATCH(1, (BSize=CR124)*(BCName=SD!$C$8), 0))),""))</f>
        <v/>
      </c>
      <c r="CT124" t="str">
        <f>IF(A125=A124,"",IF(SD!$C$23="Match Vertical Bars ",X124,SD!$C$23))</f>
        <v/>
      </c>
      <c r="CU124" t="str" cm="1">
        <f t="array" ref="CU124">IF(A125=A124,"",IF(SD!$C$20="Top dowels",IF(SD!$E$25="No T-Head",IF(SD!$C$24=SD!$Q$3,VLOOKUP(CR124,S90Range,3,FALSE),LEFT(SD!$C$24,FIND("-",SD!$C$24)-1)+(RIGHT(SD!$C$24,LEN(SD!$C$24)-FIND("-",SD!$C$24))/12)),IF(SD!$E$25="T-Head",_xlfn._xlws.FILTER(THead,(TCName=SD!$C$8)*(TSize=CR124)),IF(SD!$E$25="Level Wise",_xlfn.LET(_xlpm.result,_xlfn.XLOOKUP(B124,TDLevel,TDLevelStatus,"No"),IF(_xlpm.result="Yes",_xlfn._xlws.FILTER(THead,(TCName=SD!$C$8)*(TSize=CR124)),IF(SD!$C$24=SD!$Q$3,VLOOKUP(CR124,S90Range,3,FALSE),LEFT(SD!$C$24,FIND("-",SD!$C$24)-1)+(RIGHT(SD!$C$24,LEN(SD!$C$24)-FIND("-", SD!$C$24))/12)))),IF(SD!$E$25="BarSize Wise",_xlfn.LET(_xlpm.result,_xlfn.XLOOKUP(CR124,TDBarSize,TDBarSizeStatus,"No"),IF(_xlpm.result="Yes",_xlfn._xlws.FILTER(THead,(TCName=SD!$C$8)*(TSize=CR124)),IF(SD!$C$24=SD!$Q$3,VLOOKUP(CR124,S90Range,3,FALSE),LEFT(SD!$C$24,FIND("-",SD!$C$24)-1)+(RIGHT(SD!$C$24,LEN(SD!$C$24)-FIND("-",SD!$C$24))/12)))), "")))),""))</f>
        <v/>
      </c>
      <c r="CV124" t="str">
        <f>_xlfn.LET(_xlpm.GRR,IF(AND(SD!$C$19=SD!$H$2,Grade!$G$1="Per level"),VLOOKUP(B124,Grade!$E$1:$F$200,2,FALSE),IF(AND(SD!$C$19=SD!$H$2,Grade!$G$1="Per Bar Size"),VLOOKUP(CR124,Grade!$B$1:$C$12,2,0),SD!$C$19)),IF(SD!$C$25=SD!$W$2,IF(Data!$J124="",IFERROR(INDEX(IF(SD!$C$11="Create",Lap!$A$3:$BF$14,IF(SD!$C$11="Per Uploaded File",Lap!$A$19:$BF$30,"")),MATCH(CR124,Lap!$A$3:$A$14,0),MATCH(VALUE(D124),Lap!$A$3:$BF$3,0)+IF(IFERROR(FIND("Grade 60",_xlpm.GRR),0)&gt;0,0,IF(IFERROR(FIND("Grade 80",_xlpm.GRR),0),1,IF(IFERROR(FIND("Grade 75",_xlpm.GRR),0),2,"")))),""),Data!J124),SD!$C$43))</f>
        <v>Match Lap</v>
      </c>
      <c r="CW124">
        <f t="shared" si="42"/>
        <v>0</v>
      </c>
      <c r="CX124">
        <f t="shared" si="43"/>
        <v>0</v>
      </c>
      <c r="CY124" t="str">
        <f t="shared" si="44"/>
        <v/>
      </c>
      <c r="DA124" t="str">
        <f t="shared" si="45"/>
        <v/>
      </c>
      <c r="DB124" t="str">
        <f t="shared" si="46"/>
        <v/>
      </c>
      <c r="DC124" s="24" t="str">
        <f t="shared" si="47"/>
        <v/>
      </c>
      <c r="DD124">
        <f t="shared" si="48"/>
        <v>10.583333333333334</v>
      </c>
      <c r="DE124" t="s">
        <v>785</v>
      </c>
      <c r="DF124" t="s">
        <v>67</v>
      </c>
      <c r="DG124" t="str">
        <f>VLOOKUP(W124,'Level Wise PSI'!$F$2:$G$12,2,FALSE)</f>
        <v>Double Lift</v>
      </c>
      <c r="DI124" t="str" cm="1">
        <f t="array" ref="DI124">_xlfn.LET(_xlpm.Coup,IFERROR(IF(BY124="","",IF(K124="Coupler",_xlfn._xlws.FILTER(CCFCoupler,(CCName=SD!$C$8)*(CBSize=IF(A123=A124,W123&amp;W124,BX124&amp;W124))),"")),"N/A"),IF(_xlpm.Coup=0,"",_xlpm.Coup))</f>
        <v/>
      </c>
      <c r="DJ124" t="str" cm="1">
        <f t="array" ref="DJ124">_xlfn.LET(_xlpm.Coup3,IFERROR(IF(CG124="","",IF(K125="Coupler",_xlfn._xlws.FILTER(CCFCoupler,(CCName=SD!$C$8)*(CBSize=IF(A124=A125,W124&amp;W125,""))),"")),"N/A"),IF(_xlpm.Coup3=0,"",_xlpm.Coup3))</f>
        <v/>
      </c>
      <c r="DK124" t="str" cm="1">
        <f t="array" ref="DK124">_xlfn.LET(_xlpm.Coup2,IFERROR(IF(A124&lt;&gt;A125,"",IF(DF124="No Lap","",IF(K125="Coupler",_xlfn._xlws.FILTER(CCFCoupler,(CCName=SD!$C$8)*(CBSize=IF(A123=A124,W124&amp;W125,W124&amp;W124))),""))),"N/A"),IF(_xlpm.Coup2=0,"",_xlpm.Coup2))</f>
        <v/>
      </c>
      <c r="DM124" t="str">
        <f>IF(AM124="Spiral","",IF(SD!$C$31=SD!$Y$3,SD!$E$32*2,""))</f>
        <v/>
      </c>
      <c r="DO124" s="24">
        <f t="shared" si="49"/>
        <v>2.5</v>
      </c>
      <c r="DQ124" t="str">
        <f t="shared" si="50"/>
        <v>Lig</v>
      </c>
      <c r="DR124" t="str">
        <f>IF(AM124="Spiral",((Y124-(SD!$E$12*2))/12),"")</f>
        <v/>
      </c>
      <c r="DS124" t="str">
        <f t="shared" si="51"/>
        <v/>
      </c>
      <c r="DT124" t="str">
        <f t="shared" si="52"/>
        <v/>
      </c>
      <c r="DU124" t="str">
        <f t="shared" si="53"/>
        <v/>
      </c>
    </row>
    <row r="125" spans="1:125" x14ac:dyDescent="0.25">
      <c r="A125">
        <v>45</v>
      </c>
      <c r="B125" t="s">
        <v>682</v>
      </c>
      <c r="C125" s="15">
        <v>2429</v>
      </c>
      <c r="D125" s="15">
        <v>10000</v>
      </c>
      <c r="E125" t="str">
        <f>IF(B125=Level!$A$2,SD!$C$14,SD!$C$13)</f>
        <v>0-8</v>
      </c>
      <c r="F125" s="15" t="s">
        <v>787</v>
      </c>
      <c r="G125" t="s">
        <v>742</v>
      </c>
      <c r="H125" t="str">
        <f>RIGHT(VLOOKUP(B125,Level!A:C,3,FALSE),LEN(VLOOKUP(B125,Level!A:C,3,FALSE))-1)</f>
        <v>10-7</v>
      </c>
      <c r="I125" t="s">
        <v>743</v>
      </c>
      <c r="J125" t="str">
        <f>IF(AND(SD!$C$19=SD!$H$2,Grade!$G$1="Per level"),VLOOKUP(B125,Grade!$E$1:$F$200,2,FALSE),IF(AND(SD!$C$19=SD!$H$2,Grade!$G$1="Per Bar Size"),VLOOKUP(W125,Grade!$B$1:$C$12,2,0),SD!$C$19))</f>
        <v>A615 Grade 60</v>
      </c>
      <c r="K125" t="s">
        <v>67</v>
      </c>
      <c r="L125" t="str">
        <f>IFERROR(IF(A125&lt;&gt;A126,"",IF(DF125="No Lap","",IF(K126="Lap",U125,IF(K126="Coupler",_xlfn._xlws.FILTER(CCoupler,(CCName=SD!$C$8)*(CBSize=IF(A124=A125,W125&amp;W126,W125&amp;W125))*(CCMFM="Male")),"")))),"N/A")</f>
        <v>5-1</v>
      </c>
      <c r="M125" t="str">
        <f t="shared" si="27"/>
        <v/>
      </c>
      <c r="N125" t="s">
        <v>719</v>
      </c>
      <c r="O125" t="s">
        <v>720</v>
      </c>
      <c r="P125" t="s">
        <v>719</v>
      </c>
      <c r="Q125" t="str">
        <f>IF(AND(SD!$C$29=SD!$P$2,Grade!$O$1="Per level"),VLOOKUP(B125,Grade!$M$1:$N$200,2,FALSE),IF(AND(SD!$C$29=SD!$P$2,Grade!$O$1="Per Bar Size"),VLOOKUP(LEFT(N125,FIND("@",N125)-2),Grade!$J$1:$K$12,2,0),SD!$C$29))</f>
        <v>A615 Grade 60</v>
      </c>
      <c r="R125" t="s">
        <v>742</v>
      </c>
      <c r="S125" s="57">
        <v>125</v>
      </c>
      <c r="U125" t="str">
        <f>IF(Data!$J125="",IFERROR(INDEX(IF(SD!$C$11="Create",Lap!$A$3:$BF$14,IF(SD!$C$11="Per Uploaded File",Lap!$A$19:$BF$30,"")),MATCH(W125,Lap!$A$3:$A$14,0),MATCH(VALUE(D125),Lap!$A$3:$BF$3,0)+IF(IFERROR(FIND("Grade 60",J125),0)&gt;0,0,IF(IFERROR(FIND("Grade 80",J125),0),1,IF(IFERROR(FIND("Grade 75",J125),0),2,"")))),""),Data!J125)</f>
        <v>5-1</v>
      </c>
      <c r="W125" t="s">
        <v>176</v>
      </c>
      <c r="X125">
        <v>6</v>
      </c>
      <c r="Y125" t="str">
        <f t="shared" si="28"/>
        <v>30</v>
      </c>
      <c r="Z125">
        <f t="shared" si="29"/>
        <v>0</v>
      </c>
      <c r="AA125" s="24">
        <f t="shared" si="30"/>
        <v>15.666666666666666</v>
      </c>
      <c r="BB125" t="e" cm="1">
        <f t="array" ref="BB125">_xlfn.LET(_xlpm.PartF,(_xlfn.LET(_xlpm.grade, Q125,_xlpm.gradeRange, IF(_xlpm.grade=SD!$H$3, A615GR60, IF(_xlpm.grade=SD!$H$4, A615GR75, IF(_xlpm.grade=SD!$H$5, A615GR80, IF(_xlpm.grade=SD!$H$6, A615GR100, IF(_xlpm.grade=SD!$H$7, A706GR60, IF(_xlpm.grade=SD!$H$8, A706GR80)))))),_xlpm.matchValue, MATCH(1, (SD!$AW:$AW=AS125)*(SD!$AX:$AX=SD!$C$8), 0),INDEX(_xlpm.gradeRange, _xlpm.matchValue))),IF(AM125="Spiral",CONCATENATE("SP",_xlpm.PartF),_xlpm.PartF))</f>
        <v>#N/A</v>
      </c>
      <c r="BC125" cm="1">
        <f t="array" ref="BC125">_xlfn.LET(_xlpm.leftPart, LEFT(O125, FIND("@", O125) - 2),_xlpm.grade,Q125,_xlpm.gradeRange,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5" cm="1">
        <f t="array" ref="BD125">_xlfn.LET(_xlpm.leftPart, LEFT(P125, FIND("@", P125) - 2),_xlpm.grade, Q125,_xlpm.gradeRange,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5">
        <f t="shared" si="31"/>
        <v>2.5</v>
      </c>
      <c r="BF125">
        <f>IF(SD!$C$32=SD!$I$2,BE125,IF(SD!$C$32=SD!$I$3,DO125,IF(SD!$C$32=SD!$I$5,BA125,IF(SD!$C$32=SD!$I$6,(LEFT(SD!$C$35,FIND("-",SD!$C$35)-1)+RIGHT(SD!$C$35,LEN(SD!$C$35)-FIND("-",SD!$C$35))/12),IF(SD!$C$32=SD!$I$4,(AU125-(BG125+BH125)))))))</f>
        <v>0</v>
      </c>
      <c r="BG125">
        <f>IF(SD!$C$33=SD!$I$2,BE125,IF(SD!$C$33=SD!$I$3,DO125,IF(SD!$C$33=SD!$I$5,BA125,IF(SD!$C$33=SD!$I$6,(LEFT(SD!$C$35,FIND("-",SD!$C$35)-1)+RIGHT(SD!$C$35,LEN(SD!$C$35)-FIND("-",SD!$C$35))/12),IF(SD!$C$33=SD!$I$4,(AU125-(BF125+BH125)))))))</f>
        <v>-1</v>
      </c>
      <c r="BH125">
        <f>IF(SD!$C$34=SD!$I$2,BE125,IF(SD!$C$34=SD!$I$3,DO125,IF(SD!$C$34=SD!$I$5,BA125,IF(SD!$C$34=SD!$I$6,(LEFT(SD!$C$35,FIND("-",SD!$C$35)-1)+RIGHT(SD!$C$35,LEN(SD!$C$35)-FIND("-",SD!$C$35))/12),IF(SD!$C$34=SD!$I$4,(AU125-(BF125+BG125)))))))</f>
        <v>1</v>
      </c>
      <c r="BJ125">
        <f>IF(AM125="Spiral","1",MAX(ROUNDUP(IF(SD!$C$32="",AT125,BF125/(LEFT(RIGHT(N125,LEN(N125)-FIND("@",N125)),LEN(RIGHT(N125,LEN(N125)-FIND("@",N125)))-1)/12)+1),0),0))</f>
        <v>1</v>
      </c>
      <c r="BK125">
        <f>MAX(ROUNDUP(IF(SD!$C$33="","",BG125/(LEFT(RIGHT(O125,LEN(O125)-FIND("@",O125)),LEN(RIGHT(O125,LEN(O125)-FIND("@",O125)))-1)/12)+1),0),0)</f>
        <v>0</v>
      </c>
      <c r="BL125">
        <f>MAX(ROUNDUP(IF(SD!$C$34="","",BH125/(LEFT(RIGHT(P125,LEN(P125)-FIND("@",P125)),LEN(RIGHT(P125,LEN(P125)-FIND("@",P125)))-1)/12)+1),0),0)</f>
        <v>3</v>
      </c>
      <c r="BN125" t="e">
        <f t="shared" si="32"/>
        <v>#N/A</v>
      </c>
      <c r="BO125" t="e">
        <f t="shared" si="33"/>
        <v>#N/A</v>
      </c>
      <c r="BP125" t="e">
        <f t="shared" si="34"/>
        <v>#N/A</v>
      </c>
      <c r="BQ125" s="24" t="e">
        <f>IF(AM125=TRUE,(((Y125-(SD!$E$12*2))*3.14159265359)+BN125+BO125+BP125)/12+AL125,SUM(AF125:AG125,BN125,BO125,BP125,AO125,AQ125)/12)</f>
        <v>#N/A</v>
      </c>
      <c r="BR125" t="e">
        <f t="shared" si="35"/>
        <v>#N/A</v>
      </c>
      <c r="BS125" t="e">
        <f t="shared" si="36"/>
        <v>#N/A</v>
      </c>
      <c r="BT125" t="e">
        <f t="shared" si="37"/>
        <v>#N/A</v>
      </c>
      <c r="BU125" s="24" t="e">
        <f>IF(AM125=TRUE,(((Y125-(SD!$E$12*2))*3.14159265359)+BR125+BS125+BT125)/12+AL125,SUM(AF125:AG125,BR125,BS125,BT125,AO125,AQ125)/12)</f>
        <v>#N/A</v>
      </c>
      <c r="BW125" t="str">
        <f>IFERROR(LEFT(Data!L125,FIND(" -",Data!L125)-1),"")</f>
        <v/>
      </c>
      <c r="BX125" t="str">
        <f>IFERROR(IF(SD!$C$40=SD!$U$2,W125,IF(SD!$C$40=SD!$U$3,RIGHT(Data!L125,LEN(Data!L125)-(FIND("-",Data!L125)+1)),SD!$C$40)),"")</f>
        <v>#10</v>
      </c>
      <c r="BY125" t="str" cm="1">
        <f t="array" ref="BY125">IFERROR(_xlfn.LET(_xlpm.GRR,IF(AND(SD!$C$19=SD!$H$2,Grade!$G$1="Per level"),VLOOKUP(B125,Grade!$E$1:$F$200,2,FALSE),IF(AND(SD!$C$19=SD!$H$2,Grade!$G$1="Per Bar Size"),VLOOKUP(BX125,Grade!$B$1:$C$12,2,0),SD!$C$19)),_xlpm.is_equal, A124=A125,_xlpm.grade_range, IF(_xlpm.GRR=SD!$H$3, A615GR60,IF(_xlpm.GRR=SD!$H$4, A615GR75,IF(_xlpm.GRR=SD!$H$5, A615GR80,IF(_xlpm.GRR=SD!H129, A615GR100,IF(_xlpm.GRR=SD!$H$7, A706GR60,IF(_xlpm.GRR=SD!$H$8, A706GR80)))))),_xlpm.match_result, MATCH(1, (BSize=BX125)*(BCName=SD!$C$8), 0),_xlpm.final_result, INDEX(_xlpm.grade_range, _xlpm.match_result),IF(_xlpm.is_equal, "", _xlpm.final_result)),"")</f>
        <v/>
      </c>
      <c r="BZ125" t="str">
        <f>IF(A124=A125,"",IF(SD!$C$41="Match Vertical Bars ",X125,IF(SD!$C$41=SD!$V$3,BW125,SD!$C$41)))</f>
        <v/>
      </c>
      <c r="CA125" t="str" cm="1">
        <f t="array" ref="CA125">IF(A124=A125,"",IF(SD!$C$44="No T-Head",IF(SD!$C$42=SD!$Q$3,VLOOKUP(BX125,S90Range,3,FALSE),LEFT(SD!$C$42,FIND("-",SD!$C$42)-1)+(RIGHT(SD!$C$42,LEN(SD!$C$42)-FIND("-",SD!$C$42))/12)),IF(SD!$C$44="T-Head",_xlfn._xlws.FILTER(THead,(TCName=SD!$C$8)*(TSize=BX125)),IF(SD!$C$44="Level Wise",_xlfn.LET(_xlpm.result,_xlfn.XLOOKUP(B125,VDLevel,VDLevelStatus,"No"),IF(_xlpm.result="Yes",_xlfn._xlws.FILTER(THead,(TCName=SD!$C$8)*(TSize=BX125)),IF(SD!$C$42=SD!$Q$3,VLOOKUP(BX125,S90Range,3,FALSE),LEFT(SD!$C$42,FIND("-",SD!$C$42)-1)+(RIGHT(SD!$C$42,LEN(SD!$C$42)-FIND("-", SD!$C$42))/12)))),IF(SD!$C$44="BarSize Wise",_xlfn.LET(_xlpm.result,_xlfn.XLOOKUP(BX125,VDBarSize,VDBarSizeStatus,"No"),IF(_xlpm.result="Yes",_xlfn._xlws.FILTER(THead,(TCName=SD!$C$8)*(TSize=BX125)),IF(SD!$C$42=SD!$Q$3,VLOOKUP(BX125,S90Range,3,FALSE),LEFT(SD!$C$42,FIND("-",SD!$C$42)-1)+(RIGHT(SD!$C$42,LEN(SD!$C$42)-FIND("-",SD!$C$42))/12)))), "")))))</f>
        <v/>
      </c>
      <c r="CB125" t="str" cm="1">
        <f t="array" ref="CB125">_xlfn.LET(_xlpm.GRR,IF(AND(SD!$C$19=SD!$H$2,Grade!$G$1="Per level"),VLOOKUP(B125,Grade!$E$1:$F$200,2,FALSE),IF(AND(SD!$C$19=SD!$H$2,Grade!$G$1="Per Bar Size"),VLOOKUP(BX125,Grade!$B$1:$C$12,2,0),SD!$C$19)),_xlpm.is_coupler, K125="Coupler",_xlpm.condition1, SD!$C$43=SD!$W$2,_xlpm.data_j2_empty, Data!$J125="",_xlpm.lookup_table, IF(SD!$C$11="Create", Lap!$A$3:$BF$14, IF(SD!$C$11="Per Uploaded File", Lap!$A$19:$BF$30, "")),_xlpm.row_match, MATCH(BX125, Lap!$A$3:$A$14, 0),_xlpm.grade_offset, IF(IFERROR(FIND("Grade 60",_xlpm.GRR), 0) &gt; 0, 0, IF(IFERROR(FIND("Grade 80",_xlpm.GRR), 0), 1, IF(IFERROR(FIND("Grade 75",_xlpm.GRR), 0), 2, ""))),_xlpm.col_match, MATCH(VALUE(D125), Lap!$A$3:$BF$3, 0) + _xlpm.grade_offset,_xlpm.index_result, IFERROR(INDEX(_xlpm.lookup_table, _xlpm.row_match, _xlpm.col_match), Data!$J125),_xlpm.result_if_condition1, IF(_xlpm.data_j2_empty, _xlpm.index_result, Data!$J125),IF(_xlpm.is_coupler, 0, IF(_xlpm.condition1, _xlpm.result_if_condition1, SD!$C$43)))</f>
        <v>5-1</v>
      </c>
      <c r="CC125" s="24">
        <f t="shared" si="38"/>
        <v>5.083333333333333</v>
      </c>
      <c r="CD125">
        <f t="shared" si="39"/>
        <v>5.75</v>
      </c>
      <c r="CE125" t="str" cm="1">
        <f t="array" ref="CE125">IF(BY125="","",_xlfn._xlws.FILTER(SAC,(CName=SD!$C$8)*(EName="Vert Dowels")))</f>
        <v/>
      </c>
      <c r="CF125" t="str" cm="1">
        <f t="array" ref="CF125">IFERROR(IF(BY125="","",IF(K125="Coupler",_xlfn._xlws.FILTER(CCoupler,(CCName=SD!$C$8)*(CBSize=IF(A124=A125,W124&amp;W125,BX125&amp;W125))*(CCMFM="Male")),"")),"N/A")</f>
        <v/>
      </c>
      <c r="CG125" t="str">
        <f t="shared" si="40"/>
        <v/>
      </c>
      <c r="CH125" t="str">
        <f t="shared" si="41"/>
        <v/>
      </c>
      <c r="CI125" t="str">
        <f>_xlfn.LET(_xlpm.u3_value, U126,_xlpm.hyphen_pos,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K126="Coupler",_xlpm.coupler_value, IF(_xlpm.is_coupler, 0, _xlpm.calculated_value),_xlpm.final_value, _xlpm.calculated_value + SD!$E$13 + _xlpm.coupler_value,IF(CG125="", "", _xlpm.final_value))</f>
        <v/>
      </c>
      <c r="CJ125" t="str" cm="1">
        <f t="array" ref="CJ125">IF(CG125="","",_xlfn._xlws.FILTER(SAC,(CName=SD!$C$8)*(EName="Loose Dowels")))</f>
        <v/>
      </c>
      <c r="CK125" t="str" cm="1">
        <f t="array" ref="CK125">IFERROR(IF(CG125="","",IF(K126="Coupler",_xlfn._xlws.FILTER(CCoupler,(CCName=SD!$C$8)*(CBSize=IF(A125=A126,W125&amp;W126,""))*(CCMFM="Male")),"")),"N/A")</f>
        <v/>
      </c>
      <c r="CL125" t="str">
        <f>IFERROR(IF(AM125="Spiral","",IF(A124=A125,"",IF(SD!$C$37=0,"",SD!$C$37))),"")</f>
        <v/>
      </c>
      <c r="CN125">
        <f>IF(AM125="Spiral","",IFERROR(IF(SD!$C$36=0,"",SD!$C$36),""))</f>
        <v>5</v>
      </c>
      <c r="CP125" t="str">
        <f>IFERROR(IF(SD!$C$42=SD!$Q$3,'Take-off'!CA125,""),"")</f>
        <v/>
      </c>
      <c r="CR125">
        <f>IFERROR(IF(SD!$C$22=SD!$U$2,W125,SD!$C$22),"")</f>
        <v>0</v>
      </c>
      <c r="CS125" t="str" cm="1">
        <f t="array" ref="CS125">_xlfn.LET(_xlpm.GR,IF(AND(SD!$C$19=SD!$H$2,Grade!$G$1="Per level"),VLOOKUP(B125,Grade!$E$1:$F$200,2,FALSE),IF(AND(SD!$C$19=SD!$H$2,Grade!$G$1="Per Bar Size"),VLOOKUP(CR125,Grade!$B$1:$C$12,2,0),SD!$C$19)),IF(SD!$C$20=SD!$R$4,IF(A126=A125,"",INDEX(IF(_xlpm.GR=SD!$H$3,A615GR60,IF(_xlpm.GR=SD!$H$4,A615GR75,IF(_xlpm.GR=SD!$H$5,A615GR80,IF(_xlpm.GR=SD!H129,A615GR100,IF(_xlpm.GR=SD!$H$7,A706GR60,IF(_xlpm.GR=SD!$H$8,A706GR80)))))), MATCH(1, (BSize=CR125)*(BCName=SD!$C$8), 0))),""))</f>
        <v/>
      </c>
      <c r="CT125" t="str">
        <f>IF(A126=A125,"",IF(SD!$C$23="Match Vertical Bars ",X125,SD!$C$23))</f>
        <v/>
      </c>
      <c r="CU125" t="str" cm="1">
        <f t="array" ref="CU125">IF(A126=A125,"",IF(SD!$C$20="Top dowels",IF(SD!$E$25="No T-Head",IF(SD!$C$24=SD!$Q$3,VLOOKUP(CR125,S90Range,3,FALSE),LEFT(SD!$C$24,FIND("-",SD!$C$24)-1)+(RIGHT(SD!$C$24,LEN(SD!$C$24)-FIND("-",SD!$C$24))/12)),IF(SD!$E$25="T-Head",_xlfn._xlws.FILTER(THead,(TCName=SD!$C$8)*(TSize=CR125)),IF(SD!$E$25="Level Wise",_xlfn.LET(_xlpm.result,_xlfn.XLOOKUP(B125,TDLevel,TDLevelStatus,"No"),IF(_xlpm.result="Yes",_xlfn._xlws.FILTER(THead,(TCName=SD!$C$8)*(TSize=CR125)),IF(SD!$C$24=SD!$Q$3,VLOOKUP(CR125,S90Range,3,FALSE),LEFT(SD!$C$24,FIND("-",SD!$C$24)-1)+(RIGHT(SD!$C$24,LEN(SD!$C$24)-FIND("-", SD!$C$24))/12)))),IF(SD!$E$25="BarSize Wise",_xlfn.LET(_xlpm.result,_xlfn.XLOOKUP(CR125,TDBarSize,TDBarSizeStatus,"No"),IF(_xlpm.result="Yes",_xlfn._xlws.FILTER(THead,(TCName=SD!$C$8)*(TSize=CR125)),IF(SD!$C$24=SD!$Q$3,VLOOKUP(CR125,S90Range,3,FALSE),LEFT(SD!$C$24,FIND("-",SD!$C$24)-1)+(RIGHT(SD!$C$24,LEN(SD!$C$24)-FIND("-",SD!$C$24))/12)))), "")))),""))</f>
        <v/>
      </c>
      <c r="CV125" t="str">
        <f>_xlfn.LET(_xlpm.GRR,IF(AND(SD!$C$19=SD!$H$2,Grade!$G$1="Per level"),VLOOKUP(B125,Grade!$E$1:$F$200,2,FALSE),IF(AND(SD!$C$19=SD!$H$2,Grade!$G$1="Per Bar Size"),VLOOKUP(CR125,Grade!$B$1:$C$12,2,0),SD!$C$19)),IF(SD!$C$25=SD!$W$2,IF(Data!$J125="",IFERROR(INDEX(IF(SD!$C$11="Create",Lap!$A$3:$BF$14,IF(SD!$C$11="Per Uploaded File",Lap!$A$19:$BF$30,"")),MATCH(CR125,Lap!$A$3:$A$14,0),MATCH(VALUE(D125),Lap!$A$3:$BF$3,0)+IF(IFERROR(FIND("Grade 60",_xlpm.GRR),0)&gt;0,0,IF(IFERROR(FIND("Grade 80",_xlpm.GRR),0),1,IF(IFERROR(FIND("Grade 75",_xlpm.GRR),0),2,"")))),""),Data!J125),SD!$C$43))</f>
        <v>Match Lap</v>
      </c>
      <c r="CW125">
        <f t="shared" si="42"/>
        <v>0</v>
      </c>
      <c r="CX125">
        <f t="shared" si="43"/>
        <v>0</v>
      </c>
      <c r="CY125" t="str">
        <f t="shared" si="44"/>
        <v/>
      </c>
      <c r="DA125" t="str">
        <f t="shared" si="45"/>
        <v/>
      </c>
      <c r="DB125" t="str">
        <f t="shared" si="46"/>
        <v/>
      </c>
      <c r="DC125" s="24" t="str">
        <f t="shared" si="47"/>
        <v/>
      </c>
      <c r="DD125">
        <f t="shared" si="48"/>
        <v>10.583333333333334</v>
      </c>
      <c r="DE125" t="s">
        <v>785</v>
      </c>
      <c r="DF125" t="s">
        <v>67</v>
      </c>
      <c r="DG125" t="str">
        <f>VLOOKUP(W125,'Level Wise PSI'!$F$2:$G$12,2,FALSE)</f>
        <v>Double Lift</v>
      </c>
      <c r="DI125" t="str" cm="1">
        <f t="array" ref="DI125">_xlfn.LET(_xlpm.Coup,IFERROR(IF(BY125="","",IF(K125="Coupler",_xlfn._xlws.FILTER(CCFCoupler,(CCName=SD!$C$8)*(CBSize=IF(A124=A125,W124&amp;W125,BX125&amp;W125))),"")),"N/A"),IF(_xlpm.Coup=0,"",_xlpm.Coup))</f>
        <v/>
      </c>
      <c r="DJ125" t="str" cm="1">
        <f t="array" ref="DJ125">_xlfn.LET(_xlpm.Coup3,IFERROR(IF(CG125="","",IF(K126="Coupler",_xlfn._xlws.FILTER(CCFCoupler,(CCName=SD!$C$8)*(CBSize=IF(A125=A126,W125&amp;W126,""))),"")),"N/A"),IF(_xlpm.Coup3=0,"",_xlpm.Coup3))</f>
        <v/>
      </c>
      <c r="DK125" t="str" cm="1">
        <f t="array" ref="DK125">_xlfn.LET(_xlpm.Coup2,IFERROR(IF(A125&lt;&gt;A126,"",IF(DF125="No Lap","",IF(K126="Coupler",_xlfn._xlws.FILTER(CCFCoupler,(CCName=SD!$C$8)*(CBSize=IF(A124=A125,W125&amp;W126,W125&amp;W125))),""))),"N/A"),IF(_xlpm.Coup2=0,"",_xlpm.Coup2))</f>
        <v/>
      </c>
      <c r="DM125" t="str">
        <f>IF(AM125="Spiral","",IF(SD!$C$31=SD!$Y$3,SD!$E$32*2,""))</f>
        <v/>
      </c>
      <c r="DO125" s="24">
        <f t="shared" si="49"/>
        <v>2.5</v>
      </c>
      <c r="DQ125" t="str">
        <f t="shared" si="50"/>
        <v>Lig</v>
      </c>
      <c r="DR125" t="str">
        <f>IF(AM125="Spiral",((Y125-(SD!$E$12*2))/12),"")</f>
        <v/>
      </c>
      <c r="DS125" t="str">
        <f t="shared" si="51"/>
        <v/>
      </c>
      <c r="DT125" t="str">
        <f t="shared" si="52"/>
        <v/>
      </c>
      <c r="DU125" t="str">
        <f t="shared" si="53"/>
        <v/>
      </c>
    </row>
    <row r="126" spans="1:125" x14ac:dyDescent="0.25">
      <c r="A126">
        <v>45</v>
      </c>
      <c r="B126" t="s">
        <v>684</v>
      </c>
      <c r="C126" s="15">
        <v>2429</v>
      </c>
      <c r="D126" s="15">
        <v>10000</v>
      </c>
      <c r="E126" t="str">
        <f>IF(B126=Level!$A$2,SD!$C$14,SD!$C$13)</f>
        <v>0-8</v>
      </c>
      <c r="F126" s="15" t="s">
        <v>787</v>
      </c>
      <c r="G126" t="s">
        <v>742</v>
      </c>
      <c r="H126" t="str">
        <f>RIGHT(VLOOKUP(B126,Level!A:C,3,FALSE),LEN(VLOOKUP(B126,Level!A:C,3,FALSE))-1)</f>
        <v>10-7</v>
      </c>
      <c r="I126" t="s">
        <v>743</v>
      </c>
      <c r="J126" t="str">
        <f>IF(AND(SD!$C$19=SD!$H$2,Grade!$G$1="Per level"),VLOOKUP(B126,Grade!$E$1:$F$200,2,FALSE),IF(AND(SD!$C$19=SD!$H$2,Grade!$G$1="Per Bar Size"),VLOOKUP(W126,Grade!$B$1:$C$12,2,0),SD!$C$19))</f>
        <v>A615 Grade 60</v>
      </c>
      <c r="K126" t="s">
        <v>67</v>
      </c>
      <c r="L126" t="str">
        <f>IFERROR(IF(A126&lt;&gt;A127,"",IF(DF126="No Lap","",IF(K127="Lap",U126,IF(K127="Coupler",_xlfn._xlws.FILTER(CCoupler,(CCName=SD!$C$8)*(CBSize=IF(A125=A126,W126&amp;W127,W126&amp;W126))*(CCMFM="Male")),"")))),"N/A")</f>
        <v>5-1</v>
      </c>
      <c r="M126" t="str">
        <f t="shared" si="27"/>
        <v/>
      </c>
      <c r="N126" t="s">
        <v>719</v>
      </c>
      <c r="O126" t="s">
        <v>720</v>
      </c>
      <c r="P126" t="s">
        <v>719</v>
      </c>
      <c r="Q126" t="str">
        <f>IF(AND(SD!$C$29=SD!$P$2,Grade!$O$1="Per level"),VLOOKUP(B126,Grade!$M$1:$N$200,2,FALSE),IF(AND(SD!$C$29=SD!$P$2,Grade!$O$1="Per Bar Size"),VLOOKUP(LEFT(N126,FIND("@",N126)-2),Grade!$J$1:$K$12,2,0),SD!$C$29))</f>
        <v>A615 Grade 60</v>
      </c>
      <c r="R126" t="s">
        <v>742</v>
      </c>
      <c r="S126" s="57">
        <v>126</v>
      </c>
      <c r="U126" t="str">
        <f>IF(Data!$J126="",IFERROR(INDEX(IF(SD!$C$11="Create",Lap!$A$3:$BF$14,IF(SD!$C$11="Per Uploaded File",Lap!$A$19:$BF$30,"")),MATCH(W126,Lap!$A$3:$A$14,0),MATCH(VALUE(D126),Lap!$A$3:$BF$3,0)+IF(IFERROR(FIND("Grade 60",J126),0)&gt;0,0,IF(IFERROR(FIND("Grade 80",J126),0),1,IF(IFERROR(FIND("Grade 75",J126),0),2,"")))),""),Data!J126)</f>
        <v>5-1</v>
      </c>
      <c r="W126" t="s">
        <v>176</v>
      </c>
      <c r="X126">
        <v>6</v>
      </c>
      <c r="Y126" t="str">
        <f t="shared" si="28"/>
        <v>30</v>
      </c>
      <c r="Z126">
        <f t="shared" si="29"/>
        <v>0</v>
      </c>
      <c r="AA126" s="24">
        <f t="shared" si="30"/>
        <v>15.666666666666666</v>
      </c>
      <c r="BB126" t="e" cm="1">
        <f t="array" ref="BB126">_xlfn.LET(_xlpm.PartF,(_xlfn.LET(_xlpm.grade, Q126,_xlpm.gradeRange, IF(_xlpm.grade=SD!$H$3, A615GR60, IF(_xlpm.grade=SD!$H$4, A615GR75, IF(_xlpm.grade=SD!$H$5, A615GR80, IF(_xlpm.grade=SD!$H$6, A615GR100, IF(_xlpm.grade=SD!$H$7, A706GR60, IF(_xlpm.grade=SD!$H$8, A706GR80)))))),_xlpm.matchValue, MATCH(1, (SD!$AW:$AW=AS126)*(SD!$AX:$AX=SD!$C$8), 0),INDEX(_xlpm.gradeRange, _xlpm.matchValue))),IF(AM126="Spiral",CONCATENATE("SP",_xlpm.PartF),_xlpm.PartF))</f>
        <v>#N/A</v>
      </c>
      <c r="BC126" cm="1">
        <f t="array" ref="BC126">_xlfn.LET(_xlpm.leftPart, LEFT(O126, FIND("@", O126) - 2),_xlpm.grade,Q126,_xlpm.gradeRange,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6" cm="1">
        <f t="array" ref="BD126">_xlfn.LET(_xlpm.leftPart, LEFT(P126, FIND("@", P126) - 2),_xlpm.grade, Q126,_xlpm.gradeRange,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6">
        <f t="shared" si="31"/>
        <v>2.5</v>
      </c>
      <c r="BF126">
        <f>IF(SD!$C$32=SD!$I$2,BE126,IF(SD!$C$32=SD!$I$3,DO126,IF(SD!$C$32=SD!$I$5,BA126,IF(SD!$C$32=SD!$I$6,(LEFT(SD!$C$35,FIND("-",SD!$C$35)-1)+RIGHT(SD!$C$35,LEN(SD!$C$35)-FIND("-",SD!$C$35))/12),IF(SD!$C$32=SD!$I$4,(AU126-(BG126+BH126)))))))</f>
        <v>0</v>
      </c>
      <c r="BG126">
        <f>IF(SD!$C$33=SD!$I$2,BE126,IF(SD!$C$33=SD!$I$3,DO126,IF(SD!$C$33=SD!$I$5,BA126,IF(SD!$C$33=SD!$I$6,(LEFT(SD!$C$35,FIND("-",SD!$C$35)-1)+RIGHT(SD!$C$35,LEN(SD!$C$35)-FIND("-",SD!$C$35))/12),IF(SD!$C$33=SD!$I$4,(AU126-(BF126+BH126)))))))</f>
        <v>-1</v>
      </c>
      <c r="BH126">
        <f>IF(SD!$C$34=SD!$I$2,BE126,IF(SD!$C$34=SD!$I$3,DO126,IF(SD!$C$34=SD!$I$5,BA126,IF(SD!$C$34=SD!$I$6,(LEFT(SD!$C$35,FIND("-",SD!$C$35)-1)+RIGHT(SD!$C$35,LEN(SD!$C$35)-FIND("-",SD!$C$35))/12),IF(SD!$C$34=SD!$I$4,(AU126-(BF126+BG126)))))))</f>
        <v>1</v>
      </c>
      <c r="BJ126">
        <f>IF(AM126="Spiral","1",MAX(ROUNDUP(IF(SD!$C$32="",AT126,BF126/(LEFT(RIGHT(N126,LEN(N126)-FIND("@",N126)),LEN(RIGHT(N126,LEN(N126)-FIND("@",N126)))-1)/12)+1),0),0))</f>
        <v>1</v>
      </c>
      <c r="BK126">
        <f>MAX(ROUNDUP(IF(SD!$C$33="","",BG126/(LEFT(RIGHT(O126,LEN(O126)-FIND("@",O126)),LEN(RIGHT(O126,LEN(O126)-FIND("@",O126)))-1)/12)+1),0),0)</f>
        <v>0</v>
      </c>
      <c r="BL126">
        <f>MAX(ROUNDUP(IF(SD!$C$34="","",BH126/(LEFT(RIGHT(P126,LEN(P126)-FIND("@",P126)),LEN(RIGHT(P126,LEN(P126)-FIND("@",P126)))-1)/12)+1),0),0)</f>
        <v>3</v>
      </c>
      <c r="BN126" t="e">
        <f t="shared" si="32"/>
        <v>#N/A</v>
      </c>
      <c r="BO126" t="e">
        <f t="shared" si="33"/>
        <v>#N/A</v>
      </c>
      <c r="BP126" t="e">
        <f t="shared" si="34"/>
        <v>#N/A</v>
      </c>
      <c r="BQ126" s="24" t="e">
        <f>IF(AM126=TRUE,(((Y126-(SD!$E$12*2))*3.14159265359)+BN126+BO126+BP126)/12+AL126,SUM(AF126:AG126,BN126,BO126,BP126,AO126,AQ126)/12)</f>
        <v>#N/A</v>
      </c>
      <c r="BR126" t="e">
        <f t="shared" si="35"/>
        <v>#N/A</v>
      </c>
      <c r="BS126" t="e">
        <f t="shared" si="36"/>
        <v>#N/A</v>
      </c>
      <c r="BT126" t="e">
        <f t="shared" si="37"/>
        <v>#N/A</v>
      </c>
      <c r="BU126" s="24" t="e">
        <f>IF(AM126=TRUE,(((Y126-(SD!$E$12*2))*3.14159265359)+BR126+BS126+BT126)/12+AL126,SUM(AF126:AG126,BR126,BS126,BT126,AO126,AQ126)/12)</f>
        <v>#N/A</v>
      </c>
      <c r="BW126" t="str">
        <f>IFERROR(LEFT(Data!L126,FIND(" -",Data!L126)-1),"")</f>
        <v/>
      </c>
      <c r="BX126" t="str">
        <f>IFERROR(IF(SD!$C$40=SD!$U$2,W126,IF(SD!$C$40=SD!$U$3,RIGHT(Data!L126,LEN(Data!L126)-(FIND("-",Data!L126)+1)),SD!$C$40)),"")</f>
        <v>#10</v>
      </c>
      <c r="BY126" t="str" cm="1">
        <f t="array" ref="BY126">IFERROR(_xlfn.LET(_xlpm.GRR,IF(AND(SD!$C$19=SD!$H$2,Grade!$G$1="Per level"),VLOOKUP(B126,Grade!$E$1:$F$200,2,FALSE),IF(AND(SD!$C$19=SD!$H$2,Grade!$G$1="Per Bar Size"),VLOOKUP(BX126,Grade!$B$1:$C$12,2,0),SD!$C$19)),_xlpm.is_equal, A125=A126,_xlpm.grade_range, IF(_xlpm.GRR=SD!$H$3, A615GR60,IF(_xlpm.GRR=SD!$H$4, A615GR75,IF(_xlpm.GRR=SD!$H$5, A615GR80,IF(_xlpm.GRR=SD!H130, A615GR100,IF(_xlpm.GRR=SD!$H$7, A706GR60,IF(_xlpm.GRR=SD!$H$8, A706GR80)))))),_xlpm.match_result, MATCH(1, (BSize=BX126)*(BCName=SD!$C$8), 0),_xlpm.final_result, INDEX(_xlpm.grade_range, _xlpm.match_result),IF(_xlpm.is_equal, "", _xlpm.final_result)),"")</f>
        <v/>
      </c>
      <c r="BZ126" t="str">
        <f>IF(A125=A126,"",IF(SD!$C$41="Match Vertical Bars ",X126,IF(SD!$C$41=SD!$V$3,BW126,SD!$C$41)))</f>
        <v/>
      </c>
      <c r="CA126" t="str" cm="1">
        <f t="array" ref="CA126">IF(A125=A126,"",IF(SD!$C$44="No T-Head",IF(SD!$C$42=SD!$Q$3,VLOOKUP(BX126,S90Range,3,FALSE),LEFT(SD!$C$42,FIND("-",SD!$C$42)-1)+(RIGHT(SD!$C$42,LEN(SD!$C$42)-FIND("-",SD!$C$42))/12)),IF(SD!$C$44="T-Head",_xlfn._xlws.FILTER(THead,(TCName=SD!$C$8)*(TSize=BX126)),IF(SD!$C$44="Level Wise",_xlfn.LET(_xlpm.result,_xlfn.XLOOKUP(B126,VDLevel,VDLevelStatus,"No"),IF(_xlpm.result="Yes",_xlfn._xlws.FILTER(THead,(TCName=SD!$C$8)*(TSize=BX126)),IF(SD!$C$42=SD!$Q$3,VLOOKUP(BX126,S90Range,3,FALSE),LEFT(SD!$C$42,FIND("-",SD!$C$42)-1)+(RIGHT(SD!$C$42,LEN(SD!$C$42)-FIND("-", SD!$C$42))/12)))),IF(SD!$C$44="BarSize Wise",_xlfn.LET(_xlpm.result,_xlfn.XLOOKUP(BX126,VDBarSize,VDBarSizeStatus,"No"),IF(_xlpm.result="Yes",_xlfn._xlws.FILTER(THead,(TCName=SD!$C$8)*(TSize=BX126)),IF(SD!$C$42=SD!$Q$3,VLOOKUP(BX126,S90Range,3,FALSE),LEFT(SD!$C$42,FIND("-",SD!$C$42)-1)+(RIGHT(SD!$C$42,LEN(SD!$C$42)-FIND("-",SD!$C$42))/12)))), "")))))</f>
        <v/>
      </c>
      <c r="CB126" t="str" cm="1">
        <f t="array" ref="CB126">_xlfn.LET(_xlpm.GRR,IF(AND(SD!$C$19=SD!$H$2,Grade!$G$1="Per level"),VLOOKUP(B126,Grade!$E$1:$F$200,2,FALSE),IF(AND(SD!$C$19=SD!$H$2,Grade!$G$1="Per Bar Size"),VLOOKUP(BX126,Grade!$B$1:$C$12,2,0),SD!$C$19)),_xlpm.is_coupler, K126="Coupler",_xlpm.condition1, SD!$C$43=SD!$W$2,_xlpm.data_j2_empty, Data!$J126="",_xlpm.lookup_table, IF(SD!$C$11="Create", Lap!$A$3:$BF$14, IF(SD!$C$11="Per Uploaded File", Lap!$A$19:$BF$30, "")),_xlpm.row_match, MATCH(BX126, Lap!$A$3:$A$14, 0),_xlpm.grade_offset, IF(IFERROR(FIND("Grade 60",_xlpm.GRR), 0) &gt; 0, 0, IF(IFERROR(FIND("Grade 80",_xlpm.GRR), 0), 1, IF(IFERROR(FIND("Grade 75",_xlpm.GRR), 0), 2, ""))),_xlpm.col_match, MATCH(VALUE(D126), Lap!$A$3:$BF$3, 0) + _xlpm.grade_offset,_xlpm.index_result, IFERROR(INDEX(_xlpm.lookup_table, _xlpm.row_match, _xlpm.col_match), Data!$J126),_xlpm.result_if_condition1, IF(_xlpm.data_j2_empty, _xlpm.index_result, Data!$J126),IF(_xlpm.is_coupler, 0, IF(_xlpm.condition1, _xlpm.result_if_condition1, SD!$C$43)))</f>
        <v>5-1</v>
      </c>
      <c r="CC126" s="24">
        <f t="shared" si="38"/>
        <v>5.083333333333333</v>
      </c>
      <c r="CD126">
        <f t="shared" si="39"/>
        <v>5.75</v>
      </c>
      <c r="CE126" t="str" cm="1">
        <f t="array" ref="CE126">IF(BY126="","",_xlfn._xlws.FILTER(SAC,(CName=SD!$C$8)*(EName="Vert Dowels")))</f>
        <v/>
      </c>
      <c r="CF126" t="str" cm="1">
        <f t="array" ref="CF126">IFERROR(IF(BY126="","",IF(K126="Coupler",_xlfn._xlws.FILTER(CCoupler,(CCName=SD!$C$8)*(CBSize=IF(A125=A126,W125&amp;W126,BX126&amp;W126))*(CCMFM="Male")),"")),"N/A")</f>
        <v/>
      </c>
      <c r="CG126" t="str">
        <f t="shared" si="40"/>
        <v/>
      </c>
      <c r="CH126" t="str">
        <f t="shared" si="41"/>
        <v/>
      </c>
      <c r="CI126" t="str">
        <f>_xlfn.LET(_xlpm.u3_value, U127,_xlpm.hyphen_pos,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K127="Coupler",_xlpm.coupler_value, IF(_xlpm.is_coupler, 0, _xlpm.calculated_value),_xlpm.final_value, _xlpm.calculated_value + SD!$E$13 + _xlpm.coupler_value,IF(CG126="", "", _xlpm.final_value))</f>
        <v/>
      </c>
      <c r="CJ126" t="str" cm="1">
        <f t="array" ref="CJ126">IF(CG126="","",_xlfn._xlws.FILTER(SAC,(CName=SD!$C$8)*(EName="Loose Dowels")))</f>
        <v/>
      </c>
      <c r="CK126" t="str" cm="1">
        <f t="array" ref="CK126">IFERROR(IF(CG126="","",IF(K127="Coupler",_xlfn._xlws.FILTER(CCoupler,(CCName=SD!$C$8)*(CBSize=IF(A126=A127,W126&amp;W127,""))*(CCMFM="Male")),"")),"N/A")</f>
        <v/>
      </c>
      <c r="CL126" t="str">
        <f>IFERROR(IF(AM126="Spiral","",IF(A125=A126,"",IF(SD!$C$37=0,"",SD!$C$37))),"")</f>
        <v/>
      </c>
      <c r="CN126">
        <f>IF(AM126="Spiral","",IFERROR(IF(SD!$C$36=0,"",SD!$C$36),""))</f>
        <v>5</v>
      </c>
      <c r="CP126" t="str">
        <f>IFERROR(IF(SD!$C$42=SD!$Q$3,'Take-off'!CA126,""),"")</f>
        <v/>
      </c>
      <c r="CR126">
        <f>IFERROR(IF(SD!$C$22=SD!$U$2,W126,SD!$C$22),"")</f>
        <v>0</v>
      </c>
      <c r="CS126" t="str" cm="1">
        <f t="array" ref="CS126">_xlfn.LET(_xlpm.GR,IF(AND(SD!$C$19=SD!$H$2,Grade!$G$1="Per level"),VLOOKUP(B126,Grade!$E$1:$F$200,2,FALSE),IF(AND(SD!$C$19=SD!$H$2,Grade!$G$1="Per Bar Size"),VLOOKUP(CR126,Grade!$B$1:$C$12,2,0),SD!$C$19)),IF(SD!$C$20=SD!$R$4,IF(A127=A126,"",INDEX(IF(_xlpm.GR=SD!$H$3,A615GR60,IF(_xlpm.GR=SD!$H$4,A615GR75,IF(_xlpm.GR=SD!$H$5,A615GR80,IF(_xlpm.GR=SD!H130,A615GR100,IF(_xlpm.GR=SD!$H$7,A706GR60,IF(_xlpm.GR=SD!$H$8,A706GR80)))))), MATCH(1, (BSize=CR126)*(BCName=SD!$C$8), 0))),""))</f>
        <v/>
      </c>
      <c r="CT126" t="str">
        <f>IF(A127=A126,"",IF(SD!$C$23="Match Vertical Bars ",X126,SD!$C$23))</f>
        <v/>
      </c>
      <c r="CU126" t="str" cm="1">
        <f t="array" ref="CU126">IF(A127=A126,"",IF(SD!$C$20="Top dowels",IF(SD!$E$25="No T-Head",IF(SD!$C$24=SD!$Q$3,VLOOKUP(CR126,S90Range,3,FALSE),LEFT(SD!$C$24,FIND("-",SD!$C$24)-1)+(RIGHT(SD!$C$24,LEN(SD!$C$24)-FIND("-",SD!$C$24))/12)),IF(SD!$E$25="T-Head",_xlfn._xlws.FILTER(THead,(TCName=SD!$C$8)*(TSize=CR126)),IF(SD!$E$25="Level Wise",_xlfn.LET(_xlpm.result,_xlfn.XLOOKUP(B126,TDLevel,TDLevelStatus,"No"),IF(_xlpm.result="Yes",_xlfn._xlws.FILTER(THead,(TCName=SD!$C$8)*(TSize=CR126)),IF(SD!$C$24=SD!$Q$3,VLOOKUP(CR126,S90Range,3,FALSE),LEFT(SD!$C$24,FIND("-",SD!$C$24)-1)+(RIGHT(SD!$C$24,LEN(SD!$C$24)-FIND("-", SD!$C$24))/12)))),IF(SD!$E$25="BarSize Wise",_xlfn.LET(_xlpm.result,_xlfn.XLOOKUP(CR126,TDBarSize,TDBarSizeStatus,"No"),IF(_xlpm.result="Yes",_xlfn._xlws.FILTER(THead,(TCName=SD!$C$8)*(TSize=CR126)),IF(SD!$C$24=SD!$Q$3,VLOOKUP(CR126,S90Range,3,FALSE),LEFT(SD!$C$24,FIND("-",SD!$C$24)-1)+(RIGHT(SD!$C$24,LEN(SD!$C$24)-FIND("-",SD!$C$24))/12)))), "")))),""))</f>
        <v/>
      </c>
      <c r="CV126" t="str">
        <f>_xlfn.LET(_xlpm.GRR,IF(AND(SD!$C$19=SD!$H$2,Grade!$G$1="Per level"),VLOOKUP(B126,Grade!$E$1:$F$200,2,FALSE),IF(AND(SD!$C$19=SD!$H$2,Grade!$G$1="Per Bar Size"),VLOOKUP(CR126,Grade!$B$1:$C$12,2,0),SD!$C$19)),IF(SD!$C$25=SD!$W$2,IF(Data!$J126="",IFERROR(INDEX(IF(SD!$C$11="Create",Lap!$A$3:$BF$14,IF(SD!$C$11="Per Uploaded File",Lap!$A$19:$BF$30,"")),MATCH(CR126,Lap!$A$3:$A$14,0),MATCH(VALUE(D126),Lap!$A$3:$BF$3,0)+IF(IFERROR(FIND("Grade 60",_xlpm.GRR),0)&gt;0,0,IF(IFERROR(FIND("Grade 80",_xlpm.GRR),0),1,IF(IFERROR(FIND("Grade 75",_xlpm.GRR),0),2,"")))),""),Data!J126),SD!$C$43))</f>
        <v>Match Lap</v>
      </c>
      <c r="CW126">
        <f t="shared" si="42"/>
        <v>0</v>
      </c>
      <c r="CX126">
        <f t="shared" si="43"/>
        <v>0</v>
      </c>
      <c r="CY126" t="str">
        <f t="shared" si="44"/>
        <v/>
      </c>
      <c r="DA126" t="str">
        <f t="shared" si="45"/>
        <v/>
      </c>
      <c r="DB126" t="str">
        <f t="shared" si="46"/>
        <v/>
      </c>
      <c r="DC126" s="24" t="str">
        <f t="shared" si="47"/>
        <v/>
      </c>
      <c r="DD126">
        <f t="shared" si="48"/>
        <v>10.583333333333334</v>
      </c>
      <c r="DE126" t="s">
        <v>785</v>
      </c>
      <c r="DF126" t="s">
        <v>67</v>
      </c>
      <c r="DG126" t="str">
        <f>VLOOKUP(W126,'Level Wise PSI'!$F$2:$G$12,2,FALSE)</f>
        <v>Double Lift</v>
      </c>
      <c r="DI126" t="str" cm="1">
        <f t="array" ref="DI126">_xlfn.LET(_xlpm.Coup,IFERROR(IF(BY126="","",IF(K126="Coupler",_xlfn._xlws.FILTER(CCFCoupler,(CCName=SD!$C$8)*(CBSize=IF(A125=A126,W125&amp;W126,BX126&amp;W126))),"")),"N/A"),IF(_xlpm.Coup=0,"",_xlpm.Coup))</f>
        <v/>
      </c>
      <c r="DJ126" t="str" cm="1">
        <f t="array" ref="DJ126">_xlfn.LET(_xlpm.Coup3,IFERROR(IF(CG126="","",IF(K127="Coupler",_xlfn._xlws.FILTER(CCFCoupler,(CCName=SD!$C$8)*(CBSize=IF(A126=A127,W126&amp;W127,""))),"")),"N/A"),IF(_xlpm.Coup3=0,"",_xlpm.Coup3))</f>
        <v/>
      </c>
      <c r="DK126" t="str" cm="1">
        <f t="array" ref="DK126">_xlfn.LET(_xlpm.Coup2,IFERROR(IF(A126&lt;&gt;A127,"",IF(DF126="No Lap","",IF(K127="Coupler",_xlfn._xlws.FILTER(CCFCoupler,(CCName=SD!$C$8)*(CBSize=IF(A125=A126,W126&amp;W127,W126&amp;W126))),""))),"N/A"),IF(_xlpm.Coup2=0,"",_xlpm.Coup2))</f>
        <v/>
      </c>
      <c r="DM126" t="str">
        <f>IF(AM126="Spiral","",IF(SD!$C$31=SD!$Y$3,SD!$E$32*2,""))</f>
        <v/>
      </c>
      <c r="DO126" s="24">
        <f t="shared" si="49"/>
        <v>2.5</v>
      </c>
      <c r="DQ126" t="str">
        <f t="shared" si="50"/>
        <v>Lig</v>
      </c>
      <c r="DR126" t="str">
        <f>IF(AM126="Spiral",((Y126-(SD!$E$12*2))/12),"")</f>
        <v/>
      </c>
      <c r="DS126" t="str">
        <f t="shared" si="51"/>
        <v/>
      </c>
      <c r="DT126" t="str">
        <f t="shared" si="52"/>
        <v/>
      </c>
      <c r="DU126" t="str">
        <f t="shared" si="53"/>
        <v/>
      </c>
    </row>
    <row r="127" spans="1:125" x14ac:dyDescent="0.25">
      <c r="A127">
        <v>45</v>
      </c>
      <c r="B127" t="s">
        <v>686</v>
      </c>
      <c r="C127" s="15">
        <v>2429</v>
      </c>
      <c r="D127" s="15">
        <v>10000</v>
      </c>
      <c r="E127" t="str">
        <f>IF(B127=Level!$A$2,SD!$C$14,SD!$C$13)</f>
        <v>0-8</v>
      </c>
      <c r="F127" s="15" t="s">
        <v>787</v>
      </c>
      <c r="G127" t="s">
        <v>742</v>
      </c>
      <c r="H127" t="str">
        <f>RIGHT(VLOOKUP(B127,Level!A:C,3,FALSE),LEN(VLOOKUP(B127,Level!A:C,3,FALSE))-1)</f>
        <v>10-7</v>
      </c>
      <c r="I127" t="s">
        <v>743</v>
      </c>
      <c r="J127" t="str">
        <f>IF(AND(SD!$C$19=SD!$H$2,Grade!$G$1="Per level"),VLOOKUP(B127,Grade!$E$1:$F$200,2,FALSE),IF(AND(SD!$C$19=SD!$H$2,Grade!$G$1="Per Bar Size"),VLOOKUP(W127,Grade!$B$1:$C$12,2,0),SD!$C$19))</f>
        <v>A615 Grade 60</v>
      </c>
      <c r="K127" t="s">
        <v>67</v>
      </c>
      <c r="L127" t="str">
        <f>IFERROR(IF(A127&lt;&gt;A128,"",IF(DF127="No Lap","",IF(K128="Lap",U127,IF(K128="Coupler",_xlfn._xlws.FILTER(CCoupler,(CCName=SD!$C$8)*(CBSize=IF(A126=A127,W127&amp;W128,W127&amp;W127))*(CCMFM="Male")),"")))),"N/A")</f>
        <v>5-1</v>
      </c>
      <c r="M127" t="str">
        <f t="shared" si="27"/>
        <v/>
      </c>
      <c r="N127" t="s">
        <v>719</v>
      </c>
      <c r="O127" t="s">
        <v>720</v>
      </c>
      <c r="P127" t="s">
        <v>719</v>
      </c>
      <c r="Q127" t="str">
        <f>IF(AND(SD!$C$29=SD!$P$2,Grade!$O$1="Per level"),VLOOKUP(B127,Grade!$M$1:$N$200,2,FALSE),IF(AND(SD!$C$29=SD!$P$2,Grade!$O$1="Per Bar Size"),VLOOKUP(LEFT(N127,FIND("@",N127)-2),Grade!$J$1:$K$12,2,0),SD!$C$29))</f>
        <v>A615 Grade 60</v>
      </c>
      <c r="R127" t="s">
        <v>742</v>
      </c>
      <c r="S127" s="57">
        <v>127</v>
      </c>
      <c r="U127" t="str">
        <f>IF(Data!$J127="",IFERROR(INDEX(IF(SD!$C$11="Create",Lap!$A$3:$BF$14,IF(SD!$C$11="Per Uploaded File",Lap!$A$19:$BF$30,"")),MATCH(W127,Lap!$A$3:$A$14,0),MATCH(VALUE(D127),Lap!$A$3:$BF$3,0)+IF(IFERROR(FIND("Grade 60",J127),0)&gt;0,0,IF(IFERROR(FIND("Grade 80",J127),0),1,IF(IFERROR(FIND("Grade 75",J127),0),2,"")))),""),Data!J127)</f>
        <v>5-1</v>
      </c>
      <c r="W127" t="s">
        <v>176</v>
      </c>
      <c r="X127">
        <v>6</v>
      </c>
      <c r="Y127" t="str">
        <f t="shared" si="28"/>
        <v>30</v>
      </c>
      <c r="Z127">
        <f t="shared" si="29"/>
        <v>0</v>
      </c>
      <c r="AA127" s="24">
        <f t="shared" si="30"/>
        <v>15.666666666666666</v>
      </c>
      <c r="BB127" t="e" cm="1">
        <f t="array" ref="BB127">_xlfn.LET(_xlpm.PartF,(_xlfn.LET(_xlpm.grade, Q127,_xlpm.gradeRange, IF(_xlpm.grade=SD!$H$3, A615GR60, IF(_xlpm.grade=SD!$H$4, A615GR75, IF(_xlpm.grade=SD!$H$5, A615GR80, IF(_xlpm.grade=SD!$H$6, A615GR100, IF(_xlpm.grade=SD!$H$7, A706GR60, IF(_xlpm.grade=SD!$H$8, A706GR80)))))),_xlpm.matchValue, MATCH(1, (SD!$AW:$AW=AS127)*(SD!$AX:$AX=SD!$C$8), 0),INDEX(_xlpm.gradeRange, _xlpm.matchValue))),IF(AM127="Spiral",CONCATENATE("SP",_xlpm.PartF),_xlpm.PartF))</f>
        <v>#N/A</v>
      </c>
      <c r="BC127" cm="1">
        <f t="array" ref="BC127">_xlfn.LET(_xlpm.leftPart, LEFT(O127, FIND("@", O127) - 2),_xlpm.grade,Q127,_xlpm.gradeRange,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7" cm="1">
        <f t="array" ref="BD127">_xlfn.LET(_xlpm.leftPart, LEFT(P127, FIND("@", P127) - 2),_xlpm.grade, Q127,_xlpm.gradeRange,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7">
        <f t="shared" si="31"/>
        <v>2.5</v>
      </c>
      <c r="BF127">
        <f>IF(SD!$C$32=SD!$I$2,BE127,IF(SD!$C$32=SD!$I$3,DO127,IF(SD!$C$32=SD!$I$5,BA127,IF(SD!$C$32=SD!$I$6,(LEFT(SD!$C$35,FIND("-",SD!$C$35)-1)+RIGHT(SD!$C$35,LEN(SD!$C$35)-FIND("-",SD!$C$35))/12),IF(SD!$C$32=SD!$I$4,(AU127-(BG127+BH127)))))))</f>
        <v>0</v>
      </c>
      <c r="BG127">
        <f>IF(SD!$C$33=SD!$I$2,BE127,IF(SD!$C$33=SD!$I$3,DO127,IF(SD!$C$33=SD!$I$5,BA127,IF(SD!$C$33=SD!$I$6,(LEFT(SD!$C$35,FIND("-",SD!$C$35)-1)+RIGHT(SD!$C$35,LEN(SD!$C$35)-FIND("-",SD!$C$35))/12),IF(SD!$C$33=SD!$I$4,(AU127-(BF127+BH127)))))))</f>
        <v>-1</v>
      </c>
      <c r="BH127">
        <f>IF(SD!$C$34=SD!$I$2,BE127,IF(SD!$C$34=SD!$I$3,DO127,IF(SD!$C$34=SD!$I$5,BA127,IF(SD!$C$34=SD!$I$6,(LEFT(SD!$C$35,FIND("-",SD!$C$35)-1)+RIGHT(SD!$C$35,LEN(SD!$C$35)-FIND("-",SD!$C$35))/12),IF(SD!$C$34=SD!$I$4,(AU127-(BF127+BG127)))))))</f>
        <v>1</v>
      </c>
      <c r="BJ127">
        <f>IF(AM127="Spiral","1",MAX(ROUNDUP(IF(SD!$C$32="",AT127,BF127/(LEFT(RIGHT(N127,LEN(N127)-FIND("@",N127)),LEN(RIGHT(N127,LEN(N127)-FIND("@",N127)))-1)/12)+1),0),0))</f>
        <v>1</v>
      </c>
      <c r="BK127">
        <f>MAX(ROUNDUP(IF(SD!$C$33="","",BG127/(LEFT(RIGHT(O127,LEN(O127)-FIND("@",O127)),LEN(RIGHT(O127,LEN(O127)-FIND("@",O127)))-1)/12)+1),0),0)</f>
        <v>0</v>
      </c>
      <c r="BL127">
        <f>MAX(ROUNDUP(IF(SD!$C$34="","",BH127/(LEFT(RIGHT(P127,LEN(P127)-FIND("@",P127)),LEN(RIGHT(P127,LEN(P127)-FIND("@",P127)))-1)/12)+1),0),0)</f>
        <v>3</v>
      </c>
      <c r="BN127" t="e">
        <f t="shared" si="32"/>
        <v>#N/A</v>
      </c>
      <c r="BO127" t="e">
        <f t="shared" si="33"/>
        <v>#N/A</v>
      </c>
      <c r="BP127" t="e">
        <f t="shared" si="34"/>
        <v>#N/A</v>
      </c>
      <c r="BQ127" s="24" t="e">
        <f>IF(AM127=TRUE,(((Y127-(SD!$E$12*2))*3.14159265359)+BN127+BO127+BP127)/12+AL127,SUM(AF127:AG127,BN127,BO127,BP127,AO127,AQ127)/12)</f>
        <v>#N/A</v>
      </c>
      <c r="BR127" t="e">
        <f t="shared" si="35"/>
        <v>#N/A</v>
      </c>
      <c r="BS127" t="e">
        <f t="shared" si="36"/>
        <v>#N/A</v>
      </c>
      <c r="BT127" t="e">
        <f t="shared" si="37"/>
        <v>#N/A</v>
      </c>
      <c r="BU127" s="24" t="e">
        <f>IF(AM127=TRUE,(((Y127-(SD!$E$12*2))*3.14159265359)+BR127+BS127+BT127)/12+AL127,SUM(AF127:AG127,BR127,BS127,BT127,AO127,AQ127)/12)</f>
        <v>#N/A</v>
      </c>
      <c r="BW127" t="str">
        <f>IFERROR(LEFT(Data!L127,FIND(" -",Data!L127)-1),"")</f>
        <v/>
      </c>
      <c r="BX127" t="str">
        <f>IFERROR(IF(SD!$C$40=SD!$U$2,W127,IF(SD!$C$40=SD!$U$3,RIGHT(Data!L127,LEN(Data!L127)-(FIND("-",Data!L127)+1)),SD!$C$40)),"")</f>
        <v>#10</v>
      </c>
      <c r="BY127" t="str" cm="1">
        <f t="array" ref="BY127">IFERROR(_xlfn.LET(_xlpm.GRR,IF(AND(SD!$C$19=SD!$H$2,Grade!$G$1="Per level"),VLOOKUP(B127,Grade!$E$1:$F$200,2,FALSE),IF(AND(SD!$C$19=SD!$H$2,Grade!$G$1="Per Bar Size"),VLOOKUP(BX127,Grade!$B$1:$C$12,2,0),SD!$C$19)),_xlpm.is_equal, A126=A127,_xlpm.grade_range, IF(_xlpm.GRR=SD!$H$3, A615GR60,IF(_xlpm.GRR=SD!$H$4, A615GR75,IF(_xlpm.GRR=SD!$H$5, A615GR80,IF(_xlpm.GRR=SD!H131, A615GR100,IF(_xlpm.GRR=SD!$H$7, A706GR60,IF(_xlpm.GRR=SD!$H$8, A706GR80)))))),_xlpm.match_result, MATCH(1, (BSize=BX127)*(BCName=SD!$C$8), 0),_xlpm.final_result, INDEX(_xlpm.grade_range, _xlpm.match_result),IF(_xlpm.is_equal, "", _xlpm.final_result)),"")</f>
        <v/>
      </c>
      <c r="BZ127" t="str">
        <f>IF(A126=A127,"",IF(SD!$C$41="Match Vertical Bars ",X127,IF(SD!$C$41=SD!$V$3,BW127,SD!$C$41)))</f>
        <v/>
      </c>
      <c r="CA127" t="str" cm="1">
        <f t="array" ref="CA127">IF(A126=A127,"",IF(SD!$C$44="No T-Head",IF(SD!$C$42=SD!$Q$3,VLOOKUP(BX127,S90Range,3,FALSE),LEFT(SD!$C$42,FIND("-",SD!$C$42)-1)+(RIGHT(SD!$C$42,LEN(SD!$C$42)-FIND("-",SD!$C$42))/12)),IF(SD!$C$44="T-Head",_xlfn._xlws.FILTER(THead,(TCName=SD!$C$8)*(TSize=BX127)),IF(SD!$C$44="Level Wise",_xlfn.LET(_xlpm.result,_xlfn.XLOOKUP(B127,VDLevel,VDLevelStatus,"No"),IF(_xlpm.result="Yes",_xlfn._xlws.FILTER(THead,(TCName=SD!$C$8)*(TSize=BX127)),IF(SD!$C$42=SD!$Q$3,VLOOKUP(BX127,S90Range,3,FALSE),LEFT(SD!$C$42,FIND("-",SD!$C$42)-1)+(RIGHT(SD!$C$42,LEN(SD!$C$42)-FIND("-", SD!$C$42))/12)))),IF(SD!$C$44="BarSize Wise",_xlfn.LET(_xlpm.result,_xlfn.XLOOKUP(BX127,VDBarSize,VDBarSizeStatus,"No"),IF(_xlpm.result="Yes",_xlfn._xlws.FILTER(THead,(TCName=SD!$C$8)*(TSize=BX127)),IF(SD!$C$42=SD!$Q$3,VLOOKUP(BX127,S90Range,3,FALSE),LEFT(SD!$C$42,FIND("-",SD!$C$42)-1)+(RIGHT(SD!$C$42,LEN(SD!$C$42)-FIND("-",SD!$C$42))/12)))), "")))))</f>
        <v/>
      </c>
      <c r="CB127" t="str" cm="1">
        <f t="array" ref="CB127">_xlfn.LET(_xlpm.GRR,IF(AND(SD!$C$19=SD!$H$2,Grade!$G$1="Per level"),VLOOKUP(B127,Grade!$E$1:$F$200,2,FALSE),IF(AND(SD!$C$19=SD!$H$2,Grade!$G$1="Per Bar Size"),VLOOKUP(BX127,Grade!$B$1:$C$12,2,0),SD!$C$19)),_xlpm.is_coupler, K127="Coupler",_xlpm.condition1, SD!$C$43=SD!$W$2,_xlpm.data_j2_empty, Data!$J127="",_xlpm.lookup_table, IF(SD!$C$11="Create", Lap!$A$3:$BF$14, IF(SD!$C$11="Per Uploaded File", Lap!$A$19:$BF$30, "")),_xlpm.row_match, MATCH(BX127, Lap!$A$3:$A$14, 0),_xlpm.grade_offset, IF(IFERROR(FIND("Grade 60",_xlpm.GRR), 0) &gt; 0, 0, IF(IFERROR(FIND("Grade 80",_xlpm.GRR), 0), 1, IF(IFERROR(FIND("Grade 75",_xlpm.GRR), 0), 2, ""))),_xlpm.col_match, MATCH(VALUE(D127), Lap!$A$3:$BF$3, 0) + _xlpm.grade_offset,_xlpm.index_result, IFERROR(INDEX(_xlpm.lookup_table, _xlpm.row_match, _xlpm.col_match), Data!$J127),_xlpm.result_if_condition1, IF(_xlpm.data_j2_empty, _xlpm.index_result, Data!$J127),IF(_xlpm.is_coupler, 0, IF(_xlpm.condition1, _xlpm.result_if_condition1, SD!$C$43)))</f>
        <v>5-1</v>
      </c>
      <c r="CC127" s="24">
        <f t="shared" si="38"/>
        <v>5.083333333333333</v>
      </c>
      <c r="CD127">
        <f t="shared" si="39"/>
        <v>5.75</v>
      </c>
      <c r="CE127" t="str" cm="1">
        <f t="array" ref="CE127">IF(BY127="","",_xlfn._xlws.FILTER(SAC,(CName=SD!$C$8)*(EName="Vert Dowels")))</f>
        <v/>
      </c>
      <c r="CF127" t="str" cm="1">
        <f t="array" ref="CF127">IFERROR(IF(BY127="","",IF(K127="Coupler",_xlfn._xlws.FILTER(CCoupler,(CCName=SD!$C$8)*(CBSize=IF(A126=A127,W126&amp;W127,BX127&amp;W127))*(CCMFM="Male")),"")),"N/A")</f>
        <v/>
      </c>
      <c r="CG127" t="str">
        <f t="shared" si="40"/>
        <v/>
      </c>
      <c r="CH127" t="str">
        <f t="shared" si="41"/>
        <v/>
      </c>
      <c r="CI127" t="str">
        <f>_xlfn.LET(_xlpm.u3_value, U128,_xlpm.hyphen_pos,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K128="Coupler",_xlpm.coupler_value, IF(_xlpm.is_coupler, 0, _xlpm.calculated_value),_xlpm.final_value, _xlpm.calculated_value + SD!$E$13 + _xlpm.coupler_value,IF(CG127="", "", _xlpm.final_value))</f>
        <v/>
      </c>
      <c r="CJ127" t="str" cm="1">
        <f t="array" ref="CJ127">IF(CG127="","",_xlfn._xlws.FILTER(SAC,(CName=SD!$C$8)*(EName="Loose Dowels")))</f>
        <v/>
      </c>
      <c r="CK127" t="str" cm="1">
        <f t="array" ref="CK127">IFERROR(IF(CG127="","",IF(K128="Coupler",_xlfn._xlws.FILTER(CCoupler,(CCName=SD!$C$8)*(CBSize=IF(A127=A128,W127&amp;W128,""))*(CCMFM="Male")),"")),"N/A")</f>
        <v/>
      </c>
      <c r="CL127" t="str">
        <f>IFERROR(IF(AM127="Spiral","",IF(A126=A127,"",IF(SD!$C$37=0,"",SD!$C$37))),"")</f>
        <v/>
      </c>
      <c r="CN127">
        <f>IF(AM127="Spiral","",IFERROR(IF(SD!$C$36=0,"",SD!$C$36),""))</f>
        <v>5</v>
      </c>
      <c r="CP127" t="str">
        <f>IFERROR(IF(SD!$C$42=SD!$Q$3,'Take-off'!CA127,""),"")</f>
        <v/>
      </c>
      <c r="CR127">
        <f>IFERROR(IF(SD!$C$22=SD!$U$2,W127,SD!$C$22),"")</f>
        <v>0</v>
      </c>
      <c r="CS127" t="str" cm="1">
        <f t="array" ref="CS127">_xlfn.LET(_xlpm.GR,IF(AND(SD!$C$19=SD!$H$2,Grade!$G$1="Per level"),VLOOKUP(B127,Grade!$E$1:$F$200,2,FALSE),IF(AND(SD!$C$19=SD!$H$2,Grade!$G$1="Per Bar Size"),VLOOKUP(CR127,Grade!$B$1:$C$12,2,0),SD!$C$19)),IF(SD!$C$20=SD!$R$4,IF(A128=A127,"",INDEX(IF(_xlpm.GR=SD!$H$3,A615GR60,IF(_xlpm.GR=SD!$H$4,A615GR75,IF(_xlpm.GR=SD!$H$5,A615GR80,IF(_xlpm.GR=SD!H131,A615GR100,IF(_xlpm.GR=SD!$H$7,A706GR60,IF(_xlpm.GR=SD!$H$8,A706GR80)))))), MATCH(1, (BSize=CR127)*(BCName=SD!$C$8), 0))),""))</f>
        <v/>
      </c>
      <c r="CT127" t="str">
        <f>IF(A128=A127,"",IF(SD!$C$23="Match Vertical Bars ",X127,SD!$C$23))</f>
        <v/>
      </c>
      <c r="CU127" t="str" cm="1">
        <f t="array" ref="CU127">IF(A128=A127,"",IF(SD!$C$20="Top dowels",IF(SD!$E$25="No T-Head",IF(SD!$C$24=SD!$Q$3,VLOOKUP(CR127,S90Range,3,FALSE),LEFT(SD!$C$24,FIND("-",SD!$C$24)-1)+(RIGHT(SD!$C$24,LEN(SD!$C$24)-FIND("-",SD!$C$24))/12)),IF(SD!$E$25="T-Head",_xlfn._xlws.FILTER(THead,(TCName=SD!$C$8)*(TSize=CR127)),IF(SD!$E$25="Level Wise",_xlfn.LET(_xlpm.result,_xlfn.XLOOKUP(B127,TDLevel,TDLevelStatus,"No"),IF(_xlpm.result="Yes",_xlfn._xlws.FILTER(THead,(TCName=SD!$C$8)*(TSize=CR127)),IF(SD!$C$24=SD!$Q$3,VLOOKUP(CR127,S90Range,3,FALSE),LEFT(SD!$C$24,FIND("-",SD!$C$24)-1)+(RIGHT(SD!$C$24,LEN(SD!$C$24)-FIND("-", SD!$C$24))/12)))),IF(SD!$E$25="BarSize Wise",_xlfn.LET(_xlpm.result,_xlfn.XLOOKUP(CR127,TDBarSize,TDBarSizeStatus,"No"),IF(_xlpm.result="Yes",_xlfn._xlws.FILTER(THead,(TCName=SD!$C$8)*(TSize=CR127)),IF(SD!$C$24=SD!$Q$3,VLOOKUP(CR127,S90Range,3,FALSE),LEFT(SD!$C$24,FIND("-",SD!$C$24)-1)+(RIGHT(SD!$C$24,LEN(SD!$C$24)-FIND("-",SD!$C$24))/12)))), "")))),""))</f>
        <v/>
      </c>
      <c r="CV127" t="str">
        <f>_xlfn.LET(_xlpm.GRR,IF(AND(SD!$C$19=SD!$H$2,Grade!$G$1="Per level"),VLOOKUP(B127,Grade!$E$1:$F$200,2,FALSE),IF(AND(SD!$C$19=SD!$H$2,Grade!$G$1="Per Bar Size"),VLOOKUP(CR127,Grade!$B$1:$C$12,2,0),SD!$C$19)),IF(SD!$C$25=SD!$W$2,IF(Data!$J127="",IFERROR(INDEX(IF(SD!$C$11="Create",Lap!$A$3:$BF$14,IF(SD!$C$11="Per Uploaded File",Lap!$A$19:$BF$30,"")),MATCH(CR127,Lap!$A$3:$A$14,0),MATCH(VALUE(D127),Lap!$A$3:$BF$3,0)+IF(IFERROR(FIND("Grade 60",_xlpm.GRR),0)&gt;0,0,IF(IFERROR(FIND("Grade 80",_xlpm.GRR),0),1,IF(IFERROR(FIND("Grade 75",_xlpm.GRR),0),2,"")))),""),Data!J127),SD!$C$43))</f>
        <v>Match Lap</v>
      </c>
      <c r="CW127">
        <f t="shared" si="42"/>
        <v>0</v>
      </c>
      <c r="CX127">
        <f t="shared" si="43"/>
        <v>0</v>
      </c>
      <c r="CY127" t="str">
        <f t="shared" si="44"/>
        <v/>
      </c>
      <c r="DA127" t="str">
        <f t="shared" si="45"/>
        <v/>
      </c>
      <c r="DB127" t="str">
        <f t="shared" si="46"/>
        <v/>
      </c>
      <c r="DC127" s="24" t="str">
        <f t="shared" si="47"/>
        <v/>
      </c>
      <c r="DD127">
        <f t="shared" si="48"/>
        <v>10.583333333333334</v>
      </c>
      <c r="DE127" t="s">
        <v>785</v>
      </c>
      <c r="DF127" t="s">
        <v>67</v>
      </c>
      <c r="DG127" t="str">
        <f>VLOOKUP(W127,'Level Wise PSI'!$F$2:$G$12,2,FALSE)</f>
        <v>Double Lift</v>
      </c>
      <c r="DI127" t="str" cm="1">
        <f t="array" ref="DI127">_xlfn.LET(_xlpm.Coup,IFERROR(IF(BY127="","",IF(K127="Coupler",_xlfn._xlws.FILTER(CCFCoupler,(CCName=SD!$C$8)*(CBSize=IF(A126=A127,W126&amp;W127,BX127&amp;W127))),"")),"N/A"),IF(_xlpm.Coup=0,"",_xlpm.Coup))</f>
        <v/>
      </c>
      <c r="DJ127" t="str" cm="1">
        <f t="array" ref="DJ127">_xlfn.LET(_xlpm.Coup3,IFERROR(IF(CG127="","",IF(K128="Coupler",_xlfn._xlws.FILTER(CCFCoupler,(CCName=SD!$C$8)*(CBSize=IF(A127=A128,W127&amp;W128,""))),"")),"N/A"),IF(_xlpm.Coup3=0,"",_xlpm.Coup3))</f>
        <v/>
      </c>
      <c r="DK127" t="str" cm="1">
        <f t="array" ref="DK127">_xlfn.LET(_xlpm.Coup2,IFERROR(IF(A127&lt;&gt;A128,"",IF(DF127="No Lap","",IF(K128="Coupler",_xlfn._xlws.FILTER(CCFCoupler,(CCName=SD!$C$8)*(CBSize=IF(A126=A127,W127&amp;W128,W127&amp;W127))),""))),"N/A"),IF(_xlpm.Coup2=0,"",_xlpm.Coup2))</f>
        <v/>
      </c>
      <c r="DM127" t="str">
        <f>IF(AM127="Spiral","",IF(SD!$C$31=SD!$Y$3,SD!$E$32*2,""))</f>
        <v/>
      </c>
      <c r="DO127" s="24">
        <f t="shared" si="49"/>
        <v>2.5</v>
      </c>
      <c r="DQ127" t="str">
        <f t="shared" si="50"/>
        <v>Lig</v>
      </c>
      <c r="DR127" t="str">
        <f>IF(AM127="Spiral",((Y127-(SD!$E$12*2))/12),"")</f>
        <v/>
      </c>
      <c r="DS127" t="str">
        <f t="shared" si="51"/>
        <v/>
      </c>
      <c r="DT127" t="str">
        <f t="shared" si="52"/>
        <v/>
      </c>
      <c r="DU127" t="str">
        <f t="shared" si="53"/>
        <v/>
      </c>
    </row>
    <row r="128" spans="1:125" x14ac:dyDescent="0.25">
      <c r="A128">
        <v>45</v>
      </c>
      <c r="B128" t="s">
        <v>688</v>
      </c>
      <c r="C128" s="15">
        <v>2429</v>
      </c>
      <c r="D128" s="15">
        <v>10000</v>
      </c>
      <c r="E128" t="str">
        <f>IF(B128=Level!$A$2,SD!$C$14,SD!$C$13)</f>
        <v>0-8</v>
      </c>
      <c r="F128" s="15" t="s">
        <v>787</v>
      </c>
      <c r="G128" t="s">
        <v>742</v>
      </c>
      <c r="H128" t="str">
        <f>RIGHT(VLOOKUP(B128,Level!A:C,3,FALSE),LEN(VLOOKUP(B128,Level!A:C,3,FALSE))-1)</f>
        <v>10-7</v>
      </c>
      <c r="I128" t="s">
        <v>744</v>
      </c>
      <c r="J128" t="str">
        <f>IF(AND(SD!$C$19=SD!$H$2,Grade!$G$1="Per level"),VLOOKUP(B128,Grade!$E$1:$F$200,2,FALSE),IF(AND(SD!$C$19=SD!$H$2,Grade!$G$1="Per Bar Size"),VLOOKUP(W128,Grade!$B$1:$C$12,2,0),SD!$C$19))</f>
        <v>A615 Grade 60</v>
      </c>
      <c r="K128" t="s">
        <v>67</v>
      </c>
      <c r="L128" t="str">
        <f>IFERROR(IF(A128&lt;&gt;A129,"",IF(DF128="No Lap","",IF(K129="Lap",U128,IF(K129="Coupler",_xlfn._xlws.FILTER(CCoupler,(CCName=SD!$C$8)*(CBSize=IF(A127=A128,W128&amp;W129,W128&amp;W128))*(CCMFM="Male")),"")))),"N/A")</f>
        <v/>
      </c>
      <c r="M128" t="str">
        <f t="shared" si="27"/>
        <v/>
      </c>
      <c r="N128" t="s">
        <v>719</v>
      </c>
      <c r="O128" t="s">
        <v>720</v>
      </c>
      <c r="P128" t="s">
        <v>719</v>
      </c>
      <c r="Q128" t="str">
        <f>IF(AND(SD!$C$29=SD!$P$2,Grade!$O$1="Per level"),VLOOKUP(B128,Grade!$M$1:$N$200,2,FALSE),IF(AND(SD!$C$29=SD!$P$2,Grade!$O$1="Per Bar Size"),VLOOKUP(LEFT(N128,FIND("@",N128)-2),Grade!$J$1:$K$12,2,0),SD!$C$29))</f>
        <v>A615 Grade 60</v>
      </c>
      <c r="R128" t="s">
        <v>742</v>
      </c>
      <c r="S128" s="57">
        <v>128</v>
      </c>
      <c r="U128" t="str">
        <f>IF(Data!$J128="",IFERROR(INDEX(IF(SD!$C$11="Create",Lap!$A$3:$BF$14,IF(SD!$C$11="Per Uploaded File",Lap!$A$19:$BF$30,"")),MATCH(W128,Lap!$A$3:$A$14,0),MATCH(VALUE(D128),Lap!$A$3:$BF$3,0)+IF(IFERROR(FIND("Grade 60",J128),0)&gt;0,0,IF(IFERROR(FIND("Grade 80",J128),0),1,IF(IFERROR(FIND("Grade 75",J128),0),2,"")))),""),Data!J128)</f>
        <v>4-0</v>
      </c>
      <c r="W128" t="s">
        <v>151</v>
      </c>
      <c r="X128">
        <v>10</v>
      </c>
      <c r="Y128" t="str">
        <f t="shared" si="28"/>
        <v>30</v>
      </c>
      <c r="Z128">
        <f t="shared" si="29"/>
        <v>0</v>
      </c>
      <c r="AA128" s="24">
        <f t="shared" si="30"/>
        <v>10.583333333333334</v>
      </c>
      <c r="BB128" t="e" cm="1">
        <f t="array" ref="BB128">_xlfn.LET(_xlpm.PartF,(_xlfn.LET(_xlpm.grade, Q128,_xlpm.gradeRange, IF(_xlpm.grade=SD!$H$3, A615GR60, IF(_xlpm.grade=SD!$H$4, A615GR75, IF(_xlpm.grade=SD!$H$5, A615GR80, IF(_xlpm.grade=SD!$H$6, A615GR100, IF(_xlpm.grade=SD!$H$7, A706GR60, IF(_xlpm.grade=SD!$H$8, A706GR80)))))),_xlpm.matchValue, MATCH(1, (SD!$AW:$AW=AS128)*(SD!$AX:$AX=SD!$C$8), 0),INDEX(_xlpm.gradeRange, _xlpm.matchValue))),IF(AM128="Spiral",CONCATENATE("SP",_xlpm.PartF),_xlpm.PartF))</f>
        <v>#N/A</v>
      </c>
      <c r="BC128" cm="1">
        <f t="array" ref="BC128">_xlfn.LET(_xlpm.leftPart, LEFT(O128, FIND("@", O128) - 2),_xlpm.grade,Q128,_xlpm.gradeRange,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8" cm="1">
        <f t="array" ref="BD128">_xlfn.LET(_xlpm.leftPart, LEFT(P128, FIND("@", P128) - 2),_xlpm.grade, Q128,_xlpm.gradeRange,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8">
        <f t="shared" si="31"/>
        <v>2.5</v>
      </c>
      <c r="BF128">
        <f>IF(SD!$C$32=SD!$I$2,BE128,IF(SD!$C$32=SD!$I$3,DO128,IF(SD!$C$32=SD!$I$5,BA128,IF(SD!$C$32=SD!$I$6,(LEFT(SD!$C$35,FIND("-",SD!$C$35)-1)+RIGHT(SD!$C$35,LEN(SD!$C$35)-FIND("-",SD!$C$35))/12),IF(SD!$C$32=SD!$I$4,(AU128-(BG128+BH128)))))))</f>
        <v>0</v>
      </c>
      <c r="BG128">
        <f>IF(SD!$C$33=SD!$I$2,BE128,IF(SD!$C$33=SD!$I$3,DO128,IF(SD!$C$33=SD!$I$5,BA128,IF(SD!$C$33=SD!$I$6,(LEFT(SD!$C$35,FIND("-",SD!$C$35)-1)+RIGHT(SD!$C$35,LEN(SD!$C$35)-FIND("-",SD!$C$35))/12),IF(SD!$C$33=SD!$I$4,(AU128-(BF128+BH128)))))))</f>
        <v>-1</v>
      </c>
      <c r="BH128">
        <f>IF(SD!$C$34=SD!$I$2,BE128,IF(SD!$C$34=SD!$I$3,DO128,IF(SD!$C$34=SD!$I$5,BA128,IF(SD!$C$34=SD!$I$6,(LEFT(SD!$C$35,FIND("-",SD!$C$35)-1)+RIGHT(SD!$C$35,LEN(SD!$C$35)-FIND("-",SD!$C$35))/12),IF(SD!$C$34=SD!$I$4,(AU128-(BF128+BG128)))))))</f>
        <v>1</v>
      </c>
      <c r="BJ128">
        <f>IF(AM128="Spiral","1",MAX(ROUNDUP(IF(SD!$C$32="",AT128,BF128/(LEFT(RIGHT(N128,LEN(N128)-FIND("@",N128)),LEN(RIGHT(N128,LEN(N128)-FIND("@",N128)))-1)/12)+1),0),0))</f>
        <v>1</v>
      </c>
      <c r="BK128">
        <f>MAX(ROUNDUP(IF(SD!$C$33="","",BG128/(LEFT(RIGHT(O128,LEN(O128)-FIND("@",O128)),LEN(RIGHT(O128,LEN(O128)-FIND("@",O128)))-1)/12)+1),0),0)</f>
        <v>0</v>
      </c>
      <c r="BL128">
        <f>MAX(ROUNDUP(IF(SD!$C$34="","",BH128/(LEFT(RIGHT(P128,LEN(P128)-FIND("@",P128)),LEN(RIGHT(P128,LEN(P128)-FIND("@",P128)))-1)/12)+1),0),0)</f>
        <v>3</v>
      </c>
      <c r="BN128" t="e">
        <f t="shared" si="32"/>
        <v>#N/A</v>
      </c>
      <c r="BO128" t="e">
        <f t="shared" si="33"/>
        <v>#N/A</v>
      </c>
      <c r="BP128" t="e">
        <f t="shared" si="34"/>
        <v>#N/A</v>
      </c>
      <c r="BQ128" s="24" t="e">
        <f>IF(AM128=TRUE,(((Y128-(SD!$E$12*2))*3.14159265359)+BN128+BO128+BP128)/12+AL128,SUM(AF128:AG128,BN128,BO128,BP128,AO128,AQ128)/12)</f>
        <v>#N/A</v>
      </c>
      <c r="BR128" t="e">
        <f t="shared" si="35"/>
        <v>#N/A</v>
      </c>
      <c r="BS128" t="e">
        <f t="shared" si="36"/>
        <v>#N/A</v>
      </c>
      <c r="BT128" t="e">
        <f t="shared" si="37"/>
        <v>#N/A</v>
      </c>
      <c r="BU128" s="24" t="e">
        <f>IF(AM128=TRUE,(((Y128-(SD!$E$12*2))*3.14159265359)+BR128+BS128+BT128)/12+AL128,SUM(AF128:AG128,BR128,BS128,BT128,AO128,AQ128)/12)</f>
        <v>#N/A</v>
      </c>
      <c r="BW128" t="str">
        <f>IFERROR(LEFT(Data!L128,FIND(" -",Data!L128)-1),"")</f>
        <v/>
      </c>
      <c r="BX128" t="str">
        <f>IFERROR(IF(SD!$C$40=SD!$U$2,W128,IF(SD!$C$40=SD!$U$3,RIGHT(Data!L128,LEN(Data!L128)-(FIND("-",Data!L128)+1)),SD!$C$40)),"")</f>
        <v>#8</v>
      </c>
      <c r="BY128" t="str" cm="1">
        <f t="array" ref="BY128">IFERROR(_xlfn.LET(_xlpm.GRR,IF(AND(SD!$C$19=SD!$H$2,Grade!$G$1="Per level"),VLOOKUP(B128,Grade!$E$1:$F$200,2,FALSE),IF(AND(SD!$C$19=SD!$H$2,Grade!$G$1="Per Bar Size"),VLOOKUP(BX128,Grade!$B$1:$C$12,2,0),SD!$C$19)),_xlpm.is_equal, A127=A128,_xlpm.grade_range, IF(_xlpm.GRR=SD!$H$3, A615GR60,IF(_xlpm.GRR=SD!$H$4, A615GR75,IF(_xlpm.GRR=SD!$H$5, A615GR80,IF(_xlpm.GRR=SD!H132, A615GR100,IF(_xlpm.GRR=SD!$H$7, A706GR60,IF(_xlpm.GRR=SD!$H$8, A706GR80)))))),_xlpm.match_result, MATCH(1, (BSize=BX128)*(BCName=SD!$C$8), 0),_xlpm.final_result, INDEX(_xlpm.grade_range, _xlpm.match_result),IF(_xlpm.is_equal, "", _xlpm.final_result)),"")</f>
        <v/>
      </c>
      <c r="BZ128" t="str">
        <f>IF(A127=A128,"",IF(SD!$C$41="Match Vertical Bars ",X128,IF(SD!$C$41=SD!$V$3,BW128,SD!$C$41)))</f>
        <v/>
      </c>
      <c r="CA128" t="str" cm="1">
        <f t="array" ref="CA128">IF(A127=A128,"",IF(SD!$C$44="No T-Head",IF(SD!$C$42=SD!$Q$3,VLOOKUP(BX128,S90Range,3,FALSE),LEFT(SD!$C$42,FIND("-",SD!$C$42)-1)+(RIGHT(SD!$C$42,LEN(SD!$C$42)-FIND("-",SD!$C$42))/12)),IF(SD!$C$44="T-Head",_xlfn._xlws.FILTER(THead,(TCName=SD!$C$8)*(TSize=BX128)),IF(SD!$C$44="Level Wise",_xlfn.LET(_xlpm.result,_xlfn.XLOOKUP(B128,VDLevel,VDLevelStatus,"No"),IF(_xlpm.result="Yes",_xlfn._xlws.FILTER(THead,(TCName=SD!$C$8)*(TSize=BX128)),IF(SD!$C$42=SD!$Q$3,VLOOKUP(BX128,S90Range,3,FALSE),LEFT(SD!$C$42,FIND("-",SD!$C$42)-1)+(RIGHT(SD!$C$42,LEN(SD!$C$42)-FIND("-", SD!$C$42))/12)))),IF(SD!$C$44="BarSize Wise",_xlfn.LET(_xlpm.result,_xlfn.XLOOKUP(BX128,VDBarSize,VDBarSizeStatus,"No"),IF(_xlpm.result="Yes",_xlfn._xlws.FILTER(THead,(TCName=SD!$C$8)*(TSize=BX128)),IF(SD!$C$42=SD!$Q$3,VLOOKUP(BX128,S90Range,3,FALSE),LEFT(SD!$C$42,FIND("-",SD!$C$42)-1)+(RIGHT(SD!$C$42,LEN(SD!$C$42)-FIND("-",SD!$C$42))/12)))), "")))))</f>
        <v/>
      </c>
      <c r="CB128" t="str" cm="1">
        <f t="array" ref="CB128">_xlfn.LET(_xlpm.GRR,IF(AND(SD!$C$19=SD!$H$2,Grade!$G$1="Per level"),VLOOKUP(B128,Grade!$E$1:$F$200,2,FALSE),IF(AND(SD!$C$19=SD!$H$2,Grade!$G$1="Per Bar Size"),VLOOKUP(BX128,Grade!$B$1:$C$12,2,0),SD!$C$19)),_xlpm.is_coupler, K128="Coupler",_xlpm.condition1, SD!$C$43=SD!$W$2,_xlpm.data_j2_empty, Data!$J128="",_xlpm.lookup_table, IF(SD!$C$11="Create", Lap!$A$3:$BF$14, IF(SD!$C$11="Per Uploaded File", Lap!$A$19:$BF$30, "")),_xlpm.row_match, MATCH(BX128, Lap!$A$3:$A$14, 0),_xlpm.grade_offset, IF(IFERROR(FIND("Grade 60",_xlpm.GRR), 0) &gt; 0, 0, IF(IFERROR(FIND("Grade 80",_xlpm.GRR), 0), 1, IF(IFERROR(FIND("Grade 75",_xlpm.GRR), 0), 2, ""))),_xlpm.col_match, MATCH(VALUE(D128), Lap!$A$3:$BF$3, 0) + _xlpm.grade_offset,_xlpm.index_result, IFERROR(INDEX(_xlpm.lookup_table, _xlpm.row_match, _xlpm.col_match), Data!$J128),_xlpm.result_if_condition1, IF(_xlpm.data_j2_empty, _xlpm.index_result, Data!$J128),IF(_xlpm.is_coupler, 0, IF(_xlpm.condition1, _xlpm.result_if_condition1, SD!$C$43)))</f>
        <v>4-0</v>
      </c>
      <c r="CC128" s="24">
        <f t="shared" si="38"/>
        <v>4</v>
      </c>
      <c r="CD128">
        <f t="shared" si="39"/>
        <v>4.666666666666667</v>
      </c>
      <c r="CE128" t="str" cm="1">
        <f t="array" ref="CE128">IF(BY128="","",_xlfn._xlws.FILTER(SAC,(CName=SD!$C$8)*(EName="Vert Dowels")))</f>
        <v/>
      </c>
      <c r="CF128" t="str" cm="1">
        <f t="array" ref="CF128">IFERROR(IF(BY128="","",IF(K128="Coupler",_xlfn._xlws.FILTER(CCoupler,(CCName=SD!$C$8)*(CBSize=IF(A127=A128,W127&amp;W128,BX128&amp;W128))*(CCMFM="Male")),"")),"N/A")</f>
        <v/>
      </c>
      <c r="CG128" t="str">
        <f t="shared" si="40"/>
        <v/>
      </c>
      <c r="CH128" t="str">
        <f t="shared" si="41"/>
        <v/>
      </c>
      <c r="CI128" t="str">
        <f>_xlfn.LET(_xlpm.u3_value, U129,_xlpm.hyphen_pos,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K129="Coupler",_xlpm.coupler_value, IF(_xlpm.is_coupler, 0, _xlpm.calculated_value),_xlpm.final_value, _xlpm.calculated_value + SD!$E$13 + _xlpm.coupler_value,IF(CG128="", "", _xlpm.final_value))</f>
        <v/>
      </c>
      <c r="CJ128" t="str" cm="1">
        <f t="array" ref="CJ128">IF(CG128="","",_xlfn._xlws.FILTER(SAC,(CName=SD!$C$8)*(EName="Loose Dowels")))</f>
        <v/>
      </c>
      <c r="CK128" t="str" cm="1">
        <f t="array" ref="CK128">IFERROR(IF(CG128="","",IF(K129="Coupler",_xlfn._xlws.FILTER(CCoupler,(CCName=SD!$C$8)*(CBSize=IF(A128=A129,W128&amp;W129,""))*(CCMFM="Male")),"")),"N/A")</f>
        <v/>
      </c>
      <c r="CL128" t="str">
        <f>IFERROR(IF(AM128="Spiral","",IF(A127=A128,"",IF(SD!$C$37=0,"",SD!$C$37))),"")</f>
        <v/>
      </c>
      <c r="CN128">
        <f>IF(AM128="Spiral","",IFERROR(IF(SD!$C$36=0,"",SD!$C$36),""))</f>
        <v>5</v>
      </c>
      <c r="CP128" t="str">
        <f>IFERROR(IF(SD!$C$42=SD!$Q$3,'Take-off'!CA128,""),"")</f>
        <v/>
      </c>
      <c r="CR128">
        <f>IFERROR(IF(SD!$C$22=SD!$U$2,W128,SD!$C$22),"")</f>
        <v>0</v>
      </c>
      <c r="CS128" t="str" cm="1">
        <f t="array" ref="CS128">_xlfn.LET(_xlpm.GR,IF(AND(SD!$C$19=SD!$H$2,Grade!$G$1="Per level"),VLOOKUP(B128,Grade!$E$1:$F$200,2,FALSE),IF(AND(SD!$C$19=SD!$H$2,Grade!$G$1="Per Bar Size"),VLOOKUP(CR128,Grade!$B$1:$C$12,2,0),SD!$C$19)),IF(SD!$C$20=SD!$R$4,IF(A129=A128,"",INDEX(IF(_xlpm.GR=SD!$H$3,A615GR60,IF(_xlpm.GR=SD!$H$4,A615GR75,IF(_xlpm.GR=SD!$H$5,A615GR80,IF(_xlpm.GR=SD!H132,A615GR100,IF(_xlpm.GR=SD!$H$7,A706GR60,IF(_xlpm.GR=SD!$H$8,A706GR80)))))), MATCH(1, (BSize=CR128)*(BCName=SD!$C$8), 0))),""))</f>
        <v/>
      </c>
      <c r="CT128">
        <f>IF(A129=A128,"",IF(SD!$C$23="Match Vertical Bars ",X128,SD!$C$23))</f>
        <v>0</v>
      </c>
      <c r="CU128" t="str" cm="1">
        <f t="array" ref="CU128">IF(A129=A128,"",IF(SD!$C$20="Top dowels",IF(SD!$E$25="No T-Head",IF(SD!$C$24=SD!$Q$3,VLOOKUP(CR128,S90Range,3,FALSE),LEFT(SD!$C$24,FIND("-",SD!$C$24)-1)+(RIGHT(SD!$C$24,LEN(SD!$C$24)-FIND("-",SD!$C$24))/12)),IF(SD!$E$25="T-Head",_xlfn._xlws.FILTER(THead,(TCName=SD!$C$8)*(TSize=CR128)),IF(SD!$E$25="Level Wise",_xlfn.LET(_xlpm.result,_xlfn.XLOOKUP(B128,TDLevel,TDLevelStatus,"No"),IF(_xlpm.result="Yes",_xlfn._xlws.FILTER(THead,(TCName=SD!$C$8)*(TSize=CR128)),IF(SD!$C$24=SD!$Q$3,VLOOKUP(CR128,S90Range,3,FALSE),LEFT(SD!$C$24,FIND("-",SD!$C$24)-1)+(RIGHT(SD!$C$24,LEN(SD!$C$24)-FIND("-", SD!$C$24))/12)))),IF(SD!$E$25="BarSize Wise",_xlfn.LET(_xlpm.result,_xlfn.XLOOKUP(CR128,TDBarSize,TDBarSizeStatus,"No"),IF(_xlpm.result="Yes",_xlfn._xlws.FILTER(THead,(TCName=SD!$C$8)*(TSize=CR128)),IF(SD!$C$24=SD!$Q$3,VLOOKUP(CR128,S90Range,3,FALSE),LEFT(SD!$C$24,FIND("-",SD!$C$24)-1)+(RIGHT(SD!$C$24,LEN(SD!$C$24)-FIND("-",SD!$C$24))/12)))), "")))),""))</f>
        <v/>
      </c>
      <c r="CV128" t="str">
        <f>_xlfn.LET(_xlpm.GRR,IF(AND(SD!$C$19=SD!$H$2,Grade!$G$1="Per level"),VLOOKUP(B128,Grade!$E$1:$F$200,2,FALSE),IF(AND(SD!$C$19=SD!$H$2,Grade!$G$1="Per Bar Size"),VLOOKUP(CR128,Grade!$B$1:$C$12,2,0),SD!$C$19)),IF(SD!$C$25=SD!$W$2,IF(Data!$J128="",IFERROR(INDEX(IF(SD!$C$11="Create",Lap!$A$3:$BF$14,IF(SD!$C$11="Per Uploaded File",Lap!$A$19:$BF$30,"")),MATCH(CR128,Lap!$A$3:$A$14,0),MATCH(VALUE(D128),Lap!$A$3:$BF$3,0)+IF(IFERROR(FIND("Grade 60",_xlpm.GRR),0)&gt;0,0,IF(IFERROR(FIND("Grade 80",_xlpm.GRR),0),1,IF(IFERROR(FIND("Grade 75",_xlpm.GRR),0),2,"")))),""),Data!J128),SD!$C$43))</f>
        <v>Match Lap</v>
      </c>
      <c r="CW128">
        <f t="shared" si="42"/>
        <v>0</v>
      </c>
      <c r="CX128">
        <f t="shared" si="43"/>
        <v>0</v>
      </c>
      <c r="CY128" t="str">
        <f t="shared" si="44"/>
        <v/>
      </c>
      <c r="DA128" t="str">
        <f t="shared" si="45"/>
        <v/>
      </c>
      <c r="DB128" t="str">
        <f t="shared" si="46"/>
        <v/>
      </c>
      <c r="DC128" s="24" t="str">
        <f t="shared" si="47"/>
        <v/>
      </c>
      <c r="DD128">
        <f t="shared" si="48"/>
        <v>10.583333333333334</v>
      </c>
      <c r="DE128" t="s">
        <v>785</v>
      </c>
      <c r="DF128" t="s">
        <v>67</v>
      </c>
      <c r="DG128" t="str">
        <f>VLOOKUP(W128,'Level Wise PSI'!$F$2:$G$12,2,FALSE)</f>
        <v>Double Lift</v>
      </c>
      <c r="DI128" t="str" cm="1">
        <f t="array" ref="DI128">_xlfn.LET(_xlpm.Coup,IFERROR(IF(BY128="","",IF(K128="Coupler",_xlfn._xlws.FILTER(CCFCoupler,(CCName=SD!$C$8)*(CBSize=IF(A127=A128,W127&amp;W128,BX128&amp;W128))),"")),"N/A"),IF(_xlpm.Coup=0,"",_xlpm.Coup))</f>
        <v/>
      </c>
      <c r="DJ128" t="str" cm="1">
        <f t="array" ref="DJ128">_xlfn.LET(_xlpm.Coup3,IFERROR(IF(CG128="","",IF(K129="Coupler",_xlfn._xlws.FILTER(CCFCoupler,(CCName=SD!$C$8)*(CBSize=IF(A128=A129,W128&amp;W129,""))),"")),"N/A"),IF(_xlpm.Coup3=0,"",_xlpm.Coup3))</f>
        <v/>
      </c>
      <c r="DK128" t="str" cm="1">
        <f t="array" ref="DK128">_xlfn.LET(_xlpm.Coup2,IFERROR(IF(A128&lt;&gt;A129,"",IF(DF128="No Lap","",IF(K129="Coupler",_xlfn._xlws.FILTER(CCFCoupler,(CCName=SD!$C$8)*(CBSize=IF(A127=A128,W128&amp;W129,W128&amp;W128))),""))),"N/A"),IF(_xlpm.Coup2=0,"",_xlpm.Coup2))</f>
        <v/>
      </c>
      <c r="DM128" t="str">
        <f>IF(AM128="Spiral","",IF(SD!$C$31=SD!$Y$3,SD!$E$32*2,""))</f>
        <v/>
      </c>
      <c r="DO128" s="24">
        <f t="shared" si="49"/>
        <v>2.5</v>
      </c>
      <c r="DQ128" t="str">
        <f t="shared" si="50"/>
        <v>Lig</v>
      </c>
      <c r="DR128" t="str">
        <f>IF(AM128="Spiral",((Y128-(SD!$E$12*2))/12),"")</f>
        <v/>
      </c>
      <c r="DS128" t="str">
        <f t="shared" si="51"/>
        <v/>
      </c>
      <c r="DT128" t="str">
        <f t="shared" si="52"/>
        <v/>
      </c>
      <c r="DU128" t="str">
        <f t="shared" si="53"/>
        <v/>
      </c>
    </row>
    <row r="129" spans="1:125" x14ac:dyDescent="0.25">
      <c r="A129">
        <v>46</v>
      </c>
      <c r="B129" t="s">
        <v>664</v>
      </c>
      <c r="C129" s="15">
        <v>2429</v>
      </c>
      <c r="D129" s="15">
        <v>10000</v>
      </c>
      <c r="E129" s="15" t="s">
        <v>711</v>
      </c>
      <c r="F129" s="15" t="s">
        <v>787</v>
      </c>
      <c r="G129" t="s">
        <v>740</v>
      </c>
      <c r="H129" s="15" t="s">
        <v>789</v>
      </c>
      <c r="I129" t="s">
        <v>741</v>
      </c>
      <c r="J129" t="str">
        <f>IF(AND(SD!$C$19=SD!$H$2,Grade!$G$1="Per level"),VLOOKUP(B129,Grade!$E$1:$F$200,2,FALSE),IF(AND(SD!$C$19=SD!$H$2,Grade!$G$1="Per Bar Size"),VLOOKUP(W129,Grade!$B$1:$C$12,2,0),SD!$C$19))</f>
        <v>A615 Grade 60</v>
      </c>
      <c r="K129" t="s">
        <v>67</v>
      </c>
      <c r="L129" t="str">
        <f>IFERROR(IF(A129&lt;&gt;A130,"",IF(DF129="No Lap","",IF(K130="Lap",U129,IF(K130="Coupler",_xlfn._xlws.FILTER(CCoupler,(CCName=SD!$C$8)*(CBSize=IF(A128=A129,W129&amp;W130,W129&amp;W129))*(CCMFM="Male")),"")))),"N/A")</f>
        <v>5-1</v>
      </c>
      <c r="M129" t="str">
        <f t="shared" si="27"/>
        <v/>
      </c>
      <c r="N129" t="s">
        <v>719</v>
      </c>
      <c r="O129" t="s">
        <v>720</v>
      </c>
      <c r="P129" t="s">
        <v>719</v>
      </c>
      <c r="Q129" t="str">
        <f>IF(AND(SD!$C$29=SD!$P$2,Grade!$O$1="Per level"),VLOOKUP(B129,Grade!$M$1:$N$200,2,FALSE),IF(AND(SD!$C$29=SD!$P$2,Grade!$O$1="Per Bar Size"),VLOOKUP(LEFT(N129,FIND("@",N129)-2),Grade!$J$1:$K$12,2,0),SD!$C$29))</f>
        <v>A615 Grade 60</v>
      </c>
      <c r="R129" t="s">
        <v>740</v>
      </c>
      <c r="S129" s="57">
        <v>129</v>
      </c>
      <c r="U129" t="str">
        <f>IF(Data!$J129="",IFERROR(INDEX(IF(SD!$C$11="Create",Lap!$A$3:$BF$14,IF(SD!$C$11="Per Uploaded File",Lap!$A$19:$BF$30,"")),MATCH(W129,Lap!$A$3:$A$14,0),MATCH(VALUE(D129),Lap!$A$3:$BF$3,0)+IF(IFERROR(FIND("Grade 60",J129),0)&gt;0,0,IF(IFERROR(FIND("Grade 80",J129),0),1,IF(IFERROR(FIND("Grade 75",J129),0),2,"")))),""),Data!J129)</f>
        <v>5-1</v>
      </c>
      <c r="W129" t="s">
        <v>176</v>
      </c>
      <c r="X129">
        <v>10</v>
      </c>
      <c r="Y129" t="str">
        <f t="shared" si="28"/>
        <v>36</v>
      </c>
      <c r="Z129">
        <f t="shared" si="29"/>
        <v>0</v>
      </c>
      <c r="AA129" s="24">
        <f t="shared" si="30"/>
        <v>26.666666666666668</v>
      </c>
      <c r="BB129" t="e" cm="1">
        <f t="array" ref="BB129">_xlfn.LET(_xlpm.PartF,(_xlfn.LET(_xlpm.grade, Q129,_xlpm.gradeRange, IF(_xlpm.grade=SD!$H$3, A615GR60, IF(_xlpm.grade=SD!$H$4, A615GR75, IF(_xlpm.grade=SD!$H$5, A615GR80, IF(_xlpm.grade=SD!$H$6, A615GR100, IF(_xlpm.grade=SD!$H$7, A706GR60, IF(_xlpm.grade=SD!$H$8, A706GR80)))))),_xlpm.matchValue, MATCH(1, (SD!$AW:$AW=AS129)*(SD!$AX:$AX=SD!$C$8), 0),INDEX(_xlpm.gradeRange, _xlpm.matchValue))),IF(AM129="Spiral",CONCATENATE("SP",_xlpm.PartF),_xlpm.PartF))</f>
        <v>#N/A</v>
      </c>
      <c r="BC129" cm="1">
        <f t="array" ref="BC129">_xlfn.LET(_xlpm.leftPart, LEFT(O129, FIND("@", O129) - 2),_xlpm.grade,Q129,_xlpm.gradeRange,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29" cm="1">
        <f t="array" ref="BD129">_xlfn.LET(_xlpm.leftPart, LEFT(P129, FIND("@", P129) - 2),_xlpm.grade, Q129,_xlpm.gradeRange,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29">
        <f t="shared" si="31"/>
        <v>3</v>
      </c>
      <c r="BF129">
        <f>IF(SD!$C$32=SD!$I$2,BE129,IF(SD!$C$32=SD!$I$3,DO129,IF(SD!$C$32=SD!$I$5,BA129,IF(SD!$C$32=SD!$I$6,(LEFT(SD!$C$35,FIND("-",SD!$C$35)-1)+RIGHT(SD!$C$35,LEN(SD!$C$35)-FIND("-",SD!$C$35))/12),IF(SD!$C$32=SD!$I$4,(AU129-(BG129+BH129)))))))</f>
        <v>0</v>
      </c>
      <c r="BG129">
        <f>IF(SD!$C$33=SD!$I$2,BE129,IF(SD!$C$33=SD!$I$3,DO129,IF(SD!$C$33=SD!$I$5,BA129,IF(SD!$C$33=SD!$I$6,(LEFT(SD!$C$35,FIND("-",SD!$C$35)-1)+RIGHT(SD!$C$35,LEN(SD!$C$35)-FIND("-",SD!$C$35))/12),IF(SD!$C$33=SD!$I$4,(AU129-(BF129+BH129)))))))</f>
        <v>-1</v>
      </c>
      <c r="BH129">
        <f>IF(SD!$C$34=SD!$I$2,BE129,IF(SD!$C$34=SD!$I$3,DO129,IF(SD!$C$34=SD!$I$5,BA129,IF(SD!$C$34=SD!$I$6,(LEFT(SD!$C$35,FIND("-",SD!$C$35)-1)+RIGHT(SD!$C$35,LEN(SD!$C$35)-FIND("-",SD!$C$35))/12),IF(SD!$C$34=SD!$I$4,(AU129-(BF129+BG129)))))))</f>
        <v>1</v>
      </c>
      <c r="BJ129">
        <f>IF(AM129="Spiral","1",MAX(ROUNDUP(IF(SD!$C$32="",AT129,BF129/(LEFT(RIGHT(N129,LEN(N129)-FIND("@",N129)),LEN(RIGHT(N129,LEN(N129)-FIND("@",N129)))-1)/12)+1),0),0))</f>
        <v>1</v>
      </c>
      <c r="BK129">
        <f>MAX(ROUNDUP(IF(SD!$C$33="","",BG129/(LEFT(RIGHT(O129,LEN(O129)-FIND("@",O129)),LEN(RIGHT(O129,LEN(O129)-FIND("@",O129)))-1)/12)+1),0),0)</f>
        <v>0</v>
      </c>
      <c r="BL129">
        <f>MAX(ROUNDUP(IF(SD!$C$34="","",BH129/(LEFT(RIGHT(P129,LEN(P129)-FIND("@",P129)),LEN(RIGHT(P129,LEN(P129)-FIND("@",P129)))-1)/12)+1),0),0)</f>
        <v>3</v>
      </c>
      <c r="BN129" t="e">
        <f t="shared" si="32"/>
        <v>#N/A</v>
      </c>
      <c r="BO129" t="e">
        <f t="shared" si="33"/>
        <v>#N/A</v>
      </c>
      <c r="BP129" t="e">
        <f t="shared" si="34"/>
        <v>#N/A</v>
      </c>
      <c r="BQ129" s="24" t="e">
        <f>IF(AM129=TRUE,(((Y129-(SD!$E$12*2))*3.14159265359)+BN129+BO129+BP129)/12+AL129,SUM(AF129:AG129,BN129,BO129,BP129,AO129,AQ129)/12)</f>
        <v>#N/A</v>
      </c>
      <c r="BR129" t="e">
        <f t="shared" si="35"/>
        <v>#N/A</v>
      </c>
      <c r="BS129" t="e">
        <f t="shared" si="36"/>
        <v>#N/A</v>
      </c>
      <c r="BT129" t="e">
        <f t="shared" si="37"/>
        <v>#N/A</v>
      </c>
      <c r="BU129" s="24" t="e">
        <f>IF(AM129=TRUE,(((Y129-(SD!$E$12*2))*3.14159265359)+BR129+BS129+BT129)/12+AL129,SUM(AF129:AG129,BR129,BS129,BT129,AO129,AQ129)/12)</f>
        <v>#N/A</v>
      </c>
      <c r="BW129" t="str">
        <f>IFERROR(LEFT(Data!L129,FIND(" -",Data!L129)-1),"")</f>
        <v/>
      </c>
      <c r="BX129" t="str">
        <f>IFERROR(IF(SD!$C$40=SD!$U$2,W129,IF(SD!$C$40=SD!$U$3,RIGHT(Data!L129,LEN(Data!L129)-(FIND("-",Data!L129)+1)),SD!$C$40)),"")</f>
        <v>#10</v>
      </c>
      <c r="BY129" cm="1">
        <f t="array" ref="BY129">IFERROR(_xlfn.LET(_xlpm.GRR,IF(AND(SD!$C$19=SD!$H$2,Grade!$G$1="Per level"),VLOOKUP(B129,Grade!$E$1:$F$200,2,FALSE),IF(AND(SD!$C$19=SD!$H$2,Grade!$G$1="Per Bar Size"),VLOOKUP(BX129,Grade!$B$1:$C$12,2,0),SD!$C$19)),_xlpm.is_equal, A128=A129,_xlpm.grade_range, IF(_xlpm.GRR=SD!$H$3, A615GR60,IF(_xlpm.GRR=SD!$H$4, A615GR75,IF(_xlpm.GRR=SD!$H$5, A615GR80,IF(_xlpm.GRR=SD!H133, A615GR100,IF(_xlpm.GRR=SD!$H$7, A706GR60,IF(_xlpm.GRR=SD!$H$8, A706GR80)))))),_xlpm.match_result, MATCH(1, (BSize=BX129)*(BCName=SD!$C$8), 0),_xlpm.final_result, INDEX(_xlpm.grade_range, _xlpm.match_result),IF(_xlpm.is_equal, "", _xlpm.final_result)),"")</f>
        <v>10</v>
      </c>
      <c r="BZ129">
        <f>IF(A128=A129,"",IF(SD!$C$41="Match Vertical Bars ",X129,IF(SD!$C$41=SD!$V$3,BW129,SD!$C$41)))</f>
        <v>10</v>
      </c>
      <c r="CA129" cm="1">
        <f t="array" ref="CA129">IF(A128=A129,"",IF(SD!$C$44="No T-Head",IF(SD!$C$42=SD!$Q$3,VLOOKUP(BX129,S90Range,3,FALSE),LEFT(SD!$C$42,FIND("-",SD!$C$42)-1)+(RIGHT(SD!$C$42,LEN(SD!$C$42)-FIND("-",SD!$C$42))/12)),IF(SD!$C$44="T-Head",_xlfn._xlws.FILTER(THead,(TCName=SD!$C$8)*(TSize=BX129)),IF(SD!$C$44="Level Wise",_xlfn.LET(_xlpm.result,_xlfn.XLOOKUP(B129,VDLevel,VDLevelStatus,"No"),IF(_xlpm.result="Yes",_xlfn._xlws.FILTER(THead,(TCName=SD!$C$8)*(TSize=BX129)),IF(SD!$C$42=SD!$Q$3,VLOOKUP(BX129,S90Range,3,FALSE),LEFT(SD!$C$42,FIND("-",SD!$C$42)-1)+(RIGHT(SD!$C$42,LEN(SD!$C$42)-FIND("-", SD!$C$42))/12)))),IF(SD!$C$44="BarSize Wise",_xlfn.LET(_xlpm.result,_xlfn.XLOOKUP(BX129,VDBarSize,VDBarSizeStatus,"No"),IF(_xlpm.result="Yes",_xlfn._xlws.FILTER(THead,(TCName=SD!$C$8)*(TSize=BX129)),IF(SD!$C$42=SD!$Q$3,VLOOKUP(BX129,S90Range,3,FALSE),LEFT(SD!$C$42,FIND("-",SD!$C$42)-1)+(RIGHT(SD!$C$42,LEN(SD!$C$42)-FIND("-",SD!$C$42))/12)))), "")))))</f>
        <v>1.8333333333333335</v>
      </c>
      <c r="CB129" t="str" cm="1">
        <f t="array" ref="CB129">_xlfn.LET(_xlpm.GRR,IF(AND(SD!$C$19=SD!$H$2,Grade!$G$1="Per level"),VLOOKUP(B129,Grade!$E$1:$F$200,2,FALSE),IF(AND(SD!$C$19=SD!$H$2,Grade!$G$1="Per Bar Size"),VLOOKUP(BX129,Grade!$B$1:$C$12,2,0),SD!$C$19)),_xlpm.is_coupler, K129="Coupler",_xlpm.condition1, SD!$C$43=SD!$W$2,_xlpm.data_j2_empty, Data!$J129="",_xlpm.lookup_table, IF(SD!$C$11="Create", Lap!$A$3:$BF$14, IF(SD!$C$11="Per Uploaded File", Lap!$A$19:$BF$30, "")),_xlpm.row_match, MATCH(BX129, Lap!$A$3:$A$14, 0),_xlpm.grade_offset, IF(IFERROR(FIND("Grade 60",_xlpm.GRR), 0) &gt; 0, 0, IF(IFERROR(FIND("Grade 80",_xlpm.GRR), 0), 1, IF(IFERROR(FIND("Grade 75",_xlpm.GRR), 0), 2, ""))),_xlpm.col_match, MATCH(VALUE(D129), Lap!$A$3:$BF$3, 0) + _xlpm.grade_offset,_xlpm.index_result, IFERROR(INDEX(_xlpm.lookup_table, _xlpm.row_match, _xlpm.col_match), Data!$J129),_xlpm.result_if_condition1, IF(_xlpm.data_j2_empty, _xlpm.index_result, Data!$J129),IF(_xlpm.is_coupler, 0, IF(_xlpm.condition1, _xlpm.result_if_condition1, SD!$C$43)))</f>
        <v>5-1</v>
      </c>
      <c r="CC129" s="24">
        <f t="shared" si="38"/>
        <v>5.083333333333333</v>
      </c>
      <c r="CD129">
        <f t="shared" si="39"/>
        <v>12.583333333333332</v>
      </c>
      <c r="CE129" t="str" cm="1">
        <f t="array" ref="CE129">IF(BY129="","",_xlfn._xlws.FILTER(SAC,(CName=SD!$C$8)*(EName="Vert Dowels")))</f>
        <v>2200 CD</v>
      </c>
      <c r="CF129" t="str" cm="1">
        <f t="array" ref="CF129">IFERROR(IF(BY129="","",IF(K129="Coupler",_xlfn._xlws.FILTER(CCoupler,(CCName=SD!$C$8)*(CBSize=IF(A128=A129,W128&amp;W129,BX129&amp;W129))*(CCMFM="Male")),"")),"N/A")</f>
        <v/>
      </c>
      <c r="CG129" t="str">
        <f t="shared" si="40"/>
        <v/>
      </c>
      <c r="CH129" t="str">
        <f t="shared" si="41"/>
        <v/>
      </c>
      <c r="CI129" t="str">
        <f>_xlfn.LET(_xlpm.u3_value, U130,_xlpm.hyphen_pos,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K130="Coupler",_xlpm.coupler_value, IF(_xlpm.is_coupler, 0, _xlpm.calculated_value),_xlpm.final_value, _xlpm.calculated_value + SD!$E$13 + _xlpm.coupler_value,IF(CG129="", "", _xlpm.final_value))</f>
        <v/>
      </c>
      <c r="CJ129" t="str" cm="1">
        <f t="array" ref="CJ129">IF(CG129="","",_xlfn._xlws.FILTER(SAC,(CName=SD!$C$8)*(EName="Loose Dowels")))</f>
        <v/>
      </c>
      <c r="CK129" t="str" cm="1">
        <f t="array" ref="CK129">IFERROR(IF(CG129="","",IF(K130="Coupler",_xlfn._xlws.FILTER(CCoupler,(CCName=SD!$C$8)*(CBSize=IF(A129=A130,W129&amp;W130,""))*(CCMFM="Male")),"")),"N/A")</f>
        <v/>
      </c>
      <c r="CL129">
        <f>IFERROR(IF(AM129="Spiral","",IF(A128=A129,"",IF(SD!$C$37=0,"",SD!$C$37))),"")</f>
        <v>3</v>
      </c>
      <c r="CN129">
        <f>IF(AM129="Spiral","",IFERROR(IF(SD!$C$36=0,"",SD!$C$36),""))</f>
        <v>5</v>
      </c>
      <c r="CP129">
        <f>IFERROR(IF(SD!$C$42=SD!$Q$3,'Take-off'!CA129,""),"")</f>
        <v>1.8333333333333335</v>
      </c>
      <c r="CR129">
        <f>IFERROR(IF(SD!$C$22=SD!$U$2,W129,SD!$C$22),"")</f>
        <v>0</v>
      </c>
      <c r="CS129" t="str" cm="1">
        <f t="array" ref="CS129">_xlfn.LET(_xlpm.GR,IF(AND(SD!$C$19=SD!$H$2,Grade!$G$1="Per level"),VLOOKUP(B129,Grade!$E$1:$F$200,2,FALSE),IF(AND(SD!$C$19=SD!$H$2,Grade!$G$1="Per Bar Size"),VLOOKUP(CR129,Grade!$B$1:$C$12,2,0),SD!$C$19)),IF(SD!$C$20=SD!$R$4,IF(A130=A129,"",INDEX(IF(_xlpm.GR=SD!$H$3,A615GR60,IF(_xlpm.GR=SD!$H$4,A615GR75,IF(_xlpm.GR=SD!$H$5,A615GR80,IF(_xlpm.GR=SD!H133,A615GR100,IF(_xlpm.GR=SD!$H$7,A706GR60,IF(_xlpm.GR=SD!$H$8,A706GR80)))))), MATCH(1, (BSize=CR129)*(BCName=SD!$C$8), 0))),""))</f>
        <v/>
      </c>
      <c r="CT129" t="str">
        <f>IF(A130=A129,"",IF(SD!$C$23="Match Vertical Bars ",X129,SD!$C$23))</f>
        <v/>
      </c>
      <c r="CU129" t="str" cm="1">
        <f t="array" ref="CU129">IF(A130=A129,"",IF(SD!$C$20="Top dowels",IF(SD!$E$25="No T-Head",IF(SD!$C$24=SD!$Q$3,VLOOKUP(CR129,S90Range,3,FALSE),LEFT(SD!$C$24,FIND("-",SD!$C$24)-1)+(RIGHT(SD!$C$24,LEN(SD!$C$24)-FIND("-",SD!$C$24))/12)),IF(SD!$E$25="T-Head",_xlfn._xlws.FILTER(THead,(TCName=SD!$C$8)*(TSize=CR129)),IF(SD!$E$25="Level Wise",_xlfn.LET(_xlpm.result,_xlfn.XLOOKUP(B129,TDLevel,TDLevelStatus,"No"),IF(_xlpm.result="Yes",_xlfn._xlws.FILTER(THead,(TCName=SD!$C$8)*(TSize=CR129)),IF(SD!$C$24=SD!$Q$3,VLOOKUP(CR129,S90Range,3,FALSE),LEFT(SD!$C$24,FIND("-",SD!$C$24)-1)+(RIGHT(SD!$C$24,LEN(SD!$C$24)-FIND("-", SD!$C$24))/12)))),IF(SD!$E$25="BarSize Wise",_xlfn.LET(_xlpm.result,_xlfn.XLOOKUP(CR129,TDBarSize,TDBarSizeStatus,"No"),IF(_xlpm.result="Yes",_xlfn._xlws.FILTER(THead,(TCName=SD!$C$8)*(TSize=CR129)),IF(SD!$C$24=SD!$Q$3,VLOOKUP(CR129,S90Range,3,FALSE),LEFT(SD!$C$24,FIND("-",SD!$C$24)-1)+(RIGHT(SD!$C$24,LEN(SD!$C$24)-FIND("-",SD!$C$24))/12)))), "")))),""))</f>
        <v/>
      </c>
      <c r="CV129" t="str">
        <f>_xlfn.LET(_xlpm.GRR,IF(AND(SD!$C$19=SD!$H$2,Grade!$G$1="Per level"),VLOOKUP(B129,Grade!$E$1:$F$200,2,FALSE),IF(AND(SD!$C$19=SD!$H$2,Grade!$G$1="Per Bar Size"),VLOOKUP(CR129,Grade!$B$1:$C$12,2,0),SD!$C$19)),IF(SD!$C$25=SD!$W$2,IF(Data!$J129="",IFERROR(INDEX(IF(SD!$C$11="Create",Lap!$A$3:$BF$14,IF(SD!$C$11="Per Uploaded File",Lap!$A$19:$BF$30,"")),MATCH(CR129,Lap!$A$3:$A$14,0),MATCH(VALUE(D129),Lap!$A$3:$BF$3,0)+IF(IFERROR(FIND("Grade 60",_xlpm.GRR),0)&gt;0,0,IF(IFERROR(FIND("Grade 80",_xlpm.GRR),0),1,IF(IFERROR(FIND("Grade 75",_xlpm.GRR),0),2,"")))),""),Data!J129),SD!$C$43))</f>
        <v>Match Lap</v>
      </c>
      <c r="CW129">
        <f t="shared" si="42"/>
        <v>0</v>
      </c>
      <c r="CX129">
        <f t="shared" si="43"/>
        <v>0</v>
      </c>
      <c r="CY129" t="str">
        <f t="shared" si="44"/>
        <v/>
      </c>
      <c r="DA129">
        <f t="shared" si="45"/>
        <v>46</v>
      </c>
      <c r="DB129" t="str">
        <f t="shared" si="46"/>
        <v>138-0</v>
      </c>
      <c r="DC129" s="24">
        <f t="shared" si="47"/>
        <v>137.99999999999997</v>
      </c>
      <c r="DD129">
        <f t="shared" si="48"/>
        <v>21.583333333333332</v>
      </c>
      <c r="DE129" t="s">
        <v>785</v>
      </c>
      <c r="DF129" t="s">
        <v>67</v>
      </c>
      <c r="DG129" t="str">
        <f>VLOOKUP(W129,'Level Wise PSI'!$F$2:$G$12,2,FALSE)</f>
        <v>Double Lift</v>
      </c>
      <c r="DI129" t="str" cm="1">
        <f t="array" ref="DI129">_xlfn.LET(_xlpm.Coup,IFERROR(IF(BY129="","",IF(K129="Coupler",_xlfn._xlws.FILTER(CCFCoupler,(CCName=SD!$C$8)*(CBSize=IF(A128=A129,W128&amp;W129,BX129&amp;W129))),"")),"N/A"),IF(_xlpm.Coup=0,"",_xlpm.Coup))</f>
        <v/>
      </c>
      <c r="DJ129" t="str" cm="1">
        <f t="array" ref="DJ129">_xlfn.LET(_xlpm.Coup3,IFERROR(IF(CG129="","",IF(K130="Coupler",_xlfn._xlws.FILTER(CCFCoupler,(CCName=SD!$C$8)*(CBSize=IF(A129=A130,W129&amp;W130,""))),"")),"N/A"),IF(_xlpm.Coup3=0,"",_xlpm.Coup3))</f>
        <v/>
      </c>
      <c r="DK129" t="str" cm="1">
        <f t="array" ref="DK129">_xlfn.LET(_xlpm.Coup2,IFERROR(IF(A129&lt;&gt;A130,"",IF(DF129="No Lap","",IF(K130="Coupler",_xlfn._xlws.FILTER(CCFCoupler,(CCName=SD!$C$8)*(CBSize=IF(A128=A129,W129&amp;W130,W129&amp;W129))),""))),"N/A"),IF(_xlpm.Coup2=0,"",_xlpm.Coup2))</f>
        <v/>
      </c>
      <c r="DM129" t="str">
        <f>IF(AM129="Spiral","",IF(SD!$C$31=SD!$Y$3,SD!$E$32*2,""))</f>
        <v/>
      </c>
      <c r="DO129" s="24">
        <f t="shared" si="49"/>
        <v>3</v>
      </c>
      <c r="DQ129" t="str">
        <f t="shared" si="50"/>
        <v>Lig</v>
      </c>
      <c r="DR129" t="str">
        <f>IF(AM129="Spiral",((Y129-(SD!$E$12*2))/12),"")</f>
        <v/>
      </c>
      <c r="DS129" t="str">
        <f t="shared" si="51"/>
        <v/>
      </c>
      <c r="DT129" t="str">
        <f t="shared" si="52"/>
        <v/>
      </c>
      <c r="DU129" t="str">
        <f t="shared" si="53"/>
        <v/>
      </c>
    </row>
    <row r="130" spans="1:125" x14ac:dyDescent="0.25">
      <c r="A130">
        <v>46</v>
      </c>
      <c r="B130" t="s">
        <v>667</v>
      </c>
      <c r="C130" s="15">
        <v>2429</v>
      </c>
      <c r="D130" s="15">
        <v>10000</v>
      </c>
      <c r="E130" t="str">
        <f>IF(B130=Level!$A$2,SD!$C$14,SD!$C$13)</f>
        <v>0-8</v>
      </c>
      <c r="F130" s="15" t="s">
        <v>787</v>
      </c>
      <c r="G130" t="s">
        <v>740</v>
      </c>
      <c r="H130" t="str">
        <f>RIGHT(VLOOKUP(B130,Level!A:C,3,FALSE),LEN(VLOOKUP(B130,Level!A:C,3,FALSE))-1)</f>
        <v>10-7</v>
      </c>
      <c r="I130" t="s">
        <v>741</v>
      </c>
      <c r="J130" t="str">
        <f>IF(AND(SD!$C$19=SD!$H$2,Grade!$G$1="Per level"),VLOOKUP(B130,Grade!$E$1:$F$200,2,FALSE),IF(AND(SD!$C$19=SD!$H$2,Grade!$G$1="Per Bar Size"),VLOOKUP(W130,Grade!$B$1:$C$12,2,0),SD!$C$19))</f>
        <v>A615 Grade 60</v>
      </c>
      <c r="K130" t="s">
        <v>67</v>
      </c>
      <c r="L130" t="str">
        <f>IFERROR(IF(A130&lt;&gt;A131,"",IF(DF130="No Lap","",IF(K131="Lap",U130,IF(K131="Coupler",_xlfn._xlws.FILTER(CCoupler,(CCName=SD!$C$8)*(CBSize=IF(A129=A130,W130&amp;W131,W130&amp;W130))*(CCMFM="Male")),"")))),"N/A")</f>
        <v>5-1</v>
      </c>
      <c r="M130" t="str">
        <f t="shared" ref="M130:M193" si="54">IF(A130=A131,IF(AND(IF(A130=A131,ABS(Y130-Y131),"0")&gt;6,IF(A130=A131,ABS(Z130-Z131),"0")&gt;6),I131,IF(OR(IF(A130=A131,ABS(Y130-Y131),"0")&gt;6,IF(A130=A131,ABS(Z130-Z131),"0")&gt;6),CONCATENATE(ROUNDUP(X131/2,0)," - ",W131),"")),"")</f>
        <v/>
      </c>
      <c r="N130" t="s">
        <v>719</v>
      </c>
      <c r="O130" t="s">
        <v>720</v>
      </c>
      <c r="P130" t="s">
        <v>719</v>
      </c>
      <c r="Q130" t="str">
        <f>IF(AND(SD!$C$29=SD!$P$2,Grade!$O$1="Per level"),VLOOKUP(B130,Grade!$M$1:$N$200,2,FALSE),IF(AND(SD!$C$29=SD!$P$2,Grade!$O$1="Per Bar Size"),VLOOKUP(LEFT(N130,FIND("@",N130)-2),Grade!$J$1:$K$12,2,0),SD!$C$29))</f>
        <v>A615 Grade 60</v>
      </c>
      <c r="R130" t="s">
        <v>740</v>
      </c>
      <c r="S130" s="57">
        <v>130</v>
      </c>
      <c r="U130" t="str">
        <f>IF(Data!$J130="",IFERROR(INDEX(IF(SD!$C$11="Create",Lap!$A$3:$BF$14,IF(SD!$C$11="Per Uploaded File",Lap!$A$19:$BF$30,"")),MATCH(W130,Lap!$A$3:$A$14,0),MATCH(VALUE(D130),Lap!$A$3:$BF$3,0)+IF(IFERROR(FIND("Grade 60",J130),0)&gt;0,0,IF(IFERROR(FIND("Grade 80",J130),0),1,IF(IFERROR(FIND("Grade 75",J130),0),2,"")))),""),Data!J130)</f>
        <v>5-1</v>
      </c>
      <c r="W130" t="s">
        <v>176</v>
      </c>
      <c r="X130">
        <v>10</v>
      </c>
      <c r="Y130" t="str">
        <f t="shared" ref="Y130:Y193" si="55">IFERROR(LEFT(G130,FIND(" dia",G130)-2),LEFT(G130,FIND("x",G130)-1))</f>
        <v>36</v>
      </c>
      <c r="Z130">
        <f t="shared" ref="Z130:Z193" si="56">IFERROR(IF(FIND("dia",G130)&gt;0,0,ERROR.TYPE(#VALUE!)),RIGHT(G130,LEN(G130)-FIND("x",G130)))</f>
        <v>0</v>
      </c>
      <c r="AA130" s="24">
        <f t="shared" ref="AA130:AA193" si="57">IF(OR(K131="Coupler",A130&lt;&gt;A131),LEFT(H130,FIND("-",H130)-1)+(RIGHT(H130,LEN(H130)-FIND("-",H130))/12),LEFT(H130,FIND("-",H130)-1)+IFERROR(LEFT(L130,FIND("-",L130)-1),"0")+(RIGHT(H130,LEN(H130)-FIND("-",H130))+IFERROR(RIGHT(L130,LEN(L130)-FIND("-",L130)),"0"))/12)+IFERROR(IF(ISNUMBER(AE130),AE130,0),0)</f>
        <v>15.666666666666666</v>
      </c>
      <c r="BB130" t="e" cm="1">
        <f t="array" ref="BB130">_xlfn.LET(_xlpm.PartF,(_xlfn.LET(_xlpm.grade, Q130,_xlpm.gradeRange, IF(_xlpm.grade=SD!$H$3, A615GR60, IF(_xlpm.grade=SD!$H$4, A615GR75, IF(_xlpm.grade=SD!$H$5, A615GR80, IF(_xlpm.grade=SD!$H$6, A615GR100, IF(_xlpm.grade=SD!$H$7, A706GR60, IF(_xlpm.grade=SD!$H$8, A706GR80)))))),_xlpm.matchValue, MATCH(1, (SD!$AW:$AW=AS130)*(SD!$AX:$AX=SD!$C$8), 0),INDEX(_xlpm.gradeRange, _xlpm.matchValue))),IF(AM130="Spiral",CONCATENATE("SP",_xlpm.PartF),_xlpm.PartF))</f>
        <v>#N/A</v>
      </c>
      <c r="BC130" cm="1">
        <f t="array" ref="BC130">_xlfn.LET(_xlpm.leftPart, LEFT(O130, FIND("@", O130) - 2),_xlpm.grade,Q130,_xlpm.gradeRange,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0" cm="1">
        <f t="array" ref="BD130">_xlfn.LET(_xlpm.leftPart, LEFT(P130, FIND("@", P130) - 2),_xlpm.grade, Q130,_xlpm.gradeRange,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0">
        <f t="shared" ref="BE130:BE193" si="58">_xlfn.LET(_xlpm.auDiv6, AU130 / 6,_xlpm.maxValue, MAX(_xlpm.auDiv6 * 12, _xlfn.NUMBERVALUE(Y130), _xlfn.NUMBERVALUE(Z130), 18),_xlpm.maxValue / 12)</f>
        <v>3</v>
      </c>
      <c r="BF130">
        <f>IF(SD!$C$32=SD!$I$2,BE130,IF(SD!$C$32=SD!$I$3,DO130,IF(SD!$C$32=SD!$I$5,BA130,IF(SD!$C$32=SD!$I$6,(LEFT(SD!$C$35,FIND("-",SD!$C$35)-1)+RIGHT(SD!$C$35,LEN(SD!$C$35)-FIND("-",SD!$C$35))/12),IF(SD!$C$32=SD!$I$4,(AU130-(BG130+BH130)))))))</f>
        <v>0</v>
      </c>
      <c r="BG130">
        <f>IF(SD!$C$33=SD!$I$2,BE130,IF(SD!$C$33=SD!$I$3,DO130,IF(SD!$C$33=SD!$I$5,BA130,IF(SD!$C$33=SD!$I$6,(LEFT(SD!$C$35,FIND("-",SD!$C$35)-1)+RIGHT(SD!$C$35,LEN(SD!$C$35)-FIND("-",SD!$C$35))/12),IF(SD!$C$33=SD!$I$4,(AU130-(BF130+BH130)))))))</f>
        <v>-1</v>
      </c>
      <c r="BH130">
        <f>IF(SD!$C$34=SD!$I$2,BE130,IF(SD!$C$34=SD!$I$3,DO130,IF(SD!$C$34=SD!$I$5,BA130,IF(SD!$C$34=SD!$I$6,(LEFT(SD!$C$35,FIND("-",SD!$C$35)-1)+RIGHT(SD!$C$35,LEN(SD!$C$35)-FIND("-",SD!$C$35))/12),IF(SD!$C$34=SD!$I$4,(AU130-(BF130+BG130)))))))</f>
        <v>1</v>
      </c>
      <c r="BJ130">
        <f>IF(AM130="Spiral","1",MAX(ROUNDUP(IF(SD!$C$32="",AT130,BF130/(LEFT(RIGHT(N130,LEN(N130)-FIND("@",N130)),LEN(RIGHT(N130,LEN(N130)-FIND("@",N130)))-1)/12)+1),0),0))</f>
        <v>1</v>
      </c>
      <c r="BK130">
        <f>MAX(ROUNDUP(IF(SD!$C$33="","",BG130/(LEFT(RIGHT(O130,LEN(O130)-FIND("@",O130)),LEN(RIGHT(O130,LEN(O130)-FIND("@",O130)))-1)/12)+1),0),0)</f>
        <v>0</v>
      </c>
      <c r="BL130">
        <f>MAX(ROUNDUP(IF(SD!$C$34="","",BH130/(LEFT(RIGHT(P130,LEN(P130)-FIND("@",P130)),LEN(RIGHT(P130,LEN(P130)-FIND("@",P130)))-1)/12)+1),0),0)</f>
        <v>3</v>
      </c>
      <c r="BN130" t="e">
        <f t="shared" ref="BN130:BN193" si="59">_xlfn.LET(_xlpm.o_value, LEFT(O130, FIND("@", O130) - 2),_xlpm.vlookup1, INDEX(Ties_Type01, MATCH(AD130, INDEX(Ties_Type01, , 1), 0), 4),_xlpm.vlookup2, INDEX(S90Range, MATCH(_xlpm.o_value, INDEX(S90Range, , 1), 0), 4),_xlpm.result, (_xlpm.vlookup1 * _xlpm.vlookup2) * 12,_xlpm.result)</f>
        <v>#N/A</v>
      </c>
      <c r="BO130" t="e">
        <f t="shared" ref="BO130:BO193" si="60">_xlfn.LET(_xlpm.o_value, LEFT(O130, FIND("@", O130) - 2),_xlpm.index1, INDEX(Ties_Type01, MATCH(AD130, INDEX(Ties_Type01, , 1), 0), 5),_xlpm.index2, INDEX(S135Range, MATCH(_xlpm.o_value, INDEX(S135Range, , 1), 0), 3),_xlpm.result, (_xlpm.index1 * _xlpm.index2) * 12,_xlpm.result)</f>
        <v>#N/A</v>
      </c>
      <c r="BP130" t="e">
        <f t="shared" ref="BP130:BP193" si="61">_xlfn.LET(_xlpm.o_value, LEFT(O130, FIND("@", O130) - 2),_xlpm.index1, INDEX(Ties_Type01, MATCH(AD130, INDEX(Ties_Type01, , 1), 0), 6),_xlpm.index2, INDEX(S180Range, MATCH(_xlpm.o_value, INDEX(S180Range, , 1), 0), 3),_xlpm.result, (_xlpm.index1 * _xlpm.index2) * 12,_xlpm.result)</f>
        <v>#N/A</v>
      </c>
      <c r="BQ130" s="24" t="e">
        <f>IF(AM130=TRUE,(((Y130-(SD!$E$12*2))*3.14159265359)+BN130+BO130+BP130)/12+AL130,SUM(AF130:AG130,BN130,BO130,BP130,AO130,AQ130)/12)</f>
        <v>#N/A</v>
      </c>
      <c r="BR130" t="e">
        <f t="shared" ref="BR130:BR193" si="62">_xlfn.LET(_xlpm.p_value, LEFT(P130, FIND("@", P130) - 2),_xlpm.index1, INDEX(Ties_Type01, MATCH(AD130, INDEX(Ties_Type01, , 1), 0), 4),_xlpm.index2, INDEX(S90Range, MATCH(_xlpm.p_value, INDEX(S90Range, , 1), 0), 4),_xlpm.result, (_xlpm.index1 * _xlpm.index2) * 12,_xlpm.result)</f>
        <v>#N/A</v>
      </c>
      <c r="BS130" t="e">
        <f t="shared" ref="BS130:BS193" si="63">_xlfn.LET(_xlpm.p_value, LEFT(P130, FIND("@", P130) - 2),_xlpm.index1, INDEX(Ties_Type01, MATCH(AD130, INDEX(Ties_Type01, , 1), 0), 5),_xlpm.index2, INDEX(S135Range, MATCH(_xlpm.p_value, INDEX(S135Range, , 1), 0), 3),_xlpm.result, (_xlpm.index1 * _xlpm.index2) * 12,_xlpm.result)</f>
        <v>#N/A</v>
      </c>
      <c r="BT130" t="e">
        <f t="shared" ref="BT130:BT193" si="64">_xlfn.LET(_xlpm.p_value, LEFT(P130, FIND("@", P130) - 2),_xlpm.index1, INDEX(Ties_Type01, MATCH(AD130, INDEX(Ties_Type01, , 1), 0), 6),_xlpm.index2, INDEX(S180Range, MATCH(_xlpm.p_value, INDEX(S180Range, , 1), 0), 3),_xlpm.result, (_xlpm.index1 * _xlpm.index2) * 12,_xlpm.result)</f>
        <v>#N/A</v>
      </c>
      <c r="BU130" s="24" t="e">
        <f>IF(AM130=TRUE,(((Y130-(SD!$E$12*2))*3.14159265359)+BR130+BS130+BT130)/12+AL130,SUM(AF130:AG130,BR130,BS130,BT130,AO130,AQ130)/12)</f>
        <v>#N/A</v>
      </c>
      <c r="BW130" t="str">
        <f>IFERROR(LEFT(Data!L130,FIND(" -",Data!L130)-1),"")</f>
        <v/>
      </c>
      <c r="BX130" t="str">
        <f>IFERROR(IF(SD!$C$40=SD!$U$2,W130,IF(SD!$C$40=SD!$U$3,RIGHT(Data!L130,LEN(Data!L130)-(FIND("-",Data!L130)+1)),SD!$C$40)),"")</f>
        <v>#10</v>
      </c>
      <c r="BY130" t="str" cm="1">
        <f t="array" ref="BY130">IFERROR(_xlfn.LET(_xlpm.GRR,IF(AND(SD!$C$19=SD!$H$2,Grade!$G$1="Per level"),VLOOKUP(B130,Grade!$E$1:$F$200,2,FALSE),IF(AND(SD!$C$19=SD!$H$2,Grade!$G$1="Per Bar Size"),VLOOKUP(BX130,Grade!$B$1:$C$12,2,0),SD!$C$19)),_xlpm.is_equal, A129=A130,_xlpm.grade_range, IF(_xlpm.GRR=SD!$H$3, A615GR60,IF(_xlpm.GRR=SD!$H$4, A615GR75,IF(_xlpm.GRR=SD!$H$5, A615GR80,IF(_xlpm.GRR=SD!H134, A615GR100,IF(_xlpm.GRR=SD!$H$7, A706GR60,IF(_xlpm.GRR=SD!$H$8, A706GR80)))))),_xlpm.match_result, MATCH(1, (BSize=BX130)*(BCName=SD!$C$8), 0),_xlpm.final_result, INDEX(_xlpm.grade_range, _xlpm.match_result),IF(_xlpm.is_equal, "", _xlpm.final_result)),"")</f>
        <v/>
      </c>
      <c r="BZ130" t="str">
        <f>IF(A129=A130,"",IF(SD!$C$41="Match Vertical Bars ",X130,IF(SD!$C$41=SD!$V$3,BW130,SD!$C$41)))</f>
        <v/>
      </c>
      <c r="CA130" t="str" cm="1">
        <f t="array" ref="CA130">IF(A129=A130,"",IF(SD!$C$44="No T-Head",IF(SD!$C$42=SD!$Q$3,VLOOKUP(BX130,S90Range,3,FALSE),LEFT(SD!$C$42,FIND("-",SD!$C$42)-1)+(RIGHT(SD!$C$42,LEN(SD!$C$42)-FIND("-",SD!$C$42))/12)),IF(SD!$C$44="T-Head",_xlfn._xlws.FILTER(THead,(TCName=SD!$C$8)*(TSize=BX130)),IF(SD!$C$44="Level Wise",_xlfn.LET(_xlpm.result,_xlfn.XLOOKUP(B130,VDLevel,VDLevelStatus,"No"),IF(_xlpm.result="Yes",_xlfn._xlws.FILTER(THead,(TCName=SD!$C$8)*(TSize=BX130)),IF(SD!$C$42=SD!$Q$3,VLOOKUP(BX130,S90Range,3,FALSE),LEFT(SD!$C$42,FIND("-",SD!$C$42)-1)+(RIGHT(SD!$C$42,LEN(SD!$C$42)-FIND("-", SD!$C$42))/12)))),IF(SD!$C$44="BarSize Wise",_xlfn.LET(_xlpm.result,_xlfn.XLOOKUP(BX130,VDBarSize,VDBarSizeStatus,"No"),IF(_xlpm.result="Yes",_xlfn._xlws.FILTER(THead,(TCName=SD!$C$8)*(TSize=BX130)),IF(SD!$C$42=SD!$Q$3,VLOOKUP(BX130,S90Range,3,FALSE),LEFT(SD!$C$42,FIND("-",SD!$C$42)-1)+(RIGHT(SD!$C$42,LEN(SD!$C$42)-FIND("-",SD!$C$42))/12)))), "")))))</f>
        <v/>
      </c>
      <c r="CB130" t="str" cm="1">
        <f t="array" ref="CB130">_xlfn.LET(_xlpm.GRR,IF(AND(SD!$C$19=SD!$H$2,Grade!$G$1="Per level"),VLOOKUP(B130,Grade!$E$1:$F$200,2,FALSE),IF(AND(SD!$C$19=SD!$H$2,Grade!$G$1="Per Bar Size"),VLOOKUP(BX130,Grade!$B$1:$C$12,2,0),SD!$C$19)),_xlpm.is_coupler, K130="Coupler",_xlpm.condition1, SD!$C$43=SD!$W$2,_xlpm.data_j2_empty, Data!$J130="",_xlpm.lookup_table, IF(SD!$C$11="Create", Lap!$A$3:$BF$14, IF(SD!$C$11="Per Uploaded File", Lap!$A$19:$BF$30, "")),_xlpm.row_match, MATCH(BX130, Lap!$A$3:$A$14, 0),_xlpm.grade_offset, IF(IFERROR(FIND("Grade 60",_xlpm.GRR), 0) &gt; 0, 0, IF(IFERROR(FIND("Grade 80",_xlpm.GRR), 0), 1, IF(IFERROR(FIND("Grade 75",_xlpm.GRR), 0), 2, ""))),_xlpm.col_match, MATCH(VALUE(D130), Lap!$A$3:$BF$3, 0) + _xlpm.grade_offset,_xlpm.index_result, IFERROR(INDEX(_xlpm.lookup_table, _xlpm.row_match, _xlpm.col_match), Data!$J130),_xlpm.result_if_condition1, IF(_xlpm.data_j2_empty, _xlpm.index_result, Data!$J130),IF(_xlpm.is_coupler, 0, IF(_xlpm.condition1, _xlpm.result_if_condition1, SD!$C$43)))</f>
        <v>5-1</v>
      </c>
      <c r="CC130" s="24">
        <f t="shared" ref="CC130:CC193" si="65">_xlfn.LET(_xlpm.cb_value, CB130,_xlpm.is_number, ISNUMBER(_xlpm.cb_value),_xlpm.hyphen_pos, FIND("-", _xlpm.cb_value),_xlpm.left_part, LEFT(_xlpm.cb_value, _xlpm.hyphen_pos - 1),_xlpm.right_part, RIGHT(_xlpm.cb_value, LEN(_xlpm.cb_value) - _xlpm.hyphen_pos) / 12,_xlpm.calculated_value, _xlpm.left_part + _xlpm.right_part,_xlpm.result, IF(_xlpm.is_number, _xlpm.cb_value, _xlpm.calculated_value),IFERROR(_xlpm.result, 0))</f>
        <v>5.083333333333333</v>
      </c>
      <c r="CD130">
        <f t="shared" ref="CD130:CD193" si="66">_xlfn.LET(_xlpm.dep,(LEFT(E130,FIND("-",E130)-1)+(RIGHT(E130,LEN(E130)-FIND("-",E130))/12)),IF(ISNUMBER(CA130),CA130+CC130+_xlpm.dep,CC130+_xlpm.dep))</f>
        <v>5.75</v>
      </c>
      <c r="CE130" t="str" cm="1">
        <f t="array" ref="CE130">IF(BY130="","",_xlfn._xlws.FILTER(SAC,(CName=SD!$C$8)*(EName="Vert Dowels")))</f>
        <v/>
      </c>
      <c r="CF130" t="str" cm="1">
        <f t="array" ref="CF130">IFERROR(IF(BY130="","",IF(K130="Coupler",_xlfn._xlws.FILTER(CCoupler,(CCName=SD!$C$8)*(CBSize=IF(A129=A130,W129&amp;W130,BX130&amp;W130))*(CCMFM="Male")),"")),"N/A")</f>
        <v/>
      </c>
      <c r="CG130" t="str">
        <f t="shared" ref="CG130:CG193" si="67">IFERROR(LEFT(M130,FIND(" -",M130)-1),"")</f>
        <v/>
      </c>
      <c r="CH130" t="str">
        <f t="shared" ref="CH130:CH193" si="68">IF(CG130="","",AZ131)</f>
        <v/>
      </c>
      <c r="CI130" t="str">
        <f>_xlfn.LET(_xlpm.u3_value, U131,_xlpm.hyphen_pos,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K131="Coupler",_xlpm.coupler_value, IF(_xlpm.is_coupler, 0, _xlpm.calculated_value),_xlpm.final_value, _xlpm.calculated_value + SD!$E$13 + _xlpm.coupler_value,IF(CG130="", "", _xlpm.final_value))</f>
        <v/>
      </c>
      <c r="CJ130" t="str" cm="1">
        <f t="array" ref="CJ130">IF(CG130="","",_xlfn._xlws.FILTER(SAC,(CName=SD!$C$8)*(EName="Loose Dowels")))</f>
        <v/>
      </c>
      <c r="CK130" t="str" cm="1">
        <f t="array" ref="CK130">IFERROR(IF(CG130="","",IF(K131="Coupler",_xlfn._xlws.FILTER(CCoupler,(CCName=SD!$C$8)*(CBSize=IF(A130=A131,W130&amp;W131,""))*(CCMFM="Male")),"")),"N/A")</f>
        <v/>
      </c>
      <c r="CL130" t="str">
        <f>IFERROR(IF(AM130="Spiral","",IF(A129=A130,"",IF(SD!$C$37=0,"",SD!$C$37))),"")</f>
        <v/>
      </c>
      <c r="CN130">
        <f>IF(AM130="Spiral","",IFERROR(IF(SD!$C$36=0,"",SD!$C$36),""))</f>
        <v>5</v>
      </c>
      <c r="CP130" t="str">
        <f>IFERROR(IF(SD!$C$42=SD!$Q$3,'Take-off'!CA130,""),"")</f>
        <v/>
      </c>
      <c r="CR130">
        <f>IFERROR(IF(SD!$C$22=SD!$U$2,W130,SD!$C$22),"")</f>
        <v>0</v>
      </c>
      <c r="CS130" t="str" cm="1">
        <f t="array" ref="CS130">_xlfn.LET(_xlpm.GR,IF(AND(SD!$C$19=SD!$H$2,Grade!$G$1="Per level"),VLOOKUP(B130,Grade!$E$1:$F$200,2,FALSE),IF(AND(SD!$C$19=SD!$H$2,Grade!$G$1="Per Bar Size"),VLOOKUP(CR130,Grade!$B$1:$C$12,2,0),SD!$C$19)),IF(SD!$C$20=SD!$R$4,IF(A131=A130,"",INDEX(IF(_xlpm.GR=SD!$H$3,A615GR60,IF(_xlpm.GR=SD!$H$4,A615GR75,IF(_xlpm.GR=SD!$H$5,A615GR80,IF(_xlpm.GR=SD!H134,A615GR100,IF(_xlpm.GR=SD!$H$7,A706GR60,IF(_xlpm.GR=SD!$H$8,A706GR80)))))), MATCH(1, (BSize=CR130)*(BCName=SD!$C$8), 0))),""))</f>
        <v/>
      </c>
      <c r="CT130" t="str">
        <f>IF(A131=A130,"",IF(SD!$C$23="Match Vertical Bars ",X130,SD!$C$23))</f>
        <v/>
      </c>
      <c r="CU130" t="str" cm="1">
        <f t="array" ref="CU130">IF(A131=A130,"",IF(SD!$C$20="Top dowels",IF(SD!$E$25="No T-Head",IF(SD!$C$24=SD!$Q$3,VLOOKUP(CR130,S90Range,3,FALSE),LEFT(SD!$C$24,FIND("-",SD!$C$24)-1)+(RIGHT(SD!$C$24,LEN(SD!$C$24)-FIND("-",SD!$C$24))/12)),IF(SD!$E$25="T-Head",_xlfn._xlws.FILTER(THead,(TCName=SD!$C$8)*(TSize=CR130)),IF(SD!$E$25="Level Wise",_xlfn.LET(_xlpm.result,_xlfn.XLOOKUP(B130,TDLevel,TDLevelStatus,"No"),IF(_xlpm.result="Yes",_xlfn._xlws.FILTER(THead,(TCName=SD!$C$8)*(TSize=CR130)),IF(SD!$C$24=SD!$Q$3,VLOOKUP(CR130,S90Range,3,FALSE),LEFT(SD!$C$24,FIND("-",SD!$C$24)-1)+(RIGHT(SD!$C$24,LEN(SD!$C$24)-FIND("-", SD!$C$24))/12)))),IF(SD!$E$25="BarSize Wise",_xlfn.LET(_xlpm.result,_xlfn.XLOOKUP(CR130,TDBarSize,TDBarSizeStatus,"No"),IF(_xlpm.result="Yes",_xlfn._xlws.FILTER(THead,(TCName=SD!$C$8)*(TSize=CR130)),IF(SD!$C$24=SD!$Q$3,VLOOKUP(CR130,S90Range,3,FALSE),LEFT(SD!$C$24,FIND("-",SD!$C$24)-1)+(RIGHT(SD!$C$24,LEN(SD!$C$24)-FIND("-",SD!$C$24))/12)))), "")))),""))</f>
        <v/>
      </c>
      <c r="CV130" t="str">
        <f>_xlfn.LET(_xlpm.GRR,IF(AND(SD!$C$19=SD!$H$2,Grade!$G$1="Per level"),VLOOKUP(B130,Grade!$E$1:$F$200,2,FALSE),IF(AND(SD!$C$19=SD!$H$2,Grade!$G$1="Per Bar Size"),VLOOKUP(CR130,Grade!$B$1:$C$12,2,0),SD!$C$19)),IF(SD!$C$25=SD!$W$2,IF(Data!$J130="",IFERROR(INDEX(IF(SD!$C$11="Create",Lap!$A$3:$BF$14,IF(SD!$C$11="Per Uploaded File",Lap!$A$19:$BF$30,"")),MATCH(CR130,Lap!$A$3:$A$14,0),MATCH(VALUE(D130),Lap!$A$3:$BF$3,0)+IF(IFERROR(FIND("Grade 60",_xlpm.GRR),0)&gt;0,0,IF(IFERROR(FIND("Grade 80",_xlpm.GRR),0),1,IF(IFERROR(FIND("Grade 75",_xlpm.GRR),0),2,"")))),""),Data!J130),SD!$C$43))</f>
        <v>Match Lap</v>
      </c>
      <c r="CW130">
        <f t="shared" ref="CW130:CW193" si="69">IFERROR(IF(ISNUMBER(CV130),CV130,LEFT(CV130,FIND("-",CV130)-1)+(RIGHT(CV130,LEN(CV130)-FIND("-",CV130))/12)),0)</f>
        <v>0</v>
      </c>
      <c r="CX130">
        <f t="shared" ref="CX130:CX193" si="70">IF(ISNUMBER(CU130),CU130+CW130,CW130)</f>
        <v>0</v>
      </c>
      <c r="CY130" t="str">
        <f t="shared" ref="CY130:CY193" si="71">IF(NOT(ISNUMBER(CU130)), CU130, "")</f>
        <v/>
      </c>
      <c r="DA130" t="str">
        <f t="shared" ref="DA130:DA193" si="72">IFERROR(IF(A129=A130,"",A130),"")</f>
        <v/>
      </c>
      <c r="DB130" t="str">
        <f t="shared" ref="DB130:DB193" si="73">IFERROR(IF(DA130="","",INT(DC130) &amp; "-" &amp; ROUND((DC130-INT(DC130))*12, 0)),"")</f>
        <v/>
      </c>
      <c r="DC130" s="24" t="str">
        <f t="shared" ref="DC130:DC193" si="74">IF(DA130="","",SUMIF(A:A,DA130,DD:DD))</f>
        <v/>
      </c>
      <c r="DD130">
        <f t="shared" ref="DD130:DD193" si="75">IFERROR(LEFT(H130,FIND("-",H130)-1)+(RIGHT(H130,LEN(H130)-FIND("-",H130)))/12,"")</f>
        <v>10.583333333333334</v>
      </c>
      <c r="DE130" t="s">
        <v>785</v>
      </c>
      <c r="DF130" t="s">
        <v>67</v>
      </c>
      <c r="DG130" t="str">
        <f>VLOOKUP(W130,'Level Wise PSI'!$F$2:$G$12,2,FALSE)</f>
        <v>Double Lift</v>
      </c>
      <c r="DI130" t="str" cm="1">
        <f t="array" ref="DI130">_xlfn.LET(_xlpm.Coup,IFERROR(IF(BY130="","",IF(K130="Coupler",_xlfn._xlws.FILTER(CCFCoupler,(CCName=SD!$C$8)*(CBSize=IF(A129=A130,W129&amp;W130,BX130&amp;W130))),"")),"N/A"),IF(_xlpm.Coup=0,"",_xlpm.Coup))</f>
        <v/>
      </c>
      <c r="DJ130" t="str" cm="1">
        <f t="array" ref="DJ130">_xlfn.LET(_xlpm.Coup3,IFERROR(IF(CG130="","",IF(K131="Coupler",_xlfn._xlws.FILTER(CCFCoupler,(CCName=SD!$C$8)*(CBSize=IF(A130=A131,W130&amp;W131,""))),"")),"N/A"),IF(_xlpm.Coup3=0,"",_xlpm.Coup3))</f>
        <v/>
      </c>
      <c r="DK130" t="str" cm="1">
        <f t="array" ref="DK130">_xlfn.LET(_xlpm.Coup2,IFERROR(IF(A130&lt;&gt;A131,"",IF(DF130="No Lap","",IF(K131="Coupler",_xlfn._xlws.FILTER(CCFCoupler,(CCName=SD!$C$8)*(CBSize=IF(A129=A130,W130&amp;W131,W130&amp;W130))),""))),"N/A"),IF(_xlpm.Coup2=0,"",_xlpm.Coup2))</f>
        <v/>
      </c>
      <c r="DM130" t="str">
        <f>IF(AM130="Spiral","",IF(SD!$C$31=SD!$Y$3,SD!$E$32*2,""))</f>
        <v/>
      </c>
      <c r="DO130" s="24">
        <f t="shared" ref="DO130:DO193" si="76">_xlfn.LET(_xlpm.auDiv6, AU130 / 8,_xlpm.maxValue, MAX(_xlpm.auDiv6 * 12, _xlfn.NUMBERVALUE(Y130), _xlfn.NUMBERVALUE(Z130), 18),_xlpm.maxValue / 12)</f>
        <v>3</v>
      </c>
      <c r="DQ130" t="str">
        <f t="shared" ref="DQ130:DQ193" si="77">IF(AM130="Spiral","Spi","Lig")</f>
        <v>Lig</v>
      </c>
      <c r="DR130" t="str">
        <f>IF(AM130="Spiral",((Y130-(SD!$E$12*2))/12),"")</f>
        <v/>
      </c>
      <c r="DS130" t="str">
        <f t="shared" ref="DS130:DS193" si="78">IF(AM130="Spiral",(LEFT(RIGHT(N130,LEN(N130)-FIND("@",N130)),LEN(RIGHT(N130,LEN(N130)-FIND("@",N130)))-1)/12),"")</f>
        <v/>
      </c>
      <c r="DT130" t="str">
        <f t="shared" ref="DT130:DT193" si="79">IF(AM130="Spiral",AQ130,"")</f>
        <v/>
      </c>
      <c r="DU130" t="str">
        <f t="shared" ref="DU130:DU193" si="80">IF(AM130="Spiral","BT","")</f>
        <v/>
      </c>
    </row>
    <row r="131" spans="1:125" x14ac:dyDescent="0.25">
      <c r="A131">
        <v>46</v>
      </c>
      <c r="B131" t="s">
        <v>670</v>
      </c>
      <c r="C131" s="15">
        <v>2429</v>
      </c>
      <c r="D131" s="15">
        <v>10000</v>
      </c>
      <c r="E131" t="str">
        <f>IF(B131=Level!$A$2,SD!$C$14,SD!$C$13)</f>
        <v>0-8</v>
      </c>
      <c r="F131" s="15" t="s">
        <v>787</v>
      </c>
      <c r="G131" t="s">
        <v>742</v>
      </c>
      <c r="H131" t="str">
        <f>RIGHT(VLOOKUP(B131,Level!A:C,3,FALSE),LEN(VLOOKUP(B131,Level!A:C,3,FALSE))-1)</f>
        <v>10-7</v>
      </c>
      <c r="I131" t="s">
        <v>743</v>
      </c>
      <c r="J131" t="str">
        <f>IF(AND(SD!$C$19=SD!$H$2,Grade!$G$1="Per level"),VLOOKUP(B131,Grade!$E$1:$F$200,2,FALSE),IF(AND(SD!$C$19=SD!$H$2,Grade!$G$1="Per Bar Size"),VLOOKUP(W131,Grade!$B$1:$C$12,2,0),SD!$C$19))</f>
        <v>A615 Grade 60</v>
      </c>
      <c r="K131" t="s">
        <v>67</v>
      </c>
      <c r="L131" t="str">
        <f>IFERROR(IF(A131&lt;&gt;A132,"",IF(DF131="No Lap","",IF(K132="Lap",U131,IF(K132="Coupler",_xlfn._xlws.FILTER(CCoupler,(CCName=SD!$C$8)*(CBSize=IF(A130=A131,W131&amp;W132,W131&amp;W131))*(CCMFM="Male")),"")))),"N/A")</f>
        <v>5-1</v>
      </c>
      <c r="M131" t="str">
        <f t="shared" si="54"/>
        <v/>
      </c>
      <c r="N131" t="s">
        <v>719</v>
      </c>
      <c r="O131" t="s">
        <v>720</v>
      </c>
      <c r="P131" t="s">
        <v>719</v>
      </c>
      <c r="Q131" t="str">
        <f>IF(AND(SD!$C$29=SD!$P$2,Grade!$O$1="Per level"),VLOOKUP(B131,Grade!$M$1:$N$200,2,FALSE),IF(AND(SD!$C$29=SD!$P$2,Grade!$O$1="Per Bar Size"),VLOOKUP(LEFT(N131,FIND("@",N131)-2),Grade!$J$1:$K$12,2,0),SD!$C$29))</f>
        <v>A615 Grade 60</v>
      </c>
      <c r="R131" t="s">
        <v>742</v>
      </c>
      <c r="S131" s="57">
        <v>131</v>
      </c>
      <c r="U131" t="str">
        <f>IF(Data!$J131="",IFERROR(INDEX(IF(SD!$C$11="Create",Lap!$A$3:$BF$14,IF(SD!$C$11="Per Uploaded File",Lap!$A$19:$BF$30,"")),MATCH(W131,Lap!$A$3:$A$14,0),MATCH(VALUE(D131),Lap!$A$3:$BF$3,0)+IF(IFERROR(FIND("Grade 60",J131),0)&gt;0,0,IF(IFERROR(FIND("Grade 80",J131),0),1,IF(IFERROR(FIND("Grade 75",J131),0),2,"")))),""),Data!J131)</f>
        <v>5-1</v>
      </c>
      <c r="W131" t="s">
        <v>176</v>
      </c>
      <c r="X131">
        <v>6</v>
      </c>
      <c r="Y131" t="str">
        <f t="shared" si="55"/>
        <v>30</v>
      </c>
      <c r="Z131">
        <f t="shared" si="56"/>
        <v>0</v>
      </c>
      <c r="AA131" s="24">
        <f t="shared" si="57"/>
        <v>15.666666666666666</v>
      </c>
      <c r="BB131" t="e" cm="1">
        <f t="array" ref="BB131">_xlfn.LET(_xlpm.PartF,(_xlfn.LET(_xlpm.grade, Q131,_xlpm.gradeRange, IF(_xlpm.grade=SD!$H$3, A615GR60, IF(_xlpm.grade=SD!$H$4, A615GR75, IF(_xlpm.grade=SD!$H$5, A615GR80, IF(_xlpm.grade=SD!$H$6, A615GR100, IF(_xlpm.grade=SD!$H$7, A706GR60, IF(_xlpm.grade=SD!$H$8, A706GR80)))))),_xlpm.matchValue, MATCH(1, (SD!$AW:$AW=AS131)*(SD!$AX:$AX=SD!$C$8), 0),INDEX(_xlpm.gradeRange, _xlpm.matchValue))),IF(AM131="Spiral",CONCATENATE("SP",_xlpm.PartF),_xlpm.PartF))</f>
        <v>#N/A</v>
      </c>
      <c r="BC131" cm="1">
        <f t="array" ref="BC131">_xlfn.LET(_xlpm.leftPart, LEFT(O131, FIND("@", O131) - 2),_xlpm.grade,Q131,_xlpm.gradeRange,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1" cm="1">
        <f t="array" ref="BD131">_xlfn.LET(_xlpm.leftPart, LEFT(P131, FIND("@", P131) - 2),_xlpm.grade, Q131,_xlpm.gradeRange,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1">
        <f t="shared" si="58"/>
        <v>2.5</v>
      </c>
      <c r="BF131">
        <f>IF(SD!$C$32=SD!$I$2,BE131,IF(SD!$C$32=SD!$I$3,DO131,IF(SD!$C$32=SD!$I$5,BA131,IF(SD!$C$32=SD!$I$6,(LEFT(SD!$C$35,FIND("-",SD!$C$35)-1)+RIGHT(SD!$C$35,LEN(SD!$C$35)-FIND("-",SD!$C$35))/12),IF(SD!$C$32=SD!$I$4,(AU131-(BG131+BH131)))))))</f>
        <v>0</v>
      </c>
      <c r="BG131">
        <f>IF(SD!$C$33=SD!$I$2,BE131,IF(SD!$C$33=SD!$I$3,DO131,IF(SD!$C$33=SD!$I$5,BA131,IF(SD!$C$33=SD!$I$6,(LEFT(SD!$C$35,FIND("-",SD!$C$35)-1)+RIGHT(SD!$C$35,LEN(SD!$C$35)-FIND("-",SD!$C$35))/12),IF(SD!$C$33=SD!$I$4,(AU131-(BF131+BH131)))))))</f>
        <v>-1</v>
      </c>
      <c r="BH131">
        <f>IF(SD!$C$34=SD!$I$2,BE131,IF(SD!$C$34=SD!$I$3,DO131,IF(SD!$C$34=SD!$I$5,BA131,IF(SD!$C$34=SD!$I$6,(LEFT(SD!$C$35,FIND("-",SD!$C$35)-1)+RIGHT(SD!$C$35,LEN(SD!$C$35)-FIND("-",SD!$C$35))/12),IF(SD!$C$34=SD!$I$4,(AU131-(BF131+BG131)))))))</f>
        <v>1</v>
      </c>
      <c r="BJ131">
        <f>IF(AM131="Spiral","1",MAX(ROUNDUP(IF(SD!$C$32="",AT131,BF131/(LEFT(RIGHT(N131,LEN(N131)-FIND("@",N131)),LEN(RIGHT(N131,LEN(N131)-FIND("@",N131)))-1)/12)+1),0),0))</f>
        <v>1</v>
      </c>
      <c r="BK131">
        <f>MAX(ROUNDUP(IF(SD!$C$33="","",BG131/(LEFT(RIGHT(O131,LEN(O131)-FIND("@",O131)),LEN(RIGHT(O131,LEN(O131)-FIND("@",O131)))-1)/12)+1),0),0)</f>
        <v>0</v>
      </c>
      <c r="BL131">
        <f>MAX(ROUNDUP(IF(SD!$C$34="","",BH131/(LEFT(RIGHT(P131,LEN(P131)-FIND("@",P131)),LEN(RIGHT(P131,LEN(P131)-FIND("@",P131)))-1)/12)+1),0),0)</f>
        <v>3</v>
      </c>
      <c r="BN131" t="e">
        <f t="shared" si="59"/>
        <v>#N/A</v>
      </c>
      <c r="BO131" t="e">
        <f t="shared" si="60"/>
        <v>#N/A</v>
      </c>
      <c r="BP131" t="e">
        <f t="shared" si="61"/>
        <v>#N/A</v>
      </c>
      <c r="BQ131" s="24" t="e">
        <f>IF(AM131=TRUE,(((Y131-(SD!$E$12*2))*3.14159265359)+BN131+BO131+BP131)/12+AL131,SUM(AF131:AG131,BN131,BO131,BP131,AO131,AQ131)/12)</f>
        <v>#N/A</v>
      </c>
      <c r="BR131" t="e">
        <f t="shared" si="62"/>
        <v>#N/A</v>
      </c>
      <c r="BS131" t="e">
        <f t="shared" si="63"/>
        <v>#N/A</v>
      </c>
      <c r="BT131" t="e">
        <f t="shared" si="64"/>
        <v>#N/A</v>
      </c>
      <c r="BU131" s="24" t="e">
        <f>IF(AM131=TRUE,(((Y131-(SD!$E$12*2))*3.14159265359)+BR131+BS131+BT131)/12+AL131,SUM(AF131:AG131,BR131,BS131,BT131,AO131,AQ131)/12)</f>
        <v>#N/A</v>
      </c>
      <c r="BW131" t="str">
        <f>IFERROR(LEFT(Data!L131,FIND(" -",Data!L131)-1),"")</f>
        <v/>
      </c>
      <c r="BX131" t="str">
        <f>IFERROR(IF(SD!$C$40=SD!$U$2,W131,IF(SD!$C$40=SD!$U$3,RIGHT(Data!L131,LEN(Data!L131)-(FIND("-",Data!L131)+1)),SD!$C$40)),"")</f>
        <v>#10</v>
      </c>
      <c r="BY131" t="str" cm="1">
        <f t="array" ref="BY131">IFERROR(_xlfn.LET(_xlpm.GRR,IF(AND(SD!$C$19=SD!$H$2,Grade!$G$1="Per level"),VLOOKUP(B131,Grade!$E$1:$F$200,2,FALSE),IF(AND(SD!$C$19=SD!$H$2,Grade!$G$1="Per Bar Size"),VLOOKUP(BX131,Grade!$B$1:$C$12,2,0),SD!$C$19)),_xlpm.is_equal, A130=A131,_xlpm.grade_range, IF(_xlpm.GRR=SD!$H$3, A615GR60,IF(_xlpm.GRR=SD!$H$4, A615GR75,IF(_xlpm.GRR=SD!$H$5, A615GR80,IF(_xlpm.GRR=SD!H135, A615GR100,IF(_xlpm.GRR=SD!$H$7, A706GR60,IF(_xlpm.GRR=SD!$H$8, A706GR80)))))),_xlpm.match_result, MATCH(1, (BSize=BX131)*(BCName=SD!$C$8), 0),_xlpm.final_result, INDEX(_xlpm.grade_range, _xlpm.match_result),IF(_xlpm.is_equal, "", _xlpm.final_result)),"")</f>
        <v/>
      </c>
      <c r="BZ131" t="str">
        <f>IF(A130=A131,"",IF(SD!$C$41="Match Vertical Bars ",X131,IF(SD!$C$41=SD!$V$3,BW131,SD!$C$41)))</f>
        <v/>
      </c>
      <c r="CA131" t="str" cm="1">
        <f t="array" ref="CA131">IF(A130=A131,"",IF(SD!$C$44="No T-Head",IF(SD!$C$42=SD!$Q$3,VLOOKUP(BX131,S90Range,3,FALSE),LEFT(SD!$C$42,FIND("-",SD!$C$42)-1)+(RIGHT(SD!$C$42,LEN(SD!$C$42)-FIND("-",SD!$C$42))/12)),IF(SD!$C$44="T-Head",_xlfn._xlws.FILTER(THead,(TCName=SD!$C$8)*(TSize=BX131)),IF(SD!$C$44="Level Wise",_xlfn.LET(_xlpm.result,_xlfn.XLOOKUP(B131,VDLevel,VDLevelStatus,"No"),IF(_xlpm.result="Yes",_xlfn._xlws.FILTER(THead,(TCName=SD!$C$8)*(TSize=BX131)),IF(SD!$C$42=SD!$Q$3,VLOOKUP(BX131,S90Range,3,FALSE),LEFT(SD!$C$42,FIND("-",SD!$C$42)-1)+(RIGHT(SD!$C$42,LEN(SD!$C$42)-FIND("-", SD!$C$42))/12)))),IF(SD!$C$44="BarSize Wise",_xlfn.LET(_xlpm.result,_xlfn.XLOOKUP(BX131,VDBarSize,VDBarSizeStatus,"No"),IF(_xlpm.result="Yes",_xlfn._xlws.FILTER(THead,(TCName=SD!$C$8)*(TSize=BX131)),IF(SD!$C$42=SD!$Q$3,VLOOKUP(BX131,S90Range,3,FALSE),LEFT(SD!$C$42,FIND("-",SD!$C$42)-1)+(RIGHT(SD!$C$42,LEN(SD!$C$42)-FIND("-",SD!$C$42))/12)))), "")))))</f>
        <v/>
      </c>
      <c r="CB131" t="str" cm="1">
        <f t="array" ref="CB131">_xlfn.LET(_xlpm.GRR,IF(AND(SD!$C$19=SD!$H$2,Grade!$G$1="Per level"),VLOOKUP(B131,Grade!$E$1:$F$200,2,FALSE),IF(AND(SD!$C$19=SD!$H$2,Grade!$G$1="Per Bar Size"),VLOOKUP(BX131,Grade!$B$1:$C$12,2,0),SD!$C$19)),_xlpm.is_coupler, K131="Coupler",_xlpm.condition1, SD!$C$43=SD!$W$2,_xlpm.data_j2_empty, Data!$J131="",_xlpm.lookup_table, IF(SD!$C$11="Create", Lap!$A$3:$BF$14, IF(SD!$C$11="Per Uploaded File", Lap!$A$19:$BF$30, "")),_xlpm.row_match, MATCH(BX131, Lap!$A$3:$A$14, 0),_xlpm.grade_offset, IF(IFERROR(FIND("Grade 60",_xlpm.GRR), 0) &gt; 0, 0, IF(IFERROR(FIND("Grade 80",_xlpm.GRR), 0), 1, IF(IFERROR(FIND("Grade 75",_xlpm.GRR), 0), 2, ""))),_xlpm.col_match, MATCH(VALUE(D131), Lap!$A$3:$BF$3, 0) + _xlpm.grade_offset,_xlpm.index_result, IFERROR(INDEX(_xlpm.lookup_table, _xlpm.row_match, _xlpm.col_match), Data!$J131),_xlpm.result_if_condition1, IF(_xlpm.data_j2_empty, _xlpm.index_result, Data!$J131),IF(_xlpm.is_coupler, 0, IF(_xlpm.condition1, _xlpm.result_if_condition1, SD!$C$43)))</f>
        <v>5-1</v>
      </c>
      <c r="CC131" s="24">
        <f t="shared" si="65"/>
        <v>5.083333333333333</v>
      </c>
      <c r="CD131">
        <f t="shared" si="66"/>
        <v>5.75</v>
      </c>
      <c r="CE131" t="str" cm="1">
        <f t="array" ref="CE131">IF(BY131="","",_xlfn._xlws.FILTER(SAC,(CName=SD!$C$8)*(EName="Vert Dowels")))</f>
        <v/>
      </c>
      <c r="CF131" t="str" cm="1">
        <f t="array" ref="CF131">IFERROR(IF(BY131="","",IF(K131="Coupler",_xlfn._xlws.FILTER(CCoupler,(CCName=SD!$C$8)*(CBSize=IF(A130=A131,W130&amp;W131,BX131&amp;W131))*(CCMFM="Male")),"")),"N/A")</f>
        <v/>
      </c>
      <c r="CG131" t="str">
        <f t="shared" si="67"/>
        <v/>
      </c>
      <c r="CH131" t="str">
        <f t="shared" si="68"/>
        <v/>
      </c>
      <c r="CI131" t="str">
        <f>_xlfn.LET(_xlpm.u3_value, U132,_xlpm.hyphen_pos,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K132="Coupler",_xlpm.coupler_value, IF(_xlpm.is_coupler, 0, _xlpm.calculated_value),_xlpm.final_value, _xlpm.calculated_value + SD!$E$13 + _xlpm.coupler_value,IF(CG131="", "", _xlpm.final_value))</f>
        <v/>
      </c>
      <c r="CJ131" t="str" cm="1">
        <f t="array" ref="CJ131">IF(CG131="","",_xlfn._xlws.FILTER(SAC,(CName=SD!$C$8)*(EName="Loose Dowels")))</f>
        <v/>
      </c>
      <c r="CK131" t="str" cm="1">
        <f t="array" ref="CK131">IFERROR(IF(CG131="","",IF(K132="Coupler",_xlfn._xlws.FILTER(CCoupler,(CCName=SD!$C$8)*(CBSize=IF(A131=A132,W131&amp;W132,""))*(CCMFM="Male")),"")),"N/A")</f>
        <v/>
      </c>
      <c r="CL131" t="str">
        <f>IFERROR(IF(AM131="Spiral","",IF(A130=A131,"",IF(SD!$C$37=0,"",SD!$C$37))),"")</f>
        <v/>
      </c>
      <c r="CN131">
        <f>IF(AM131="Spiral","",IFERROR(IF(SD!$C$36=0,"",SD!$C$36),""))</f>
        <v>5</v>
      </c>
      <c r="CP131" t="str">
        <f>IFERROR(IF(SD!$C$42=SD!$Q$3,'Take-off'!CA131,""),"")</f>
        <v/>
      </c>
      <c r="CR131">
        <f>IFERROR(IF(SD!$C$22=SD!$U$2,W131,SD!$C$22),"")</f>
        <v>0</v>
      </c>
      <c r="CS131" t="str" cm="1">
        <f t="array" ref="CS131">_xlfn.LET(_xlpm.GR,IF(AND(SD!$C$19=SD!$H$2,Grade!$G$1="Per level"),VLOOKUP(B131,Grade!$E$1:$F$200,2,FALSE),IF(AND(SD!$C$19=SD!$H$2,Grade!$G$1="Per Bar Size"),VLOOKUP(CR131,Grade!$B$1:$C$12,2,0),SD!$C$19)),IF(SD!$C$20=SD!$R$4,IF(A132=A131,"",INDEX(IF(_xlpm.GR=SD!$H$3,A615GR60,IF(_xlpm.GR=SD!$H$4,A615GR75,IF(_xlpm.GR=SD!$H$5,A615GR80,IF(_xlpm.GR=SD!H135,A615GR100,IF(_xlpm.GR=SD!$H$7,A706GR60,IF(_xlpm.GR=SD!$H$8,A706GR80)))))), MATCH(1, (BSize=CR131)*(BCName=SD!$C$8), 0))),""))</f>
        <v/>
      </c>
      <c r="CT131" t="str">
        <f>IF(A132=A131,"",IF(SD!$C$23="Match Vertical Bars ",X131,SD!$C$23))</f>
        <v/>
      </c>
      <c r="CU131" t="str" cm="1">
        <f t="array" ref="CU131">IF(A132=A131,"",IF(SD!$C$20="Top dowels",IF(SD!$E$25="No T-Head",IF(SD!$C$24=SD!$Q$3,VLOOKUP(CR131,S90Range,3,FALSE),LEFT(SD!$C$24,FIND("-",SD!$C$24)-1)+(RIGHT(SD!$C$24,LEN(SD!$C$24)-FIND("-",SD!$C$24))/12)),IF(SD!$E$25="T-Head",_xlfn._xlws.FILTER(THead,(TCName=SD!$C$8)*(TSize=CR131)),IF(SD!$E$25="Level Wise",_xlfn.LET(_xlpm.result,_xlfn.XLOOKUP(B131,TDLevel,TDLevelStatus,"No"),IF(_xlpm.result="Yes",_xlfn._xlws.FILTER(THead,(TCName=SD!$C$8)*(TSize=CR131)),IF(SD!$C$24=SD!$Q$3,VLOOKUP(CR131,S90Range,3,FALSE),LEFT(SD!$C$24,FIND("-",SD!$C$24)-1)+(RIGHT(SD!$C$24,LEN(SD!$C$24)-FIND("-", SD!$C$24))/12)))),IF(SD!$E$25="BarSize Wise",_xlfn.LET(_xlpm.result,_xlfn.XLOOKUP(CR131,TDBarSize,TDBarSizeStatus,"No"),IF(_xlpm.result="Yes",_xlfn._xlws.FILTER(THead,(TCName=SD!$C$8)*(TSize=CR131)),IF(SD!$C$24=SD!$Q$3,VLOOKUP(CR131,S90Range,3,FALSE),LEFT(SD!$C$24,FIND("-",SD!$C$24)-1)+(RIGHT(SD!$C$24,LEN(SD!$C$24)-FIND("-",SD!$C$24))/12)))), "")))),""))</f>
        <v/>
      </c>
      <c r="CV131" t="str">
        <f>_xlfn.LET(_xlpm.GRR,IF(AND(SD!$C$19=SD!$H$2,Grade!$G$1="Per level"),VLOOKUP(B131,Grade!$E$1:$F$200,2,FALSE),IF(AND(SD!$C$19=SD!$H$2,Grade!$G$1="Per Bar Size"),VLOOKUP(CR131,Grade!$B$1:$C$12,2,0),SD!$C$19)),IF(SD!$C$25=SD!$W$2,IF(Data!$J131="",IFERROR(INDEX(IF(SD!$C$11="Create",Lap!$A$3:$BF$14,IF(SD!$C$11="Per Uploaded File",Lap!$A$19:$BF$30,"")),MATCH(CR131,Lap!$A$3:$A$14,0),MATCH(VALUE(D131),Lap!$A$3:$BF$3,0)+IF(IFERROR(FIND("Grade 60",_xlpm.GRR),0)&gt;0,0,IF(IFERROR(FIND("Grade 80",_xlpm.GRR),0),1,IF(IFERROR(FIND("Grade 75",_xlpm.GRR),0),2,"")))),""),Data!J131),SD!$C$43))</f>
        <v>Match Lap</v>
      </c>
      <c r="CW131">
        <f t="shared" si="69"/>
        <v>0</v>
      </c>
      <c r="CX131">
        <f t="shared" si="70"/>
        <v>0</v>
      </c>
      <c r="CY131" t="str">
        <f t="shared" si="71"/>
        <v/>
      </c>
      <c r="DA131" t="str">
        <f t="shared" si="72"/>
        <v/>
      </c>
      <c r="DB131" t="str">
        <f t="shared" si="73"/>
        <v/>
      </c>
      <c r="DC131" s="24" t="str">
        <f t="shared" si="74"/>
        <v/>
      </c>
      <c r="DD131">
        <f t="shared" si="75"/>
        <v>10.583333333333334</v>
      </c>
      <c r="DE131" t="s">
        <v>785</v>
      </c>
      <c r="DF131" t="s">
        <v>67</v>
      </c>
      <c r="DG131" t="str">
        <f>VLOOKUP(W131,'Level Wise PSI'!$F$2:$G$12,2,FALSE)</f>
        <v>Double Lift</v>
      </c>
      <c r="DI131" t="str" cm="1">
        <f t="array" ref="DI131">_xlfn.LET(_xlpm.Coup,IFERROR(IF(BY131="","",IF(K131="Coupler",_xlfn._xlws.FILTER(CCFCoupler,(CCName=SD!$C$8)*(CBSize=IF(A130=A131,W130&amp;W131,BX131&amp;W131))),"")),"N/A"),IF(_xlpm.Coup=0,"",_xlpm.Coup))</f>
        <v/>
      </c>
      <c r="DJ131" t="str" cm="1">
        <f t="array" ref="DJ131">_xlfn.LET(_xlpm.Coup3,IFERROR(IF(CG131="","",IF(K132="Coupler",_xlfn._xlws.FILTER(CCFCoupler,(CCName=SD!$C$8)*(CBSize=IF(A131=A132,W131&amp;W132,""))),"")),"N/A"),IF(_xlpm.Coup3=0,"",_xlpm.Coup3))</f>
        <v/>
      </c>
      <c r="DK131" t="str" cm="1">
        <f t="array" ref="DK131">_xlfn.LET(_xlpm.Coup2,IFERROR(IF(A131&lt;&gt;A132,"",IF(DF131="No Lap","",IF(K132="Coupler",_xlfn._xlws.FILTER(CCFCoupler,(CCName=SD!$C$8)*(CBSize=IF(A130=A131,W131&amp;W132,W131&amp;W131))),""))),"N/A"),IF(_xlpm.Coup2=0,"",_xlpm.Coup2))</f>
        <v/>
      </c>
      <c r="DM131" t="str">
        <f>IF(AM131="Spiral","",IF(SD!$C$31=SD!$Y$3,SD!$E$32*2,""))</f>
        <v/>
      </c>
      <c r="DO131" s="24">
        <f t="shared" si="76"/>
        <v>2.5</v>
      </c>
      <c r="DQ131" t="str">
        <f t="shared" si="77"/>
        <v>Lig</v>
      </c>
      <c r="DR131" t="str">
        <f>IF(AM131="Spiral",((Y131-(SD!$E$12*2))/12),"")</f>
        <v/>
      </c>
      <c r="DS131" t="str">
        <f t="shared" si="78"/>
        <v/>
      </c>
      <c r="DT131" t="str">
        <f t="shared" si="79"/>
        <v/>
      </c>
      <c r="DU131" t="str">
        <f t="shared" si="80"/>
        <v/>
      </c>
    </row>
    <row r="132" spans="1:125" x14ac:dyDescent="0.25">
      <c r="A132">
        <v>46</v>
      </c>
      <c r="B132" t="s">
        <v>672</v>
      </c>
      <c r="C132" s="15">
        <v>2429</v>
      </c>
      <c r="D132" s="15">
        <v>10000</v>
      </c>
      <c r="E132" t="str">
        <f>IF(B132=Level!$A$2,SD!$C$14,SD!$C$13)</f>
        <v>0-8</v>
      </c>
      <c r="F132" s="15" t="s">
        <v>787</v>
      </c>
      <c r="G132" t="s">
        <v>742</v>
      </c>
      <c r="H132" t="str">
        <f>RIGHT(VLOOKUP(B132,Level!A:C,3,FALSE),LEN(VLOOKUP(B132,Level!A:C,3,FALSE))-1)</f>
        <v>10-7</v>
      </c>
      <c r="I132" t="s">
        <v>743</v>
      </c>
      <c r="J132" t="str">
        <f>IF(AND(SD!$C$19=SD!$H$2,Grade!$G$1="Per level"),VLOOKUP(B132,Grade!$E$1:$F$200,2,FALSE),IF(AND(SD!$C$19=SD!$H$2,Grade!$G$1="Per Bar Size"),VLOOKUP(W132,Grade!$B$1:$C$12,2,0),SD!$C$19))</f>
        <v>A615 Grade 60</v>
      </c>
      <c r="K132" t="s">
        <v>67</v>
      </c>
      <c r="L132" t="str">
        <f>IFERROR(IF(A132&lt;&gt;A133,"",IF(DF132="No Lap","",IF(K133="Lap",U132,IF(K133="Coupler",_xlfn._xlws.FILTER(CCoupler,(CCName=SD!$C$8)*(CBSize=IF(A131=A132,W132&amp;W133,W132&amp;W132))*(CCMFM="Male")),"")))),"N/A")</f>
        <v>5-1</v>
      </c>
      <c r="M132" t="str">
        <f t="shared" si="54"/>
        <v/>
      </c>
      <c r="N132" t="s">
        <v>719</v>
      </c>
      <c r="O132" t="s">
        <v>720</v>
      </c>
      <c r="P132" t="s">
        <v>719</v>
      </c>
      <c r="Q132" t="str">
        <f>IF(AND(SD!$C$29=SD!$P$2,Grade!$O$1="Per level"),VLOOKUP(B132,Grade!$M$1:$N$200,2,FALSE),IF(AND(SD!$C$29=SD!$P$2,Grade!$O$1="Per Bar Size"),VLOOKUP(LEFT(N132,FIND("@",N132)-2),Grade!$J$1:$K$12,2,0),SD!$C$29))</f>
        <v>A615 Grade 60</v>
      </c>
      <c r="R132" t="s">
        <v>742</v>
      </c>
      <c r="S132" s="57">
        <v>132</v>
      </c>
      <c r="U132" t="str">
        <f>IF(Data!$J132="",IFERROR(INDEX(IF(SD!$C$11="Create",Lap!$A$3:$BF$14,IF(SD!$C$11="Per Uploaded File",Lap!$A$19:$BF$30,"")),MATCH(W132,Lap!$A$3:$A$14,0),MATCH(VALUE(D132),Lap!$A$3:$BF$3,0)+IF(IFERROR(FIND("Grade 60",J132),0)&gt;0,0,IF(IFERROR(FIND("Grade 80",J132),0),1,IF(IFERROR(FIND("Grade 75",J132),0),2,"")))),""),Data!J132)</f>
        <v>5-1</v>
      </c>
      <c r="W132" t="s">
        <v>176</v>
      </c>
      <c r="X132">
        <v>6</v>
      </c>
      <c r="Y132" t="str">
        <f t="shared" si="55"/>
        <v>30</v>
      </c>
      <c r="Z132">
        <f t="shared" si="56"/>
        <v>0</v>
      </c>
      <c r="AA132" s="24">
        <f t="shared" si="57"/>
        <v>15.666666666666666</v>
      </c>
      <c r="BB132" t="e" cm="1">
        <f t="array" ref="BB132">_xlfn.LET(_xlpm.PartF,(_xlfn.LET(_xlpm.grade, Q132,_xlpm.gradeRange, IF(_xlpm.grade=SD!$H$3, A615GR60, IF(_xlpm.grade=SD!$H$4, A615GR75, IF(_xlpm.grade=SD!$H$5, A615GR80, IF(_xlpm.grade=SD!$H$6, A615GR100, IF(_xlpm.grade=SD!$H$7, A706GR60, IF(_xlpm.grade=SD!$H$8, A706GR80)))))),_xlpm.matchValue, MATCH(1, (SD!$AW:$AW=AS132)*(SD!$AX:$AX=SD!$C$8), 0),INDEX(_xlpm.gradeRange, _xlpm.matchValue))),IF(AM132="Spiral",CONCATENATE("SP",_xlpm.PartF),_xlpm.PartF))</f>
        <v>#N/A</v>
      </c>
      <c r="BC132" cm="1">
        <f t="array" ref="BC132">_xlfn.LET(_xlpm.leftPart, LEFT(O132, FIND("@", O132) - 2),_xlpm.grade,Q132,_xlpm.gradeRange,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2" cm="1">
        <f t="array" ref="BD132">_xlfn.LET(_xlpm.leftPart, LEFT(P132, FIND("@", P132) - 2),_xlpm.grade, Q132,_xlpm.gradeRange,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2">
        <f t="shared" si="58"/>
        <v>2.5</v>
      </c>
      <c r="BF132">
        <f>IF(SD!$C$32=SD!$I$2,BE132,IF(SD!$C$32=SD!$I$3,DO132,IF(SD!$C$32=SD!$I$5,BA132,IF(SD!$C$32=SD!$I$6,(LEFT(SD!$C$35,FIND("-",SD!$C$35)-1)+RIGHT(SD!$C$35,LEN(SD!$C$35)-FIND("-",SD!$C$35))/12),IF(SD!$C$32=SD!$I$4,(AU132-(BG132+BH132)))))))</f>
        <v>0</v>
      </c>
      <c r="BG132">
        <f>IF(SD!$C$33=SD!$I$2,BE132,IF(SD!$C$33=SD!$I$3,DO132,IF(SD!$C$33=SD!$I$5,BA132,IF(SD!$C$33=SD!$I$6,(LEFT(SD!$C$35,FIND("-",SD!$C$35)-1)+RIGHT(SD!$C$35,LEN(SD!$C$35)-FIND("-",SD!$C$35))/12),IF(SD!$C$33=SD!$I$4,(AU132-(BF132+BH132)))))))</f>
        <v>-1</v>
      </c>
      <c r="BH132">
        <f>IF(SD!$C$34=SD!$I$2,BE132,IF(SD!$C$34=SD!$I$3,DO132,IF(SD!$C$34=SD!$I$5,BA132,IF(SD!$C$34=SD!$I$6,(LEFT(SD!$C$35,FIND("-",SD!$C$35)-1)+RIGHT(SD!$C$35,LEN(SD!$C$35)-FIND("-",SD!$C$35))/12),IF(SD!$C$34=SD!$I$4,(AU132-(BF132+BG132)))))))</f>
        <v>1</v>
      </c>
      <c r="BJ132">
        <f>IF(AM132="Spiral","1",MAX(ROUNDUP(IF(SD!$C$32="",AT132,BF132/(LEFT(RIGHT(N132,LEN(N132)-FIND("@",N132)),LEN(RIGHT(N132,LEN(N132)-FIND("@",N132)))-1)/12)+1),0),0))</f>
        <v>1</v>
      </c>
      <c r="BK132">
        <f>MAX(ROUNDUP(IF(SD!$C$33="","",BG132/(LEFT(RIGHT(O132,LEN(O132)-FIND("@",O132)),LEN(RIGHT(O132,LEN(O132)-FIND("@",O132)))-1)/12)+1),0),0)</f>
        <v>0</v>
      </c>
      <c r="BL132">
        <f>MAX(ROUNDUP(IF(SD!$C$34="","",BH132/(LEFT(RIGHT(P132,LEN(P132)-FIND("@",P132)),LEN(RIGHT(P132,LEN(P132)-FIND("@",P132)))-1)/12)+1),0),0)</f>
        <v>3</v>
      </c>
      <c r="BN132" t="e">
        <f t="shared" si="59"/>
        <v>#N/A</v>
      </c>
      <c r="BO132" t="e">
        <f t="shared" si="60"/>
        <v>#N/A</v>
      </c>
      <c r="BP132" t="e">
        <f t="shared" si="61"/>
        <v>#N/A</v>
      </c>
      <c r="BQ132" s="24" t="e">
        <f>IF(AM132=TRUE,(((Y132-(SD!$E$12*2))*3.14159265359)+BN132+BO132+BP132)/12+AL132,SUM(AF132:AG132,BN132,BO132,BP132,AO132,AQ132)/12)</f>
        <v>#N/A</v>
      </c>
      <c r="BR132" t="e">
        <f t="shared" si="62"/>
        <v>#N/A</v>
      </c>
      <c r="BS132" t="e">
        <f t="shared" si="63"/>
        <v>#N/A</v>
      </c>
      <c r="BT132" t="e">
        <f t="shared" si="64"/>
        <v>#N/A</v>
      </c>
      <c r="BU132" s="24" t="e">
        <f>IF(AM132=TRUE,(((Y132-(SD!$E$12*2))*3.14159265359)+BR132+BS132+BT132)/12+AL132,SUM(AF132:AG132,BR132,BS132,BT132,AO132,AQ132)/12)</f>
        <v>#N/A</v>
      </c>
      <c r="BW132" t="str">
        <f>IFERROR(LEFT(Data!L132,FIND(" -",Data!L132)-1),"")</f>
        <v/>
      </c>
      <c r="BX132" t="str">
        <f>IFERROR(IF(SD!$C$40=SD!$U$2,W132,IF(SD!$C$40=SD!$U$3,RIGHT(Data!L132,LEN(Data!L132)-(FIND("-",Data!L132)+1)),SD!$C$40)),"")</f>
        <v>#10</v>
      </c>
      <c r="BY132" t="str" cm="1">
        <f t="array" ref="BY132">IFERROR(_xlfn.LET(_xlpm.GRR,IF(AND(SD!$C$19=SD!$H$2,Grade!$G$1="Per level"),VLOOKUP(B132,Grade!$E$1:$F$200,2,FALSE),IF(AND(SD!$C$19=SD!$H$2,Grade!$G$1="Per Bar Size"),VLOOKUP(BX132,Grade!$B$1:$C$12,2,0),SD!$C$19)),_xlpm.is_equal, A131=A132,_xlpm.grade_range, IF(_xlpm.GRR=SD!$H$3, A615GR60,IF(_xlpm.GRR=SD!$H$4, A615GR75,IF(_xlpm.GRR=SD!$H$5, A615GR80,IF(_xlpm.GRR=SD!H136, A615GR100,IF(_xlpm.GRR=SD!$H$7, A706GR60,IF(_xlpm.GRR=SD!$H$8, A706GR80)))))),_xlpm.match_result, MATCH(1, (BSize=BX132)*(BCName=SD!$C$8), 0),_xlpm.final_result, INDEX(_xlpm.grade_range, _xlpm.match_result),IF(_xlpm.is_equal, "", _xlpm.final_result)),"")</f>
        <v/>
      </c>
      <c r="BZ132" t="str">
        <f>IF(A131=A132,"",IF(SD!$C$41="Match Vertical Bars ",X132,IF(SD!$C$41=SD!$V$3,BW132,SD!$C$41)))</f>
        <v/>
      </c>
      <c r="CA132" t="str" cm="1">
        <f t="array" ref="CA132">IF(A131=A132,"",IF(SD!$C$44="No T-Head",IF(SD!$C$42=SD!$Q$3,VLOOKUP(BX132,S90Range,3,FALSE),LEFT(SD!$C$42,FIND("-",SD!$C$42)-1)+(RIGHT(SD!$C$42,LEN(SD!$C$42)-FIND("-",SD!$C$42))/12)),IF(SD!$C$44="T-Head",_xlfn._xlws.FILTER(THead,(TCName=SD!$C$8)*(TSize=BX132)),IF(SD!$C$44="Level Wise",_xlfn.LET(_xlpm.result,_xlfn.XLOOKUP(B132,VDLevel,VDLevelStatus,"No"),IF(_xlpm.result="Yes",_xlfn._xlws.FILTER(THead,(TCName=SD!$C$8)*(TSize=BX132)),IF(SD!$C$42=SD!$Q$3,VLOOKUP(BX132,S90Range,3,FALSE),LEFT(SD!$C$42,FIND("-",SD!$C$42)-1)+(RIGHT(SD!$C$42,LEN(SD!$C$42)-FIND("-", SD!$C$42))/12)))),IF(SD!$C$44="BarSize Wise",_xlfn.LET(_xlpm.result,_xlfn.XLOOKUP(BX132,VDBarSize,VDBarSizeStatus,"No"),IF(_xlpm.result="Yes",_xlfn._xlws.FILTER(THead,(TCName=SD!$C$8)*(TSize=BX132)),IF(SD!$C$42=SD!$Q$3,VLOOKUP(BX132,S90Range,3,FALSE),LEFT(SD!$C$42,FIND("-",SD!$C$42)-1)+(RIGHT(SD!$C$42,LEN(SD!$C$42)-FIND("-",SD!$C$42))/12)))), "")))))</f>
        <v/>
      </c>
      <c r="CB132" t="str" cm="1">
        <f t="array" ref="CB132">_xlfn.LET(_xlpm.GRR,IF(AND(SD!$C$19=SD!$H$2,Grade!$G$1="Per level"),VLOOKUP(B132,Grade!$E$1:$F$200,2,FALSE),IF(AND(SD!$C$19=SD!$H$2,Grade!$G$1="Per Bar Size"),VLOOKUP(BX132,Grade!$B$1:$C$12,2,0),SD!$C$19)),_xlpm.is_coupler, K132="Coupler",_xlpm.condition1, SD!$C$43=SD!$W$2,_xlpm.data_j2_empty, Data!$J132="",_xlpm.lookup_table, IF(SD!$C$11="Create", Lap!$A$3:$BF$14, IF(SD!$C$11="Per Uploaded File", Lap!$A$19:$BF$30, "")),_xlpm.row_match, MATCH(BX132, Lap!$A$3:$A$14, 0),_xlpm.grade_offset, IF(IFERROR(FIND("Grade 60",_xlpm.GRR), 0) &gt; 0, 0, IF(IFERROR(FIND("Grade 80",_xlpm.GRR), 0), 1, IF(IFERROR(FIND("Grade 75",_xlpm.GRR), 0), 2, ""))),_xlpm.col_match, MATCH(VALUE(D132), Lap!$A$3:$BF$3, 0) + _xlpm.grade_offset,_xlpm.index_result, IFERROR(INDEX(_xlpm.lookup_table, _xlpm.row_match, _xlpm.col_match), Data!$J132),_xlpm.result_if_condition1, IF(_xlpm.data_j2_empty, _xlpm.index_result, Data!$J132),IF(_xlpm.is_coupler, 0, IF(_xlpm.condition1, _xlpm.result_if_condition1, SD!$C$43)))</f>
        <v>5-1</v>
      </c>
      <c r="CC132" s="24">
        <f t="shared" si="65"/>
        <v>5.083333333333333</v>
      </c>
      <c r="CD132">
        <f t="shared" si="66"/>
        <v>5.75</v>
      </c>
      <c r="CE132" t="str" cm="1">
        <f t="array" ref="CE132">IF(BY132="","",_xlfn._xlws.FILTER(SAC,(CName=SD!$C$8)*(EName="Vert Dowels")))</f>
        <v/>
      </c>
      <c r="CF132" t="str" cm="1">
        <f t="array" ref="CF132">IFERROR(IF(BY132="","",IF(K132="Coupler",_xlfn._xlws.FILTER(CCoupler,(CCName=SD!$C$8)*(CBSize=IF(A131=A132,W131&amp;W132,BX132&amp;W132))*(CCMFM="Male")),"")),"N/A")</f>
        <v/>
      </c>
      <c r="CG132" t="str">
        <f t="shared" si="67"/>
        <v/>
      </c>
      <c r="CH132" t="str">
        <f t="shared" si="68"/>
        <v/>
      </c>
      <c r="CI132" t="str">
        <f>_xlfn.LET(_xlpm.u3_value, U133,_xlpm.hyphen_pos,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K133="Coupler",_xlpm.coupler_value, IF(_xlpm.is_coupler, 0, _xlpm.calculated_value),_xlpm.final_value, _xlpm.calculated_value + SD!$E$13 + _xlpm.coupler_value,IF(CG132="", "", _xlpm.final_value))</f>
        <v/>
      </c>
      <c r="CJ132" t="str" cm="1">
        <f t="array" ref="CJ132">IF(CG132="","",_xlfn._xlws.FILTER(SAC,(CName=SD!$C$8)*(EName="Loose Dowels")))</f>
        <v/>
      </c>
      <c r="CK132" t="str" cm="1">
        <f t="array" ref="CK132">IFERROR(IF(CG132="","",IF(K133="Coupler",_xlfn._xlws.FILTER(CCoupler,(CCName=SD!$C$8)*(CBSize=IF(A132=A133,W132&amp;W133,""))*(CCMFM="Male")),"")),"N/A")</f>
        <v/>
      </c>
      <c r="CL132" t="str">
        <f>IFERROR(IF(AM132="Spiral","",IF(A131=A132,"",IF(SD!$C$37=0,"",SD!$C$37))),"")</f>
        <v/>
      </c>
      <c r="CN132">
        <f>IF(AM132="Spiral","",IFERROR(IF(SD!$C$36=0,"",SD!$C$36),""))</f>
        <v>5</v>
      </c>
      <c r="CP132" t="str">
        <f>IFERROR(IF(SD!$C$42=SD!$Q$3,'Take-off'!CA132,""),"")</f>
        <v/>
      </c>
      <c r="CR132">
        <f>IFERROR(IF(SD!$C$22=SD!$U$2,W132,SD!$C$22),"")</f>
        <v>0</v>
      </c>
      <c r="CS132" t="str" cm="1">
        <f t="array" ref="CS132">_xlfn.LET(_xlpm.GR,IF(AND(SD!$C$19=SD!$H$2,Grade!$G$1="Per level"),VLOOKUP(B132,Grade!$E$1:$F$200,2,FALSE),IF(AND(SD!$C$19=SD!$H$2,Grade!$G$1="Per Bar Size"),VLOOKUP(CR132,Grade!$B$1:$C$12,2,0),SD!$C$19)),IF(SD!$C$20=SD!$R$4,IF(A133=A132,"",INDEX(IF(_xlpm.GR=SD!$H$3,A615GR60,IF(_xlpm.GR=SD!$H$4,A615GR75,IF(_xlpm.GR=SD!$H$5,A615GR80,IF(_xlpm.GR=SD!H136,A615GR100,IF(_xlpm.GR=SD!$H$7,A706GR60,IF(_xlpm.GR=SD!$H$8,A706GR80)))))), MATCH(1, (BSize=CR132)*(BCName=SD!$C$8), 0))),""))</f>
        <v/>
      </c>
      <c r="CT132" t="str">
        <f>IF(A133=A132,"",IF(SD!$C$23="Match Vertical Bars ",X132,SD!$C$23))</f>
        <v/>
      </c>
      <c r="CU132" t="str" cm="1">
        <f t="array" ref="CU132">IF(A133=A132,"",IF(SD!$C$20="Top dowels",IF(SD!$E$25="No T-Head",IF(SD!$C$24=SD!$Q$3,VLOOKUP(CR132,S90Range,3,FALSE),LEFT(SD!$C$24,FIND("-",SD!$C$24)-1)+(RIGHT(SD!$C$24,LEN(SD!$C$24)-FIND("-",SD!$C$24))/12)),IF(SD!$E$25="T-Head",_xlfn._xlws.FILTER(THead,(TCName=SD!$C$8)*(TSize=CR132)),IF(SD!$E$25="Level Wise",_xlfn.LET(_xlpm.result,_xlfn.XLOOKUP(B132,TDLevel,TDLevelStatus,"No"),IF(_xlpm.result="Yes",_xlfn._xlws.FILTER(THead,(TCName=SD!$C$8)*(TSize=CR132)),IF(SD!$C$24=SD!$Q$3,VLOOKUP(CR132,S90Range,3,FALSE),LEFT(SD!$C$24,FIND("-",SD!$C$24)-1)+(RIGHT(SD!$C$24,LEN(SD!$C$24)-FIND("-", SD!$C$24))/12)))),IF(SD!$E$25="BarSize Wise",_xlfn.LET(_xlpm.result,_xlfn.XLOOKUP(CR132,TDBarSize,TDBarSizeStatus,"No"),IF(_xlpm.result="Yes",_xlfn._xlws.FILTER(THead,(TCName=SD!$C$8)*(TSize=CR132)),IF(SD!$C$24=SD!$Q$3,VLOOKUP(CR132,S90Range,3,FALSE),LEFT(SD!$C$24,FIND("-",SD!$C$24)-1)+(RIGHT(SD!$C$24,LEN(SD!$C$24)-FIND("-",SD!$C$24))/12)))), "")))),""))</f>
        <v/>
      </c>
      <c r="CV132" t="str">
        <f>_xlfn.LET(_xlpm.GRR,IF(AND(SD!$C$19=SD!$H$2,Grade!$G$1="Per level"),VLOOKUP(B132,Grade!$E$1:$F$200,2,FALSE),IF(AND(SD!$C$19=SD!$H$2,Grade!$G$1="Per Bar Size"),VLOOKUP(CR132,Grade!$B$1:$C$12,2,0),SD!$C$19)),IF(SD!$C$25=SD!$W$2,IF(Data!$J132="",IFERROR(INDEX(IF(SD!$C$11="Create",Lap!$A$3:$BF$14,IF(SD!$C$11="Per Uploaded File",Lap!$A$19:$BF$30,"")),MATCH(CR132,Lap!$A$3:$A$14,0),MATCH(VALUE(D132),Lap!$A$3:$BF$3,0)+IF(IFERROR(FIND("Grade 60",_xlpm.GRR),0)&gt;0,0,IF(IFERROR(FIND("Grade 80",_xlpm.GRR),0),1,IF(IFERROR(FIND("Grade 75",_xlpm.GRR),0),2,"")))),""),Data!J132),SD!$C$43))</f>
        <v>Match Lap</v>
      </c>
      <c r="CW132">
        <f t="shared" si="69"/>
        <v>0</v>
      </c>
      <c r="CX132">
        <f t="shared" si="70"/>
        <v>0</v>
      </c>
      <c r="CY132" t="str">
        <f t="shared" si="71"/>
        <v/>
      </c>
      <c r="DA132" t="str">
        <f t="shared" si="72"/>
        <v/>
      </c>
      <c r="DB132" t="str">
        <f t="shared" si="73"/>
        <v/>
      </c>
      <c r="DC132" s="24" t="str">
        <f t="shared" si="74"/>
        <v/>
      </c>
      <c r="DD132">
        <f t="shared" si="75"/>
        <v>10.583333333333334</v>
      </c>
      <c r="DE132" t="s">
        <v>785</v>
      </c>
      <c r="DF132" t="s">
        <v>67</v>
      </c>
      <c r="DG132" t="str">
        <f>VLOOKUP(W132,'Level Wise PSI'!$F$2:$G$12,2,FALSE)</f>
        <v>Double Lift</v>
      </c>
      <c r="DI132" t="str" cm="1">
        <f t="array" ref="DI132">_xlfn.LET(_xlpm.Coup,IFERROR(IF(BY132="","",IF(K132="Coupler",_xlfn._xlws.FILTER(CCFCoupler,(CCName=SD!$C$8)*(CBSize=IF(A131=A132,W131&amp;W132,BX132&amp;W132))),"")),"N/A"),IF(_xlpm.Coup=0,"",_xlpm.Coup))</f>
        <v/>
      </c>
      <c r="DJ132" t="str" cm="1">
        <f t="array" ref="DJ132">_xlfn.LET(_xlpm.Coup3,IFERROR(IF(CG132="","",IF(K133="Coupler",_xlfn._xlws.FILTER(CCFCoupler,(CCName=SD!$C$8)*(CBSize=IF(A132=A133,W132&amp;W133,""))),"")),"N/A"),IF(_xlpm.Coup3=0,"",_xlpm.Coup3))</f>
        <v/>
      </c>
      <c r="DK132" t="str" cm="1">
        <f t="array" ref="DK132">_xlfn.LET(_xlpm.Coup2,IFERROR(IF(A132&lt;&gt;A133,"",IF(DF132="No Lap","",IF(K133="Coupler",_xlfn._xlws.FILTER(CCFCoupler,(CCName=SD!$C$8)*(CBSize=IF(A131=A132,W132&amp;W133,W132&amp;W132))),""))),"N/A"),IF(_xlpm.Coup2=0,"",_xlpm.Coup2))</f>
        <v/>
      </c>
      <c r="DM132" t="str">
        <f>IF(AM132="Spiral","",IF(SD!$C$31=SD!$Y$3,SD!$E$32*2,""))</f>
        <v/>
      </c>
      <c r="DO132" s="24">
        <f t="shared" si="76"/>
        <v>2.5</v>
      </c>
      <c r="DQ132" t="str">
        <f t="shared" si="77"/>
        <v>Lig</v>
      </c>
      <c r="DR132" t="str">
        <f>IF(AM132="Spiral",((Y132-(SD!$E$12*2))/12),"")</f>
        <v/>
      </c>
      <c r="DS132" t="str">
        <f t="shared" si="78"/>
        <v/>
      </c>
      <c r="DT132" t="str">
        <f t="shared" si="79"/>
        <v/>
      </c>
      <c r="DU132" t="str">
        <f t="shared" si="80"/>
        <v/>
      </c>
    </row>
    <row r="133" spans="1:125" x14ac:dyDescent="0.25">
      <c r="A133">
        <v>46</v>
      </c>
      <c r="B133" t="s">
        <v>674</v>
      </c>
      <c r="C133" s="15">
        <v>2429</v>
      </c>
      <c r="D133" s="15">
        <v>10000</v>
      </c>
      <c r="E133" t="str">
        <f>IF(B133=Level!$A$2,SD!$C$14,SD!$C$13)</f>
        <v>0-8</v>
      </c>
      <c r="F133" s="15" t="s">
        <v>787</v>
      </c>
      <c r="G133" t="s">
        <v>742</v>
      </c>
      <c r="H133" t="str">
        <f>RIGHT(VLOOKUP(B133,Level!A:C,3,FALSE),LEN(VLOOKUP(B133,Level!A:C,3,FALSE))-1)</f>
        <v>10-7</v>
      </c>
      <c r="I133" t="s">
        <v>743</v>
      </c>
      <c r="J133" t="str">
        <f>IF(AND(SD!$C$19=SD!$H$2,Grade!$G$1="Per level"),VLOOKUP(B133,Grade!$E$1:$F$200,2,FALSE),IF(AND(SD!$C$19=SD!$H$2,Grade!$G$1="Per Bar Size"),VLOOKUP(W133,Grade!$B$1:$C$12,2,0),SD!$C$19))</f>
        <v>A615 Grade 60</v>
      </c>
      <c r="K133" t="s">
        <v>67</v>
      </c>
      <c r="L133" t="str">
        <f>IFERROR(IF(A133&lt;&gt;A134,"",IF(DF133="No Lap","",IF(K134="Lap",U133,IF(K134="Coupler",_xlfn._xlws.FILTER(CCoupler,(CCName=SD!$C$8)*(CBSize=IF(A132=A133,W133&amp;W134,W133&amp;W133))*(CCMFM="Male")),"")))),"N/A")</f>
        <v>5-1</v>
      </c>
      <c r="M133" t="str">
        <f t="shared" si="54"/>
        <v/>
      </c>
      <c r="N133" t="s">
        <v>719</v>
      </c>
      <c r="O133" t="s">
        <v>720</v>
      </c>
      <c r="P133" t="s">
        <v>719</v>
      </c>
      <c r="Q133" t="str">
        <f>IF(AND(SD!$C$29=SD!$P$2,Grade!$O$1="Per level"),VLOOKUP(B133,Grade!$M$1:$N$200,2,FALSE),IF(AND(SD!$C$29=SD!$P$2,Grade!$O$1="Per Bar Size"),VLOOKUP(LEFT(N133,FIND("@",N133)-2),Grade!$J$1:$K$12,2,0),SD!$C$29))</f>
        <v>A615 Grade 60</v>
      </c>
      <c r="R133" t="s">
        <v>742</v>
      </c>
      <c r="S133" s="57">
        <v>133</v>
      </c>
      <c r="U133" t="str">
        <f>IF(Data!$J133="",IFERROR(INDEX(IF(SD!$C$11="Create",Lap!$A$3:$BF$14,IF(SD!$C$11="Per Uploaded File",Lap!$A$19:$BF$30,"")),MATCH(W133,Lap!$A$3:$A$14,0),MATCH(VALUE(D133),Lap!$A$3:$BF$3,0)+IF(IFERROR(FIND("Grade 60",J133),0)&gt;0,0,IF(IFERROR(FIND("Grade 80",J133),0),1,IF(IFERROR(FIND("Grade 75",J133),0),2,"")))),""),Data!J133)</f>
        <v>5-1</v>
      </c>
      <c r="W133" t="s">
        <v>176</v>
      </c>
      <c r="X133">
        <v>6</v>
      </c>
      <c r="Y133" t="str">
        <f t="shared" si="55"/>
        <v>30</v>
      </c>
      <c r="Z133">
        <f t="shared" si="56"/>
        <v>0</v>
      </c>
      <c r="AA133" s="24">
        <f t="shared" si="57"/>
        <v>15.666666666666666</v>
      </c>
      <c r="BB133" t="e" cm="1">
        <f t="array" ref="BB133">_xlfn.LET(_xlpm.PartF,(_xlfn.LET(_xlpm.grade, Q133,_xlpm.gradeRange, IF(_xlpm.grade=SD!$H$3, A615GR60, IF(_xlpm.grade=SD!$H$4, A615GR75, IF(_xlpm.grade=SD!$H$5, A615GR80, IF(_xlpm.grade=SD!$H$6, A615GR100, IF(_xlpm.grade=SD!$H$7, A706GR60, IF(_xlpm.grade=SD!$H$8, A706GR80)))))),_xlpm.matchValue, MATCH(1, (SD!$AW:$AW=AS133)*(SD!$AX:$AX=SD!$C$8), 0),INDEX(_xlpm.gradeRange, _xlpm.matchValue))),IF(AM133="Spiral",CONCATENATE("SP",_xlpm.PartF),_xlpm.PartF))</f>
        <v>#N/A</v>
      </c>
      <c r="BC133" cm="1">
        <f t="array" ref="BC133">_xlfn.LET(_xlpm.leftPart, LEFT(O133, FIND("@", O133) - 2),_xlpm.grade,Q133,_xlpm.gradeRange,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3" cm="1">
        <f t="array" ref="BD133">_xlfn.LET(_xlpm.leftPart, LEFT(P133, FIND("@", P133) - 2),_xlpm.grade, Q133,_xlpm.gradeRange,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3">
        <f t="shared" si="58"/>
        <v>2.5</v>
      </c>
      <c r="BF133">
        <f>IF(SD!$C$32=SD!$I$2,BE133,IF(SD!$C$32=SD!$I$3,DO133,IF(SD!$C$32=SD!$I$5,BA133,IF(SD!$C$32=SD!$I$6,(LEFT(SD!$C$35,FIND("-",SD!$C$35)-1)+RIGHT(SD!$C$35,LEN(SD!$C$35)-FIND("-",SD!$C$35))/12),IF(SD!$C$32=SD!$I$4,(AU133-(BG133+BH133)))))))</f>
        <v>0</v>
      </c>
      <c r="BG133">
        <f>IF(SD!$C$33=SD!$I$2,BE133,IF(SD!$C$33=SD!$I$3,DO133,IF(SD!$C$33=SD!$I$5,BA133,IF(SD!$C$33=SD!$I$6,(LEFT(SD!$C$35,FIND("-",SD!$C$35)-1)+RIGHT(SD!$C$35,LEN(SD!$C$35)-FIND("-",SD!$C$35))/12),IF(SD!$C$33=SD!$I$4,(AU133-(BF133+BH133)))))))</f>
        <v>-1</v>
      </c>
      <c r="BH133">
        <f>IF(SD!$C$34=SD!$I$2,BE133,IF(SD!$C$34=SD!$I$3,DO133,IF(SD!$C$34=SD!$I$5,BA133,IF(SD!$C$34=SD!$I$6,(LEFT(SD!$C$35,FIND("-",SD!$C$35)-1)+RIGHT(SD!$C$35,LEN(SD!$C$35)-FIND("-",SD!$C$35))/12),IF(SD!$C$34=SD!$I$4,(AU133-(BF133+BG133)))))))</f>
        <v>1</v>
      </c>
      <c r="BJ133">
        <f>IF(AM133="Spiral","1",MAX(ROUNDUP(IF(SD!$C$32="",AT133,BF133/(LEFT(RIGHT(N133,LEN(N133)-FIND("@",N133)),LEN(RIGHT(N133,LEN(N133)-FIND("@",N133)))-1)/12)+1),0),0))</f>
        <v>1</v>
      </c>
      <c r="BK133">
        <f>MAX(ROUNDUP(IF(SD!$C$33="","",BG133/(LEFT(RIGHT(O133,LEN(O133)-FIND("@",O133)),LEN(RIGHT(O133,LEN(O133)-FIND("@",O133)))-1)/12)+1),0),0)</f>
        <v>0</v>
      </c>
      <c r="BL133">
        <f>MAX(ROUNDUP(IF(SD!$C$34="","",BH133/(LEFT(RIGHT(P133,LEN(P133)-FIND("@",P133)),LEN(RIGHT(P133,LEN(P133)-FIND("@",P133)))-1)/12)+1),0),0)</f>
        <v>3</v>
      </c>
      <c r="BN133" t="e">
        <f t="shared" si="59"/>
        <v>#N/A</v>
      </c>
      <c r="BO133" t="e">
        <f t="shared" si="60"/>
        <v>#N/A</v>
      </c>
      <c r="BP133" t="e">
        <f t="shared" si="61"/>
        <v>#N/A</v>
      </c>
      <c r="BQ133" s="24" t="e">
        <f>IF(AM133=TRUE,(((Y133-(SD!$E$12*2))*3.14159265359)+BN133+BO133+BP133)/12+AL133,SUM(AF133:AG133,BN133,BO133,BP133,AO133,AQ133)/12)</f>
        <v>#N/A</v>
      </c>
      <c r="BR133" t="e">
        <f t="shared" si="62"/>
        <v>#N/A</v>
      </c>
      <c r="BS133" t="e">
        <f t="shared" si="63"/>
        <v>#N/A</v>
      </c>
      <c r="BT133" t="e">
        <f t="shared" si="64"/>
        <v>#N/A</v>
      </c>
      <c r="BU133" s="24" t="e">
        <f>IF(AM133=TRUE,(((Y133-(SD!$E$12*2))*3.14159265359)+BR133+BS133+BT133)/12+AL133,SUM(AF133:AG133,BR133,BS133,BT133,AO133,AQ133)/12)</f>
        <v>#N/A</v>
      </c>
      <c r="BW133" t="str">
        <f>IFERROR(LEFT(Data!L133,FIND(" -",Data!L133)-1),"")</f>
        <v/>
      </c>
      <c r="BX133" t="str">
        <f>IFERROR(IF(SD!$C$40=SD!$U$2,W133,IF(SD!$C$40=SD!$U$3,RIGHT(Data!L133,LEN(Data!L133)-(FIND("-",Data!L133)+1)),SD!$C$40)),"")</f>
        <v>#10</v>
      </c>
      <c r="BY133" t="str" cm="1">
        <f t="array" ref="BY133">IFERROR(_xlfn.LET(_xlpm.GRR,IF(AND(SD!$C$19=SD!$H$2,Grade!$G$1="Per level"),VLOOKUP(B133,Grade!$E$1:$F$200,2,FALSE),IF(AND(SD!$C$19=SD!$H$2,Grade!$G$1="Per Bar Size"),VLOOKUP(BX133,Grade!$B$1:$C$12,2,0),SD!$C$19)),_xlpm.is_equal, A132=A133,_xlpm.grade_range, IF(_xlpm.GRR=SD!$H$3, A615GR60,IF(_xlpm.GRR=SD!$H$4, A615GR75,IF(_xlpm.GRR=SD!$H$5, A615GR80,IF(_xlpm.GRR=SD!H137, A615GR100,IF(_xlpm.GRR=SD!$H$7, A706GR60,IF(_xlpm.GRR=SD!$H$8, A706GR80)))))),_xlpm.match_result, MATCH(1, (BSize=BX133)*(BCName=SD!$C$8), 0),_xlpm.final_result, INDEX(_xlpm.grade_range, _xlpm.match_result),IF(_xlpm.is_equal, "", _xlpm.final_result)),"")</f>
        <v/>
      </c>
      <c r="BZ133" t="str">
        <f>IF(A132=A133,"",IF(SD!$C$41="Match Vertical Bars ",X133,IF(SD!$C$41=SD!$V$3,BW133,SD!$C$41)))</f>
        <v/>
      </c>
      <c r="CA133" t="str" cm="1">
        <f t="array" ref="CA133">IF(A132=A133,"",IF(SD!$C$44="No T-Head",IF(SD!$C$42=SD!$Q$3,VLOOKUP(BX133,S90Range,3,FALSE),LEFT(SD!$C$42,FIND("-",SD!$C$42)-1)+(RIGHT(SD!$C$42,LEN(SD!$C$42)-FIND("-",SD!$C$42))/12)),IF(SD!$C$44="T-Head",_xlfn._xlws.FILTER(THead,(TCName=SD!$C$8)*(TSize=BX133)),IF(SD!$C$44="Level Wise",_xlfn.LET(_xlpm.result,_xlfn.XLOOKUP(B133,VDLevel,VDLevelStatus,"No"),IF(_xlpm.result="Yes",_xlfn._xlws.FILTER(THead,(TCName=SD!$C$8)*(TSize=BX133)),IF(SD!$C$42=SD!$Q$3,VLOOKUP(BX133,S90Range,3,FALSE),LEFT(SD!$C$42,FIND("-",SD!$C$42)-1)+(RIGHT(SD!$C$42,LEN(SD!$C$42)-FIND("-", SD!$C$42))/12)))),IF(SD!$C$44="BarSize Wise",_xlfn.LET(_xlpm.result,_xlfn.XLOOKUP(BX133,VDBarSize,VDBarSizeStatus,"No"),IF(_xlpm.result="Yes",_xlfn._xlws.FILTER(THead,(TCName=SD!$C$8)*(TSize=BX133)),IF(SD!$C$42=SD!$Q$3,VLOOKUP(BX133,S90Range,3,FALSE),LEFT(SD!$C$42,FIND("-",SD!$C$42)-1)+(RIGHT(SD!$C$42,LEN(SD!$C$42)-FIND("-",SD!$C$42))/12)))), "")))))</f>
        <v/>
      </c>
      <c r="CB133" t="str" cm="1">
        <f t="array" ref="CB133">_xlfn.LET(_xlpm.GRR,IF(AND(SD!$C$19=SD!$H$2,Grade!$G$1="Per level"),VLOOKUP(B133,Grade!$E$1:$F$200,2,FALSE),IF(AND(SD!$C$19=SD!$H$2,Grade!$G$1="Per Bar Size"),VLOOKUP(BX133,Grade!$B$1:$C$12,2,0),SD!$C$19)),_xlpm.is_coupler, K133="Coupler",_xlpm.condition1, SD!$C$43=SD!$W$2,_xlpm.data_j2_empty, Data!$J133="",_xlpm.lookup_table, IF(SD!$C$11="Create", Lap!$A$3:$BF$14, IF(SD!$C$11="Per Uploaded File", Lap!$A$19:$BF$30, "")),_xlpm.row_match, MATCH(BX133, Lap!$A$3:$A$14, 0),_xlpm.grade_offset, IF(IFERROR(FIND("Grade 60",_xlpm.GRR), 0) &gt; 0, 0, IF(IFERROR(FIND("Grade 80",_xlpm.GRR), 0), 1, IF(IFERROR(FIND("Grade 75",_xlpm.GRR), 0), 2, ""))),_xlpm.col_match, MATCH(VALUE(D133), Lap!$A$3:$BF$3, 0) + _xlpm.grade_offset,_xlpm.index_result, IFERROR(INDEX(_xlpm.lookup_table, _xlpm.row_match, _xlpm.col_match), Data!$J133),_xlpm.result_if_condition1, IF(_xlpm.data_j2_empty, _xlpm.index_result, Data!$J133),IF(_xlpm.is_coupler, 0, IF(_xlpm.condition1, _xlpm.result_if_condition1, SD!$C$43)))</f>
        <v>5-1</v>
      </c>
      <c r="CC133" s="24">
        <f t="shared" si="65"/>
        <v>5.083333333333333</v>
      </c>
      <c r="CD133">
        <f t="shared" si="66"/>
        <v>5.75</v>
      </c>
      <c r="CE133" t="str" cm="1">
        <f t="array" ref="CE133">IF(BY133="","",_xlfn._xlws.FILTER(SAC,(CName=SD!$C$8)*(EName="Vert Dowels")))</f>
        <v/>
      </c>
      <c r="CF133" t="str" cm="1">
        <f t="array" ref="CF133">IFERROR(IF(BY133="","",IF(K133="Coupler",_xlfn._xlws.FILTER(CCoupler,(CCName=SD!$C$8)*(CBSize=IF(A132=A133,W132&amp;W133,BX133&amp;W133))*(CCMFM="Male")),"")),"N/A")</f>
        <v/>
      </c>
      <c r="CG133" t="str">
        <f t="shared" si="67"/>
        <v/>
      </c>
      <c r="CH133" t="str">
        <f t="shared" si="68"/>
        <v/>
      </c>
      <c r="CI133" t="str">
        <f>_xlfn.LET(_xlpm.u3_value, U134,_xlpm.hyphen_pos,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K134="Coupler",_xlpm.coupler_value, IF(_xlpm.is_coupler, 0, _xlpm.calculated_value),_xlpm.final_value, _xlpm.calculated_value + SD!$E$13 + _xlpm.coupler_value,IF(CG133="", "", _xlpm.final_value))</f>
        <v/>
      </c>
      <c r="CJ133" t="str" cm="1">
        <f t="array" ref="CJ133">IF(CG133="","",_xlfn._xlws.FILTER(SAC,(CName=SD!$C$8)*(EName="Loose Dowels")))</f>
        <v/>
      </c>
      <c r="CK133" t="str" cm="1">
        <f t="array" ref="CK133">IFERROR(IF(CG133="","",IF(K134="Coupler",_xlfn._xlws.FILTER(CCoupler,(CCName=SD!$C$8)*(CBSize=IF(A133=A134,W133&amp;W134,""))*(CCMFM="Male")),"")),"N/A")</f>
        <v/>
      </c>
      <c r="CL133" t="str">
        <f>IFERROR(IF(AM133="Spiral","",IF(A132=A133,"",IF(SD!$C$37=0,"",SD!$C$37))),"")</f>
        <v/>
      </c>
      <c r="CN133">
        <f>IF(AM133="Spiral","",IFERROR(IF(SD!$C$36=0,"",SD!$C$36),""))</f>
        <v>5</v>
      </c>
      <c r="CP133" t="str">
        <f>IFERROR(IF(SD!$C$42=SD!$Q$3,'Take-off'!CA133,""),"")</f>
        <v/>
      </c>
      <c r="CR133">
        <f>IFERROR(IF(SD!$C$22=SD!$U$2,W133,SD!$C$22),"")</f>
        <v>0</v>
      </c>
      <c r="CS133" t="str" cm="1">
        <f t="array" ref="CS133">_xlfn.LET(_xlpm.GR,IF(AND(SD!$C$19=SD!$H$2,Grade!$G$1="Per level"),VLOOKUP(B133,Grade!$E$1:$F$200,2,FALSE),IF(AND(SD!$C$19=SD!$H$2,Grade!$G$1="Per Bar Size"),VLOOKUP(CR133,Grade!$B$1:$C$12,2,0),SD!$C$19)),IF(SD!$C$20=SD!$R$4,IF(A134=A133,"",INDEX(IF(_xlpm.GR=SD!$H$3,A615GR60,IF(_xlpm.GR=SD!$H$4,A615GR75,IF(_xlpm.GR=SD!$H$5,A615GR80,IF(_xlpm.GR=SD!H137,A615GR100,IF(_xlpm.GR=SD!$H$7,A706GR60,IF(_xlpm.GR=SD!$H$8,A706GR80)))))), MATCH(1, (BSize=CR133)*(BCName=SD!$C$8), 0))),""))</f>
        <v/>
      </c>
      <c r="CT133" t="str">
        <f>IF(A134=A133,"",IF(SD!$C$23="Match Vertical Bars ",X133,SD!$C$23))</f>
        <v/>
      </c>
      <c r="CU133" t="str" cm="1">
        <f t="array" ref="CU133">IF(A134=A133,"",IF(SD!$C$20="Top dowels",IF(SD!$E$25="No T-Head",IF(SD!$C$24=SD!$Q$3,VLOOKUP(CR133,S90Range,3,FALSE),LEFT(SD!$C$24,FIND("-",SD!$C$24)-1)+(RIGHT(SD!$C$24,LEN(SD!$C$24)-FIND("-",SD!$C$24))/12)),IF(SD!$E$25="T-Head",_xlfn._xlws.FILTER(THead,(TCName=SD!$C$8)*(TSize=CR133)),IF(SD!$E$25="Level Wise",_xlfn.LET(_xlpm.result,_xlfn.XLOOKUP(B133,TDLevel,TDLevelStatus,"No"),IF(_xlpm.result="Yes",_xlfn._xlws.FILTER(THead,(TCName=SD!$C$8)*(TSize=CR133)),IF(SD!$C$24=SD!$Q$3,VLOOKUP(CR133,S90Range,3,FALSE),LEFT(SD!$C$24,FIND("-",SD!$C$24)-1)+(RIGHT(SD!$C$24,LEN(SD!$C$24)-FIND("-", SD!$C$24))/12)))),IF(SD!$E$25="BarSize Wise",_xlfn.LET(_xlpm.result,_xlfn.XLOOKUP(CR133,TDBarSize,TDBarSizeStatus,"No"),IF(_xlpm.result="Yes",_xlfn._xlws.FILTER(THead,(TCName=SD!$C$8)*(TSize=CR133)),IF(SD!$C$24=SD!$Q$3,VLOOKUP(CR133,S90Range,3,FALSE),LEFT(SD!$C$24,FIND("-",SD!$C$24)-1)+(RIGHT(SD!$C$24,LEN(SD!$C$24)-FIND("-",SD!$C$24))/12)))), "")))),""))</f>
        <v/>
      </c>
      <c r="CV133" t="str">
        <f>_xlfn.LET(_xlpm.GRR,IF(AND(SD!$C$19=SD!$H$2,Grade!$G$1="Per level"),VLOOKUP(B133,Grade!$E$1:$F$200,2,FALSE),IF(AND(SD!$C$19=SD!$H$2,Grade!$G$1="Per Bar Size"),VLOOKUP(CR133,Grade!$B$1:$C$12,2,0),SD!$C$19)),IF(SD!$C$25=SD!$W$2,IF(Data!$J133="",IFERROR(INDEX(IF(SD!$C$11="Create",Lap!$A$3:$BF$14,IF(SD!$C$11="Per Uploaded File",Lap!$A$19:$BF$30,"")),MATCH(CR133,Lap!$A$3:$A$14,0),MATCH(VALUE(D133),Lap!$A$3:$BF$3,0)+IF(IFERROR(FIND("Grade 60",_xlpm.GRR),0)&gt;0,0,IF(IFERROR(FIND("Grade 80",_xlpm.GRR),0),1,IF(IFERROR(FIND("Grade 75",_xlpm.GRR),0),2,"")))),""),Data!J133),SD!$C$43))</f>
        <v>Match Lap</v>
      </c>
      <c r="CW133">
        <f t="shared" si="69"/>
        <v>0</v>
      </c>
      <c r="CX133">
        <f t="shared" si="70"/>
        <v>0</v>
      </c>
      <c r="CY133" t="str">
        <f t="shared" si="71"/>
        <v/>
      </c>
      <c r="DA133" t="str">
        <f t="shared" si="72"/>
        <v/>
      </c>
      <c r="DB133" t="str">
        <f t="shared" si="73"/>
        <v/>
      </c>
      <c r="DC133" s="24" t="str">
        <f t="shared" si="74"/>
        <v/>
      </c>
      <c r="DD133">
        <f t="shared" si="75"/>
        <v>10.583333333333334</v>
      </c>
      <c r="DE133" t="s">
        <v>785</v>
      </c>
      <c r="DF133" t="s">
        <v>67</v>
      </c>
      <c r="DG133" t="str">
        <f>VLOOKUP(W133,'Level Wise PSI'!$F$2:$G$12,2,FALSE)</f>
        <v>Double Lift</v>
      </c>
      <c r="DI133" t="str" cm="1">
        <f t="array" ref="DI133">_xlfn.LET(_xlpm.Coup,IFERROR(IF(BY133="","",IF(K133="Coupler",_xlfn._xlws.FILTER(CCFCoupler,(CCName=SD!$C$8)*(CBSize=IF(A132=A133,W132&amp;W133,BX133&amp;W133))),"")),"N/A"),IF(_xlpm.Coup=0,"",_xlpm.Coup))</f>
        <v/>
      </c>
      <c r="DJ133" t="str" cm="1">
        <f t="array" ref="DJ133">_xlfn.LET(_xlpm.Coup3,IFERROR(IF(CG133="","",IF(K134="Coupler",_xlfn._xlws.FILTER(CCFCoupler,(CCName=SD!$C$8)*(CBSize=IF(A133=A134,W133&amp;W134,""))),"")),"N/A"),IF(_xlpm.Coup3=0,"",_xlpm.Coup3))</f>
        <v/>
      </c>
      <c r="DK133" t="str" cm="1">
        <f t="array" ref="DK133">_xlfn.LET(_xlpm.Coup2,IFERROR(IF(A133&lt;&gt;A134,"",IF(DF133="No Lap","",IF(K134="Coupler",_xlfn._xlws.FILTER(CCFCoupler,(CCName=SD!$C$8)*(CBSize=IF(A132=A133,W133&amp;W134,W133&amp;W133))),""))),"N/A"),IF(_xlpm.Coup2=0,"",_xlpm.Coup2))</f>
        <v/>
      </c>
      <c r="DM133" t="str">
        <f>IF(AM133="Spiral","",IF(SD!$C$31=SD!$Y$3,SD!$E$32*2,""))</f>
        <v/>
      </c>
      <c r="DO133" s="24">
        <f t="shared" si="76"/>
        <v>2.5</v>
      </c>
      <c r="DQ133" t="str">
        <f t="shared" si="77"/>
        <v>Lig</v>
      </c>
      <c r="DR133" t="str">
        <f>IF(AM133="Spiral",((Y133-(SD!$E$12*2))/12),"")</f>
        <v/>
      </c>
      <c r="DS133" t="str">
        <f t="shared" si="78"/>
        <v/>
      </c>
      <c r="DT133" t="str">
        <f t="shared" si="79"/>
        <v/>
      </c>
      <c r="DU133" t="str">
        <f t="shared" si="80"/>
        <v/>
      </c>
    </row>
    <row r="134" spans="1:125" x14ac:dyDescent="0.25">
      <c r="A134">
        <v>46</v>
      </c>
      <c r="B134" t="s">
        <v>676</v>
      </c>
      <c r="C134" s="15">
        <v>2429</v>
      </c>
      <c r="D134" s="15">
        <v>10000</v>
      </c>
      <c r="E134" t="str">
        <f>IF(B134=Level!$A$2,SD!$C$14,SD!$C$13)</f>
        <v>0-8</v>
      </c>
      <c r="F134" s="15" t="s">
        <v>787</v>
      </c>
      <c r="G134" t="s">
        <v>742</v>
      </c>
      <c r="H134" t="str">
        <f>RIGHT(VLOOKUP(B134,Level!A:C,3,FALSE),LEN(VLOOKUP(B134,Level!A:C,3,FALSE))-1)</f>
        <v>10-7</v>
      </c>
      <c r="I134" t="s">
        <v>743</v>
      </c>
      <c r="J134" t="str">
        <f>IF(AND(SD!$C$19=SD!$H$2,Grade!$G$1="Per level"),VLOOKUP(B134,Grade!$E$1:$F$200,2,FALSE),IF(AND(SD!$C$19=SD!$H$2,Grade!$G$1="Per Bar Size"),VLOOKUP(W134,Grade!$B$1:$C$12,2,0),SD!$C$19))</f>
        <v>A615 Grade 60</v>
      </c>
      <c r="K134" t="s">
        <v>67</v>
      </c>
      <c r="L134" t="str">
        <f>IFERROR(IF(A134&lt;&gt;A135,"",IF(DF134="No Lap","",IF(K135="Lap",U134,IF(K135="Coupler",_xlfn._xlws.FILTER(CCoupler,(CCName=SD!$C$8)*(CBSize=IF(A133=A134,W134&amp;W135,W134&amp;W134))*(CCMFM="Male")),"")))),"N/A")</f>
        <v>5-1</v>
      </c>
      <c r="M134" t="str">
        <f t="shared" si="54"/>
        <v/>
      </c>
      <c r="N134" t="s">
        <v>719</v>
      </c>
      <c r="O134" t="s">
        <v>720</v>
      </c>
      <c r="P134" t="s">
        <v>719</v>
      </c>
      <c r="Q134" t="str">
        <f>IF(AND(SD!$C$29=SD!$P$2,Grade!$O$1="Per level"),VLOOKUP(B134,Grade!$M$1:$N$200,2,FALSE),IF(AND(SD!$C$29=SD!$P$2,Grade!$O$1="Per Bar Size"),VLOOKUP(LEFT(N134,FIND("@",N134)-2),Grade!$J$1:$K$12,2,0),SD!$C$29))</f>
        <v>A615 Grade 60</v>
      </c>
      <c r="R134" t="s">
        <v>742</v>
      </c>
      <c r="S134" s="57">
        <v>134</v>
      </c>
      <c r="U134" t="str">
        <f>IF(Data!$J134="",IFERROR(INDEX(IF(SD!$C$11="Create",Lap!$A$3:$BF$14,IF(SD!$C$11="Per Uploaded File",Lap!$A$19:$BF$30,"")),MATCH(W134,Lap!$A$3:$A$14,0),MATCH(VALUE(D134),Lap!$A$3:$BF$3,0)+IF(IFERROR(FIND("Grade 60",J134),0)&gt;0,0,IF(IFERROR(FIND("Grade 80",J134),0),1,IF(IFERROR(FIND("Grade 75",J134),0),2,"")))),""),Data!J134)</f>
        <v>5-1</v>
      </c>
      <c r="W134" t="s">
        <v>176</v>
      </c>
      <c r="X134">
        <v>6</v>
      </c>
      <c r="Y134" t="str">
        <f t="shared" si="55"/>
        <v>30</v>
      </c>
      <c r="Z134">
        <f t="shared" si="56"/>
        <v>0</v>
      </c>
      <c r="AA134" s="24">
        <f t="shared" si="57"/>
        <v>15.666666666666666</v>
      </c>
      <c r="BB134" t="e" cm="1">
        <f t="array" ref="BB134">_xlfn.LET(_xlpm.PartF,(_xlfn.LET(_xlpm.grade, Q134,_xlpm.gradeRange, IF(_xlpm.grade=SD!$H$3, A615GR60, IF(_xlpm.grade=SD!$H$4, A615GR75, IF(_xlpm.grade=SD!$H$5, A615GR80, IF(_xlpm.grade=SD!$H$6, A615GR100, IF(_xlpm.grade=SD!$H$7, A706GR60, IF(_xlpm.grade=SD!$H$8, A706GR80)))))),_xlpm.matchValue, MATCH(1, (SD!$AW:$AW=AS134)*(SD!$AX:$AX=SD!$C$8), 0),INDEX(_xlpm.gradeRange, _xlpm.matchValue))),IF(AM134="Spiral",CONCATENATE("SP",_xlpm.PartF),_xlpm.PartF))</f>
        <v>#N/A</v>
      </c>
      <c r="BC134" cm="1">
        <f t="array" ref="BC134">_xlfn.LET(_xlpm.leftPart, LEFT(O134, FIND("@", O134) - 2),_xlpm.grade,Q134,_xlpm.gradeRange,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4" cm="1">
        <f t="array" ref="BD134">_xlfn.LET(_xlpm.leftPart, LEFT(P134, FIND("@", P134) - 2),_xlpm.grade, Q134,_xlpm.gradeRange,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4">
        <f t="shared" si="58"/>
        <v>2.5</v>
      </c>
      <c r="BF134">
        <f>IF(SD!$C$32=SD!$I$2,BE134,IF(SD!$C$32=SD!$I$3,DO134,IF(SD!$C$32=SD!$I$5,BA134,IF(SD!$C$32=SD!$I$6,(LEFT(SD!$C$35,FIND("-",SD!$C$35)-1)+RIGHT(SD!$C$35,LEN(SD!$C$35)-FIND("-",SD!$C$35))/12),IF(SD!$C$32=SD!$I$4,(AU134-(BG134+BH134)))))))</f>
        <v>0</v>
      </c>
      <c r="BG134">
        <f>IF(SD!$C$33=SD!$I$2,BE134,IF(SD!$C$33=SD!$I$3,DO134,IF(SD!$C$33=SD!$I$5,BA134,IF(SD!$C$33=SD!$I$6,(LEFT(SD!$C$35,FIND("-",SD!$C$35)-1)+RIGHT(SD!$C$35,LEN(SD!$C$35)-FIND("-",SD!$C$35))/12),IF(SD!$C$33=SD!$I$4,(AU134-(BF134+BH134)))))))</f>
        <v>-1</v>
      </c>
      <c r="BH134">
        <f>IF(SD!$C$34=SD!$I$2,BE134,IF(SD!$C$34=SD!$I$3,DO134,IF(SD!$C$34=SD!$I$5,BA134,IF(SD!$C$34=SD!$I$6,(LEFT(SD!$C$35,FIND("-",SD!$C$35)-1)+RIGHT(SD!$C$35,LEN(SD!$C$35)-FIND("-",SD!$C$35))/12),IF(SD!$C$34=SD!$I$4,(AU134-(BF134+BG134)))))))</f>
        <v>1</v>
      </c>
      <c r="BJ134">
        <f>IF(AM134="Spiral","1",MAX(ROUNDUP(IF(SD!$C$32="",AT134,BF134/(LEFT(RIGHT(N134,LEN(N134)-FIND("@",N134)),LEN(RIGHT(N134,LEN(N134)-FIND("@",N134)))-1)/12)+1),0),0))</f>
        <v>1</v>
      </c>
      <c r="BK134">
        <f>MAX(ROUNDUP(IF(SD!$C$33="","",BG134/(LEFT(RIGHT(O134,LEN(O134)-FIND("@",O134)),LEN(RIGHT(O134,LEN(O134)-FIND("@",O134)))-1)/12)+1),0),0)</f>
        <v>0</v>
      </c>
      <c r="BL134">
        <f>MAX(ROUNDUP(IF(SD!$C$34="","",BH134/(LEFT(RIGHT(P134,LEN(P134)-FIND("@",P134)),LEN(RIGHT(P134,LEN(P134)-FIND("@",P134)))-1)/12)+1),0),0)</f>
        <v>3</v>
      </c>
      <c r="BN134" t="e">
        <f t="shared" si="59"/>
        <v>#N/A</v>
      </c>
      <c r="BO134" t="e">
        <f t="shared" si="60"/>
        <v>#N/A</v>
      </c>
      <c r="BP134" t="e">
        <f t="shared" si="61"/>
        <v>#N/A</v>
      </c>
      <c r="BQ134" s="24" t="e">
        <f>IF(AM134=TRUE,(((Y134-(SD!$E$12*2))*3.14159265359)+BN134+BO134+BP134)/12+AL134,SUM(AF134:AG134,BN134,BO134,BP134,AO134,AQ134)/12)</f>
        <v>#N/A</v>
      </c>
      <c r="BR134" t="e">
        <f t="shared" si="62"/>
        <v>#N/A</v>
      </c>
      <c r="BS134" t="e">
        <f t="shared" si="63"/>
        <v>#N/A</v>
      </c>
      <c r="BT134" t="e">
        <f t="shared" si="64"/>
        <v>#N/A</v>
      </c>
      <c r="BU134" s="24" t="e">
        <f>IF(AM134=TRUE,(((Y134-(SD!$E$12*2))*3.14159265359)+BR134+BS134+BT134)/12+AL134,SUM(AF134:AG134,BR134,BS134,BT134,AO134,AQ134)/12)</f>
        <v>#N/A</v>
      </c>
      <c r="BW134" t="str">
        <f>IFERROR(LEFT(Data!L134,FIND(" -",Data!L134)-1),"")</f>
        <v/>
      </c>
      <c r="BX134" t="str">
        <f>IFERROR(IF(SD!$C$40=SD!$U$2,W134,IF(SD!$C$40=SD!$U$3,RIGHT(Data!L134,LEN(Data!L134)-(FIND("-",Data!L134)+1)),SD!$C$40)),"")</f>
        <v>#10</v>
      </c>
      <c r="BY134" t="str" cm="1">
        <f t="array" ref="BY134">IFERROR(_xlfn.LET(_xlpm.GRR,IF(AND(SD!$C$19=SD!$H$2,Grade!$G$1="Per level"),VLOOKUP(B134,Grade!$E$1:$F$200,2,FALSE),IF(AND(SD!$C$19=SD!$H$2,Grade!$G$1="Per Bar Size"),VLOOKUP(BX134,Grade!$B$1:$C$12,2,0),SD!$C$19)),_xlpm.is_equal, A133=A134,_xlpm.grade_range, IF(_xlpm.GRR=SD!$H$3, A615GR60,IF(_xlpm.GRR=SD!$H$4, A615GR75,IF(_xlpm.GRR=SD!$H$5, A615GR80,IF(_xlpm.GRR=SD!H138, A615GR100,IF(_xlpm.GRR=SD!$H$7, A706GR60,IF(_xlpm.GRR=SD!$H$8, A706GR80)))))),_xlpm.match_result, MATCH(1, (BSize=BX134)*(BCName=SD!$C$8), 0),_xlpm.final_result, INDEX(_xlpm.grade_range, _xlpm.match_result),IF(_xlpm.is_equal, "", _xlpm.final_result)),"")</f>
        <v/>
      </c>
      <c r="BZ134" t="str">
        <f>IF(A133=A134,"",IF(SD!$C$41="Match Vertical Bars ",X134,IF(SD!$C$41=SD!$V$3,BW134,SD!$C$41)))</f>
        <v/>
      </c>
      <c r="CA134" t="str" cm="1">
        <f t="array" ref="CA134">IF(A133=A134,"",IF(SD!$C$44="No T-Head",IF(SD!$C$42=SD!$Q$3,VLOOKUP(BX134,S90Range,3,FALSE),LEFT(SD!$C$42,FIND("-",SD!$C$42)-1)+(RIGHT(SD!$C$42,LEN(SD!$C$42)-FIND("-",SD!$C$42))/12)),IF(SD!$C$44="T-Head",_xlfn._xlws.FILTER(THead,(TCName=SD!$C$8)*(TSize=BX134)),IF(SD!$C$44="Level Wise",_xlfn.LET(_xlpm.result,_xlfn.XLOOKUP(B134,VDLevel,VDLevelStatus,"No"),IF(_xlpm.result="Yes",_xlfn._xlws.FILTER(THead,(TCName=SD!$C$8)*(TSize=BX134)),IF(SD!$C$42=SD!$Q$3,VLOOKUP(BX134,S90Range,3,FALSE),LEFT(SD!$C$42,FIND("-",SD!$C$42)-1)+(RIGHT(SD!$C$42,LEN(SD!$C$42)-FIND("-", SD!$C$42))/12)))),IF(SD!$C$44="BarSize Wise",_xlfn.LET(_xlpm.result,_xlfn.XLOOKUP(BX134,VDBarSize,VDBarSizeStatus,"No"),IF(_xlpm.result="Yes",_xlfn._xlws.FILTER(THead,(TCName=SD!$C$8)*(TSize=BX134)),IF(SD!$C$42=SD!$Q$3,VLOOKUP(BX134,S90Range,3,FALSE),LEFT(SD!$C$42,FIND("-",SD!$C$42)-1)+(RIGHT(SD!$C$42,LEN(SD!$C$42)-FIND("-",SD!$C$42))/12)))), "")))))</f>
        <v/>
      </c>
      <c r="CB134" t="str" cm="1">
        <f t="array" ref="CB134">_xlfn.LET(_xlpm.GRR,IF(AND(SD!$C$19=SD!$H$2,Grade!$G$1="Per level"),VLOOKUP(B134,Grade!$E$1:$F$200,2,FALSE),IF(AND(SD!$C$19=SD!$H$2,Grade!$G$1="Per Bar Size"),VLOOKUP(BX134,Grade!$B$1:$C$12,2,0),SD!$C$19)),_xlpm.is_coupler, K134="Coupler",_xlpm.condition1, SD!$C$43=SD!$W$2,_xlpm.data_j2_empty, Data!$J134="",_xlpm.lookup_table, IF(SD!$C$11="Create", Lap!$A$3:$BF$14, IF(SD!$C$11="Per Uploaded File", Lap!$A$19:$BF$30, "")),_xlpm.row_match, MATCH(BX134, Lap!$A$3:$A$14, 0),_xlpm.grade_offset, IF(IFERROR(FIND("Grade 60",_xlpm.GRR), 0) &gt; 0, 0, IF(IFERROR(FIND("Grade 80",_xlpm.GRR), 0), 1, IF(IFERROR(FIND("Grade 75",_xlpm.GRR), 0), 2, ""))),_xlpm.col_match, MATCH(VALUE(D134), Lap!$A$3:$BF$3, 0) + _xlpm.grade_offset,_xlpm.index_result, IFERROR(INDEX(_xlpm.lookup_table, _xlpm.row_match, _xlpm.col_match), Data!$J134),_xlpm.result_if_condition1, IF(_xlpm.data_j2_empty, _xlpm.index_result, Data!$J134),IF(_xlpm.is_coupler, 0, IF(_xlpm.condition1, _xlpm.result_if_condition1, SD!$C$43)))</f>
        <v>5-1</v>
      </c>
      <c r="CC134" s="24">
        <f t="shared" si="65"/>
        <v>5.083333333333333</v>
      </c>
      <c r="CD134">
        <f t="shared" si="66"/>
        <v>5.75</v>
      </c>
      <c r="CE134" t="str" cm="1">
        <f t="array" ref="CE134">IF(BY134="","",_xlfn._xlws.FILTER(SAC,(CName=SD!$C$8)*(EName="Vert Dowels")))</f>
        <v/>
      </c>
      <c r="CF134" t="str" cm="1">
        <f t="array" ref="CF134">IFERROR(IF(BY134="","",IF(K134="Coupler",_xlfn._xlws.FILTER(CCoupler,(CCName=SD!$C$8)*(CBSize=IF(A133=A134,W133&amp;W134,BX134&amp;W134))*(CCMFM="Male")),"")),"N/A")</f>
        <v/>
      </c>
      <c r="CG134" t="str">
        <f t="shared" si="67"/>
        <v/>
      </c>
      <c r="CH134" t="str">
        <f t="shared" si="68"/>
        <v/>
      </c>
      <c r="CI134" t="str">
        <f>_xlfn.LET(_xlpm.u3_value, U135,_xlpm.hyphen_pos,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K135="Coupler",_xlpm.coupler_value, IF(_xlpm.is_coupler, 0, _xlpm.calculated_value),_xlpm.final_value, _xlpm.calculated_value + SD!$E$13 + _xlpm.coupler_value,IF(CG134="", "", _xlpm.final_value))</f>
        <v/>
      </c>
      <c r="CJ134" t="str" cm="1">
        <f t="array" ref="CJ134">IF(CG134="","",_xlfn._xlws.FILTER(SAC,(CName=SD!$C$8)*(EName="Loose Dowels")))</f>
        <v/>
      </c>
      <c r="CK134" t="str" cm="1">
        <f t="array" ref="CK134">IFERROR(IF(CG134="","",IF(K135="Coupler",_xlfn._xlws.FILTER(CCoupler,(CCName=SD!$C$8)*(CBSize=IF(A134=A135,W134&amp;W135,""))*(CCMFM="Male")),"")),"N/A")</f>
        <v/>
      </c>
      <c r="CL134" t="str">
        <f>IFERROR(IF(AM134="Spiral","",IF(A133=A134,"",IF(SD!$C$37=0,"",SD!$C$37))),"")</f>
        <v/>
      </c>
      <c r="CN134">
        <f>IF(AM134="Spiral","",IFERROR(IF(SD!$C$36=0,"",SD!$C$36),""))</f>
        <v>5</v>
      </c>
      <c r="CP134" t="str">
        <f>IFERROR(IF(SD!$C$42=SD!$Q$3,'Take-off'!CA134,""),"")</f>
        <v/>
      </c>
      <c r="CR134">
        <f>IFERROR(IF(SD!$C$22=SD!$U$2,W134,SD!$C$22),"")</f>
        <v>0</v>
      </c>
      <c r="CS134" t="str" cm="1">
        <f t="array" ref="CS134">_xlfn.LET(_xlpm.GR,IF(AND(SD!$C$19=SD!$H$2,Grade!$G$1="Per level"),VLOOKUP(B134,Grade!$E$1:$F$200,2,FALSE),IF(AND(SD!$C$19=SD!$H$2,Grade!$G$1="Per Bar Size"),VLOOKUP(CR134,Grade!$B$1:$C$12,2,0),SD!$C$19)),IF(SD!$C$20=SD!$R$4,IF(A135=A134,"",INDEX(IF(_xlpm.GR=SD!$H$3,A615GR60,IF(_xlpm.GR=SD!$H$4,A615GR75,IF(_xlpm.GR=SD!$H$5,A615GR80,IF(_xlpm.GR=SD!H138,A615GR100,IF(_xlpm.GR=SD!$H$7,A706GR60,IF(_xlpm.GR=SD!$H$8,A706GR80)))))), MATCH(1, (BSize=CR134)*(BCName=SD!$C$8), 0))),""))</f>
        <v/>
      </c>
      <c r="CT134" t="str">
        <f>IF(A135=A134,"",IF(SD!$C$23="Match Vertical Bars ",X134,SD!$C$23))</f>
        <v/>
      </c>
      <c r="CU134" t="str" cm="1">
        <f t="array" ref="CU134">IF(A135=A134,"",IF(SD!$C$20="Top dowels",IF(SD!$E$25="No T-Head",IF(SD!$C$24=SD!$Q$3,VLOOKUP(CR134,S90Range,3,FALSE),LEFT(SD!$C$24,FIND("-",SD!$C$24)-1)+(RIGHT(SD!$C$24,LEN(SD!$C$24)-FIND("-",SD!$C$24))/12)),IF(SD!$E$25="T-Head",_xlfn._xlws.FILTER(THead,(TCName=SD!$C$8)*(TSize=CR134)),IF(SD!$E$25="Level Wise",_xlfn.LET(_xlpm.result,_xlfn.XLOOKUP(B134,TDLevel,TDLevelStatus,"No"),IF(_xlpm.result="Yes",_xlfn._xlws.FILTER(THead,(TCName=SD!$C$8)*(TSize=CR134)),IF(SD!$C$24=SD!$Q$3,VLOOKUP(CR134,S90Range,3,FALSE),LEFT(SD!$C$24,FIND("-",SD!$C$24)-1)+(RIGHT(SD!$C$24,LEN(SD!$C$24)-FIND("-", SD!$C$24))/12)))),IF(SD!$E$25="BarSize Wise",_xlfn.LET(_xlpm.result,_xlfn.XLOOKUP(CR134,TDBarSize,TDBarSizeStatus,"No"),IF(_xlpm.result="Yes",_xlfn._xlws.FILTER(THead,(TCName=SD!$C$8)*(TSize=CR134)),IF(SD!$C$24=SD!$Q$3,VLOOKUP(CR134,S90Range,3,FALSE),LEFT(SD!$C$24,FIND("-",SD!$C$24)-1)+(RIGHT(SD!$C$24,LEN(SD!$C$24)-FIND("-",SD!$C$24))/12)))), "")))),""))</f>
        <v/>
      </c>
      <c r="CV134" t="str">
        <f>_xlfn.LET(_xlpm.GRR,IF(AND(SD!$C$19=SD!$H$2,Grade!$G$1="Per level"),VLOOKUP(B134,Grade!$E$1:$F$200,2,FALSE),IF(AND(SD!$C$19=SD!$H$2,Grade!$G$1="Per Bar Size"),VLOOKUP(CR134,Grade!$B$1:$C$12,2,0),SD!$C$19)),IF(SD!$C$25=SD!$W$2,IF(Data!$J134="",IFERROR(INDEX(IF(SD!$C$11="Create",Lap!$A$3:$BF$14,IF(SD!$C$11="Per Uploaded File",Lap!$A$19:$BF$30,"")),MATCH(CR134,Lap!$A$3:$A$14,0),MATCH(VALUE(D134),Lap!$A$3:$BF$3,0)+IF(IFERROR(FIND("Grade 60",_xlpm.GRR),0)&gt;0,0,IF(IFERROR(FIND("Grade 80",_xlpm.GRR),0),1,IF(IFERROR(FIND("Grade 75",_xlpm.GRR),0),2,"")))),""),Data!J134),SD!$C$43))</f>
        <v>Match Lap</v>
      </c>
      <c r="CW134">
        <f t="shared" si="69"/>
        <v>0</v>
      </c>
      <c r="CX134">
        <f t="shared" si="70"/>
        <v>0</v>
      </c>
      <c r="CY134" t="str">
        <f t="shared" si="71"/>
        <v/>
      </c>
      <c r="DA134" t="str">
        <f t="shared" si="72"/>
        <v/>
      </c>
      <c r="DB134" t="str">
        <f t="shared" si="73"/>
        <v/>
      </c>
      <c r="DC134" s="24" t="str">
        <f t="shared" si="74"/>
        <v/>
      </c>
      <c r="DD134">
        <f t="shared" si="75"/>
        <v>10.583333333333334</v>
      </c>
      <c r="DE134" t="s">
        <v>785</v>
      </c>
      <c r="DF134" t="s">
        <v>67</v>
      </c>
      <c r="DG134" t="str">
        <f>VLOOKUP(W134,'Level Wise PSI'!$F$2:$G$12,2,FALSE)</f>
        <v>Double Lift</v>
      </c>
      <c r="DI134" t="str" cm="1">
        <f t="array" ref="DI134">_xlfn.LET(_xlpm.Coup,IFERROR(IF(BY134="","",IF(K134="Coupler",_xlfn._xlws.FILTER(CCFCoupler,(CCName=SD!$C$8)*(CBSize=IF(A133=A134,W133&amp;W134,BX134&amp;W134))),"")),"N/A"),IF(_xlpm.Coup=0,"",_xlpm.Coup))</f>
        <v/>
      </c>
      <c r="DJ134" t="str" cm="1">
        <f t="array" ref="DJ134">_xlfn.LET(_xlpm.Coup3,IFERROR(IF(CG134="","",IF(K135="Coupler",_xlfn._xlws.FILTER(CCFCoupler,(CCName=SD!$C$8)*(CBSize=IF(A134=A135,W134&amp;W135,""))),"")),"N/A"),IF(_xlpm.Coup3=0,"",_xlpm.Coup3))</f>
        <v/>
      </c>
      <c r="DK134" t="str" cm="1">
        <f t="array" ref="DK134">_xlfn.LET(_xlpm.Coup2,IFERROR(IF(A134&lt;&gt;A135,"",IF(DF134="No Lap","",IF(K135="Coupler",_xlfn._xlws.FILTER(CCFCoupler,(CCName=SD!$C$8)*(CBSize=IF(A133=A134,W134&amp;W135,W134&amp;W134))),""))),"N/A"),IF(_xlpm.Coup2=0,"",_xlpm.Coup2))</f>
        <v/>
      </c>
      <c r="DM134" t="str">
        <f>IF(AM134="Spiral","",IF(SD!$C$31=SD!$Y$3,SD!$E$32*2,""))</f>
        <v/>
      </c>
      <c r="DO134" s="24">
        <f t="shared" si="76"/>
        <v>2.5</v>
      </c>
      <c r="DQ134" t="str">
        <f t="shared" si="77"/>
        <v>Lig</v>
      </c>
      <c r="DR134" t="str">
        <f>IF(AM134="Spiral",((Y134-(SD!$E$12*2))/12),"")</f>
        <v/>
      </c>
      <c r="DS134" t="str">
        <f t="shared" si="78"/>
        <v/>
      </c>
      <c r="DT134" t="str">
        <f t="shared" si="79"/>
        <v/>
      </c>
      <c r="DU134" t="str">
        <f t="shared" si="80"/>
        <v/>
      </c>
    </row>
    <row r="135" spans="1:125" x14ac:dyDescent="0.25">
      <c r="A135">
        <v>46</v>
      </c>
      <c r="B135" t="s">
        <v>678</v>
      </c>
      <c r="C135" s="15">
        <v>2429</v>
      </c>
      <c r="D135" s="15">
        <v>10000</v>
      </c>
      <c r="E135" t="str">
        <f>IF(B135=Level!$A$2,SD!$C$14,SD!$C$13)</f>
        <v>0-8</v>
      </c>
      <c r="F135" s="15" t="s">
        <v>787</v>
      </c>
      <c r="G135" t="s">
        <v>742</v>
      </c>
      <c r="H135" t="str">
        <f>RIGHT(VLOOKUP(B135,Level!A:C,3,FALSE),LEN(VLOOKUP(B135,Level!A:C,3,FALSE))-1)</f>
        <v>10-7</v>
      </c>
      <c r="I135" t="s">
        <v>743</v>
      </c>
      <c r="J135" t="str">
        <f>IF(AND(SD!$C$19=SD!$H$2,Grade!$G$1="Per level"),VLOOKUP(B135,Grade!$E$1:$F$200,2,FALSE),IF(AND(SD!$C$19=SD!$H$2,Grade!$G$1="Per Bar Size"),VLOOKUP(W135,Grade!$B$1:$C$12,2,0),SD!$C$19))</f>
        <v>A615 Grade 60</v>
      </c>
      <c r="K135" t="s">
        <v>67</v>
      </c>
      <c r="L135" t="str">
        <f>IFERROR(IF(A135&lt;&gt;A136,"",IF(DF135="No Lap","",IF(K136="Lap",U135,IF(K136="Coupler",_xlfn._xlws.FILTER(CCoupler,(CCName=SD!$C$8)*(CBSize=IF(A134=A135,W135&amp;W136,W135&amp;W135))*(CCMFM="Male")),"")))),"N/A")</f>
        <v>5-1</v>
      </c>
      <c r="M135" t="str">
        <f t="shared" si="54"/>
        <v/>
      </c>
      <c r="N135" t="s">
        <v>719</v>
      </c>
      <c r="O135" t="s">
        <v>720</v>
      </c>
      <c r="P135" t="s">
        <v>719</v>
      </c>
      <c r="Q135" t="str">
        <f>IF(AND(SD!$C$29=SD!$P$2,Grade!$O$1="Per level"),VLOOKUP(B135,Grade!$M$1:$N$200,2,FALSE),IF(AND(SD!$C$29=SD!$P$2,Grade!$O$1="Per Bar Size"),VLOOKUP(LEFT(N135,FIND("@",N135)-2),Grade!$J$1:$K$12,2,0),SD!$C$29))</f>
        <v>A615 Grade 60</v>
      </c>
      <c r="R135" t="s">
        <v>742</v>
      </c>
      <c r="S135" s="57">
        <v>135</v>
      </c>
      <c r="U135" t="str">
        <f>IF(Data!$J135="",IFERROR(INDEX(IF(SD!$C$11="Create",Lap!$A$3:$BF$14,IF(SD!$C$11="Per Uploaded File",Lap!$A$19:$BF$30,"")),MATCH(W135,Lap!$A$3:$A$14,0),MATCH(VALUE(D135),Lap!$A$3:$BF$3,0)+IF(IFERROR(FIND("Grade 60",J135),0)&gt;0,0,IF(IFERROR(FIND("Grade 80",J135),0),1,IF(IFERROR(FIND("Grade 75",J135),0),2,"")))),""),Data!J135)</f>
        <v>5-1</v>
      </c>
      <c r="W135" t="s">
        <v>176</v>
      </c>
      <c r="X135">
        <v>6</v>
      </c>
      <c r="Y135" t="str">
        <f t="shared" si="55"/>
        <v>30</v>
      </c>
      <c r="Z135">
        <f t="shared" si="56"/>
        <v>0</v>
      </c>
      <c r="AA135" s="24">
        <f t="shared" si="57"/>
        <v>15.666666666666666</v>
      </c>
      <c r="BB135" t="e" cm="1">
        <f t="array" ref="BB135">_xlfn.LET(_xlpm.PartF,(_xlfn.LET(_xlpm.grade, Q135,_xlpm.gradeRange, IF(_xlpm.grade=SD!$H$3, A615GR60, IF(_xlpm.grade=SD!$H$4, A615GR75, IF(_xlpm.grade=SD!$H$5, A615GR80, IF(_xlpm.grade=SD!$H$6, A615GR100, IF(_xlpm.grade=SD!$H$7, A706GR60, IF(_xlpm.grade=SD!$H$8, A706GR80)))))),_xlpm.matchValue, MATCH(1, (SD!$AW:$AW=AS135)*(SD!$AX:$AX=SD!$C$8), 0),INDEX(_xlpm.gradeRange, _xlpm.matchValue))),IF(AM135="Spiral",CONCATENATE("SP",_xlpm.PartF),_xlpm.PartF))</f>
        <v>#N/A</v>
      </c>
      <c r="BC135" cm="1">
        <f t="array" ref="BC135">_xlfn.LET(_xlpm.leftPart, LEFT(O135, FIND("@", O135) - 2),_xlpm.grade,Q135,_xlpm.gradeRange,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5" cm="1">
        <f t="array" ref="BD135">_xlfn.LET(_xlpm.leftPart, LEFT(P135, FIND("@", P135) - 2),_xlpm.grade, Q135,_xlpm.gradeRange,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5">
        <f t="shared" si="58"/>
        <v>2.5</v>
      </c>
      <c r="BF135">
        <f>IF(SD!$C$32=SD!$I$2,BE135,IF(SD!$C$32=SD!$I$3,DO135,IF(SD!$C$32=SD!$I$5,BA135,IF(SD!$C$32=SD!$I$6,(LEFT(SD!$C$35,FIND("-",SD!$C$35)-1)+RIGHT(SD!$C$35,LEN(SD!$C$35)-FIND("-",SD!$C$35))/12),IF(SD!$C$32=SD!$I$4,(AU135-(BG135+BH135)))))))</f>
        <v>0</v>
      </c>
      <c r="BG135">
        <f>IF(SD!$C$33=SD!$I$2,BE135,IF(SD!$C$33=SD!$I$3,DO135,IF(SD!$C$33=SD!$I$5,BA135,IF(SD!$C$33=SD!$I$6,(LEFT(SD!$C$35,FIND("-",SD!$C$35)-1)+RIGHT(SD!$C$35,LEN(SD!$C$35)-FIND("-",SD!$C$35))/12),IF(SD!$C$33=SD!$I$4,(AU135-(BF135+BH135)))))))</f>
        <v>-1</v>
      </c>
      <c r="BH135">
        <f>IF(SD!$C$34=SD!$I$2,BE135,IF(SD!$C$34=SD!$I$3,DO135,IF(SD!$C$34=SD!$I$5,BA135,IF(SD!$C$34=SD!$I$6,(LEFT(SD!$C$35,FIND("-",SD!$C$35)-1)+RIGHT(SD!$C$35,LEN(SD!$C$35)-FIND("-",SD!$C$35))/12),IF(SD!$C$34=SD!$I$4,(AU135-(BF135+BG135)))))))</f>
        <v>1</v>
      </c>
      <c r="BJ135">
        <f>IF(AM135="Spiral","1",MAX(ROUNDUP(IF(SD!$C$32="",AT135,BF135/(LEFT(RIGHT(N135,LEN(N135)-FIND("@",N135)),LEN(RIGHT(N135,LEN(N135)-FIND("@",N135)))-1)/12)+1),0),0))</f>
        <v>1</v>
      </c>
      <c r="BK135">
        <f>MAX(ROUNDUP(IF(SD!$C$33="","",BG135/(LEFT(RIGHT(O135,LEN(O135)-FIND("@",O135)),LEN(RIGHT(O135,LEN(O135)-FIND("@",O135)))-1)/12)+1),0),0)</f>
        <v>0</v>
      </c>
      <c r="BL135">
        <f>MAX(ROUNDUP(IF(SD!$C$34="","",BH135/(LEFT(RIGHT(P135,LEN(P135)-FIND("@",P135)),LEN(RIGHT(P135,LEN(P135)-FIND("@",P135)))-1)/12)+1),0),0)</f>
        <v>3</v>
      </c>
      <c r="BN135" t="e">
        <f t="shared" si="59"/>
        <v>#N/A</v>
      </c>
      <c r="BO135" t="e">
        <f t="shared" si="60"/>
        <v>#N/A</v>
      </c>
      <c r="BP135" t="e">
        <f t="shared" si="61"/>
        <v>#N/A</v>
      </c>
      <c r="BQ135" s="24" t="e">
        <f>IF(AM135=TRUE,(((Y135-(SD!$E$12*2))*3.14159265359)+BN135+BO135+BP135)/12+AL135,SUM(AF135:AG135,BN135,BO135,BP135,AO135,AQ135)/12)</f>
        <v>#N/A</v>
      </c>
      <c r="BR135" t="e">
        <f t="shared" si="62"/>
        <v>#N/A</v>
      </c>
      <c r="BS135" t="e">
        <f t="shared" si="63"/>
        <v>#N/A</v>
      </c>
      <c r="BT135" t="e">
        <f t="shared" si="64"/>
        <v>#N/A</v>
      </c>
      <c r="BU135" s="24" t="e">
        <f>IF(AM135=TRUE,(((Y135-(SD!$E$12*2))*3.14159265359)+BR135+BS135+BT135)/12+AL135,SUM(AF135:AG135,BR135,BS135,BT135,AO135,AQ135)/12)</f>
        <v>#N/A</v>
      </c>
      <c r="BW135" t="str">
        <f>IFERROR(LEFT(Data!L135,FIND(" -",Data!L135)-1),"")</f>
        <v/>
      </c>
      <c r="BX135" t="str">
        <f>IFERROR(IF(SD!$C$40=SD!$U$2,W135,IF(SD!$C$40=SD!$U$3,RIGHT(Data!L135,LEN(Data!L135)-(FIND("-",Data!L135)+1)),SD!$C$40)),"")</f>
        <v>#10</v>
      </c>
      <c r="BY135" t="str" cm="1">
        <f t="array" ref="BY135">IFERROR(_xlfn.LET(_xlpm.GRR,IF(AND(SD!$C$19=SD!$H$2,Grade!$G$1="Per level"),VLOOKUP(B135,Grade!$E$1:$F$200,2,FALSE),IF(AND(SD!$C$19=SD!$H$2,Grade!$G$1="Per Bar Size"),VLOOKUP(BX135,Grade!$B$1:$C$12,2,0),SD!$C$19)),_xlpm.is_equal, A134=A135,_xlpm.grade_range, IF(_xlpm.GRR=SD!$H$3, A615GR60,IF(_xlpm.GRR=SD!$H$4, A615GR75,IF(_xlpm.GRR=SD!$H$5, A615GR80,IF(_xlpm.GRR=SD!H139, A615GR100,IF(_xlpm.GRR=SD!$H$7, A706GR60,IF(_xlpm.GRR=SD!$H$8, A706GR80)))))),_xlpm.match_result, MATCH(1, (BSize=BX135)*(BCName=SD!$C$8), 0),_xlpm.final_result, INDEX(_xlpm.grade_range, _xlpm.match_result),IF(_xlpm.is_equal, "", _xlpm.final_result)),"")</f>
        <v/>
      </c>
      <c r="BZ135" t="str">
        <f>IF(A134=A135,"",IF(SD!$C$41="Match Vertical Bars ",X135,IF(SD!$C$41=SD!$V$3,BW135,SD!$C$41)))</f>
        <v/>
      </c>
      <c r="CA135" t="str" cm="1">
        <f t="array" ref="CA135">IF(A134=A135,"",IF(SD!$C$44="No T-Head",IF(SD!$C$42=SD!$Q$3,VLOOKUP(BX135,S90Range,3,FALSE),LEFT(SD!$C$42,FIND("-",SD!$C$42)-1)+(RIGHT(SD!$C$42,LEN(SD!$C$42)-FIND("-",SD!$C$42))/12)),IF(SD!$C$44="T-Head",_xlfn._xlws.FILTER(THead,(TCName=SD!$C$8)*(TSize=BX135)),IF(SD!$C$44="Level Wise",_xlfn.LET(_xlpm.result,_xlfn.XLOOKUP(B135,VDLevel,VDLevelStatus,"No"),IF(_xlpm.result="Yes",_xlfn._xlws.FILTER(THead,(TCName=SD!$C$8)*(TSize=BX135)),IF(SD!$C$42=SD!$Q$3,VLOOKUP(BX135,S90Range,3,FALSE),LEFT(SD!$C$42,FIND("-",SD!$C$42)-1)+(RIGHT(SD!$C$42,LEN(SD!$C$42)-FIND("-", SD!$C$42))/12)))),IF(SD!$C$44="BarSize Wise",_xlfn.LET(_xlpm.result,_xlfn.XLOOKUP(BX135,VDBarSize,VDBarSizeStatus,"No"),IF(_xlpm.result="Yes",_xlfn._xlws.FILTER(THead,(TCName=SD!$C$8)*(TSize=BX135)),IF(SD!$C$42=SD!$Q$3,VLOOKUP(BX135,S90Range,3,FALSE),LEFT(SD!$C$42,FIND("-",SD!$C$42)-1)+(RIGHT(SD!$C$42,LEN(SD!$C$42)-FIND("-",SD!$C$42))/12)))), "")))))</f>
        <v/>
      </c>
      <c r="CB135" t="str" cm="1">
        <f t="array" ref="CB135">_xlfn.LET(_xlpm.GRR,IF(AND(SD!$C$19=SD!$H$2,Grade!$G$1="Per level"),VLOOKUP(B135,Grade!$E$1:$F$200,2,FALSE),IF(AND(SD!$C$19=SD!$H$2,Grade!$G$1="Per Bar Size"),VLOOKUP(BX135,Grade!$B$1:$C$12,2,0),SD!$C$19)),_xlpm.is_coupler, K135="Coupler",_xlpm.condition1, SD!$C$43=SD!$W$2,_xlpm.data_j2_empty, Data!$J135="",_xlpm.lookup_table, IF(SD!$C$11="Create", Lap!$A$3:$BF$14, IF(SD!$C$11="Per Uploaded File", Lap!$A$19:$BF$30, "")),_xlpm.row_match, MATCH(BX135, Lap!$A$3:$A$14, 0),_xlpm.grade_offset, IF(IFERROR(FIND("Grade 60",_xlpm.GRR), 0) &gt; 0, 0, IF(IFERROR(FIND("Grade 80",_xlpm.GRR), 0), 1, IF(IFERROR(FIND("Grade 75",_xlpm.GRR), 0), 2, ""))),_xlpm.col_match, MATCH(VALUE(D135), Lap!$A$3:$BF$3, 0) + _xlpm.grade_offset,_xlpm.index_result, IFERROR(INDEX(_xlpm.lookup_table, _xlpm.row_match, _xlpm.col_match), Data!$J135),_xlpm.result_if_condition1, IF(_xlpm.data_j2_empty, _xlpm.index_result, Data!$J135),IF(_xlpm.is_coupler, 0, IF(_xlpm.condition1, _xlpm.result_if_condition1, SD!$C$43)))</f>
        <v>5-1</v>
      </c>
      <c r="CC135" s="24">
        <f t="shared" si="65"/>
        <v>5.083333333333333</v>
      </c>
      <c r="CD135">
        <f t="shared" si="66"/>
        <v>5.75</v>
      </c>
      <c r="CE135" t="str" cm="1">
        <f t="array" ref="CE135">IF(BY135="","",_xlfn._xlws.FILTER(SAC,(CName=SD!$C$8)*(EName="Vert Dowels")))</f>
        <v/>
      </c>
      <c r="CF135" t="str" cm="1">
        <f t="array" ref="CF135">IFERROR(IF(BY135="","",IF(K135="Coupler",_xlfn._xlws.FILTER(CCoupler,(CCName=SD!$C$8)*(CBSize=IF(A134=A135,W134&amp;W135,BX135&amp;W135))*(CCMFM="Male")),"")),"N/A")</f>
        <v/>
      </c>
      <c r="CG135" t="str">
        <f t="shared" si="67"/>
        <v/>
      </c>
      <c r="CH135" t="str">
        <f t="shared" si="68"/>
        <v/>
      </c>
      <c r="CI135" t="str">
        <f>_xlfn.LET(_xlpm.u3_value, U136,_xlpm.hyphen_pos,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K136="Coupler",_xlpm.coupler_value, IF(_xlpm.is_coupler, 0, _xlpm.calculated_value),_xlpm.final_value, _xlpm.calculated_value + SD!$E$13 + _xlpm.coupler_value,IF(CG135="", "", _xlpm.final_value))</f>
        <v/>
      </c>
      <c r="CJ135" t="str" cm="1">
        <f t="array" ref="CJ135">IF(CG135="","",_xlfn._xlws.FILTER(SAC,(CName=SD!$C$8)*(EName="Loose Dowels")))</f>
        <v/>
      </c>
      <c r="CK135" t="str" cm="1">
        <f t="array" ref="CK135">IFERROR(IF(CG135="","",IF(K136="Coupler",_xlfn._xlws.FILTER(CCoupler,(CCName=SD!$C$8)*(CBSize=IF(A135=A136,W135&amp;W136,""))*(CCMFM="Male")),"")),"N/A")</f>
        <v/>
      </c>
      <c r="CL135" t="str">
        <f>IFERROR(IF(AM135="Spiral","",IF(A134=A135,"",IF(SD!$C$37=0,"",SD!$C$37))),"")</f>
        <v/>
      </c>
      <c r="CN135">
        <f>IF(AM135="Spiral","",IFERROR(IF(SD!$C$36=0,"",SD!$C$36),""))</f>
        <v>5</v>
      </c>
      <c r="CP135" t="str">
        <f>IFERROR(IF(SD!$C$42=SD!$Q$3,'Take-off'!CA135,""),"")</f>
        <v/>
      </c>
      <c r="CR135">
        <f>IFERROR(IF(SD!$C$22=SD!$U$2,W135,SD!$C$22),"")</f>
        <v>0</v>
      </c>
      <c r="CS135" t="str" cm="1">
        <f t="array" ref="CS135">_xlfn.LET(_xlpm.GR,IF(AND(SD!$C$19=SD!$H$2,Grade!$G$1="Per level"),VLOOKUP(B135,Grade!$E$1:$F$200,2,FALSE),IF(AND(SD!$C$19=SD!$H$2,Grade!$G$1="Per Bar Size"),VLOOKUP(CR135,Grade!$B$1:$C$12,2,0),SD!$C$19)),IF(SD!$C$20=SD!$R$4,IF(A136=A135,"",INDEX(IF(_xlpm.GR=SD!$H$3,A615GR60,IF(_xlpm.GR=SD!$H$4,A615GR75,IF(_xlpm.GR=SD!$H$5,A615GR80,IF(_xlpm.GR=SD!H139,A615GR100,IF(_xlpm.GR=SD!$H$7,A706GR60,IF(_xlpm.GR=SD!$H$8,A706GR80)))))), MATCH(1, (BSize=CR135)*(BCName=SD!$C$8), 0))),""))</f>
        <v/>
      </c>
      <c r="CT135" t="str">
        <f>IF(A136=A135,"",IF(SD!$C$23="Match Vertical Bars ",X135,SD!$C$23))</f>
        <v/>
      </c>
      <c r="CU135" t="str" cm="1">
        <f t="array" ref="CU135">IF(A136=A135,"",IF(SD!$C$20="Top dowels",IF(SD!$E$25="No T-Head",IF(SD!$C$24=SD!$Q$3,VLOOKUP(CR135,S90Range,3,FALSE),LEFT(SD!$C$24,FIND("-",SD!$C$24)-1)+(RIGHT(SD!$C$24,LEN(SD!$C$24)-FIND("-",SD!$C$24))/12)),IF(SD!$E$25="T-Head",_xlfn._xlws.FILTER(THead,(TCName=SD!$C$8)*(TSize=CR135)),IF(SD!$E$25="Level Wise",_xlfn.LET(_xlpm.result,_xlfn.XLOOKUP(B135,TDLevel,TDLevelStatus,"No"),IF(_xlpm.result="Yes",_xlfn._xlws.FILTER(THead,(TCName=SD!$C$8)*(TSize=CR135)),IF(SD!$C$24=SD!$Q$3,VLOOKUP(CR135,S90Range,3,FALSE),LEFT(SD!$C$24,FIND("-",SD!$C$24)-1)+(RIGHT(SD!$C$24,LEN(SD!$C$24)-FIND("-", SD!$C$24))/12)))),IF(SD!$E$25="BarSize Wise",_xlfn.LET(_xlpm.result,_xlfn.XLOOKUP(CR135,TDBarSize,TDBarSizeStatus,"No"),IF(_xlpm.result="Yes",_xlfn._xlws.FILTER(THead,(TCName=SD!$C$8)*(TSize=CR135)),IF(SD!$C$24=SD!$Q$3,VLOOKUP(CR135,S90Range,3,FALSE),LEFT(SD!$C$24,FIND("-",SD!$C$24)-1)+(RIGHT(SD!$C$24,LEN(SD!$C$24)-FIND("-",SD!$C$24))/12)))), "")))),""))</f>
        <v/>
      </c>
      <c r="CV135" t="str">
        <f>_xlfn.LET(_xlpm.GRR,IF(AND(SD!$C$19=SD!$H$2,Grade!$G$1="Per level"),VLOOKUP(B135,Grade!$E$1:$F$200,2,FALSE),IF(AND(SD!$C$19=SD!$H$2,Grade!$G$1="Per Bar Size"),VLOOKUP(CR135,Grade!$B$1:$C$12,2,0),SD!$C$19)),IF(SD!$C$25=SD!$W$2,IF(Data!$J135="",IFERROR(INDEX(IF(SD!$C$11="Create",Lap!$A$3:$BF$14,IF(SD!$C$11="Per Uploaded File",Lap!$A$19:$BF$30,"")),MATCH(CR135,Lap!$A$3:$A$14,0),MATCH(VALUE(D135),Lap!$A$3:$BF$3,0)+IF(IFERROR(FIND("Grade 60",_xlpm.GRR),0)&gt;0,0,IF(IFERROR(FIND("Grade 80",_xlpm.GRR),0),1,IF(IFERROR(FIND("Grade 75",_xlpm.GRR),0),2,"")))),""),Data!J135),SD!$C$43))</f>
        <v>Match Lap</v>
      </c>
      <c r="CW135">
        <f t="shared" si="69"/>
        <v>0</v>
      </c>
      <c r="CX135">
        <f t="shared" si="70"/>
        <v>0</v>
      </c>
      <c r="CY135" t="str">
        <f t="shared" si="71"/>
        <v/>
      </c>
      <c r="DA135" t="str">
        <f t="shared" si="72"/>
        <v/>
      </c>
      <c r="DB135" t="str">
        <f t="shared" si="73"/>
        <v/>
      </c>
      <c r="DC135" s="24" t="str">
        <f t="shared" si="74"/>
        <v/>
      </c>
      <c r="DD135">
        <f t="shared" si="75"/>
        <v>10.583333333333334</v>
      </c>
      <c r="DE135" t="s">
        <v>785</v>
      </c>
      <c r="DF135" t="s">
        <v>67</v>
      </c>
      <c r="DG135" t="str">
        <f>VLOOKUP(W135,'Level Wise PSI'!$F$2:$G$12,2,FALSE)</f>
        <v>Double Lift</v>
      </c>
      <c r="DI135" t="str" cm="1">
        <f t="array" ref="DI135">_xlfn.LET(_xlpm.Coup,IFERROR(IF(BY135="","",IF(K135="Coupler",_xlfn._xlws.FILTER(CCFCoupler,(CCName=SD!$C$8)*(CBSize=IF(A134=A135,W134&amp;W135,BX135&amp;W135))),"")),"N/A"),IF(_xlpm.Coup=0,"",_xlpm.Coup))</f>
        <v/>
      </c>
      <c r="DJ135" t="str" cm="1">
        <f t="array" ref="DJ135">_xlfn.LET(_xlpm.Coup3,IFERROR(IF(CG135="","",IF(K136="Coupler",_xlfn._xlws.FILTER(CCFCoupler,(CCName=SD!$C$8)*(CBSize=IF(A135=A136,W135&amp;W136,""))),"")),"N/A"),IF(_xlpm.Coup3=0,"",_xlpm.Coup3))</f>
        <v/>
      </c>
      <c r="DK135" t="str" cm="1">
        <f t="array" ref="DK135">_xlfn.LET(_xlpm.Coup2,IFERROR(IF(A135&lt;&gt;A136,"",IF(DF135="No Lap","",IF(K136="Coupler",_xlfn._xlws.FILTER(CCFCoupler,(CCName=SD!$C$8)*(CBSize=IF(A134=A135,W135&amp;W136,W135&amp;W135))),""))),"N/A"),IF(_xlpm.Coup2=0,"",_xlpm.Coup2))</f>
        <v/>
      </c>
      <c r="DM135" t="str">
        <f>IF(AM135="Spiral","",IF(SD!$C$31=SD!$Y$3,SD!$E$32*2,""))</f>
        <v/>
      </c>
      <c r="DO135" s="24">
        <f t="shared" si="76"/>
        <v>2.5</v>
      </c>
      <c r="DQ135" t="str">
        <f t="shared" si="77"/>
        <v>Lig</v>
      </c>
      <c r="DR135" t="str">
        <f>IF(AM135="Spiral",((Y135-(SD!$E$12*2))/12),"")</f>
        <v/>
      </c>
      <c r="DS135" t="str">
        <f t="shared" si="78"/>
        <v/>
      </c>
      <c r="DT135" t="str">
        <f t="shared" si="79"/>
        <v/>
      </c>
      <c r="DU135" t="str">
        <f t="shared" si="80"/>
        <v/>
      </c>
    </row>
    <row r="136" spans="1:125" x14ac:dyDescent="0.25">
      <c r="A136">
        <v>46</v>
      </c>
      <c r="B136" t="s">
        <v>680</v>
      </c>
      <c r="C136" s="15">
        <v>2429</v>
      </c>
      <c r="D136" s="15">
        <v>10000</v>
      </c>
      <c r="E136" t="str">
        <f>IF(B136=Level!$A$2,SD!$C$14,SD!$C$13)</f>
        <v>0-8</v>
      </c>
      <c r="F136" s="15" t="s">
        <v>787</v>
      </c>
      <c r="G136" t="s">
        <v>742</v>
      </c>
      <c r="H136" t="str">
        <f>RIGHT(VLOOKUP(B136,Level!A:C,3,FALSE),LEN(VLOOKUP(B136,Level!A:C,3,FALSE))-1)</f>
        <v>10-7</v>
      </c>
      <c r="I136" t="s">
        <v>743</v>
      </c>
      <c r="J136" t="str">
        <f>IF(AND(SD!$C$19=SD!$H$2,Grade!$G$1="Per level"),VLOOKUP(B136,Grade!$E$1:$F$200,2,FALSE),IF(AND(SD!$C$19=SD!$H$2,Grade!$G$1="Per Bar Size"),VLOOKUP(W136,Grade!$B$1:$C$12,2,0),SD!$C$19))</f>
        <v>A615 Grade 60</v>
      </c>
      <c r="K136" t="s">
        <v>67</v>
      </c>
      <c r="L136" t="str">
        <f>IFERROR(IF(A136&lt;&gt;A137,"",IF(DF136="No Lap","",IF(K137="Lap",U136,IF(K137="Coupler",_xlfn._xlws.FILTER(CCoupler,(CCName=SD!$C$8)*(CBSize=IF(A135=A136,W136&amp;W137,W136&amp;W136))*(CCMFM="Male")),"")))),"N/A")</f>
        <v>5-1</v>
      </c>
      <c r="M136" t="str">
        <f t="shared" si="54"/>
        <v/>
      </c>
      <c r="N136" t="s">
        <v>719</v>
      </c>
      <c r="O136" t="s">
        <v>720</v>
      </c>
      <c r="P136" t="s">
        <v>719</v>
      </c>
      <c r="Q136" t="str">
        <f>IF(AND(SD!$C$29=SD!$P$2,Grade!$O$1="Per level"),VLOOKUP(B136,Grade!$M$1:$N$200,2,FALSE),IF(AND(SD!$C$29=SD!$P$2,Grade!$O$1="Per Bar Size"),VLOOKUP(LEFT(N136,FIND("@",N136)-2),Grade!$J$1:$K$12,2,0),SD!$C$29))</f>
        <v>A615 Grade 60</v>
      </c>
      <c r="R136" t="s">
        <v>742</v>
      </c>
      <c r="S136" s="57">
        <v>136</v>
      </c>
      <c r="U136" t="str">
        <f>IF(Data!$J136="",IFERROR(INDEX(IF(SD!$C$11="Create",Lap!$A$3:$BF$14,IF(SD!$C$11="Per Uploaded File",Lap!$A$19:$BF$30,"")),MATCH(W136,Lap!$A$3:$A$14,0),MATCH(VALUE(D136),Lap!$A$3:$BF$3,0)+IF(IFERROR(FIND("Grade 60",J136),0)&gt;0,0,IF(IFERROR(FIND("Grade 80",J136),0),1,IF(IFERROR(FIND("Grade 75",J136),0),2,"")))),""),Data!J136)</f>
        <v>5-1</v>
      </c>
      <c r="W136" t="s">
        <v>176</v>
      </c>
      <c r="X136">
        <v>6</v>
      </c>
      <c r="Y136" t="str">
        <f t="shared" si="55"/>
        <v>30</v>
      </c>
      <c r="Z136">
        <f t="shared" si="56"/>
        <v>0</v>
      </c>
      <c r="AA136" s="24">
        <f t="shared" si="57"/>
        <v>15.666666666666666</v>
      </c>
      <c r="BB136" t="e" cm="1">
        <f t="array" ref="BB136">_xlfn.LET(_xlpm.PartF,(_xlfn.LET(_xlpm.grade, Q136,_xlpm.gradeRange, IF(_xlpm.grade=SD!$H$3, A615GR60, IF(_xlpm.grade=SD!$H$4, A615GR75, IF(_xlpm.grade=SD!$H$5, A615GR80, IF(_xlpm.grade=SD!$H$6, A615GR100, IF(_xlpm.grade=SD!$H$7, A706GR60, IF(_xlpm.grade=SD!$H$8, A706GR80)))))),_xlpm.matchValue, MATCH(1, (SD!$AW:$AW=AS136)*(SD!$AX:$AX=SD!$C$8), 0),INDEX(_xlpm.gradeRange, _xlpm.matchValue))),IF(AM136="Spiral",CONCATENATE("SP",_xlpm.PartF),_xlpm.PartF))</f>
        <v>#N/A</v>
      </c>
      <c r="BC136" cm="1">
        <f t="array" ref="BC136">_xlfn.LET(_xlpm.leftPart, LEFT(O136, FIND("@", O136) - 2),_xlpm.grade,Q136,_xlpm.gradeRange,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6" cm="1">
        <f t="array" ref="BD136">_xlfn.LET(_xlpm.leftPart, LEFT(P136, FIND("@", P136) - 2),_xlpm.grade, Q136,_xlpm.gradeRange,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6">
        <f t="shared" si="58"/>
        <v>2.5</v>
      </c>
      <c r="BF136">
        <f>IF(SD!$C$32=SD!$I$2,BE136,IF(SD!$C$32=SD!$I$3,DO136,IF(SD!$C$32=SD!$I$5,BA136,IF(SD!$C$32=SD!$I$6,(LEFT(SD!$C$35,FIND("-",SD!$C$35)-1)+RIGHT(SD!$C$35,LEN(SD!$C$35)-FIND("-",SD!$C$35))/12),IF(SD!$C$32=SD!$I$4,(AU136-(BG136+BH136)))))))</f>
        <v>0</v>
      </c>
      <c r="BG136">
        <f>IF(SD!$C$33=SD!$I$2,BE136,IF(SD!$C$33=SD!$I$3,DO136,IF(SD!$C$33=SD!$I$5,BA136,IF(SD!$C$33=SD!$I$6,(LEFT(SD!$C$35,FIND("-",SD!$C$35)-1)+RIGHT(SD!$C$35,LEN(SD!$C$35)-FIND("-",SD!$C$35))/12),IF(SD!$C$33=SD!$I$4,(AU136-(BF136+BH136)))))))</f>
        <v>-1</v>
      </c>
      <c r="BH136">
        <f>IF(SD!$C$34=SD!$I$2,BE136,IF(SD!$C$34=SD!$I$3,DO136,IF(SD!$C$34=SD!$I$5,BA136,IF(SD!$C$34=SD!$I$6,(LEFT(SD!$C$35,FIND("-",SD!$C$35)-1)+RIGHT(SD!$C$35,LEN(SD!$C$35)-FIND("-",SD!$C$35))/12),IF(SD!$C$34=SD!$I$4,(AU136-(BF136+BG136)))))))</f>
        <v>1</v>
      </c>
      <c r="BJ136">
        <f>IF(AM136="Spiral","1",MAX(ROUNDUP(IF(SD!$C$32="",AT136,BF136/(LEFT(RIGHT(N136,LEN(N136)-FIND("@",N136)),LEN(RIGHT(N136,LEN(N136)-FIND("@",N136)))-1)/12)+1),0),0))</f>
        <v>1</v>
      </c>
      <c r="BK136">
        <f>MAX(ROUNDUP(IF(SD!$C$33="","",BG136/(LEFT(RIGHT(O136,LEN(O136)-FIND("@",O136)),LEN(RIGHT(O136,LEN(O136)-FIND("@",O136)))-1)/12)+1),0),0)</f>
        <v>0</v>
      </c>
      <c r="BL136">
        <f>MAX(ROUNDUP(IF(SD!$C$34="","",BH136/(LEFT(RIGHT(P136,LEN(P136)-FIND("@",P136)),LEN(RIGHT(P136,LEN(P136)-FIND("@",P136)))-1)/12)+1),0),0)</f>
        <v>3</v>
      </c>
      <c r="BN136" t="e">
        <f t="shared" si="59"/>
        <v>#N/A</v>
      </c>
      <c r="BO136" t="e">
        <f t="shared" si="60"/>
        <v>#N/A</v>
      </c>
      <c r="BP136" t="e">
        <f t="shared" si="61"/>
        <v>#N/A</v>
      </c>
      <c r="BQ136" s="24" t="e">
        <f>IF(AM136=TRUE,(((Y136-(SD!$E$12*2))*3.14159265359)+BN136+BO136+BP136)/12+AL136,SUM(AF136:AG136,BN136,BO136,BP136,AO136,AQ136)/12)</f>
        <v>#N/A</v>
      </c>
      <c r="BR136" t="e">
        <f t="shared" si="62"/>
        <v>#N/A</v>
      </c>
      <c r="BS136" t="e">
        <f t="shared" si="63"/>
        <v>#N/A</v>
      </c>
      <c r="BT136" t="e">
        <f t="shared" si="64"/>
        <v>#N/A</v>
      </c>
      <c r="BU136" s="24" t="e">
        <f>IF(AM136=TRUE,(((Y136-(SD!$E$12*2))*3.14159265359)+BR136+BS136+BT136)/12+AL136,SUM(AF136:AG136,BR136,BS136,BT136,AO136,AQ136)/12)</f>
        <v>#N/A</v>
      </c>
      <c r="BW136" t="str">
        <f>IFERROR(LEFT(Data!L136,FIND(" -",Data!L136)-1),"")</f>
        <v/>
      </c>
      <c r="BX136" t="str">
        <f>IFERROR(IF(SD!$C$40=SD!$U$2,W136,IF(SD!$C$40=SD!$U$3,RIGHT(Data!L136,LEN(Data!L136)-(FIND("-",Data!L136)+1)),SD!$C$40)),"")</f>
        <v>#10</v>
      </c>
      <c r="BY136" t="str" cm="1">
        <f t="array" ref="BY136">IFERROR(_xlfn.LET(_xlpm.GRR,IF(AND(SD!$C$19=SD!$H$2,Grade!$G$1="Per level"),VLOOKUP(B136,Grade!$E$1:$F$200,2,FALSE),IF(AND(SD!$C$19=SD!$H$2,Grade!$G$1="Per Bar Size"),VLOOKUP(BX136,Grade!$B$1:$C$12,2,0),SD!$C$19)),_xlpm.is_equal, A135=A136,_xlpm.grade_range, IF(_xlpm.GRR=SD!$H$3, A615GR60,IF(_xlpm.GRR=SD!$H$4, A615GR75,IF(_xlpm.GRR=SD!$H$5, A615GR80,IF(_xlpm.GRR=SD!H140, A615GR100,IF(_xlpm.GRR=SD!$H$7, A706GR60,IF(_xlpm.GRR=SD!$H$8, A706GR80)))))),_xlpm.match_result, MATCH(1, (BSize=BX136)*(BCName=SD!$C$8), 0),_xlpm.final_result, INDEX(_xlpm.grade_range, _xlpm.match_result),IF(_xlpm.is_equal, "", _xlpm.final_result)),"")</f>
        <v/>
      </c>
      <c r="BZ136" t="str">
        <f>IF(A135=A136,"",IF(SD!$C$41="Match Vertical Bars ",X136,IF(SD!$C$41=SD!$V$3,BW136,SD!$C$41)))</f>
        <v/>
      </c>
      <c r="CA136" t="str" cm="1">
        <f t="array" ref="CA136">IF(A135=A136,"",IF(SD!$C$44="No T-Head",IF(SD!$C$42=SD!$Q$3,VLOOKUP(BX136,S90Range,3,FALSE),LEFT(SD!$C$42,FIND("-",SD!$C$42)-1)+(RIGHT(SD!$C$42,LEN(SD!$C$42)-FIND("-",SD!$C$42))/12)),IF(SD!$C$44="T-Head",_xlfn._xlws.FILTER(THead,(TCName=SD!$C$8)*(TSize=BX136)),IF(SD!$C$44="Level Wise",_xlfn.LET(_xlpm.result,_xlfn.XLOOKUP(B136,VDLevel,VDLevelStatus,"No"),IF(_xlpm.result="Yes",_xlfn._xlws.FILTER(THead,(TCName=SD!$C$8)*(TSize=BX136)),IF(SD!$C$42=SD!$Q$3,VLOOKUP(BX136,S90Range,3,FALSE),LEFT(SD!$C$42,FIND("-",SD!$C$42)-1)+(RIGHT(SD!$C$42,LEN(SD!$C$42)-FIND("-", SD!$C$42))/12)))),IF(SD!$C$44="BarSize Wise",_xlfn.LET(_xlpm.result,_xlfn.XLOOKUP(BX136,VDBarSize,VDBarSizeStatus,"No"),IF(_xlpm.result="Yes",_xlfn._xlws.FILTER(THead,(TCName=SD!$C$8)*(TSize=BX136)),IF(SD!$C$42=SD!$Q$3,VLOOKUP(BX136,S90Range,3,FALSE),LEFT(SD!$C$42,FIND("-",SD!$C$42)-1)+(RIGHT(SD!$C$42,LEN(SD!$C$42)-FIND("-",SD!$C$42))/12)))), "")))))</f>
        <v/>
      </c>
      <c r="CB136" t="str" cm="1">
        <f t="array" ref="CB136">_xlfn.LET(_xlpm.GRR,IF(AND(SD!$C$19=SD!$H$2,Grade!$G$1="Per level"),VLOOKUP(B136,Grade!$E$1:$F$200,2,FALSE),IF(AND(SD!$C$19=SD!$H$2,Grade!$G$1="Per Bar Size"),VLOOKUP(BX136,Grade!$B$1:$C$12,2,0),SD!$C$19)),_xlpm.is_coupler, K136="Coupler",_xlpm.condition1, SD!$C$43=SD!$W$2,_xlpm.data_j2_empty, Data!$J136="",_xlpm.lookup_table, IF(SD!$C$11="Create", Lap!$A$3:$BF$14, IF(SD!$C$11="Per Uploaded File", Lap!$A$19:$BF$30, "")),_xlpm.row_match, MATCH(BX136, Lap!$A$3:$A$14, 0),_xlpm.grade_offset, IF(IFERROR(FIND("Grade 60",_xlpm.GRR), 0) &gt; 0, 0, IF(IFERROR(FIND("Grade 80",_xlpm.GRR), 0), 1, IF(IFERROR(FIND("Grade 75",_xlpm.GRR), 0), 2, ""))),_xlpm.col_match, MATCH(VALUE(D136), Lap!$A$3:$BF$3, 0) + _xlpm.grade_offset,_xlpm.index_result, IFERROR(INDEX(_xlpm.lookup_table, _xlpm.row_match, _xlpm.col_match), Data!$J136),_xlpm.result_if_condition1, IF(_xlpm.data_j2_empty, _xlpm.index_result, Data!$J136),IF(_xlpm.is_coupler, 0, IF(_xlpm.condition1, _xlpm.result_if_condition1, SD!$C$43)))</f>
        <v>5-1</v>
      </c>
      <c r="CC136" s="24">
        <f t="shared" si="65"/>
        <v>5.083333333333333</v>
      </c>
      <c r="CD136">
        <f t="shared" si="66"/>
        <v>5.75</v>
      </c>
      <c r="CE136" t="str" cm="1">
        <f t="array" ref="CE136">IF(BY136="","",_xlfn._xlws.FILTER(SAC,(CName=SD!$C$8)*(EName="Vert Dowels")))</f>
        <v/>
      </c>
      <c r="CF136" t="str" cm="1">
        <f t="array" ref="CF136">IFERROR(IF(BY136="","",IF(K136="Coupler",_xlfn._xlws.FILTER(CCoupler,(CCName=SD!$C$8)*(CBSize=IF(A135=A136,W135&amp;W136,BX136&amp;W136))*(CCMFM="Male")),"")),"N/A")</f>
        <v/>
      </c>
      <c r="CG136" t="str">
        <f t="shared" si="67"/>
        <v/>
      </c>
      <c r="CH136" t="str">
        <f t="shared" si="68"/>
        <v/>
      </c>
      <c r="CI136" t="str">
        <f>_xlfn.LET(_xlpm.u3_value, U137,_xlpm.hyphen_pos,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K137="Coupler",_xlpm.coupler_value, IF(_xlpm.is_coupler, 0, _xlpm.calculated_value),_xlpm.final_value, _xlpm.calculated_value + SD!$E$13 + _xlpm.coupler_value,IF(CG136="", "", _xlpm.final_value))</f>
        <v/>
      </c>
      <c r="CJ136" t="str" cm="1">
        <f t="array" ref="CJ136">IF(CG136="","",_xlfn._xlws.FILTER(SAC,(CName=SD!$C$8)*(EName="Loose Dowels")))</f>
        <v/>
      </c>
      <c r="CK136" t="str" cm="1">
        <f t="array" ref="CK136">IFERROR(IF(CG136="","",IF(K137="Coupler",_xlfn._xlws.FILTER(CCoupler,(CCName=SD!$C$8)*(CBSize=IF(A136=A137,W136&amp;W137,""))*(CCMFM="Male")),"")),"N/A")</f>
        <v/>
      </c>
      <c r="CL136" t="str">
        <f>IFERROR(IF(AM136="Spiral","",IF(A135=A136,"",IF(SD!$C$37=0,"",SD!$C$37))),"")</f>
        <v/>
      </c>
      <c r="CN136">
        <f>IF(AM136="Spiral","",IFERROR(IF(SD!$C$36=0,"",SD!$C$36),""))</f>
        <v>5</v>
      </c>
      <c r="CP136" t="str">
        <f>IFERROR(IF(SD!$C$42=SD!$Q$3,'Take-off'!CA136,""),"")</f>
        <v/>
      </c>
      <c r="CR136">
        <f>IFERROR(IF(SD!$C$22=SD!$U$2,W136,SD!$C$22),"")</f>
        <v>0</v>
      </c>
      <c r="CS136" t="str" cm="1">
        <f t="array" ref="CS136">_xlfn.LET(_xlpm.GR,IF(AND(SD!$C$19=SD!$H$2,Grade!$G$1="Per level"),VLOOKUP(B136,Grade!$E$1:$F$200,2,FALSE),IF(AND(SD!$C$19=SD!$H$2,Grade!$G$1="Per Bar Size"),VLOOKUP(CR136,Grade!$B$1:$C$12,2,0),SD!$C$19)),IF(SD!$C$20=SD!$R$4,IF(A137=A136,"",INDEX(IF(_xlpm.GR=SD!$H$3,A615GR60,IF(_xlpm.GR=SD!$H$4,A615GR75,IF(_xlpm.GR=SD!$H$5,A615GR80,IF(_xlpm.GR=SD!H140,A615GR100,IF(_xlpm.GR=SD!$H$7,A706GR60,IF(_xlpm.GR=SD!$H$8,A706GR80)))))), MATCH(1, (BSize=CR136)*(BCName=SD!$C$8), 0))),""))</f>
        <v/>
      </c>
      <c r="CT136" t="str">
        <f>IF(A137=A136,"",IF(SD!$C$23="Match Vertical Bars ",X136,SD!$C$23))</f>
        <v/>
      </c>
      <c r="CU136" t="str" cm="1">
        <f t="array" ref="CU136">IF(A137=A136,"",IF(SD!$C$20="Top dowels",IF(SD!$E$25="No T-Head",IF(SD!$C$24=SD!$Q$3,VLOOKUP(CR136,S90Range,3,FALSE),LEFT(SD!$C$24,FIND("-",SD!$C$24)-1)+(RIGHT(SD!$C$24,LEN(SD!$C$24)-FIND("-",SD!$C$24))/12)),IF(SD!$E$25="T-Head",_xlfn._xlws.FILTER(THead,(TCName=SD!$C$8)*(TSize=CR136)),IF(SD!$E$25="Level Wise",_xlfn.LET(_xlpm.result,_xlfn.XLOOKUP(B136,TDLevel,TDLevelStatus,"No"),IF(_xlpm.result="Yes",_xlfn._xlws.FILTER(THead,(TCName=SD!$C$8)*(TSize=CR136)),IF(SD!$C$24=SD!$Q$3,VLOOKUP(CR136,S90Range,3,FALSE),LEFT(SD!$C$24,FIND("-",SD!$C$24)-1)+(RIGHT(SD!$C$24,LEN(SD!$C$24)-FIND("-", SD!$C$24))/12)))),IF(SD!$E$25="BarSize Wise",_xlfn.LET(_xlpm.result,_xlfn.XLOOKUP(CR136,TDBarSize,TDBarSizeStatus,"No"),IF(_xlpm.result="Yes",_xlfn._xlws.FILTER(THead,(TCName=SD!$C$8)*(TSize=CR136)),IF(SD!$C$24=SD!$Q$3,VLOOKUP(CR136,S90Range,3,FALSE),LEFT(SD!$C$24,FIND("-",SD!$C$24)-1)+(RIGHT(SD!$C$24,LEN(SD!$C$24)-FIND("-",SD!$C$24))/12)))), "")))),""))</f>
        <v/>
      </c>
      <c r="CV136" t="str">
        <f>_xlfn.LET(_xlpm.GRR,IF(AND(SD!$C$19=SD!$H$2,Grade!$G$1="Per level"),VLOOKUP(B136,Grade!$E$1:$F$200,2,FALSE),IF(AND(SD!$C$19=SD!$H$2,Grade!$G$1="Per Bar Size"),VLOOKUP(CR136,Grade!$B$1:$C$12,2,0),SD!$C$19)),IF(SD!$C$25=SD!$W$2,IF(Data!$J136="",IFERROR(INDEX(IF(SD!$C$11="Create",Lap!$A$3:$BF$14,IF(SD!$C$11="Per Uploaded File",Lap!$A$19:$BF$30,"")),MATCH(CR136,Lap!$A$3:$A$14,0),MATCH(VALUE(D136),Lap!$A$3:$BF$3,0)+IF(IFERROR(FIND("Grade 60",_xlpm.GRR),0)&gt;0,0,IF(IFERROR(FIND("Grade 80",_xlpm.GRR),0),1,IF(IFERROR(FIND("Grade 75",_xlpm.GRR),0),2,"")))),""),Data!J136),SD!$C$43))</f>
        <v>Match Lap</v>
      </c>
      <c r="CW136">
        <f t="shared" si="69"/>
        <v>0</v>
      </c>
      <c r="CX136">
        <f t="shared" si="70"/>
        <v>0</v>
      </c>
      <c r="CY136" t="str">
        <f t="shared" si="71"/>
        <v/>
      </c>
      <c r="DA136" t="str">
        <f t="shared" si="72"/>
        <v/>
      </c>
      <c r="DB136" t="str">
        <f t="shared" si="73"/>
        <v/>
      </c>
      <c r="DC136" s="24" t="str">
        <f t="shared" si="74"/>
        <v/>
      </c>
      <c r="DD136">
        <f t="shared" si="75"/>
        <v>10.583333333333334</v>
      </c>
      <c r="DE136" t="s">
        <v>785</v>
      </c>
      <c r="DF136" t="s">
        <v>67</v>
      </c>
      <c r="DG136" t="str">
        <f>VLOOKUP(W136,'Level Wise PSI'!$F$2:$G$12,2,FALSE)</f>
        <v>Double Lift</v>
      </c>
      <c r="DI136" t="str" cm="1">
        <f t="array" ref="DI136">_xlfn.LET(_xlpm.Coup,IFERROR(IF(BY136="","",IF(K136="Coupler",_xlfn._xlws.FILTER(CCFCoupler,(CCName=SD!$C$8)*(CBSize=IF(A135=A136,W135&amp;W136,BX136&amp;W136))),"")),"N/A"),IF(_xlpm.Coup=0,"",_xlpm.Coup))</f>
        <v/>
      </c>
      <c r="DJ136" t="str" cm="1">
        <f t="array" ref="DJ136">_xlfn.LET(_xlpm.Coup3,IFERROR(IF(CG136="","",IF(K137="Coupler",_xlfn._xlws.FILTER(CCFCoupler,(CCName=SD!$C$8)*(CBSize=IF(A136=A137,W136&amp;W137,""))),"")),"N/A"),IF(_xlpm.Coup3=0,"",_xlpm.Coup3))</f>
        <v/>
      </c>
      <c r="DK136" t="str" cm="1">
        <f t="array" ref="DK136">_xlfn.LET(_xlpm.Coup2,IFERROR(IF(A136&lt;&gt;A137,"",IF(DF136="No Lap","",IF(K137="Coupler",_xlfn._xlws.FILTER(CCFCoupler,(CCName=SD!$C$8)*(CBSize=IF(A135=A136,W136&amp;W137,W136&amp;W136))),""))),"N/A"),IF(_xlpm.Coup2=0,"",_xlpm.Coup2))</f>
        <v/>
      </c>
      <c r="DM136" t="str">
        <f>IF(AM136="Spiral","",IF(SD!$C$31=SD!$Y$3,SD!$E$32*2,""))</f>
        <v/>
      </c>
      <c r="DO136" s="24">
        <f t="shared" si="76"/>
        <v>2.5</v>
      </c>
      <c r="DQ136" t="str">
        <f t="shared" si="77"/>
        <v>Lig</v>
      </c>
      <c r="DR136" t="str">
        <f>IF(AM136="Spiral",((Y136-(SD!$E$12*2))/12),"")</f>
        <v/>
      </c>
      <c r="DS136" t="str">
        <f t="shared" si="78"/>
        <v/>
      </c>
      <c r="DT136" t="str">
        <f t="shared" si="79"/>
        <v/>
      </c>
      <c r="DU136" t="str">
        <f t="shared" si="80"/>
        <v/>
      </c>
    </row>
    <row r="137" spans="1:125" x14ac:dyDescent="0.25">
      <c r="A137">
        <v>46</v>
      </c>
      <c r="B137" t="s">
        <v>682</v>
      </c>
      <c r="C137" s="15">
        <v>2429</v>
      </c>
      <c r="D137" s="15">
        <v>10000</v>
      </c>
      <c r="E137" t="str">
        <f>IF(B137=Level!$A$2,SD!$C$14,SD!$C$13)</f>
        <v>0-8</v>
      </c>
      <c r="F137" s="15" t="s">
        <v>787</v>
      </c>
      <c r="G137" t="s">
        <v>742</v>
      </c>
      <c r="H137" t="str">
        <f>RIGHT(VLOOKUP(B137,Level!A:C,3,FALSE),LEN(VLOOKUP(B137,Level!A:C,3,FALSE))-1)</f>
        <v>10-7</v>
      </c>
      <c r="I137" t="s">
        <v>743</v>
      </c>
      <c r="J137" t="str">
        <f>IF(AND(SD!$C$19=SD!$H$2,Grade!$G$1="Per level"),VLOOKUP(B137,Grade!$E$1:$F$200,2,FALSE),IF(AND(SD!$C$19=SD!$H$2,Grade!$G$1="Per Bar Size"),VLOOKUP(W137,Grade!$B$1:$C$12,2,0),SD!$C$19))</f>
        <v>A615 Grade 60</v>
      </c>
      <c r="K137" t="s">
        <v>67</v>
      </c>
      <c r="L137" t="str">
        <f>IFERROR(IF(A137&lt;&gt;A138,"",IF(DF137="No Lap","",IF(K138="Lap",U137,IF(K138="Coupler",_xlfn._xlws.FILTER(CCoupler,(CCName=SD!$C$8)*(CBSize=IF(A136=A137,W137&amp;W138,W137&amp;W137))*(CCMFM="Male")),"")))),"N/A")</f>
        <v>5-1</v>
      </c>
      <c r="M137" t="str">
        <f t="shared" si="54"/>
        <v/>
      </c>
      <c r="N137" t="s">
        <v>719</v>
      </c>
      <c r="O137" t="s">
        <v>720</v>
      </c>
      <c r="P137" t="s">
        <v>719</v>
      </c>
      <c r="Q137" t="str">
        <f>IF(AND(SD!$C$29=SD!$P$2,Grade!$O$1="Per level"),VLOOKUP(B137,Grade!$M$1:$N$200,2,FALSE),IF(AND(SD!$C$29=SD!$P$2,Grade!$O$1="Per Bar Size"),VLOOKUP(LEFT(N137,FIND("@",N137)-2),Grade!$J$1:$K$12,2,0),SD!$C$29))</f>
        <v>A615 Grade 60</v>
      </c>
      <c r="R137" t="s">
        <v>742</v>
      </c>
      <c r="S137" s="57">
        <v>137</v>
      </c>
      <c r="U137" t="str">
        <f>IF(Data!$J137="",IFERROR(INDEX(IF(SD!$C$11="Create",Lap!$A$3:$BF$14,IF(SD!$C$11="Per Uploaded File",Lap!$A$19:$BF$30,"")),MATCH(W137,Lap!$A$3:$A$14,0),MATCH(VALUE(D137),Lap!$A$3:$BF$3,0)+IF(IFERROR(FIND("Grade 60",J137),0)&gt;0,0,IF(IFERROR(FIND("Grade 80",J137),0),1,IF(IFERROR(FIND("Grade 75",J137),0),2,"")))),""),Data!J137)</f>
        <v>5-1</v>
      </c>
      <c r="W137" t="s">
        <v>176</v>
      </c>
      <c r="X137">
        <v>6</v>
      </c>
      <c r="Y137" t="str">
        <f t="shared" si="55"/>
        <v>30</v>
      </c>
      <c r="Z137">
        <f t="shared" si="56"/>
        <v>0</v>
      </c>
      <c r="AA137" s="24">
        <f t="shared" si="57"/>
        <v>15.666666666666666</v>
      </c>
      <c r="BB137" t="e" cm="1">
        <f t="array" ref="BB137">_xlfn.LET(_xlpm.PartF,(_xlfn.LET(_xlpm.grade, Q137,_xlpm.gradeRange, IF(_xlpm.grade=SD!$H$3, A615GR60, IF(_xlpm.grade=SD!$H$4, A615GR75, IF(_xlpm.grade=SD!$H$5, A615GR80, IF(_xlpm.grade=SD!$H$6, A615GR100, IF(_xlpm.grade=SD!$H$7, A706GR60, IF(_xlpm.grade=SD!$H$8, A706GR80)))))),_xlpm.matchValue, MATCH(1, (SD!$AW:$AW=AS137)*(SD!$AX:$AX=SD!$C$8), 0),INDEX(_xlpm.gradeRange, _xlpm.matchValue))),IF(AM137="Spiral",CONCATENATE("SP",_xlpm.PartF),_xlpm.PartF))</f>
        <v>#N/A</v>
      </c>
      <c r="BC137" cm="1">
        <f t="array" ref="BC137">_xlfn.LET(_xlpm.leftPart, LEFT(O137, FIND("@", O137) - 2),_xlpm.grade,Q137,_xlpm.gradeRange,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7" cm="1">
        <f t="array" ref="BD137">_xlfn.LET(_xlpm.leftPart, LEFT(P137, FIND("@", P137) - 2),_xlpm.grade, Q137,_xlpm.gradeRange,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7">
        <f t="shared" si="58"/>
        <v>2.5</v>
      </c>
      <c r="BF137">
        <f>IF(SD!$C$32=SD!$I$2,BE137,IF(SD!$C$32=SD!$I$3,DO137,IF(SD!$C$32=SD!$I$5,BA137,IF(SD!$C$32=SD!$I$6,(LEFT(SD!$C$35,FIND("-",SD!$C$35)-1)+RIGHT(SD!$C$35,LEN(SD!$C$35)-FIND("-",SD!$C$35))/12),IF(SD!$C$32=SD!$I$4,(AU137-(BG137+BH137)))))))</f>
        <v>0</v>
      </c>
      <c r="BG137">
        <f>IF(SD!$C$33=SD!$I$2,BE137,IF(SD!$C$33=SD!$I$3,DO137,IF(SD!$C$33=SD!$I$5,BA137,IF(SD!$C$33=SD!$I$6,(LEFT(SD!$C$35,FIND("-",SD!$C$35)-1)+RIGHT(SD!$C$35,LEN(SD!$C$35)-FIND("-",SD!$C$35))/12),IF(SD!$C$33=SD!$I$4,(AU137-(BF137+BH137)))))))</f>
        <v>-1</v>
      </c>
      <c r="BH137">
        <f>IF(SD!$C$34=SD!$I$2,BE137,IF(SD!$C$34=SD!$I$3,DO137,IF(SD!$C$34=SD!$I$5,BA137,IF(SD!$C$34=SD!$I$6,(LEFT(SD!$C$35,FIND("-",SD!$C$35)-1)+RIGHT(SD!$C$35,LEN(SD!$C$35)-FIND("-",SD!$C$35))/12),IF(SD!$C$34=SD!$I$4,(AU137-(BF137+BG137)))))))</f>
        <v>1</v>
      </c>
      <c r="BJ137">
        <f>IF(AM137="Spiral","1",MAX(ROUNDUP(IF(SD!$C$32="",AT137,BF137/(LEFT(RIGHT(N137,LEN(N137)-FIND("@",N137)),LEN(RIGHT(N137,LEN(N137)-FIND("@",N137)))-1)/12)+1),0),0))</f>
        <v>1</v>
      </c>
      <c r="BK137">
        <f>MAX(ROUNDUP(IF(SD!$C$33="","",BG137/(LEFT(RIGHT(O137,LEN(O137)-FIND("@",O137)),LEN(RIGHT(O137,LEN(O137)-FIND("@",O137)))-1)/12)+1),0),0)</f>
        <v>0</v>
      </c>
      <c r="BL137">
        <f>MAX(ROUNDUP(IF(SD!$C$34="","",BH137/(LEFT(RIGHT(P137,LEN(P137)-FIND("@",P137)),LEN(RIGHT(P137,LEN(P137)-FIND("@",P137)))-1)/12)+1),0),0)</f>
        <v>3</v>
      </c>
      <c r="BN137" t="e">
        <f t="shared" si="59"/>
        <v>#N/A</v>
      </c>
      <c r="BO137" t="e">
        <f t="shared" si="60"/>
        <v>#N/A</v>
      </c>
      <c r="BP137" t="e">
        <f t="shared" si="61"/>
        <v>#N/A</v>
      </c>
      <c r="BQ137" s="24" t="e">
        <f>IF(AM137=TRUE,(((Y137-(SD!$E$12*2))*3.14159265359)+BN137+BO137+BP137)/12+AL137,SUM(AF137:AG137,BN137,BO137,BP137,AO137,AQ137)/12)</f>
        <v>#N/A</v>
      </c>
      <c r="BR137" t="e">
        <f t="shared" si="62"/>
        <v>#N/A</v>
      </c>
      <c r="BS137" t="e">
        <f t="shared" si="63"/>
        <v>#N/A</v>
      </c>
      <c r="BT137" t="e">
        <f t="shared" si="64"/>
        <v>#N/A</v>
      </c>
      <c r="BU137" s="24" t="e">
        <f>IF(AM137=TRUE,(((Y137-(SD!$E$12*2))*3.14159265359)+BR137+BS137+BT137)/12+AL137,SUM(AF137:AG137,BR137,BS137,BT137,AO137,AQ137)/12)</f>
        <v>#N/A</v>
      </c>
      <c r="BW137" t="str">
        <f>IFERROR(LEFT(Data!L137,FIND(" -",Data!L137)-1),"")</f>
        <v/>
      </c>
      <c r="BX137" t="str">
        <f>IFERROR(IF(SD!$C$40=SD!$U$2,W137,IF(SD!$C$40=SD!$U$3,RIGHT(Data!L137,LEN(Data!L137)-(FIND("-",Data!L137)+1)),SD!$C$40)),"")</f>
        <v>#10</v>
      </c>
      <c r="BY137" t="str" cm="1">
        <f t="array" ref="BY137">IFERROR(_xlfn.LET(_xlpm.GRR,IF(AND(SD!$C$19=SD!$H$2,Grade!$G$1="Per level"),VLOOKUP(B137,Grade!$E$1:$F$200,2,FALSE),IF(AND(SD!$C$19=SD!$H$2,Grade!$G$1="Per Bar Size"),VLOOKUP(BX137,Grade!$B$1:$C$12,2,0),SD!$C$19)),_xlpm.is_equal, A136=A137,_xlpm.grade_range, IF(_xlpm.GRR=SD!$H$3, A615GR60,IF(_xlpm.GRR=SD!$H$4, A615GR75,IF(_xlpm.GRR=SD!$H$5, A615GR80,IF(_xlpm.GRR=SD!H141, A615GR100,IF(_xlpm.GRR=SD!$H$7, A706GR60,IF(_xlpm.GRR=SD!$H$8, A706GR80)))))),_xlpm.match_result, MATCH(1, (BSize=BX137)*(BCName=SD!$C$8), 0),_xlpm.final_result, INDEX(_xlpm.grade_range, _xlpm.match_result),IF(_xlpm.is_equal, "", _xlpm.final_result)),"")</f>
        <v/>
      </c>
      <c r="BZ137" t="str">
        <f>IF(A136=A137,"",IF(SD!$C$41="Match Vertical Bars ",X137,IF(SD!$C$41=SD!$V$3,BW137,SD!$C$41)))</f>
        <v/>
      </c>
      <c r="CA137" t="str" cm="1">
        <f t="array" ref="CA137">IF(A136=A137,"",IF(SD!$C$44="No T-Head",IF(SD!$C$42=SD!$Q$3,VLOOKUP(BX137,S90Range,3,FALSE),LEFT(SD!$C$42,FIND("-",SD!$C$42)-1)+(RIGHT(SD!$C$42,LEN(SD!$C$42)-FIND("-",SD!$C$42))/12)),IF(SD!$C$44="T-Head",_xlfn._xlws.FILTER(THead,(TCName=SD!$C$8)*(TSize=BX137)),IF(SD!$C$44="Level Wise",_xlfn.LET(_xlpm.result,_xlfn.XLOOKUP(B137,VDLevel,VDLevelStatus,"No"),IF(_xlpm.result="Yes",_xlfn._xlws.FILTER(THead,(TCName=SD!$C$8)*(TSize=BX137)),IF(SD!$C$42=SD!$Q$3,VLOOKUP(BX137,S90Range,3,FALSE),LEFT(SD!$C$42,FIND("-",SD!$C$42)-1)+(RIGHT(SD!$C$42,LEN(SD!$C$42)-FIND("-", SD!$C$42))/12)))),IF(SD!$C$44="BarSize Wise",_xlfn.LET(_xlpm.result,_xlfn.XLOOKUP(BX137,VDBarSize,VDBarSizeStatus,"No"),IF(_xlpm.result="Yes",_xlfn._xlws.FILTER(THead,(TCName=SD!$C$8)*(TSize=BX137)),IF(SD!$C$42=SD!$Q$3,VLOOKUP(BX137,S90Range,3,FALSE),LEFT(SD!$C$42,FIND("-",SD!$C$42)-1)+(RIGHT(SD!$C$42,LEN(SD!$C$42)-FIND("-",SD!$C$42))/12)))), "")))))</f>
        <v/>
      </c>
      <c r="CB137" t="str" cm="1">
        <f t="array" ref="CB137">_xlfn.LET(_xlpm.GRR,IF(AND(SD!$C$19=SD!$H$2,Grade!$G$1="Per level"),VLOOKUP(B137,Grade!$E$1:$F$200,2,FALSE),IF(AND(SD!$C$19=SD!$H$2,Grade!$G$1="Per Bar Size"),VLOOKUP(BX137,Grade!$B$1:$C$12,2,0),SD!$C$19)),_xlpm.is_coupler, K137="Coupler",_xlpm.condition1, SD!$C$43=SD!$W$2,_xlpm.data_j2_empty, Data!$J137="",_xlpm.lookup_table, IF(SD!$C$11="Create", Lap!$A$3:$BF$14, IF(SD!$C$11="Per Uploaded File", Lap!$A$19:$BF$30, "")),_xlpm.row_match, MATCH(BX137, Lap!$A$3:$A$14, 0),_xlpm.grade_offset, IF(IFERROR(FIND("Grade 60",_xlpm.GRR), 0) &gt; 0, 0, IF(IFERROR(FIND("Grade 80",_xlpm.GRR), 0), 1, IF(IFERROR(FIND("Grade 75",_xlpm.GRR), 0), 2, ""))),_xlpm.col_match, MATCH(VALUE(D137), Lap!$A$3:$BF$3, 0) + _xlpm.grade_offset,_xlpm.index_result, IFERROR(INDEX(_xlpm.lookup_table, _xlpm.row_match, _xlpm.col_match), Data!$J137),_xlpm.result_if_condition1, IF(_xlpm.data_j2_empty, _xlpm.index_result, Data!$J137),IF(_xlpm.is_coupler, 0, IF(_xlpm.condition1, _xlpm.result_if_condition1, SD!$C$43)))</f>
        <v>5-1</v>
      </c>
      <c r="CC137" s="24">
        <f t="shared" si="65"/>
        <v>5.083333333333333</v>
      </c>
      <c r="CD137">
        <f t="shared" si="66"/>
        <v>5.75</v>
      </c>
      <c r="CE137" t="str" cm="1">
        <f t="array" ref="CE137">IF(BY137="","",_xlfn._xlws.FILTER(SAC,(CName=SD!$C$8)*(EName="Vert Dowels")))</f>
        <v/>
      </c>
      <c r="CF137" t="str" cm="1">
        <f t="array" ref="CF137">IFERROR(IF(BY137="","",IF(K137="Coupler",_xlfn._xlws.FILTER(CCoupler,(CCName=SD!$C$8)*(CBSize=IF(A136=A137,W136&amp;W137,BX137&amp;W137))*(CCMFM="Male")),"")),"N/A")</f>
        <v/>
      </c>
      <c r="CG137" t="str">
        <f t="shared" si="67"/>
        <v/>
      </c>
      <c r="CH137" t="str">
        <f t="shared" si="68"/>
        <v/>
      </c>
      <c r="CI137" t="str">
        <f>_xlfn.LET(_xlpm.u3_value, U138,_xlpm.hyphen_pos,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K138="Coupler",_xlpm.coupler_value, IF(_xlpm.is_coupler, 0, _xlpm.calculated_value),_xlpm.final_value, _xlpm.calculated_value + SD!$E$13 + _xlpm.coupler_value,IF(CG137="", "", _xlpm.final_value))</f>
        <v/>
      </c>
      <c r="CJ137" t="str" cm="1">
        <f t="array" ref="CJ137">IF(CG137="","",_xlfn._xlws.FILTER(SAC,(CName=SD!$C$8)*(EName="Loose Dowels")))</f>
        <v/>
      </c>
      <c r="CK137" t="str" cm="1">
        <f t="array" ref="CK137">IFERROR(IF(CG137="","",IF(K138="Coupler",_xlfn._xlws.FILTER(CCoupler,(CCName=SD!$C$8)*(CBSize=IF(A137=A138,W137&amp;W138,""))*(CCMFM="Male")),"")),"N/A")</f>
        <v/>
      </c>
      <c r="CL137" t="str">
        <f>IFERROR(IF(AM137="Spiral","",IF(A136=A137,"",IF(SD!$C$37=0,"",SD!$C$37))),"")</f>
        <v/>
      </c>
      <c r="CN137">
        <f>IF(AM137="Spiral","",IFERROR(IF(SD!$C$36=0,"",SD!$C$36),""))</f>
        <v>5</v>
      </c>
      <c r="CP137" t="str">
        <f>IFERROR(IF(SD!$C$42=SD!$Q$3,'Take-off'!CA137,""),"")</f>
        <v/>
      </c>
      <c r="CR137">
        <f>IFERROR(IF(SD!$C$22=SD!$U$2,W137,SD!$C$22),"")</f>
        <v>0</v>
      </c>
      <c r="CS137" t="str" cm="1">
        <f t="array" ref="CS137">_xlfn.LET(_xlpm.GR,IF(AND(SD!$C$19=SD!$H$2,Grade!$G$1="Per level"),VLOOKUP(B137,Grade!$E$1:$F$200,2,FALSE),IF(AND(SD!$C$19=SD!$H$2,Grade!$G$1="Per Bar Size"),VLOOKUP(CR137,Grade!$B$1:$C$12,2,0),SD!$C$19)),IF(SD!$C$20=SD!$R$4,IF(A138=A137,"",INDEX(IF(_xlpm.GR=SD!$H$3,A615GR60,IF(_xlpm.GR=SD!$H$4,A615GR75,IF(_xlpm.GR=SD!$H$5,A615GR80,IF(_xlpm.GR=SD!H141,A615GR100,IF(_xlpm.GR=SD!$H$7,A706GR60,IF(_xlpm.GR=SD!$H$8,A706GR80)))))), MATCH(1, (BSize=CR137)*(BCName=SD!$C$8), 0))),""))</f>
        <v/>
      </c>
      <c r="CT137" t="str">
        <f>IF(A138=A137,"",IF(SD!$C$23="Match Vertical Bars ",X137,SD!$C$23))</f>
        <v/>
      </c>
      <c r="CU137" t="str" cm="1">
        <f t="array" ref="CU137">IF(A138=A137,"",IF(SD!$C$20="Top dowels",IF(SD!$E$25="No T-Head",IF(SD!$C$24=SD!$Q$3,VLOOKUP(CR137,S90Range,3,FALSE),LEFT(SD!$C$24,FIND("-",SD!$C$24)-1)+(RIGHT(SD!$C$24,LEN(SD!$C$24)-FIND("-",SD!$C$24))/12)),IF(SD!$E$25="T-Head",_xlfn._xlws.FILTER(THead,(TCName=SD!$C$8)*(TSize=CR137)),IF(SD!$E$25="Level Wise",_xlfn.LET(_xlpm.result,_xlfn.XLOOKUP(B137,TDLevel,TDLevelStatus,"No"),IF(_xlpm.result="Yes",_xlfn._xlws.FILTER(THead,(TCName=SD!$C$8)*(TSize=CR137)),IF(SD!$C$24=SD!$Q$3,VLOOKUP(CR137,S90Range,3,FALSE),LEFT(SD!$C$24,FIND("-",SD!$C$24)-1)+(RIGHT(SD!$C$24,LEN(SD!$C$24)-FIND("-", SD!$C$24))/12)))),IF(SD!$E$25="BarSize Wise",_xlfn.LET(_xlpm.result,_xlfn.XLOOKUP(CR137,TDBarSize,TDBarSizeStatus,"No"),IF(_xlpm.result="Yes",_xlfn._xlws.FILTER(THead,(TCName=SD!$C$8)*(TSize=CR137)),IF(SD!$C$24=SD!$Q$3,VLOOKUP(CR137,S90Range,3,FALSE),LEFT(SD!$C$24,FIND("-",SD!$C$24)-1)+(RIGHT(SD!$C$24,LEN(SD!$C$24)-FIND("-",SD!$C$24))/12)))), "")))),""))</f>
        <v/>
      </c>
      <c r="CV137" t="str">
        <f>_xlfn.LET(_xlpm.GRR,IF(AND(SD!$C$19=SD!$H$2,Grade!$G$1="Per level"),VLOOKUP(B137,Grade!$E$1:$F$200,2,FALSE),IF(AND(SD!$C$19=SD!$H$2,Grade!$G$1="Per Bar Size"),VLOOKUP(CR137,Grade!$B$1:$C$12,2,0),SD!$C$19)),IF(SD!$C$25=SD!$W$2,IF(Data!$J137="",IFERROR(INDEX(IF(SD!$C$11="Create",Lap!$A$3:$BF$14,IF(SD!$C$11="Per Uploaded File",Lap!$A$19:$BF$30,"")),MATCH(CR137,Lap!$A$3:$A$14,0),MATCH(VALUE(D137),Lap!$A$3:$BF$3,0)+IF(IFERROR(FIND("Grade 60",_xlpm.GRR),0)&gt;0,0,IF(IFERROR(FIND("Grade 80",_xlpm.GRR),0),1,IF(IFERROR(FIND("Grade 75",_xlpm.GRR),0),2,"")))),""),Data!J137),SD!$C$43))</f>
        <v>Match Lap</v>
      </c>
      <c r="CW137">
        <f t="shared" si="69"/>
        <v>0</v>
      </c>
      <c r="CX137">
        <f t="shared" si="70"/>
        <v>0</v>
      </c>
      <c r="CY137" t="str">
        <f t="shared" si="71"/>
        <v/>
      </c>
      <c r="DA137" t="str">
        <f t="shared" si="72"/>
        <v/>
      </c>
      <c r="DB137" t="str">
        <f t="shared" si="73"/>
        <v/>
      </c>
      <c r="DC137" s="24" t="str">
        <f t="shared" si="74"/>
        <v/>
      </c>
      <c r="DD137">
        <f t="shared" si="75"/>
        <v>10.583333333333334</v>
      </c>
      <c r="DE137" t="s">
        <v>785</v>
      </c>
      <c r="DF137" t="s">
        <v>67</v>
      </c>
      <c r="DG137" t="str">
        <f>VLOOKUP(W137,'Level Wise PSI'!$F$2:$G$12,2,FALSE)</f>
        <v>Double Lift</v>
      </c>
      <c r="DI137" t="str" cm="1">
        <f t="array" ref="DI137">_xlfn.LET(_xlpm.Coup,IFERROR(IF(BY137="","",IF(K137="Coupler",_xlfn._xlws.FILTER(CCFCoupler,(CCName=SD!$C$8)*(CBSize=IF(A136=A137,W136&amp;W137,BX137&amp;W137))),"")),"N/A"),IF(_xlpm.Coup=0,"",_xlpm.Coup))</f>
        <v/>
      </c>
      <c r="DJ137" t="str" cm="1">
        <f t="array" ref="DJ137">_xlfn.LET(_xlpm.Coup3,IFERROR(IF(CG137="","",IF(K138="Coupler",_xlfn._xlws.FILTER(CCFCoupler,(CCName=SD!$C$8)*(CBSize=IF(A137=A138,W137&amp;W138,""))),"")),"N/A"),IF(_xlpm.Coup3=0,"",_xlpm.Coup3))</f>
        <v/>
      </c>
      <c r="DK137" t="str" cm="1">
        <f t="array" ref="DK137">_xlfn.LET(_xlpm.Coup2,IFERROR(IF(A137&lt;&gt;A138,"",IF(DF137="No Lap","",IF(K138="Coupler",_xlfn._xlws.FILTER(CCFCoupler,(CCName=SD!$C$8)*(CBSize=IF(A136=A137,W137&amp;W138,W137&amp;W137))),""))),"N/A"),IF(_xlpm.Coup2=0,"",_xlpm.Coup2))</f>
        <v/>
      </c>
      <c r="DM137" t="str">
        <f>IF(AM137="Spiral","",IF(SD!$C$31=SD!$Y$3,SD!$E$32*2,""))</f>
        <v/>
      </c>
      <c r="DO137" s="24">
        <f t="shared" si="76"/>
        <v>2.5</v>
      </c>
      <c r="DQ137" t="str">
        <f t="shared" si="77"/>
        <v>Lig</v>
      </c>
      <c r="DR137" t="str">
        <f>IF(AM137="Spiral",((Y137-(SD!$E$12*2))/12),"")</f>
        <v/>
      </c>
      <c r="DS137" t="str">
        <f t="shared" si="78"/>
        <v/>
      </c>
      <c r="DT137" t="str">
        <f t="shared" si="79"/>
        <v/>
      </c>
      <c r="DU137" t="str">
        <f t="shared" si="80"/>
        <v/>
      </c>
    </row>
    <row r="138" spans="1:125" x14ac:dyDescent="0.25">
      <c r="A138">
        <v>46</v>
      </c>
      <c r="B138" t="s">
        <v>684</v>
      </c>
      <c r="C138" s="15">
        <v>2429</v>
      </c>
      <c r="D138" s="15">
        <v>10000</v>
      </c>
      <c r="E138" t="str">
        <f>IF(B138=Level!$A$2,SD!$C$14,SD!$C$13)</f>
        <v>0-8</v>
      </c>
      <c r="F138" s="15" t="s">
        <v>787</v>
      </c>
      <c r="G138" t="s">
        <v>742</v>
      </c>
      <c r="H138" t="str">
        <f>RIGHT(VLOOKUP(B138,Level!A:C,3,FALSE),LEN(VLOOKUP(B138,Level!A:C,3,FALSE))-1)</f>
        <v>10-7</v>
      </c>
      <c r="I138" t="s">
        <v>743</v>
      </c>
      <c r="J138" t="str">
        <f>IF(AND(SD!$C$19=SD!$H$2,Grade!$G$1="Per level"),VLOOKUP(B138,Grade!$E$1:$F$200,2,FALSE),IF(AND(SD!$C$19=SD!$H$2,Grade!$G$1="Per Bar Size"),VLOOKUP(W138,Grade!$B$1:$C$12,2,0),SD!$C$19))</f>
        <v>A615 Grade 60</v>
      </c>
      <c r="K138" t="s">
        <v>67</v>
      </c>
      <c r="L138" t="str">
        <f>IFERROR(IF(A138&lt;&gt;A139,"",IF(DF138="No Lap","",IF(K139="Lap",U138,IF(K139="Coupler",_xlfn._xlws.FILTER(CCoupler,(CCName=SD!$C$8)*(CBSize=IF(A137=A138,W138&amp;W139,W138&amp;W138))*(CCMFM="Male")),"")))),"N/A")</f>
        <v>5-1</v>
      </c>
      <c r="M138" t="str">
        <f t="shared" si="54"/>
        <v/>
      </c>
      <c r="N138" t="s">
        <v>719</v>
      </c>
      <c r="O138" t="s">
        <v>720</v>
      </c>
      <c r="P138" t="s">
        <v>719</v>
      </c>
      <c r="Q138" t="str">
        <f>IF(AND(SD!$C$29=SD!$P$2,Grade!$O$1="Per level"),VLOOKUP(B138,Grade!$M$1:$N$200,2,FALSE),IF(AND(SD!$C$29=SD!$P$2,Grade!$O$1="Per Bar Size"),VLOOKUP(LEFT(N138,FIND("@",N138)-2),Grade!$J$1:$K$12,2,0),SD!$C$29))</f>
        <v>A615 Grade 60</v>
      </c>
      <c r="R138" t="s">
        <v>742</v>
      </c>
      <c r="S138" s="57">
        <v>138</v>
      </c>
      <c r="U138" t="str">
        <f>IF(Data!$J138="",IFERROR(INDEX(IF(SD!$C$11="Create",Lap!$A$3:$BF$14,IF(SD!$C$11="Per Uploaded File",Lap!$A$19:$BF$30,"")),MATCH(W138,Lap!$A$3:$A$14,0),MATCH(VALUE(D138),Lap!$A$3:$BF$3,0)+IF(IFERROR(FIND("Grade 60",J138),0)&gt;0,0,IF(IFERROR(FIND("Grade 80",J138),0),1,IF(IFERROR(FIND("Grade 75",J138),0),2,"")))),""),Data!J138)</f>
        <v>5-1</v>
      </c>
      <c r="W138" t="s">
        <v>176</v>
      </c>
      <c r="X138">
        <v>6</v>
      </c>
      <c r="Y138" t="str">
        <f t="shared" si="55"/>
        <v>30</v>
      </c>
      <c r="Z138">
        <f t="shared" si="56"/>
        <v>0</v>
      </c>
      <c r="AA138" s="24">
        <f t="shared" si="57"/>
        <v>15.666666666666666</v>
      </c>
      <c r="BB138" t="e" cm="1">
        <f t="array" ref="BB138">_xlfn.LET(_xlpm.PartF,(_xlfn.LET(_xlpm.grade, Q138,_xlpm.gradeRange, IF(_xlpm.grade=SD!$H$3, A615GR60, IF(_xlpm.grade=SD!$H$4, A615GR75, IF(_xlpm.grade=SD!$H$5, A615GR80, IF(_xlpm.grade=SD!$H$6, A615GR100, IF(_xlpm.grade=SD!$H$7, A706GR60, IF(_xlpm.grade=SD!$H$8, A706GR80)))))),_xlpm.matchValue, MATCH(1, (SD!$AW:$AW=AS138)*(SD!$AX:$AX=SD!$C$8), 0),INDEX(_xlpm.gradeRange, _xlpm.matchValue))),IF(AM138="Spiral",CONCATENATE("SP",_xlpm.PartF),_xlpm.PartF))</f>
        <v>#N/A</v>
      </c>
      <c r="BC138" cm="1">
        <f t="array" ref="BC138">_xlfn.LET(_xlpm.leftPart, LEFT(O138, FIND("@", O138) - 2),_xlpm.grade,Q138,_xlpm.gradeRange,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8" cm="1">
        <f t="array" ref="BD138">_xlfn.LET(_xlpm.leftPart, LEFT(P138, FIND("@", P138) - 2),_xlpm.grade, Q138,_xlpm.gradeRange,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8">
        <f t="shared" si="58"/>
        <v>2.5</v>
      </c>
      <c r="BF138">
        <f>IF(SD!$C$32=SD!$I$2,BE138,IF(SD!$C$32=SD!$I$3,DO138,IF(SD!$C$32=SD!$I$5,BA138,IF(SD!$C$32=SD!$I$6,(LEFT(SD!$C$35,FIND("-",SD!$C$35)-1)+RIGHT(SD!$C$35,LEN(SD!$C$35)-FIND("-",SD!$C$35))/12),IF(SD!$C$32=SD!$I$4,(AU138-(BG138+BH138)))))))</f>
        <v>0</v>
      </c>
      <c r="BG138">
        <f>IF(SD!$C$33=SD!$I$2,BE138,IF(SD!$C$33=SD!$I$3,DO138,IF(SD!$C$33=SD!$I$5,BA138,IF(SD!$C$33=SD!$I$6,(LEFT(SD!$C$35,FIND("-",SD!$C$35)-1)+RIGHT(SD!$C$35,LEN(SD!$C$35)-FIND("-",SD!$C$35))/12),IF(SD!$C$33=SD!$I$4,(AU138-(BF138+BH138)))))))</f>
        <v>-1</v>
      </c>
      <c r="BH138">
        <f>IF(SD!$C$34=SD!$I$2,BE138,IF(SD!$C$34=SD!$I$3,DO138,IF(SD!$C$34=SD!$I$5,BA138,IF(SD!$C$34=SD!$I$6,(LEFT(SD!$C$35,FIND("-",SD!$C$35)-1)+RIGHT(SD!$C$35,LEN(SD!$C$35)-FIND("-",SD!$C$35))/12),IF(SD!$C$34=SD!$I$4,(AU138-(BF138+BG138)))))))</f>
        <v>1</v>
      </c>
      <c r="BJ138">
        <f>IF(AM138="Spiral","1",MAX(ROUNDUP(IF(SD!$C$32="",AT138,BF138/(LEFT(RIGHT(N138,LEN(N138)-FIND("@",N138)),LEN(RIGHT(N138,LEN(N138)-FIND("@",N138)))-1)/12)+1),0),0))</f>
        <v>1</v>
      </c>
      <c r="BK138">
        <f>MAX(ROUNDUP(IF(SD!$C$33="","",BG138/(LEFT(RIGHT(O138,LEN(O138)-FIND("@",O138)),LEN(RIGHT(O138,LEN(O138)-FIND("@",O138)))-1)/12)+1),0),0)</f>
        <v>0</v>
      </c>
      <c r="BL138">
        <f>MAX(ROUNDUP(IF(SD!$C$34="","",BH138/(LEFT(RIGHT(P138,LEN(P138)-FIND("@",P138)),LEN(RIGHT(P138,LEN(P138)-FIND("@",P138)))-1)/12)+1),0),0)</f>
        <v>3</v>
      </c>
      <c r="BN138" t="e">
        <f t="shared" si="59"/>
        <v>#N/A</v>
      </c>
      <c r="BO138" t="e">
        <f t="shared" si="60"/>
        <v>#N/A</v>
      </c>
      <c r="BP138" t="e">
        <f t="shared" si="61"/>
        <v>#N/A</v>
      </c>
      <c r="BQ138" s="24" t="e">
        <f>IF(AM138=TRUE,(((Y138-(SD!$E$12*2))*3.14159265359)+BN138+BO138+BP138)/12+AL138,SUM(AF138:AG138,BN138,BO138,BP138,AO138,AQ138)/12)</f>
        <v>#N/A</v>
      </c>
      <c r="BR138" t="e">
        <f t="shared" si="62"/>
        <v>#N/A</v>
      </c>
      <c r="BS138" t="e">
        <f t="shared" si="63"/>
        <v>#N/A</v>
      </c>
      <c r="BT138" t="e">
        <f t="shared" si="64"/>
        <v>#N/A</v>
      </c>
      <c r="BU138" s="24" t="e">
        <f>IF(AM138=TRUE,(((Y138-(SD!$E$12*2))*3.14159265359)+BR138+BS138+BT138)/12+AL138,SUM(AF138:AG138,BR138,BS138,BT138,AO138,AQ138)/12)</f>
        <v>#N/A</v>
      </c>
      <c r="BW138" t="str">
        <f>IFERROR(LEFT(Data!L138,FIND(" -",Data!L138)-1),"")</f>
        <v/>
      </c>
      <c r="BX138" t="str">
        <f>IFERROR(IF(SD!$C$40=SD!$U$2,W138,IF(SD!$C$40=SD!$U$3,RIGHT(Data!L138,LEN(Data!L138)-(FIND("-",Data!L138)+1)),SD!$C$40)),"")</f>
        <v>#10</v>
      </c>
      <c r="BY138" t="str" cm="1">
        <f t="array" ref="BY138">IFERROR(_xlfn.LET(_xlpm.GRR,IF(AND(SD!$C$19=SD!$H$2,Grade!$G$1="Per level"),VLOOKUP(B138,Grade!$E$1:$F$200,2,FALSE),IF(AND(SD!$C$19=SD!$H$2,Grade!$G$1="Per Bar Size"),VLOOKUP(BX138,Grade!$B$1:$C$12,2,0),SD!$C$19)),_xlpm.is_equal, A137=A138,_xlpm.grade_range, IF(_xlpm.GRR=SD!$H$3, A615GR60,IF(_xlpm.GRR=SD!$H$4, A615GR75,IF(_xlpm.GRR=SD!$H$5, A615GR80,IF(_xlpm.GRR=SD!H142, A615GR100,IF(_xlpm.GRR=SD!$H$7, A706GR60,IF(_xlpm.GRR=SD!$H$8, A706GR80)))))),_xlpm.match_result, MATCH(1, (BSize=BX138)*(BCName=SD!$C$8), 0),_xlpm.final_result, INDEX(_xlpm.grade_range, _xlpm.match_result),IF(_xlpm.is_equal, "", _xlpm.final_result)),"")</f>
        <v/>
      </c>
      <c r="BZ138" t="str">
        <f>IF(A137=A138,"",IF(SD!$C$41="Match Vertical Bars ",X138,IF(SD!$C$41=SD!$V$3,BW138,SD!$C$41)))</f>
        <v/>
      </c>
      <c r="CA138" t="str" cm="1">
        <f t="array" ref="CA138">IF(A137=A138,"",IF(SD!$C$44="No T-Head",IF(SD!$C$42=SD!$Q$3,VLOOKUP(BX138,S90Range,3,FALSE),LEFT(SD!$C$42,FIND("-",SD!$C$42)-1)+(RIGHT(SD!$C$42,LEN(SD!$C$42)-FIND("-",SD!$C$42))/12)),IF(SD!$C$44="T-Head",_xlfn._xlws.FILTER(THead,(TCName=SD!$C$8)*(TSize=BX138)),IF(SD!$C$44="Level Wise",_xlfn.LET(_xlpm.result,_xlfn.XLOOKUP(B138,VDLevel,VDLevelStatus,"No"),IF(_xlpm.result="Yes",_xlfn._xlws.FILTER(THead,(TCName=SD!$C$8)*(TSize=BX138)),IF(SD!$C$42=SD!$Q$3,VLOOKUP(BX138,S90Range,3,FALSE),LEFT(SD!$C$42,FIND("-",SD!$C$42)-1)+(RIGHT(SD!$C$42,LEN(SD!$C$42)-FIND("-", SD!$C$42))/12)))),IF(SD!$C$44="BarSize Wise",_xlfn.LET(_xlpm.result,_xlfn.XLOOKUP(BX138,VDBarSize,VDBarSizeStatus,"No"),IF(_xlpm.result="Yes",_xlfn._xlws.FILTER(THead,(TCName=SD!$C$8)*(TSize=BX138)),IF(SD!$C$42=SD!$Q$3,VLOOKUP(BX138,S90Range,3,FALSE),LEFT(SD!$C$42,FIND("-",SD!$C$42)-1)+(RIGHT(SD!$C$42,LEN(SD!$C$42)-FIND("-",SD!$C$42))/12)))), "")))))</f>
        <v/>
      </c>
      <c r="CB138" t="str" cm="1">
        <f t="array" ref="CB138">_xlfn.LET(_xlpm.GRR,IF(AND(SD!$C$19=SD!$H$2,Grade!$G$1="Per level"),VLOOKUP(B138,Grade!$E$1:$F$200,2,FALSE),IF(AND(SD!$C$19=SD!$H$2,Grade!$G$1="Per Bar Size"),VLOOKUP(BX138,Grade!$B$1:$C$12,2,0),SD!$C$19)),_xlpm.is_coupler, K138="Coupler",_xlpm.condition1, SD!$C$43=SD!$W$2,_xlpm.data_j2_empty, Data!$J138="",_xlpm.lookup_table, IF(SD!$C$11="Create", Lap!$A$3:$BF$14, IF(SD!$C$11="Per Uploaded File", Lap!$A$19:$BF$30, "")),_xlpm.row_match, MATCH(BX138, Lap!$A$3:$A$14, 0),_xlpm.grade_offset, IF(IFERROR(FIND("Grade 60",_xlpm.GRR), 0) &gt; 0, 0, IF(IFERROR(FIND("Grade 80",_xlpm.GRR), 0), 1, IF(IFERROR(FIND("Grade 75",_xlpm.GRR), 0), 2, ""))),_xlpm.col_match, MATCH(VALUE(D138), Lap!$A$3:$BF$3, 0) + _xlpm.grade_offset,_xlpm.index_result, IFERROR(INDEX(_xlpm.lookup_table, _xlpm.row_match, _xlpm.col_match), Data!$J138),_xlpm.result_if_condition1, IF(_xlpm.data_j2_empty, _xlpm.index_result, Data!$J138),IF(_xlpm.is_coupler, 0, IF(_xlpm.condition1, _xlpm.result_if_condition1, SD!$C$43)))</f>
        <v>5-1</v>
      </c>
      <c r="CC138" s="24">
        <f t="shared" si="65"/>
        <v>5.083333333333333</v>
      </c>
      <c r="CD138">
        <f t="shared" si="66"/>
        <v>5.75</v>
      </c>
      <c r="CE138" t="str" cm="1">
        <f t="array" ref="CE138">IF(BY138="","",_xlfn._xlws.FILTER(SAC,(CName=SD!$C$8)*(EName="Vert Dowels")))</f>
        <v/>
      </c>
      <c r="CF138" t="str" cm="1">
        <f t="array" ref="CF138">IFERROR(IF(BY138="","",IF(K138="Coupler",_xlfn._xlws.FILTER(CCoupler,(CCName=SD!$C$8)*(CBSize=IF(A137=A138,W137&amp;W138,BX138&amp;W138))*(CCMFM="Male")),"")),"N/A")</f>
        <v/>
      </c>
      <c r="CG138" t="str">
        <f t="shared" si="67"/>
        <v/>
      </c>
      <c r="CH138" t="str">
        <f t="shared" si="68"/>
        <v/>
      </c>
      <c r="CI138" t="str">
        <f>_xlfn.LET(_xlpm.u3_value, U139,_xlpm.hyphen_pos,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K139="Coupler",_xlpm.coupler_value, IF(_xlpm.is_coupler, 0, _xlpm.calculated_value),_xlpm.final_value, _xlpm.calculated_value + SD!$E$13 + _xlpm.coupler_value,IF(CG138="", "", _xlpm.final_value))</f>
        <v/>
      </c>
      <c r="CJ138" t="str" cm="1">
        <f t="array" ref="CJ138">IF(CG138="","",_xlfn._xlws.FILTER(SAC,(CName=SD!$C$8)*(EName="Loose Dowels")))</f>
        <v/>
      </c>
      <c r="CK138" t="str" cm="1">
        <f t="array" ref="CK138">IFERROR(IF(CG138="","",IF(K139="Coupler",_xlfn._xlws.FILTER(CCoupler,(CCName=SD!$C$8)*(CBSize=IF(A138=A139,W138&amp;W139,""))*(CCMFM="Male")),"")),"N/A")</f>
        <v/>
      </c>
      <c r="CL138" t="str">
        <f>IFERROR(IF(AM138="Spiral","",IF(A137=A138,"",IF(SD!$C$37=0,"",SD!$C$37))),"")</f>
        <v/>
      </c>
      <c r="CN138">
        <f>IF(AM138="Spiral","",IFERROR(IF(SD!$C$36=0,"",SD!$C$36),""))</f>
        <v>5</v>
      </c>
      <c r="CP138" t="str">
        <f>IFERROR(IF(SD!$C$42=SD!$Q$3,'Take-off'!CA138,""),"")</f>
        <v/>
      </c>
      <c r="CR138">
        <f>IFERROR(IF(SD!$C$22=SD!$U$2,W138,SD!$C$22),"")</f>
        <v>0</v>
      </c>
      <c r="CS138" t="str" cm="1">
        <f t="array" ref="CS138">_xlfn.LET(_xlpm.GR,IF(AND(SD!$C$19=SD!$H$2,Grade!$G$1="Per level"),VLOOKUP(B138,Grade!$E$1:$F$200,2,FALSE),IF(AND(SD!$C$19=SD!$H$2,Grade!$G$1="Per Bar Size"),VLOOKUP(CR138,Grade!$B$1:$C$12,2,0),SD!$C$19)),IF(SD!$C$20=SD!$R$4,IF(A139=A138,"",INDEX(IF(_xlpm.GR=SD!$H$3,A615GR60,IF(_xlpm.GR=SD!$H$4,A615GR75,IF(_xlpm.GR=SD!$H$5,A615GR80,IF(_xlpm.GR=SD!H142,A615GR100,IF(_xlpm.GR=SD!$H$7,A706GR60,IF(_xlpm.GR=SD!$H$8,A706GR80)))))), MATCH(1, (BSize=CR138)*(BCName=SD!$C$8), 0))),""))</f>
        <v/>
      </c>
      <c r="CT138" t="str">
        <f>IF(A139=A138,"",IF(SD!$C$23="Match Vertical Bars ",X138,SD!$C$23))</f>
        <v/>
      </c>
      <c r="CU138" t="str" cm="1">
        <f t="array" ref="CU138">IF(A139=A138,"",IF(SD!$C$20="Top dowels",IF(SD!$E$25="No T-Head",IF(SD!$C$24=SD!$Q$3,VLOOKUP(CR138,S90Range,3,FALSE),LEFT(SD!$C$24,FIND("-",SD!$C$24)-1)+(RIGHT(SD!$C$24,LEN(SD!$C$24)-FIND("-",SD!$C$24))/12)),IF(SD!$E$25="T-Head",_xlfn._xlws.FILTER(THead,(TCName=SD!$C$8)*(TSize=CR138)),IF(SD!$E$25="Level Wise",_xlfn.LET(_xlpm.result,_xlfn.XLOOKUP(B138,TDLevel,TDLevelStatus,"No"),IF(_xlpm.result="Yes",_xlfn._xlws.FILTER(THead,(TCName=SD!$C$8)*(TSize=CR138)),IF(SD!$C$24=SD!$Q$3,VLOOKUP(CR138,S90Range,3,FALSE),LEFT(SD!$C$24,FIND("-",SD!$C$24)-1)+(RIGHT(SD!$C$24,LEN(SD!$C$24)-FIND("-", SD!$C$24))/12)))),IF(SD!$E$25="BarSize Wise",_xlfn.LET(_xlpm.result,_xlfn.XLOOKUP(CR138,TDBarSize,TDBarSizeStatus,"No"),IF(_xlpm.result="Yes",_xlfn._xlws.FILTER(THead,(TCName=SD!$C$8)*(TSize=CR138)),IF(SD!$C$24=SD!$Q$3,VLOOKUP(CR138,S90Range,3,FALSE),LEFT(SD!$C$24,FIND("-",SD!$C$24)-1)+(RIGHT(SD!$C$24,LEN(SD!$C$24)-FIND("-",SD!$C$24))/12)))), "")))),""))</f>
        <v/>
      </c>
      <c r="CV138" t="str">
        <f>_xlfn.LET(_xlpm.GRR,IF(AND(SD!$C$19=SD!$H$2,Grade!$G$1="Per level"),VLOOKUP(B138,Grade!$E$1:$F$200,2,FALSE),IF(AND(SD!$C$19=SD!$H$2,Grade!$G$1="Per Bar Size"),VLOOKUP(CR138,Grade!$B$1:$C$12,2,0),SD!$C$19)),IF(SD!$C$25=SD!$W$2,IF(Data!$J138="",IFERROR(INDEX(IF(SD!$C$11="Create",Lap!$A$3:$BF$14,IF(SD!$C$11="Per Uploaded File",Lap!$A$19:$BF$30,"")),MATCH(CR138,Lap!$A$3:$A$14,0),MATCH(VALUE(D138),Lap!$A$3:$BF$3,0)+IF(IFERROR(FIND("Grade 60",_xlpm.GRR),0)&gt;0,0,IF(IFERROR(FIND("Grade 80",_xlpm.GRR),0),1,IF(IFERROR(FIND("Grade 75",_xlpm.GRR),0),2,"")))),""),Data!J138),SD!$C$43))</f>
        <v>Match Lap</v>
      </c>
      <c r="CW138">
        <f t="shared" si="69"/>
        <v>0</v>
      </c>
      <c r="CX138">
        <f t="shared" si="70"/>
        <v>0</v>
      </c>
      <c r="CY138" t="str">
        <f t="shared" si="71"/>
        <v/>
      </c>
      <c r="DA138" t="str">
        <f t="shared" si="72"/>
        <v/>
      </c>
      <c r="DB138" t="str">
        <f t="shared" si="73"/>
        <v/>
      </c>
      <c r="DC138" s="24" t="str">
        <f t="shared" si="74"/>
        <v/>
      </c>
      <c r="DD138">
        <f t="shared" si="75"/>
        <v>10.583333333333334</v>
      </c>
      <c r="DE138" t="s">
        <v>785</v>
      </c>
      <c r="DF138" t="s">
        <v>67</v>
      </c>
      <c r="DG138" t="str">
        <f>VLOOKUP(W138,'Level Wise PSI'!$F$2:$G$12,2,FALSE)</f>
        <v>Double Lift</v>
      </c>
      <c r="DI138" t="str" cm="1">
        <f t="array" ref="DI138">_xlfn.LET(_xlpm.Coup,IFERROR(IF(BY138="","",IF(K138="Coupler",_xlfn._xlws.FILTER(CCFCoupler,(CCName=SD!$C$8)*(CBSize=IF(A137=A138,W137&amp;W138,BX138&amp;W138))),"")),"N/A"),IF(_xlpm.Coup=0,"",_xlpm.Coup))</f>
        <v/>
      </c>
      <c r="DJ138" t="str" cm="1">
        <f t="array" ref="DJ138">_xlfn.LET(_xlpm.Coup3,IFERROR(IF(CG138="","",IF(K139="Coupler",_xlfn._xlws.FILTER(CCFCoupler,(CCName=SD!$C$8)*(CBSize=IF(A138=A139,W138&amp;W139,""))),"")),"N/A"),IF(_xlpm.Coup3=0,"",_xlpm.Coup3))</f>
        <v/>
      </c>
      <c r="DK138" t="str" cm="1">
        <f t="array" ref="DK138">_xlfn.LET(_xlpm.Coup2,IFERROR(IF(A138&lt;&gt;A139,"",IF(DF138="No Lap","",IF(K139="Coupler",_xlfn._xlws.FILTER(CCFCoupler,(CCName=SD!$C$8)*(CBSize=IF(A137=A138,W138&amp;W139,W138&amp;W138))),""))),"N/A"),IF(_xlpm.Coup2=0,"",_xlpm.Coup2))</f>
        <v/>
      </c>
      <c r="DM138" t="str">
        <f>IF(AM138="Spiral","",IF(SD!$C$31=SD!$Y$3,SD!$E$32*2,""))</f>
        <v/>
      </c>
      <c r="DO138" s="24">
        <f t="shared" si="76"/>
        <v>2.5</v>
      </c>
      <c r="DQ138" t="str">
        <f t="shared" si="77"/>
        <v>Lig</v>
      </c>
      <c r="DR138" t="str">
        <f>IF(AM138="Spiral",((Y138-(SD!$E$12*2))/12),"")</f>
        <v/>
      </c>
      <c r="DS138" t="str">
        <f t="shared" si="78"/>
        <v/>
      </c>
      <c r="DT138" t="str">
        <f t="shared" si="79"/>
        <v/>
      </c>
      <c r="DU138" t="str">
        <f t="shared" si="80"/>
        <v/>
      </c>
    </row>
    <row r="139" spans="1:125" x14ac:dyDescent="0.25">
      <c r="A139">
        <v>46</v>
      </c>
      <c r="B139" t="s">
        <v>686</v>
      </c>
      <c r="C139" s="15">
        <v>2429</v>
      </c>
      <c r="D139" s="15">
        <v>10000</v>
      </c>
      <c r="E139" t="str">
        <f>IF(B139=Level!$A$2,SD!$C$14,SD!$C$13)</f>
        <v>0-8</v>
      </c>
      <c r="F139" s="15" t="s">
        <v>787</v>
      </c>
      <c r="G139" t="s">
        <v>742</v>
      </c>
      <c r="H139" t="str">
        <f>RIGHT(VLOOKUP(B139,Level!A:C,3,FALSE),LEN(VLOOKUP(B139,Level!A:C,3,FALSE))-1)</f>
        <v>10-7</v>
      </c>
      <c r="I139" t="s">
        <v>743</v>
      </c>
      <c r="J139" t="str">
        <f>IF(AND(SD!$C$19=SD!$H$2,Grade!$G$1="Per level"),VLOOKUP(B139,Grade!$E$1:$F$200,2,FALSE),IF(AND(SD!$C$19=SD!$H$2,Grade!$G$1="Per Bar Size"),VLOOKUP(W139,Grade!$B$1:$C$12,2,0),SD!$C$19))</f>
        <v>A615 Grade 60</v>
      </c>
      <c r="K139" t="s">
        <v>67</v>
      </c>
      <c r="L139" t="str">
        <f>IFERROR(IF(A139&lt;&gt;A140,"",IF(DF139="No Lap","",IF(K140="Lap",U139,IF(K140="Coupler",_xlfn._xlws.FILTER(CCoupler,(CCName=SD!$C$8)*(CBSize=IF(A138=A139,W139&amp;W140,W139&amp;W139))*(CCMFM="Male")),"")))),"N/A")</f>
        <v>5-1</v>
      </c>
      <c r="M139" t="str">
        <f t="shared" si="54"/>
        <v/>
      </c>
      <c r="N139" t="s">
        <v>719</v>
      </c>
      <c r="O139" t="s">
        <v>720</v>
      </c>
      <c r="P139" t="s">
        <v>719</v>
      </c>
      <c r="Q139" t="str">
        <f>IF(AND(SD!$C$29=SD!$P$2,Grade!$O$1="Per level"),VLOOKUP(B139,Grade!$M$1:$N$200,2,FALSE),IF(AND(SD!$C$29=SD!$P$2,Grade!$O$1="Per Bar Size"),VLOOKUP(LEFT(N139,FIND("@",N139)-2),Grade!$J$1:$K$12,2,0),SD!$C$29))</f>
        <v>A615 Grade 60</v>
      </c>
      <c r="R139" t="s">
        <v>742</v>
      </c>
      <c r="S139" s="57">
        <v>139</v>
      </c>
      <c r="U139" t="str">
        <f>IF(Data!$J139="",IFERROR(INDEX(IF(SD!$C$11="Create",Lap!$A$3:$BF$14,IF(SD!$C$11="Per Uploaded File",Lap!$A$19:$BF$30,"")),MATCH(W139,Lap!$A$3:$A$14,0),MATCH(VALUE(D139),Lap!$A$3:$BF$3,0)+IF(IFERROR(FIND("Grade 60",J139),0)&gt;0,0,IF(IFERROR(FIND("Grade 80",J139),0),1,IF(IFERROR(FIND("Grade 75",J139),0),2,"")))),""),Data!J139)</f>
        <v>5-1</v>
      </c>
      <c r="W139" t="s">
        <v>176</v>
      </c>
      <c r="X139">
        <v>6</v>
      </c>
      <c r="Y139" t="str">
        <f t="shared" si="55"/>
        <v>30</v>
      </c>
      <c r="Z139">
        <f t="shared" si="56"/>
        <v>0</v>
      </c>
      <c r="AA139" s="24">
        <f t="shared" si="57"/>
        <v>15.666666666666666</v>
      </c>
      <c r="BB139" t="e" cm="1">
        <f t="array" ref="BB139">_xlfn.LET(_xlpm.PartF,(_xlfn.LET(_xlpm.grade, Q139,_xlpm.gradeRange, IF(_xlpm.grade=SD!$H$3, A615GR60, IF(_xlpm.grade=SD!$H$4, A615GR75, IF(_xlpm.grade=SD!$H$5, A615GR80, IF(_xlpm.grade=SD!$H$6, A615GR100, IF(_xlpm.grade=SD!$H$7, A706GR60, IF(_xlpm.grade=SD!$H$8, A706GR80)))))),_xlpm.matchValue, MATCH(1, (SD!$AW:$AW=AS139)*(SD!$AX:$AX=SD!$C$8), 0),INDEX(_xlpm.gradeRange, _xlpm.matchValue))),IF(AM139="Spiral",CONCATENATE("SP",_xlpm.PartF),_xlpm.PartF))</f>
        <v>#N/A</v>
      </c>
      <c r="BC139" cm="1">
        <f t="array" ref="BC139">_xlfn.LET(_xlpm.leftPart, LEFT(O139, FIND("@", O139) - 2),_xlpm.grade,Q139,_xlpm.gradeRange,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39" cm="1">
        <f t="array" ref="BD139">_xlfn.LET(_xlpm.leftPart, LEFT(P139, FIND("@", P139) - 2),_xlpm.grade, Q139,_xlpm.gradeRange,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39">
        <f t="shared" si="58"/>
        <v>2.5</v>
      </c>
      <c r="BF139">
        <f>IF(SD!$C$32=SD!$I$2,BE139,IF(SD!$C$32=SD!$I$3,DO139,IF(SD!$C$32=SD!$I$5,BA139,IF(SD!$C$32=SD!$I$6,(LEFT(SD!$C$35,FIND("-",SD!$C$35)-1)+RIGHT(SD!$C$35,LEN(SD!$C$35)-FIND("-",SD!$C$35))/12),IF(SD!$C$32=SD!$I$4,(AU139-(BG139+BH139)))))))</f>
        <v>0</v>
      </c>
      <c r="BG139">
        <f>IF(SD!$C$33=SD!$I$2,BE139,IF(SD!$C$33=SD!$I$3,DO139,IF(SD!$C$33=SD!$I$5,BA139,IF(SD!$C$33=SD!$I$6,(LEFT(SD!$C$35,FIND("-",SD!$C$35)-1)+RIGHT(SD!$C$35,LEN(SD!$C$35)-FIND("-",SD!$C$35))/12),IF(SD!$C$33=SD!$I$4,(AU139-(BF139+BH139)))))))</f>
        <v>-1</v>
      </c>
      <c r="BH139">
        <f>IF(SD!$C$34=SD!$I$2,BE139,IF(SD!$C$34=SD!$I$3,DO139,IF(SD!$C$34=SD!$I$5,BA139,IF(SD!$C$34=SD!$I$6,(LEFT(SD!$C$35,FIND("-",SD!$C$35)-1)+RIGHT(SD!$C$35,LEN(SD!$C$35)-FIND("-",SD!$C$35))/12),IF(SD!$C$34=SD!$I$4,(AU139-(BF139+BG139)))))))</f>
        <v>1</v>
      </c>
      <c r="BJ139">
        <f>IF(AM139="Spiral","1",MAX(ROUNDUP(IF(SD!$C$32="",AT139,BF139/(LEFT(RIGHT(N139,LEN(N139)-FIND("@",N139)),LEN(RIGHT(N139,LEN(N139)-FIND("@",N139)))-1)/12)+1),0),0))</f>
        <v>1</v>
      </c>
      <c r="BK139">
        <f>MAX(ROUNDUP(IF(SD!$C$33="","",BG139/(LEFT(RIGHT(O139,LEN(O139)-FIND("@",O139)),LEN(RIGHT(O139,LEN(O139)-FIND("@",O139)))-1)/12)+1),0),0)</f>
        <v>0</v>
      </c>
      <c r="BL139">
        <f>MAX(ROUNDUP(IF(SD!$C$34="","",BH139/(LEFT(RIGHT(P139,LEN(P139)-FIND("@",P139)),LEN(RIGHT(P139,LEN(P139)-FIND("@",P139)))-1)/12)+1),0),0)</f>
        <v>3</v>
      </c>
      <c r="BN139" t="e">
        <f t="shared" si="59"/>
        <v>#N/A</v>
      </c>
      <c r="BO139" t="e">
        <f t="shared" si="60"/>
        <v>#N/A</v>
      </c>
      <c r="BP139" t="e">
        <f t="shared" si="61"/>
        <v>#N/A</v>
      </c>
      <c r="BQ139" s="24" t="e">
        <f>IF(AM139=TRUE,(((Y139-(SD!$E$12*2))*3.14159265359)+BN139+BO139+BP139)/12+AL139,SUM(AF139:AG139,BN139,BO139,BP139,AO139,AQ139)/12)</f>
        <v>#N/A</v>
      </c>
      <c r="BR139" t="e">
        <f t="shared" si="62"/>
        <v>#N/A</v>
      </c>
      <c r="BS139" t="e">
        <f t="shared" si="63"/>
        <v>#N/A</v>
      </c>
      <c r="BT139" t="e">
        <f t="shared" si="64"/>
        <v>#N/A</v>
      </c>
      <c r="BU139" s="24" t="e">
        <f>IF(AM139=TRUE,(((Y139-(SD!$E$12*2))*3.14159265359)+BR139+BS139+BT139)/12+AL139,SUM(AF139:AG139,BR139,BS139,BT139,AO139,AQ139)/12)</f>
        <v>#N/A</v>
      </c>
      <c r="BW139" t="str">
        <f>IFERROR(LEFT(Data!L139,FIND(" -",Data!L139)-1),"")</f>
        <v/>
      </c>
      <c r="BX139" t="str">
        <f>IFERROR(IF(SD!$C$40=SD!$U$2,W139,IF(SD!$C$40=SD!$U$3,RIGHT(Data!L139,LEN(Data!L139)-(FIND("-",Data!L139)+1)),SD!$C$40)),"")</f>
        <v>#10</v>
      </c>
      <c r="BY139" t="str" cm="1">
        <f t="array" ref="BY139">IFERROR(_xlfn.LET(_xlpm.GRR,IF(AND(SD!$C$19=SD!$H$2,Grade!$G$1="Per level"),VLOOKUP(B139,Grade!$E$1:$F$200,2,FALSE),IF(AND(SD!$C$19=SD!$H$2,Grade!$G$1="Per Bar Size"),VLOOKUP(BX139,Grade!$B$1:$C$12,2,0),SD!$C$19)),_xlpm.is_equal, A138=A139,_xlpm.grade_range, IF(_xlpm.GRR=SD!$H$3, A615GR60,IF(_xlpm.GRR=SD!$H$4, A615GR75,IF(_xlpm.GRR=SD!$H$5, A615GR80,IF(_xlpm.GRR=SD!H143, A615GR100,IF(_xlpm.GRR=SD!$H$7, A706GR60,IF(_xlpm.GRR=SD!$H$8, A706GR80)))))),_xlpm.match_result, MATCH(1, (BSize=BX139)*(BCName=SD!$C$8), 0),_xlpm.final_result, INDEX(_xlpm.grade_range, _xlpm.match_result),IF(_xlpm.is_equal, "", _xlpm.final_result)),"")</f>
        <v/>
      </c>
      <c r="BZ139" t="str">
        <f>IF(A138=A139,"",IF(SD!$C$41="Match Vertical Bars ",X139,IF(SD!$C$41=SD!$V$3,BW139,SD!$C$41)))</f>
        <v/>
      </c>
      <c r="CA139" t="str" cm="1">
        <f t="array" ref="CA139">IF(A138=A139,"",IF(SD!$C$44="No T-Head",IF(SD!$C$42=SD!$Q$3,VLOOKUP(BX139,S90Range,3,FALSE),LEFT(SD!$C$42,FIND("-",SD!$C$42)-1)+(RIGHT(SD!$C$42,LEN(SD!$C$42)-FIND("-",SD!$C$42))/12)),IF(SD!$C$44="T-Head",_xlfn._xlws.FILTER(THead,(TCName=SD!$C$8)*(TSize=BX139)),IF(SD!$C$44="Level Wise",_xlfn.LET(_xlpm.result,_xlfn.XLOOKUP(B139,VDLevel,VDLevelStatus,"No"),IF(_xlpm.result="Yes",_xlfn._xlws.FILTER(THead,(TCName=SD!$C$8)*(TSize=BX139)),IF(SD!$C$42=SD!$Q$3,VLOOKUP(BX139,S90Range,3,FALSE),LEFT(SD!$C$42,FIND("-",SD!$C$42)-1)+(RIGHT(SD!$C$42,LEN(SD!$C$42)-FIND("-", SD!$C$42))/12)))),IF(SD!$C$44="BarSize Wise",_xlfn.LET(_xlpm.result,_xlfn.XLOOKUP(BX139,VDBarSize,VDBarSizeStatus,"No"),IF(_xlpm.result="Yes",_xlfn._xlws.FILTER(THead,(TCName=SD!$C$8)*(TSize=BX139)),IF(SD!$C$42=SD!$Q$3,VLOOKUP(BX139,S90Range,3,FALSE),LEFT(SD!$C$42,FIND("-",SD!$C$42)-1)+(RIGHT(SD!$C$42,LEN(SD!$C$42)-FIND("-",SD!$C$42))/12)))), "")))))</f>
        <v/>
      </c>
      <c r="CB139" t="str" cm="1">
        <f t="array" ref="CB139">_xlfn.LET(_xlpm.GRR,IF(AND(SD!$C$19=SD!$H$2,Grade!$G$1="Per level"),VLOOKUP(B139,Grade!$E$1:$F$200,2,FALSE),IF(AND(SD!$C$19=SD!$H$2,Grade!$G$1="Per Bar Size"),VLOOKUP(BX139,Grade!$B$1:$C$12,2,0),SD!$C$19)),_xlpm.is_coupler, K139="Coupler",_xlpm.condition1, SD!$C$43=SD!$W$2,_xlpm.data_j2_empty, Data!$J139="",_xlpm.lookup_table, IF(SD!$C$11="Create", Lap!$A$3:$BF$14, IF(SD!$C$11="Per Uploaded File", Lap!$A$19:$BF$30, "")),_xlpm.row_match, MATCH(BX139, Lap!$A$3:$A$14, 0),_xlpm.grade_offset, IF(IFERROR(FIND("Grade 60",_xlpm.GRR), 0) &gt; 0, 0, IF(IFERROR(FIND("Grade 80",_xlpm.GRR), 0), 1, IF(IFERROR(FIND("Grade 75",_xlpm.GRR), 0), 2, ""))),_xlpm.col_match, MATCH(VALUE(D139), Lap!$A$3:$BF$3, 0) + _xlpm.grade_offset,_xlpm.index_result, IFERROR(INDEX(_xlpm.lookup_table, _xlpm.row_match, _xlpm.col_match), Data!$J139),_xlpm.result_if_condition1, IF(_xlpm.data_j2_empty, _xlpm.index_result, Data!$J139),IF(_xlpm.is_coupler, 0, IF(_xlpm.condition1, _xlpm.result_if_condition1, SD!$C$43)))</f>
        <v>5-1</v>
      </c>
      <c r="CC139" s="24">
        <f t="shared" si="65"/>
        <v>5.083333333333333</v>
      </c>
      <c r="CD139">
        <f t="shared" si="66"/>
        <v>5.75</v>
      </c>
      <c r="CE139" t="str" cm="1">
        <f t="array" ref="CE139">IF(BY139="","",_xlfn._xlws.FILTER(SAC,(CName=SD!$C$8)*(EName="Vert Dowels")))</f>
        <v/>
      </c>
      <c r="CF139" t="str" cm="1">
        <f t="array" ref="CF139">IFERROR(IF(BY139="","",IF(K139="Coupler",_xlfn._xlws.FILTER(CCoupler,(CCName=SD!$C$8)*(CBSize=IF(A138=A139,W138&amp;W139,BX139&amp;W139))*(CCMFM="Male")),"")),"N/A")</f>
        <v/>
      </c>
      <c r="CG139" t="str">
        <f t="shared" si="67"/>
        <v/>
      </c>
      <c r="CH139" t="str">
        <f t="shared" si="68"/>
        <v/>
      </c>
      <c r="CI139" t="str">
        <f>_xlfn.LET(_xlpm.u3_value, U140,_xlpm.hyphen_pos,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K140="Coupler",_xlpm.coupler_value, IF(_xlpm.is_coupler, 0, _xlpm.calculated_value),_xlpm.final_value, _xlpm.calculated_value + SD!$E$13 + _xlpm.coupler_value,IF(CG139="", "", _xlpm.final_value))</f>
        <v/>
      </c>
      <c r="CJ139" t="str" cm="1">
        <f t="array" ref="CJ139">IF(CG139="","",_xlfn._xlws.FILTER(SAC,(CName=SD!$C$8)*(EName="Loose Dowels")))</f>
        <v/>
      </c>
      <c r="CK139" t="str" cm="1">
        <f t="array" ref="CK139">IFERROR(IF(CG139="","",IF(K140="Coupler",_xlfn._xlws.FILTER(CCoupler,(CCName=SD!$C$8)*(CBSize=IF(A139=A140,W139&amp;W140,""))*(CCMFM="Male")),"")),"N/A")</f>
        <v/>
      </c>
      <c r="CL139" t="str">
        <f>IFERROR(IF(AM139="Spiral","",IF(A138=A139,"",IF(SD!$C$37=0,"",SD!$C$37))),"")</f>
        <v/>
      </c>
      <c r="CN139">
        <f>IF(AM139="Spiral","",IFERROR(IF(SD!$C$36=0,"",SD!$C$36),""))</f>
        <v>5</v>
      </c>
      <c r="CP139" t="str">
        <f>IFERROR(IF(SD!$C$42=SD!$Q$3,'Take-off'!CA139,""),"")</f>
        <v/>
      </c>
      <c r="CR139">
        <f>IFERROR(IF(SD!$C$22=SD!$U$2,W139,SD!$C$22),"")</f>
        <v>0</v>
      </c>
      <c r="CS139" t="str" cm="1">
        <f t="array" ref="CS139">_xlfn.LET(_xlpm.GR,IF(AND(SD!$C$19=SD!$H$2,Grade!$G$1="Per level"),VLOOKUP(B139,Grade!$E$1:$F$200,2,FALSE),IF(AND(SD!$C$19=SD!$H$2,Grade!$G$1="Per Bar Size"),VLOOKUP(CR139,Grade!$B$1:$C$12,2,0),SD!$C$19)),IF(SD!$C$20=SD!$R$4,IF(A140=A139,"",INDEX(IF(_xlpm.GR=SD!$H$3,A615GR60,IF(_xlpm.GR=SD!$H$4,A615GR75,IF(_xlpm.GR=SD!$H$5,A615GR80,IF(_xlpm.GR=SD!H143,A615GR100,IF(_xlpm.GR=SD!$H$7,A706GR60,IF(_xlpm.GR=SD!$H$8,A706GR80)))))), MATCH(1, (BSize=CR139)*(BCName=SD!$C$8), 0))),""))</f>
        <v/>
      </c>
      <c r="CT139" t="str">
        <f>IF(A140=A139,"",IF(SD!$C$23="Match Vertical Bars ",X139,SD!$C$23))</f>
        <v/>
      </c>
      <c r="CU139" t="str" cm="1">
        <f t="array" ref="CU139">IF(A140=A139,"",IF(SD!$C$20="Top dowels",IF(SD!$E$25="No T-Head",IF(SD!$C$24=SD!$Q$3,VLOOKUP(CR139,S90Range,3,FALSE),LEFT(SD!$C$24,FIND("-",SD!$C$24)-1)+(RIGHT(SD!$C$24,LEN(SD!$C$24)-FIND("-",SD!$C$24))/12)),IF(SD!$E$25="T-Head",_xlfn._xlws.FILTER(THead,(TCName=SD!$C$8)*(TSize=CR139)),IF(SD!$E$25="Level Wise",_xlfn.LET(_xlpm.result,_xlfn.XLOOKUP(B139,TDLevel,TDLevelStatus,"No"),IF(_xlpm.result="Yes",_xlfn._xlws.FILTER(THead,(TCName=SD!$C$8)*(TSize=CR139)),IF(SD!$C$24=SD!$Q$3,VLOOKUP(CR139,S90Range,3,FALSE),LEFT(SD!$C$24,FIND("-",SD!$C$24)-1)+(RIGHT(SD!$C$24,LEN(SD!$C$24)-FIND("-", SD!$C$24))/12)))),IF(SD!$E$25="BarSize Wise",_xlfn.LET(_xlpm.result,_xlfn.XLOOKUP(CR139,TDBarSize,TDBarSizeStatus,"No"),IF(_xlpm.result="Yes",_xlfn._xlws.FILTER(THead,(TCName=SD!$C$8)*(TSize=CR139)),IF(SD!$C$24=SD!$Q$3,VLOOKUP(CR139,S90Range,3,FALSE),LEFT(SD!$C$24,FIND("-",SD!$C$24)-1)+(RIGHT(SD!$C$24,LEN(SD!$C$24)-FIND("-",SD!$C$24))/12)))), "")))),""))</f>
        <v/>
      </c>
      <c r="CV139" t="str">
        <f>_xlfn.LET(_xlpm.GRR,IF(AND(SD!$C$19=SD!$H$2,Grade!$G$1="Per level"),VLOOKUP(B139,Grade!$E$1:$F$200,2,FALSE),IF(AND(SD!$C$19=SD!$H$2,Grade!$G$1="Per Bar Size"),VLOOKUP(CR139,Grade!$B$1:$C$12,2,0),SD!$C$19)),IF(SD!$C$25=SD!$W$2,IF(Data!$J139="",IFERROR(INDEX(IF(SD!$C$11="Create",Lap!$A$3:$BF$14,IF(SD!$C$11="Per Uploaded File",Lap!$A$19:$BF$30,"")),MATCH(CR139,Lap!$A$3:$A$14,0),MATCH(VALUE(D139),Lap!$A$3:$BF$3,0)+IF(IFERROR(FIND("Grade 60",_xlpm.GRR),0)&gt;0,0,IF(IFERROR(FIND("Grade 80",_xlpm.GRR),0),1,IF(IFERROR(FIND("Grade 75",_xlpm.GRR),0),2,"")))),""),Data!J139),SD!$C$43))</f>
        <v>Match Lap</v>
      </c>
      <c r="CW139">
        <f t="shared" si="69"/>
        <v>0</v>
      </c>
      <c r="CX139">
        <f t="shared" si="70"/>
        <v>0</v>
      </c>
      <c r="CY139" t="str">
        <f t="shared" si="71"/>
        <v/>
      </c>
      <c r="DA139" t="str">
        <f t="shared" si="72"/>
        <v/>
      </c>
      <c r="DB139" t="str">
        <f t="shared" si="73"/>
        <v/>
      </c>
      <c r="DC139" s="24" t="str">
        <f t="shared" si="74"/>
        <v/>
      </c>
      <c r="DD139">
        <f t="shared" si="75"/>
        <v>10.583333333333334</v>
      </c>
      <c r="DE139" t="s">
        <v>785</v>
      </c>
      <c r="DF139" t="s">
        <v>67</v>
      </c>
      <c r="DG139" t="str">
        <f>VLOOKUP(W139,'Level Wise PSI'!$F$2:$G$12,2,FALSE)</f>
        <v>Double Lift</v>
      </c>
      <c r="DI139" t="str" cm="1">
        <f t="array" ref="DI139">_xlfn.LET(_xlpm.Coup,IFERROR(IF(BY139="","",IF(K139="Coupler",_xlfn._xlws.FILTER(CCFCoupler,(CCName=SD!$C$8)*(CBSize=IF(A138=A139,W138&amp;W139,BX139&amp;W139))),"")),"N/A"),IF(_xlpm.Coup=0,"",_xlpm.Coup))</f>
        <v/>
      </c>
      <c r="DJ139" t="str" cm="1">
        <f t="array" ref="DJ139">_xlfn.LET(_xlpm.Coup3,IFERROR(IF(CG139="","",IF(K140="Coupler",_xlfn._xlws.FILTER(CCFCoupler,(CCName=SD!$C$8)*(CBSize=IF(A139=A140,W139&amp;W140,""))),"")),"N/A"),IF(_xlpm.Coup3=0,"",_xlpm.Coup3))</f>
        <v/>
      </c>
      <c r="DK139" t="str" cm="1">
        <f t="array" ref="DK139">_xlfn.LET(_xlpm.Coup2,IFERROR(IF(A139&lt;&gt;A140,"",IF(DF139="No Lap","",IF(K140="Coupler",_xlfn._xlws.FILTER(CCFCoupler,(CCName=SD!$C$8)*(CBSize=IF(A138=A139,W139&amp;W140,W139&amp;W139))),""))),"N/A"),IF(_xlpm.Coup2=0,"",_xlpm.Coup2))</f>
        <v/>
      </c>
      <c r="DM139" t="str">
        <f>IF(AM139="Spiral","",IF(SD!$C$31=SD!$Y$3,SD!$E$32*2,""))</f>
        <v/>
      </c>
      <c r="DO139" s="24">
        <f t="shared" si="76"/>
        <v>2.5</v>
      </c>
      <c r="DQ139" t="str">
        <f t="shared" si="77"/>
        <v>Lig</v>
      </c>
      <c r="DR139" t="str">
        <f>IF(AM139="Spiral",((Y139-(SD!$E$12*2))/12),"")</f>
        <v/>
      </c>
      <c r="DS139" t="str">
        <f t="shared" si="78"/>
        <v/>
      </c>
      <c r="DT139" t="str">
        <f t="shared" si="79"/>
        <v/>
      </c>
      <c r="DU139" t="str">
        <f t="shared" si="80"/>
        <v/>
      </c>
    </row>
    <row r="140" spans="1:125" x14ac:dyDescent="0.25">
      <c r="A140">
        <v>46</v>
      </c>
      <c r="B140" t="s">
        <v>688</v>
      </c>
      <c r="C140" s="15">
        <v>2429</v>
      </c>
      <c r="D140" s="15">
        <v>10000</v>
      </c>
      <c r="E140" t="str">
        <f>IF(B140=Level!$A$2,SD!$C$14,SD!$C$13)</f>
        <v>0-8</v>
      </c>
      <c r="F140" s="15" t="s">
        <v>787</v>
      </c>
      <c r="G140" t="s">
        <v>742</v>
      </c>
      <c r="H140" t="str">
        <f>RIGHT(VLOOKUP(B140,Level!A:C,3,FALSE),LEN(VLOOKUP(B140,Level!A:C,3,FALSE))-1)</f>
        <v>10-7</v>
      </c>
      <c r="I140" t="s">
        <v>744</v>
      </c>
      <c r="J140" t="str">
        <f>IF(AND(SD!$C$19=SD!$H$2,Grade!$G$1="Per level"),VLOOKUP(B140,Grade!$E$1:$F$200,2,FALSE),IF(AND(SD!$C$19=SD!$H$2,Grade!$G$1="Per Bar Size"),VLOOKUP(W140,Grade!$B$1:$C$12,2,0),SD!$C$19))</f>
        <v>A615 Grade 60</v>
      </c>
      <c r="K140" t="s">
        <v>67</v>
      </c>
      <c r="L140" t="str">
        <f>IFERROR(IF(A140&lt;&gt;A141,"",IF(DF140="No Lap","",IF(K141="Lap",U140,IF(K141="Coupler",_xlfn._xlws.FILTER(CCoupler,(CCName=SD!$C$8)*(CBSize=IF(A139=A140,W140&amp;W141,W140&amp;W140))*(CCMFM="Male")),"")))),"N/A")</f>
        <v/>
      </c>
      <c r="M140" t="str">
        <f t="shared" si="54"/>
        <v/>
      </c>
      <c r="N140" t="s">
        <v>719</v>
      </c>
      <c r="O140" t="s">
        <v>720</v>
      </c>
      <c r="P140" t="s">
        <v>719</v>
      </c>
      <c r="Q140" t="str">
        <f>IF(AND(SD!$C$29=SD!$P$2,Grade!$O$1="Per level"),VLOOKUP(B140,Grade!$M$1:$N$200,2,FALSE),IF(AND(SD!$C$29=SD!$P$2,Grade!$O$1="Per Bar Size"),VLOOKUP(LEFT(N140,FIND("@",N140)-2),Grade!$J$1:$K$12,2,0),SD!$C$29))</f>
        <v>A615 Grade 60</v>
      </c>
      <c r="R140" t="s">
        <v>742</v>
      </c>
      <c r="S140" s="57">
        <v>140</v>
      </c>
      <c r="U140" t="str">
        <f>IF(Data!$J140="",IFERROR(INDEX(IF(SD!$C$11="Create",Lap!$A$3:$BF$14,IF(SD!$C$11="Per Uploaded File",Lap!$A$19:$BF$30,"")),MATCH(W140,Lap!$A$3:$A$14,0),MATCH(VALUE(D140),Lap!$A$3:$BF$3,0)+IF(IFERROR(FIND("Grade 60",J140),0)&gt;0,0,IF(IFERROR(FIND("Grade 80",J140),0),1,IF(IFERROR(FIND("Grade 75",J140),0),2,"")))),""),Data!J140)</f>
        <v>4-0</v>
      </c>
      <c r="W140" t="s">
        <v>151</v>
      </c>
      <c r="X140">
        <v>10</v>
      </c>
      <c r="Y140" t="str">
        <f t="shared" si="55"/>
        <v>30</v>
      </c>
      <c r="Z140">
        <f t="shared" si="56"/>
        <v>0</v>
      </c>
      <c r="AA140" s="24">
        <f t="shared" si="57"/>
        <v>10.583333333333334</v>
      </c>
      <c r="BB140" t="e" cm="1">
        <f t="array" ref="BB140">_xlfn.LET(_xlpm.PartF,(_xlfn.LET(_xlpm.grade, Q140,_xlpm.gradeRange, IF(_xlpm.grade=SD!$H$3, A615GR60, IF(_xlpm.grade=SD!$H$4, A615GR75, IF(_xlpm.grade=SD!$H$5, A615GR80, IF(_xlpm.grade=SD!$H$6, A615GR100, IF(_xlpm.grade=SD!$H$7, A706GR60, IF(_xlpm.grade=SD!$H$8, A706GR80)))))),_xlpm.matchValue, MATCH(1, (SD!$AW:$AW=AS140)*(SD!$AX:$AX=SD!$C$8), 0),INDEX(_xlpm.gradeRange, _xlpm.matchValue))),IF(AM140="Spiral",CONCATENATE("SP",_xlpm.PartF),_xlpm.PartF))</f>
        <v>#N/A</v>
      </c>
      <c r="BC140" cm="1">
        <f t="array" ref="BC140">_xlfn.LET(_xlpm.leftPart, LEFT(O140, FIND("@", O140) - 2),_xlpm.grade,Q140,_xlpm.gradeRange,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0" cm="1">
        <f t="array" ref="BD140">_xlfn.LET(_xlpm.leftPart, LEFT(P140, FIND("@", P140) - 2),_xlpm.grade, Q140,_xlpm.gradeRange,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0">
        <f t="shared" si="58"/>
        <v>2.5</v>
      </c>
      <c r="BF140">
        <f>IF(SD!$C$32=SD!$I$2,BE140,IF(SD!$C$32=SD!$I$3,DO140,IF(SD!$C$32=SD!$I$5,BA140,IF(SD!$C$32=SD!$I$6,(LEFT(SD!$C$35,FIND("-",SD!$C$35)-1)+RIGHT(SD!$C$35,LEN(SD!$C$35)-FIND("-",SD!$C$35))/12),IF(SD!$C$32=SD!$I$4,(AU140-(BG140+BH140)))))))</f>
        <v>0</v>
      </c>
      <c r="BG140">
        <f>IF(SD!$C$33=SD!$I$2,BE140,IF(SD!$C$33=SD!$I$3,DO140,IF(SD!$C$33=SD!$I$5,BA140,IF(SD!$C$33=SD!$I$6,(LEFT(SD!$C$35,FIND("-",SD!$C$35)-1)+RIGHT(SD!$C$35,LEN(SD!$C$35)-FIND("-",SD!$C$35))/12),IF(SD!$C$33=SD!$I$4,(AU140-(BF140+BH140)))))))</f>
        <v>-1</v>
      </c>
      <c r="BH140">
        <f>IF(SD!$C$34=SD!$I$2,BE140,IF(SD!$C$34=SD!$I$3,DO140,IF(SD!$C$34=SD!$I$5,BA140,IF(SD!$C$34=SD!$I$6,(LEFT(SD!$C$35,FIND("-",SD!$C$35)-1)+RIGHT(SD!$C$35,LEN(SD!$C$35)-FIND("-",SD!$C$35))/12),IF(SD!$C$34=SD!$I$4,(AU140-(BF140+BG140)))))))</f>
        <v>1</v>
      </c>
      <c r="BJ140">
        <f>IF(AM140="Spiral","1",MAX(ROUNDUP(IF(SD!$C$32="",AT140,BF140/(LEFT(RIGHT(N140,LEN(N140)-FIND("@",N140)),LEN(RIGHT(N140,LEN(N140)-FIND("@",N140)))-1)/12)+1),0),0))</f>
        <v>1</v>
      </c>
      <c r="BK140">
        <f>MAX(ROUNDUP(IF(SD!$C$33="","",BG140/(LEFT(RIGHT(O140,LEN(O140)-FIND("@",O140)),LEN(RIGHT(O140,LEN(O140)-FIND("@",O140)))-1)/12)+1),0),0)</f>
        <v>0</v>
      </c>
      <c r="BL140">
        <f>MAX(ROUNDUP(IF(SD!$C$34="","",BH140/(LEFT(RIGHT(P140,LEN(P140)-FIND("@",P140)),LEN(RIGHT(P140,LEN(P140)-FIND("@",P140)))-1)/12)+1),0),0)</f>
        <v>3</v>
      </c>
      <c r="BN140" t="e">
        <f t="shared" si="59"/>
        <v>#N/A</v>
      </c>
      <c r="BO140" t="e">
        <f t="shared" si="60"/>
        <v>#N/A</v>
      </c>
      <c r="BP140" t="e">
        <f t="shared" si="61"/>
        <v>#N/A</v>
      </c>
      <c r="BQ140" s="24" t="e">
        <f>IF(AM140=TRUE,(((Y140-(SD!$E$12*2))*3.14159265359)+BN140+BO140+BP140)/12+AL140,SUM(AF140:AG140,BN140,BO140,BP140,AO140,AQ140)/12)</f>
        <v>#N/A</v>
      </c>
      <c r="BR140" t="e">
        <f t="shared" si="62"/>
        <v>#N/A</v>
      </c>
      <c r="BS140" t="e">
        <f t="shared" si="63"/>
        <v>#N/A</v>
      </c>
      <c r="BT140" t="e">
        <f t="shared" si="64"/>
        <v>#N/A</v>
      </c>
      <c r="BU140" s="24" t="e">
        <f>IF(AM140=TRUE,(((Y140-(SD!$E$12*2))*3.14159265359)+BR140+BS140+BT140)/12+AL140,SUM(AF140:AG140,BR140,BS140,BT140,AO140,AQ140)/12)</f>
        <v>#N/A</v>
      </c>
      <c r="BW140" t="str">
        <f>IFERROR(LEFT(Data!L140,FIND(" -",Data!L140)-1),"")</f>
        <v/>
      </c>
      <c r="BX140" t="str">
        <f>IFERROR(IF(SD!$C$40=SD!$U$2,W140,IF(SD!$C$40=SD!$U$3,RIGHT(Data!L140,LEN(Data!L140)-(FIND("-",Data!L140)+1)),SD!$C$40)),"")</f>
        <v>#8</v>
      </c>
      <c r="BY140" t="str" cm="1">
        <f t="array" ref="BY140">IFERROR(_xlfn.LET(_xlpm.GRR,IF(AND(SD!$C$19=SD!$H$2,Grade!$G$1="Per level"),VLOOKUP(B140,Grade!$E$1:$F$200,2,FALSE),IF(AND(SD!$C$19=SD!$H$2,Grade!$G$1="Per Bar Size"),VLOOKUP(BX140,Grade!$B$1:$C$12,2,0),SD!$C$19)),_xlpm.is_equal, A139=A140,_xlpm.grade_range, IF(_xlpm.GRR=SD!$H$3, A615GR60,IF(_xlpm.GRR=SD!$H$4, A615GR75,IF(_xlpm.GRR=SD!$H$5, A615GR80,IF(_xlpm.GRR=SD!H144, A615GR100,IF(_xlpm.GRR=SD!$H$7, A706GR60,IF(_xlpm.GRR=SD!$H$8, A706GR80)))))),_xlpm.match_result, MATCH(1, (BSize=BX140)*(BCName=SD!$C$8), 0),_xlpm.final_result, INDEX(_xlpm.grade_range, _xlpm.match_result),IF(_xlpm.is_equal, "", _xlpm.final_result)),"")</f>
        <v/>
      </c>
      <c r="BZ140" t="str">
        <f>IF(A139=A140,"",IF(SD!$C$41="Match Vertical Bars ",X140,IF(SD!$C$41=SD!$V$3,BW140,SD!$C$41)))</f>
        <v/>
      </c>
      <c r="CA140" t="str" cm="1">
        <f t="array" ref="CA140">IF(A139=A140,"",IF(SD!$C$44="No T-Head",IF(SD!$C$42=SD!$Q$3,VLOOKUP(BX140,S90Range,3,FALSE),LEFT(SD!$C$42,FIND("-",SD!$C$42)-1)+(RIGHT(SD!$C$42,LEN(SD!$C$42)-FIND("-",SD!$C$42))/12)),IF(SD!$C$44="T-Head",_xlfn._xlws.FILTER(THead,(TCName=SD!$C$8)*(TSize=BX140)),IF(SD!$C$44="Level Wise",_xlfn.LET(_xlpm.result,_xlfn.XLOOKUP(B140,VDLevel,VDLevelStatus,"No"),IF(_xlpm.result="Yes",_xlfn._xlws.FILTER(THead,(TCName=SD!$C$8)*(TSize=BX140)),IF(SD!$C$42=SD!$Q$3,VLOOKUP(BX140,S90Range,3,FALSE),LEFT(SD!$C$42,FIND("-",SD!$C$42)-1)+(RIGHT(SD!$C$42,LEN(SD!$C$42)-FIND("-", SD!$C$42))/12)))),IF(SD!$C$44="BarSize Wise",_xlfn.LET(_xlpm.result,_xlfn.XLOOKUP(BX140,VDBarSize,VDBarSizeStatus,"No"),IF(_xlpm.result="Yes",_xlfn._xlws.FILTER(THead,(TCName=SD!$C$8)*(TSize=BX140)),IF(SD!$C$42=SD!$Q$3,VLOOKUP(BX140,S90Range,3,FALSE),LEFT(SD!$C$42,FIND("-",SD!$C$42)-1)+(RIGHT(SD!$C$42,LEN(SD!$C$42)-FIND("-",SD!$C$42))/12)))), "")))))</f>
        <v/>
      </c>
      <c r="CB140" t="str" cm="1">
        <f t="array" ref="CB140">_xlfn.LET(_xlpm.GRR,IF(AND(SD!$C$19=SD!$H$2,Grade!$G$1="Per level"),VLOOKUP(B140,Grade!$E$1:$F$200,2,FALSE),IF(AND(SD!$C$19=SD!$H$2,Grade!$G$1="Per Bar Size"),VLOOKUP(BX140,Grade!$B$1:$C$12,2,0),SD!$C$19)),_xlpm.is_coupler, K140="Coupler",_xlpm.condition1, SD!$C$43=SD!$W$2,_xlpm.data_j2_empty, Data!$J140="",_xlpm.lookup_table, IF(SD!$C$11="Create", Lap!$A$3:$BF$14, IF(SD!$C$11="Per Uploaded File", Lap!$A$19:$BF$30, "")),_xlpm.row_match, MATCH(BX140, Lap!$A$3:$A$14, 0),_xlpm.grade_offset, IF(IFERROR(FIND("Grade 60",_xlpm.GRR), 0) &gt; 0, 0, IF(IFERROR(FIND("Grade 80",_xlpm.GRR), 0), 1, IF(IFERROR(FIND("Grade 75",_xlpm.GRR), 0), 2, ""))),_xlpm.col_match, MATCH(VALUE(D140), Lap!$A$3:$BF$3, 0) + _xlpm.grade_offset,_xlpm.index_result, IFERROR(INDEX(_xlpm.lookup_table, _xlpm.row_match, _xlpm.col_match), Data!$J140),_xlpm.result_if_condition1, IF(_xlpm.data_j2_empty, _xlpm.index_result, Data!$J140),IF(_xlpm.is_coupler, 0, IF(_xlpm.condition1, _xlpm.result_if_condition1, SD!$C$43)))</f>
        <v>4-0</v>
      </c>
      <c r="CC140" s="24">
        <f t="shared" si="65"/>
        <v>4</v>
      </c>
      <c r="CD140">
        <f t="shared" si="66"/>
        <v>4.666666666666667</v>
      </c>
      <c r="CE140" t="str" cm="1">
        <f t="array" ref="CE140">IF(BY140="","",_xlfn._xlws.FILTER(SAC,(CName=SD!$C$8)*(EName="Vert Dowels")))</f>
        <v/>
      </c>
      <c r="CF140" t="str" cm="1">
        <f t="array" ref="CF140">IFERROR(IF(BY140="","",IF(K140="Coupler",_xlfn._xlws.FILTER(CCoupler,(CCName=SD!$C$8)*(CBSize=IF(A139=A140,W139&amp;W140,BX140&amp;W140))*(CCMFM="Male")),"")),"N/A")</f>
        <v/>
      </c>
      <c r="CG140" t="str">
        <f t="shared" si="67"/>
        <v/>
      </c>
      <c r="CH140" t="str">
        <f t="shared" si="68"/>
        <v/>
      </c>
      <c r="CI140" t="str">
        <f>_xlfn.LET(_xlpm.u3_value, U141,_xlpm.hyphen_pos,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K141="Coupler",_xlpm.coupler_value, IF(_xlpm.is_coupler, 0, _xlpm.calculated_value),_xlpm.final_value, _xlpm.calculated_value + SD!$E$13 + _xlpm.coupler_value,IF(CG140="", "", _xlpm.final_value))</f>
        <v/>
      </c>
      <c r="CJ140" t="str" cm="1">
        <f t="array" ref="CJ140">IF(CG140="","",_xlfn._xlws.FILTER(SAC,(CName=SD!$C$8)*(EName="Loose Dowels")))</f>
        <v/>
      </c>
      <c r="CK140" t="str" cm="1">
        <f t="array" ref="CK140">IFERROR(IF(CG140="","",IF(K141="Coupler",_xlfn._xlws.FILTER(CCoupler,(CCName=SD!$C$8)*(CBSize=IF(A140=A141,W140&amp;W141,""))*(CCMFM="Male")),"")),"N/A")</f>
        <v/>
      </c>
      <c r="CL140" t="str">
        <f>IFERROR(IF(AM140="Spiral","",IF(A139=A140,"",IF(SD!$C$37=0,"",SD!$C$37))),"")</f>
        <v/>
      </c>
      <c r="CN140">
        <f>IF(AM140="Spiral","",IFERROR(IF(SD!$C$36=0,"",SD!$C$36),""))</f>
        <v>5</v>
      </c>
      <c r="CP140" t="str">
        <f>IFERROR(IF(SD!$C$42=SD!$Q$3,'Take-off'!CA140,""),"")</f>
        <v/>
      </c>
      <c r="CR140">
        <f>IFERROR(IF(SD!$C$22=SD!$U$2,W140,SD!$C$22),"")</f>
        <v>0</v>
      </c>
      <c r="CS140" t="str" cm="1">
        <f t="array" ref="CS140">_xlfn.LET(_xlpm.GR,IF(AND(SD!$C$19=SD!$H$2,Grade!$G$1="Per level"),VLOOKUP(B140,Grade!$E$1:$F$200,2,FALSE),IF(AND(SD!$C$19=SD!$H$2,Grade!$G$1="Per Bar Size"),VLOOKUP(CR140,Grade!$B$1:$C$12,2,0),SD!$C$19)),IF(SD!$C$20=SD!$R$4,IF(A141=A140,"",INDEX(IF(_xlpm.GR=SD!$H$3,A615GR60,IF(_xlpm.GR=SD!$H$4,A615GR75,IF(_xlpm.GR=SD!$H$5,A615GR80,IF(_xlpm.GR=SD!H144,A615GR100,IF(_xlpm.GR=SD!$H$7,A706GR60,IF(_xlpm.GR=SD!$H$8,A706GR80)))))), MATCH(1, (BSize=CR140)*(BCName=SD!$C$8), 0))),""))</f>
        <v/>
      </c>
      <c r="CT140">
        <f>IF(A141=A140,"",IF(SD!$C$23="Match Vertical Bars ",X140,SD!$C$23))</f>
        <v>0</v>
      </c>
      <c r="CU140" t="str" cm="1">
        <f t="array" ref="CU140">IF(A141=A140,"",IF(SD!$C$20="Top dowels",IF(SD!$E$25="No T-Head",IF(SD!$C$24=SD!$Q$3,VLOOKUP(CR140,S90Range,3,FALSE),LEFT(SD!$C$24,FIND("-",SD!$C$24)-1)+(RIGHT(SD!$C$24,LEN(SD!$C$24)-FIND("-",SD!$C$24))/12)),IF(SD!$E$25="T-Head",_xlfn._xlws.FILTER(THead,(TCName=SD!$C$8)*(TSize=CR140)),IF(SD!$E$25="Level Wise",_xlfn.LET(_xlpm.result,_xlfn.XLOOKUP(B140,TDLevel,TDLevelStatus,"No"),IF(_xlpm.result="Yes",_xlfn._xlws.FILTER(THead,(TCName=SD!$C$8)*(TSize=CR140)),IF(SD!$C$24=SD!$Q$3,VLOOKUP(CR140,S90Range,3,FALSE),LEFT(SD!$C$24,FIND("-",SD!$C$24)-1)+(RIGHT(SD!$C$24,LEN(SD!$C$24)-FIND("-", SD!$C$24))/12)))),IF(SD!$E$25="BarSize Wise",_xlfn.LET(_xlpm.result,_xlfn.XLOOKUP(CR140,TDBarSize,TDBarSizeStatus,"No"),IF(_xlpm.result="Yes",_xlfn._xlws.FILTER(THead,(TCName=SD!$C$8)*(TSize=CR140)),IF(SD!$C$24=SD!$Q$3,VLOOKUP(CR140,S90Range,3,FALSE),LEFT(SD!$C$24,FIND("-",SD!$C$24)-1)+(RIGHT(SD!$C$24,LEN(SD!$C$24)-FIND("-",SD!$C$24))/12)))), "")))),""))</f>
        <v/>
      </c>
      <c r="CV140" t="str">
        <f>_xlfn.LET(_xlpm.GRR,IF(AND(SD!$C$19=SD!$H$2,Grade!$G$1="Per level"),VLOOKUP(B140,Grade!$E$1:$F$200,2,FALSE),IF(AND(SD!$C$19=SD!$H$2,Grade!$G$1="Per Bar Size"),VLOOKUP(CR140,Grade!$B$1:$C$12,2,0),SD!$C$19)),IF(SD!$C$25=SD!$W$2,IF(Data!$J140="",IFERROR(INDEX(IF(SD!$C$11="Create",Lap!$A$3:$BF$14,IF(SD!$C$11="Per Uploaded File",Lap!$A$19:$BF$30,"")),MATCH(CR140,Lap!$A$3:$A$14,0),MATCH(VALUE(D140),Lap!$A$3:$BF$3,0)+IF(IFERROR(FIND("Grade 60",_xlpm.GRR),0)&gt;0,0,IF(IFERROR(FIND("Grade 80",_xlpm.GRR),0),1,IF(IFERROR(FIND("Grade 75",_xlpm.GRR),0),2,"")))),""),Data!J140),SD!$C$43))</f>
        <v>Match Lap</v>
      </c>
      <c r="CW140">
        <f t="shared" si="69"/>
        <v>0</v>
      </c>
      <c r="CX140">
        <f t="shared" si="70"/>
        <v>0</v>
      </c>
      <c r="CY140" t="str">
        <f t="shared" si="71"/>
        <v/>
      </c>
      <c r="DA140" t="str">
        <f t="shared" si="72"/>
        <v/>
      </c>
      <c r="DB140" t="str">
        <f t="shared" si="73"/>
        <v/>
      </c>
      <c r="DC140" s="24" t="str">
        <f t="shared" si="74"/>
        <v/>
      </c>
      <c r="DD140">
        <f t="shared" si="75"/>
        <v>10.583333333333334</v>
      </c>
      <c r="DE140" t="s">
        <v>785</v>
      </c>
      <c r="DF140" t="s">
        <v>67</v>
      </c>
      <c r="DG140" t="str">
        <f>VLOOKUP(W140,'Level Wise PSI'!$F$2:$G$12,2,FALSE)</f>
        <v>Double Lift</v>
      </c>
      <c r="DI140" t="str" cm="1">
        <f t="array" ref="DI140">_xlfn.LET(_xlpm.Coup,IFERROR(IF(BY140="","",IF(K140="Coupler",_xlfn._xlws.FILTER(CCFCoupler,(CCName=SD!$C$8)*(CBSize=IF(A139=A140,W139&amp;W140,BX140&amp;W140))),"")),"N/A"),IF(_xlpm.Coup=0,"",_xlpm.Coup))</f>
        <v/>
      </c>
      <c r="DJ140" t="str" cm="1">
        <f t="array" ref="DJ140">_xlfn.LET(_xlpm.Coup3,IFERROR(IF(CG140="","",IF(K141="Coupler",_xlfn._xlws.FILTER(CCFCoupler,(CCName=SD!$C$8)*(CBSize=IF(A140=A141,W140&amp;W141,""))),"")),"N/A"),IF(_xlpm.Coup3=0,"",_xlpm.Coup3))</f>
        <v/>
      </c>
      <c r="DK140" t="str" cm="1">
        <f t="array" ref="DK140">_xlfn.LET(_xlpm.Coup2,IFERROR(IF(A140&lt;&gt;A141,"",IF(DF140="No Lap","",IF(K141="Coupler",_xlfn._xlws.FILTER(CCFCoupler,(CCName=SD!$C$8)*(CBSize=IF(A139=A140,W140&amp;W141,W140&amp;W140))),""))),"N/A"),IF(_xlpm.Coup2=0,"",_xlpm.Coup2))</f>
        <v/>
      </c>
      <c r="DM140" t="str">
        <f>IF(AM140="Spiral","",IF(SD!$C$31=SD!$Y$3,SD!$E$32*2,""))</f>
        <v/>
      </c>
      <c r="DO140" s="24">
        <f t="shared" si="76"/>
        <v>2.5</v>
      </c>
      <c r="DQ140" t="str">
        <f t="shared" si="77"/>
        <v>Lig</v>
      </c>
      <c r="DR140" t="str">
        <f>IF(AM140="Spiral",((Y140-(SD!$E$12*2))/12),"")</f>
        <v/>
      </c>
      <c r="DS140" t="str">
        <f t="shared" si="78"/>
        <v/>
      </c>
      <c r="DT140" t="str">
        <f t="shared" si="79"/>
        <v/>
      </c>
      <c r="DU140" t="str">
        <f t="shared" si="80"/>
        <v/>
      </c>
    </row>
    <row r="141" spans="1:125" x14ac:dyDescent="0.25">
      <c r="A141">
        <v>47</v>
      </c>
      <c r="B141" t="s">
        <v>664</v>
      </c>
      <c r="C141" s="15">
        <v>2429</v>
      </c>
      <c r="D141" s="15">
        <v>10000</v>
      </c>
      <c r="E141" s="15" t="s">
        <v>711</v>
      </c>
      <c r="F141" s="15" t="s">
        <v>787</v>
      </c>
      <c r="G141" t="s">
        <v>740</v>
      </c>
      <c r="H141" s="15" t="s">
        <v>789</v>
      </c>
      <c r="I141" t="s">
        <v>741</v>
      </c>
      <c r="J141" t="str">
        <f>IF(AND(SD!$C$19=SD!$H$2,Grade!$G$1="Per level"),VLOOKUP(B141,Grade!$E$1:$F$200,2,FALSE),IF(AND(SD!$C$19=SD!$H$2,Grade!$G$1="Per Bar Size"),VLOOKUP(W141,Grade!$B$1:$C$12,2,0),SD!$C$19))</f>
        <v>A615 Grade 60</v>
      </c>
      <c r="K141" t="s">
        <v>67</v>
      </c>
      <c r="L141" t="str">
        <f>IFERROR(IF(A141&lt;&gt;A142,"",IF(DF141="No Lap","",IF(K142="Lap",U141,IF(K142="Coupler",_xlfn._xlws.FILTER(CCoupler,(CCName=SD!$C$8)*(CBSize=IF(A140=A141,W141&amp;W142,W141&amp;W141))*(CCMFM="Male")),"")))),"N/A")</f>
        <v>5-1</v>
      </c>
      <c r="M141" t="str">
        <f t="shared" si="54"/>
        <v/>
      </c>
      <c r="N141" t="s">
        <v>719</v>
      </c>
      <c r="O141" t="s">
        <v>720</v>
      </c>
      <c r="P141" t="s">
        <v>719</v>
      </c>
      <c r="Q141" t="str">
        <f>IF(AND(SD!$C$29=SD!$P$2,Grade!$O$1="Per level"),VLOOKUP(B141,Grade!$M$1:$N$200,2,FALSE),IF(AND(SD!$C$29=SD!$P$2,Grade!$O$1="Per Bar Size"),VLOOKUP(LEFT(N141,FIND("@",N141)-2),Grade!$J$1:$K$12,2,0),SD!$C$29))</f>
        <v>A615 Grade 60</v>
      </c>
      <c r="R141" t="s">
        <v>740</v>
      </c>
      <c r="S141" s="57">
        <v>141</v>
      </c>
      <c r="U141" t="str">
        <f>IF(Data!$J141="",IFERROR(INDEX(IF(SD!$C$11="Create",Lap!$A$3:$BF$14,IF(SD!$C$11="Per Uploaded File",Lap!$A$19:$BF$30,"")),MATCH(W141,Lap!$A$3:$A$14,0),MATCH(VALUE(D141),Lap!$A$3:$BF$3,0)+IF(IFERROR(FIND("Grade 60",J141),0)&gt;0,0,IF(IFERROR(FIND("Grade 80",J141),0),1,IF(IFERROR(FIND("Grade 75",J141),0),2,"")))),""),Data!J141)</f>
        <v>5-1</v>
      </c>
      <c r="W141" t="s">
        <v>176</v>
      </c>
      <c r="X141">
        <v>10</v>
      </c>
      <c r="Y141" t="str">
        <f t="shared" si="55"/>
        <v>36</v>
      </c>
      <c r="Z141">
        <f t="shared" si="56"/>
        <v>0</v>
      </c>
      <c r="AA141" s="24">
        <f t="shared" si="57"/>
        <v>26.666666666666668</v>
      </c>
      <c r="BB141" t="e" cm="1">
        <f t="array" ref="BB141">_xlfn.LET(_xlpm.PartF,(_xlfn.LET(_xlpm.grade, Q141,_xlpm.gradeRange, IF(_xlpm.grade=SD!$H$3, A615GR60, IF(_xlpm.grade=SD!$H$4, A615GR75, IF(_xlpm.grade=SD!$H$5, A615GR80, IF(_xlpm.grade=SD!$H$6, A615GR100, IF(_xlpm.grade=SD!$H$7, A706GR60, IF(_xlpm.grade=SD!$H$8, A706GR80)))))),_xlpm.matchValue, MATCH(1, (SD!$AW:$AW=AS141)*(SD!$AX:$AX=SD!$C$8), 0),INDEX(_xlpm.gradeRange, _xlpm.matchValue))),IF(AM141="Spiral",CONCATENATE("SP",_xlpm.PartF),_xlpm.PartF))</f>
        <v>#N/A</v>
      </c>
      <c r="BC141" cm="1">
        <f t="array" ref="BC141">_xlfn.LET(_xlpm.leftPart, LEFT(O141, FIND("@", O141) - 2),_xlpm.grade,Q141,_xlpm.gradeRange,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1" cm="1">
        <f t="array" ref="BD141">_xlfn.LET(_xlpm.leftPart, LEFT(P141, FIND("@", P141) - 2),_xlpm.grade, Q141,_xlpm.gradeRange,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1">
        <f t="shared" si="58"/>
        <v>3</v>
      </c>
      <c r="BF141">
        <f>IF(SD!$C$32=SD!$I$2,BE141,IF(SD!$C$32=SD!$I$3,DO141,IF(SD!$C$32=SD!$I$5,BA141,IF(SD!$C$32=SD!$I$6,(LEFT(SD!$C$35,FIND("-",SD!$C$35)-1)+RIGHT(SD!$C$35,LEN(SD!$C$35)-FIND("-",SD!$C$35))/12),IF(SD!$C$32=SD!$I$4,(AU141-(BG141+BH141)))))))</f>
        <v>0</v>
      </c>
      <c r="BG141">
        <f>IF(SD!$C$33=SD!$I$2,BE141,IF(SD!$C$33=SD!$I$3,DO141,IF(SD!$C$33=SD!$I$5,BA141,IF(SD!$C$33=SD!$I$6,(LEFT(SD!$C$35,FIND("-",SD!$C$35)-1)+RIGHT(SD!$C$35,LEN(SD!$C$35)-FIND("-",SD!$C$35))/12),IF(SD!$C$33=SD!$I$4,(AU141-(BF141+BH141)))))))</f>
        <v>-1</v>
      </c>
      <c r="BH141">
        <f>IF(SD!$C$34=SD!$I$2,BE141,IF(SD!$C$34=SD!$I$3,DO141,IF(SD!$C$34=SD!$I$5,BA141,IF(SD!$C$34=SD!$I$6,(LEFT(SD!$C$35,FIND("-",SD!$C$35)-1)+RIGHT(SD!$C$35,LEN(SD!$C$35)-FIND("-",SD!$C$35))/12),IF(SD!$C$34=SD!$I$4,(AU141-(BF141+BG141)))))))</f>
        <v>1</v>
      </c>
      <c r="BJ141">
        <f>IF(AM141="Spiral","1",MAX(ROUNDUP(IF(SD!$C$32="",AT141,BF141/(LEFT(RIGHT(N141,LEN(N141)-FIND("@",N141)),LEN(RIGHT(N141,LEN(N141)-FIND("@",N141)))-1)/12)+1),0),0))</f>
        <v>1</v>
      </c>
      <c r="BK141">
        <f>MAX(ROUNDUP(IF(SD!$C$33="","",BG141/(LEFT(RIGHT(O141,LEN(O141)-FIND("@",O141)),LEN(RIGHT(O141,LEN(O141)-FIND("@",O141)))-1)/12)+1),0),0)</f>
        <v>0</v>
      </c>
      <c r="BL141">
        <f>MAX(ROUNDUP(IF(SD!$C$34="","",BH141/(LEFT(RIGHT(P141,LEN(P141)-FIND("@",P141)),LEN(RIGHT(P141,LEN(P141)-FIND("@",P141)))-1)/12)+1),0),0)</f>
        <v>3</v>
      </c>
      <c r="BN141" t="e">
        <f t="shared" si="59"/>
        <v>#N/A</v>
      </c>
      <c r="BO141" t="e">
        <f t="shared" si="60"/>
        <v>#N/A</v>
      </c>
      <c r="BP141" t="e">
        <f t="shared" si="61"/>
        <v>#N/A</v>
      </c>
      <c r="BQ141" s="24" t="e">
        <f>IF(AM141=TRUE,(((Y141-(SD!$E$12*2))*3.14159265359)+BN141+BO141+BP141)/12+AL141,SUM(AF141:AG141,BN141,BO141,BP141,AO141,AQ141)/12)</f>
        <v>#N/A</v>
      </c>
      <c r="BR141" t="e">
        <f t="shared" si="62"/>
        <v>#N/A</v>
      </c>
      <c r="BS141" t="e">
        <f t="shared" si="63"/>
        <v>#N/A</v>
      </c>
      <c r="BT141" t="e">
        <f t="shared" si="64"/>
        <v>#N/A</v>
      </c>
      <c r="BU141" s="24" t="e">
        <f>IF(AM141=TRUE,(((Y141-(SD!$E$12*2))*3.14159265359)+BR141+BS141+BT141)/12+AL141,SUM(AF141:AG141,BR141,BS141,BT141,AO141,AQ141)/12)</f>
        <v>#N/A</v>
      </c>
      <c r="BW141" t="str">
        <f>IFERROR(LEFT(Data!L141,FIND(" -",Data!L141)-1),"")</f>
        <v/>
      </c>
      <c r="BX141" t="str">
        <f>IFERROR(IF(SD!$C$40=SD!$U$2,W141,IF(SD!$C$40=SD!$U$3,RIGHT(Data!L141,LEN(Data!L141)-(FIND("-",Data!L141)+1)),SD!$C$40)),"")</f>
        <v>#10</v>
      </c>
      <c r="BY141" cm="1">
        <f t="array" ref="BY141">IFERROR(_xlfn.LET(_xlpm.GRR,IF(AND(SD!$C$19=SD!$H$2,Grade!$G$1="Per level"),VLOOKUP(B141,Grade!$E$1:$F$200,2,FALSE),IF(AND(SD!$C$19=SD!$H$2,Grade!$G$1="Per Bar Size"),VLOOKUP(BX141,Grade!$B$1:$C$12,2,0),SD!$C$19)),_xlpm.is_equal, A140=A141,_xlpm.grade_range, IF(_xlpm.GRR=SD!$H$3, A615GR60,IF(_xlpm.GRR=SD!$H$4, A615GR75,IF(_xlpm.GRR=SD!$H$5, A615GR80,IF(_xlpm.GRR=SD!H145, A615GR100,IF(_xlpm.GRR=SD!$H$7, A706GR60,IF(_xlpm.GRR=SD!$H$8, A706GR80)))))),_xlpm.match_result, MATCH(1, (BSize=BX141)*(BCName=SD!$C$8), 0),_xlpm.final_result, INDEX(_xlpm.grade_range, _xlpm.match_result),IF(_xlpm.is_equal, "", _xlpm.final_result)),"")</f>
        <v>10</v>
      </c>
      <c r="BZ141">
        <f>IF(A140=A141,"",IF(SD!$C$41="Match Vertical Bars ",X141,IF(SD!$C$41=SD!$V$3,BW141,SD!$C$41)))</f>
        <v>10</v>
      </c>
      <c r="CA141" cm="1">
        <f t="array" ref="CA141">IF(A140=A141,"",IF(SD!$C$44="No T-Head",IF(SD!$C$42=SD!$Q$3,VLOOKUP(BX141,S90Range,3,FALSE),LEFT(SD!$C$42,FIND("-",SD!$C$42)-1)+(RIGHT(SD!$C$42,LEN(SD!$C$42)-FIND("-",SD!$C$42))/12)),IF(SD!$C$44="T-Head",_xlfn._xlws.FILTER(THead,(TCName=SD!$C$8)*(TSize=BX141)),IF(SD!$C$44="Level Wise",_xlfn.LET(_xlpm.result,_xlfn.XLOOKUP(B141,VDLevel,VDLevelStatus,"No"),IF(_xlpm.result="Yes",_xlfn._xlws.FILTER(THead,(TCName=SD!$C$8)*(TSize=BX141)),IF(SD!$C$42=SD!$Q$3,VLOOKUP(BX141,S90Range,3,FALSE),LEFT(SD!$C$42,FIND("-",SD!$C$42)-1)+(RIGHT(SD!$C$42,LEN(SD!$C$42)-FIND("-", SD!$C$42))/12)))),IF(SD!$C$44="BarSize Wise",_xlfn.LET(_xlpm.result,_xlfn.XLOOKUP(BX141,VDBarSize,VDBarSizeStatus,"No"),IF(_xlpm.result="Yes",_xlfn._xlws.FILTER(THead,(TCName=SD!$C$8)*(TSize=BX141)),IF(SD!$C$42=SD!$Q$3,VLOOKUP(BX141,S90Range,3,FALSE),LEFT(SD!$C$42,FIND("-",SD!$C$42)-1)+(RIGHT(SD!$C$42,LEN(SD!$C$42)-FIND("-",SD!$C$42))/12)))), "")))))</f>
        <v>1.8333333333333335</v>
      </c>
      <c r="CB141" t="str" cm="1">
        <f t="array" ref="CB141">_xlfn.LET(_xlpm.GRR,IF(AND(SD!$C$19=SD!$H$2,Grade!$G$1="Per level"),VLOOKUP(B141,Grade!$E$1:$F$200,2,FALSE),IF(AND(SD!$C$19=SD!$H$2,Grade!$G$1="Per Bar Size"),VLOOKUP(BX141,Grade!$B$1:$C$12,2,0),SD!$C$19)),_xlpm.is_coupler, K141="Coupler",_xlpm.condition1, SD!$C$43=SD!$W$2,_xlpm.data_j2_empty, Data!$J141="",_xlpm.lookup_table, IF(SD!$C$11="Create", Lap!$A$3:$BF$14, IF(SD!$C$11="Per Uploaded File", Lap!$A$19:$BF$30, "")),_xlpm.row_match, MATCH(BX141, Lap!$A$3:$A$14, 0),_xlpm.grade_offset, IF(IFERROR(FIND("Grade 60",_xlpm.GRR), 0) &gt; 0, 0, IF(IFERROR(FIND("Grade 80",_xlpm.GRR), 0), 1, IF(IFERROR(FIND("Grade 75",_xlpm.GRR), 0), 2, ""))),_xlpm.col_match, MATCH(VALUE(D141), Lap!$A$3:$BF$3, 0) + _xlpm.grade_offset,_xlpm.index_result, IFERROR(INDEX(_xlpm.lookup_table, _xlpm.row_match, _xlpm.col_match), Data!$J141),_xlpm.result_if_condition1, IF(_xlpm.data_j2_empty, _xlpm.index_result, Data!$J141),IF(_xlpm.is_coupler, 0, IF(_xlpm.condition1, _xlpm.result_if_condition1, SD!$C$43)))</f>
        <v>5-1</v>
      </c>
      <c r="CC141" s="24">
        <f t="shared" si="65"/>
        <v>5.083333333333333</v>
      </c>
      <c r="CD141">
        <f t="shared" si="66"/>
        <v>12.583333333333332</v>
      </c>
      <c r="CE141" t="str" cm="1">
        <f t="array" ref="CE141">IF(BY141="","",_xlfn._xlws.FILTER(SAC,(CName=SD!$C$8)*(EName="Vert Dowels")))</f>
        <v>2200 CD</v>
      </c>
      <c r="CF141" t="str" cm="1">
        <f t="array" ref="CF141">IFERROR(IF(BY141="","",IF(K141="Coupler",_xlfn._xlws.FILTER(CCoupler,(CCName=SD!$C$8)*(CBSize=IF(A140=A141,W140&amp;W141,BX141&amp;W141))*(CCMFM="Male")),"")),"N/A")</f>
        <v/>
      </c>
      <c r="CG141" t="str">
        <f t="shared" si="67"/>
        <v/>
      </c>
      <c r="CH141" t="str">
        <f t="shared" si="68"/>
        <v/>
      </c>
      <c r="CI141" t="str">
        <f>_xlfn.LET(_xlpm.u3_value, U142,_xlpm.hyphen_pos,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K142="Coupler",_xlpm.coupler_value, IF(_xlpm.is_coupler, 0, _xlpm.calculated_value),_xlpm.final_value, _xlpm.calculated_value + SD!$E$13 + _xlpm.coupler_value,IF(CG141="", "", _xlpm.final_value))</f>
        <v/>
      </c>
      <c r="CJ141" t="str" cm="1">
        <f t="array" ref="CJ141">IF(CG141="","",_xlfn._xlws.FILTER(SAC,(CName=SD!$C$8)*(EName="Loose Dowels")))</f>
        <v/>
      </c>
      <c r="CK141" t="str" cm="1">
        <f t="array" ref="CK141">IFERROR(IF(CG141="","",IF(K142="Coupler",_xlfn._xlws.FILTER(CCoupler,(CCName=SD!$C$8)*(CBSize=IF(A141=A142,W141&amp;W142,""))*(CCMFM="Male")),"")),"N/A")</f>
        <v/>
      </c>
      <c r="CL141">
        <f>IFERROR(IF(AM141="Spiral","",IF(A140=A141,"",IF(SD!$C$37=0,"",SD!$C$37))),"")</f>
        <v>3</v>
      </c>
      <c r="CN141">
        <f>IF(AM141="Spiral","",IFERROR(IF(SD!$C$36=0,"",SD!$C$36),""))</f>
        <v>5</v>
      </c>
      <c r="CP141">
        <f>IFERROR(IF(SD!$C$42=SD!$Q$3,'Take-off'!CA141,""),"")</f>
        <v>1.8333333333333335</v>
      </c>
      <c r="CR141">
        <f>IFERROR(IF(SD!$C$22=SD!$U$2,W141,SD!$C$22),"")</f>
        <v>0</v>
      </c>
      <c r="CS141" t="str" cm="1">
        <f t="array" ref="CS141">_xlfn.LET(_xlpm.GR,IF(AND(SD!$C$19=SD!$H$2,Grade!$G$1="Per level"),VLOOKUP(B141,Grade!$E$1:$F$200,2,FALSE),IF(AND(SD!$C$19=SD!$H$2,Grade!$G$1="Per Bar Size"),VLOOKUP(CR141,Grade!$B$1:$C$12,2,0),SD!$C$19)),IF(SD!$C$20=SD!$R$4,IF(A142=A141,"",INDEX(IF(_xlpm.GR=SD!$H$3,A615GR60,IF(_xlpm.GR=SD!$H$4,A615GR75,IF(_xlpm.GR=SD!$H$5,A615GR80,IF(_xlpm.GR=SD!H145,A615GR100,IF(_xlpm.GR=SD!$H$7,A706GR60,IF(_xlpm.GR=SD!$H$8,A706GR80)))))), MATCH(1, (BSize=CR141)*(BCName=SD!$C$8), 0))),""))</f>
        <v/>
      </c>
      <c r="CT141" t="str">
        <f>IF(A142=A141,"",IF(SD!$C$23="Match Vertical Bars ",X141,SD!$C$23))</f>
        <v/>
      </c>
      <c r="CU141" t="str" cm="1">
        <f t="array" ref="CU141">IF(A142=A141,"",IF(SD!$C$20="Top dowels",IF(SD!$E$25="No T-Head",IF(SD!$C$24=SD!$Q$3,VLOOKUP(CR141,S90Range,3,FALSE),LEFT(SD!$C$24,FIND("-",SD!$C$24)-1)+(RIGHT(SD!$C$24,LEN(SD!$C$24)-FIND("-",SD!$C$24))/12)),IF(SD!$E$25="T-Head",_xlfn._xlws.FILTER(THead,(TCName=SD!$C$8)*(TSize=CR141)),IF(SD!$E$25="Level Wise",_xlfn.LET(_xlpm.result,_xlfn.XLOOKUP(B141,TDLevel,TDLevelStatus,"No"),IF(_xlpm.result="Yes",_xlfn._xlws.FILTER(THead,(TCName=SD!$C$8)*(TSize=CR141)),IF(SD!$C$24=SD!$Q$3,VLOOKUP(CR141,S90Range,3,FALSE),LEFT(SD!$C$24,FIND("-",SD!$C$24)-1)+(RIGHT(SD!$C$24,LEN(SD!$C$24)-FIND("-", SD!$C$24))/12)))),IF(SD!$E$25="BarSize Wise",_xlfn.LET(_xlpm.result,_xlfn.XLOOKUP(CR141,TDBarSize,TDBarSizeStatus,"No"),IF(_xlpm.result="Yes",_xlfn._xlws.FILTER(THead,(TCName=SD!$C$8)*(TSize=CR141)),IF(SD!$C$24=SD!$Q$3,VLOOKUP(CR141,S90Range,3,FALSE),LEFT(SD!$C$24,FIND("-",SD!$C$24)-1)+(RIGHT(SD!$C$24,LEN(SD!$C$24)-FIND("-",SD!$C$24))/12)))), "")))),""))</f>
        <v/>
      </c>
      <c r="CV141" t="str">
        <f>_xlfn.LET(_xlpm.GRR,IF(AND(SD!$C$19=SD!$H$2,Grade!$G$1="Per level"),VLOOKUP(B141,Grade!$E$1:$F$200,2,FALSE),IF(AND(SD!$C$19=SD!$H$2,Grade!$G$1="Per Bar Size"),VLOOKUP(CR141,Grade!$B$1:$C$12,2,0),SD!$C$19)),IF(SD!$C$25=SD!$W$2,IF(Data!$J141="",IFERROR(INDEX(IF(SD!$C$11="Create",Lap!$A$3:$BF$14,IF(SD!$C$11="Per Uploaded File",Lap!$A$19:$BF$30,"")),MATCH(CR141,Lap!$A$3:$A$14,0),MATCH(VALUE(D141),Lap!$A$3:$BF$3,0)+IF(IFERROR(FIND("Grade 60",_xlpm.GRR),0)&gt;0,0,IF(IFERROR(FIND("Grade 80",_xlpm.GRR),0),1,IF(IFERROR(FIND("Grade 75",_xlpm.GRR),0),2,"")))),""),Data!J141),SD!$C$43))</f>
        <v>Match Lap</v>
      </c>
      <c r="CW141">
        <f t="shared" si="69"/>
        <v>0</v>
      </c>
      <c r="CX141">
        <f t="shared" si="70"/>
        <v>0</v>
      </c>
      <c r="CY141" t="str">
        <f t="shared" si="71"/>
        <v/>
      </c>
      <c r="DA141">
        <f t="shared" si="72"/>
        <v>47</v>
      </c>
      <c r="DB141" t="str">
        <f t="shared" si="73"/>
        <v>138-0</v>
      </c>
      <c r="DC141" s="24">
        <f t="shared" si="74"/>
        <v>137.99999999999997</v>
      </c>
      <c r="DD141">
        <f t="shared" si="75"/>
        <v>21.583333333333332</v>
      </c>
      <c r="DE141" t="s">
        <v>785</v>
      </c>
      <c r="DF141" t="s">
        <v>67</v>
      </c>
      <c r="DG141" t="str">
        <f>VLOOKUP(W141,'Level Wise PSI'!$F$2:$G$12,2,FALSE)</f>
        <v>Double Lift</v>
      </c>
      <c r="DI141" t="str" cm="1">
        <f t="array" ref="DI141">_xlfn.LET(_xlpm.Coup,IFERROR(IF(BY141="","",IF(K141="Coupler",_xlfn._xlws.FILTER(CCFCoupler,(CCName=SD!$C$8)*(CBSize=IF(A140=A141,W140&amp;W141,BX141&amp;W141))),"")),"N/A"),IF(_xlpm.Coup=0,"",_xlpm.Coup))</f>
        <v/>
      </c>
      <c r="DJ141" t="str" cm="1">
        <f t="array" ref="DJ141">_xlfn.LET(_xlpm.Coup3,IFERROR(IF(CG141="","",IF(K142="Coupler",_xlfn._xlws.FILTER(CCFCoupler,(CCName=SD!$C$8)*(CBSize=IF(A141=A142,W141&amp;W142,""))),"")),"N/A"),IF(_xlpm.Coup3=0,"",_xlpm.Coup3))</f>
        <v/>
      </c>
      <c r="DK141" t="str" cm="1">
        <f t="array" ref="DK141">_xlfn.LET(_xlpm.Coup2,IFERROR(IF(A141&lt;&gt;A142,"",IF(DF141="No Lap","",IF(K142="Coupler",_xlfn._xlws.FILTER(CCFCoupler,(CCName=SD!$C$8)*(CBSize=IF(A140=A141,W141&amp;W142,W141&amp;W141))),""))),"N/A"),IF(_xlpm.Coup2=0,"",_xlpm.Coup2))</f>
        <v/>
      </c>
      <c r="DM141" t="str">
        <f>IF(AM141="Spiral","",IF(SD!$C$31=SD!$Y$3,SD!$E$32*2,""))</f>
        <v/>
      </c>
      <c r="DO141" s="24">
        <f t="shared" si="76"/>
        <v>3</v>
      </c>
      <c r="DQ141" t="str">
        <f t="shared" si="77"/>
        <v>Lig</v>
      </c>
      <c r="DR141" t="str">
        <f>IF(AM141="Spiral",((Y141-(SD!$E$12*2))/12),"")</f>
        <v/>
      </c>
      <c r="DS141" t="str">
        <f t="shared" si="78"/>
        <v/>
      </c>
      <c r="DT141" t="str">
        <f t="shared" si="79"/>
        <v/>
      </c>
      <c r="DU141" t="str">
        <f t="shared" si="80"/>
        <v/>
      </c>
    </row>
    <row r="142" spans="1:125" x14ac:dyDescent="0.25">
      <c r="A142">
        <v>47</v>
      </c>
      <c r="B142" t="s">
        <v>667</v>
      </c>
      <c r="C142" s="15">
        <v>2429</v>
      </c>
      <c r="D142" s="15">
        <v>10000</v>
      </c>
      <c r="E142" t="str">
        <f>IF(B142=Level!$A$2,SD!$C$14,SD!$C$13)</f>
        <v>0-8</v>
      </c>
      <c r="F142" s="15" t="s">
        <v>787</v>
      </c>
      <c r="G142" t="s">
        <v>740</v>
      </c>
      <c r="H142" t="str">
        <f>RIGHT(VLOOKUP(B142,Level!A:C,3,FALSE),LEN(VLOOKUP(B142,Level!A:C,3,FALSE))-1)</f>
        <v>10-7</v>
      </c>
      <c r="I142" t="s">
        <v>741</v>
      </c>
      <c r="J142" t="str">
        <f>IF(AND(SD!$C$19=SD!$H$2,Grade!$G$1="Per level"),VLOOKUP(B142,Grade!$E$1:$F$200,2,FALSE),IF(AND(SD!$C$19=SD!$H$2,Grade!$G$1="Per Bar Size"),VLOOKUP(W142,Grade!$B$1:$C$12,2,0),SD!$C$19))</f>
        <v>A615 Grade 60</v>
      </c>
      <c r="K142" t="s">
        <v>67</v>
      </c>
      <c r="L142" t="str">
        <f>IFERROR(IF(A142&lt;&gt;A143,"",IF(DF142="No Lap","",IF(K143="Lap",U142,IF(K143="Coupler",_xlfn._xlws.FILTER(CCoupler,(CCName=SD!$C$8)*(CBSize=IF(A141=A142,W142&amp;W143,W142&amp;W142))*(CCMFM="Male")),"")))),"N/A")</f>
        <v>5-1</v>
      </c>
      <c r="M142" t="str">
        <f t="shared" si="54"/>
        <v/>
      </c>
      <c r="N142" t="s">
        <v>719</v>
      </c>
      <c r="O142" t="s">
        <v>720</v>
      </c>
      <c r="P142" t="s">
        <v>719</v>
      </c>
      <c r="Q142" t="str">
        <f>IF(AND(SD!$C$29=SD!$P$2,Grade!$O$1="Per level"),VLOOKUP(B142,Grade!$M$1:$N$200,2,FALSE),IF(AND(SD!$C$29=SD!$P$2,Grade!$O$1="Per Bar Size"),VLOOKUP(LEFT(N142,FIND("@",N142)-2),Grade!$J$1:$K$12,2,0),SD!$C$29))</f>
        <v>A615 Grade 60</v>
      </c>
      <c r="R142" t="s">
        <v>740</v>
      </c>
      <c r="S142" s="57">
        <v>142</v>
      </c>
      <c r="U142" t="str">
        <f>IF(Data!$J142="",IFERROR(INDEX(IF(SD!$C$11="Create",Lap!$A$3:$BF$14,IF(SD!$C$11="Per Uploaded File",Lap!$A$19:$BF$30,"")),MATCH(W142,Lap!$A$3:$A$14,0),MATCH(VALUE(D142),Lap!$A$3:$BF$3,0)+IF(IFERROR(FIND("Grade 60",J142),0)&gt;0,0,IF(IFERROR(FIND("Grade 80",J142),0),1,IF(IFERROR(FIND("Grade 75",J142),0),2,"")))),""),Data!J142)</f>
        <v>5-1</v>
      </c>
      <c r="W142" t="s">
        <v>176</v>
      </c>
      <c r="X142">
        <v>10</v>
      </c>
      <c r="Y142" t="str">
        <f t="shared" si="55"/>
        <v>36</v>
      </c>
      <c r="Z142">
        <f t="shared" si="56"/>
        <v>0</v>
      </c>
      <c r="AA142" s="24">
        <f t="shared" si="57"/>
        <v>15.666666666666666</v>
      </c>
      <c r="BB142" t="e" cm="1">
        <f t="array" ref="BB142">_xlfn.LET(_xlpm.PartF,(_xlfn.LET(_xlpm.grade, Q142,_xlpm.gradeRange, IF(_xlpm.grade=SD!$H$3, A615GR60, IF(_xlpm.grade=SD!$H$4, A615GR75, IF(_xlpm.grade=SD!$H$5, A615GR80, IF(_xlpm.grade=SD!$H$6, A615GR100, IF(_xlpm.grade=SD!$H$7, A706GR60, IF(_xlpm.grade=SD!$H$8, A706GR80)))))),_xlpm.matchValue, MATCH(1, (SD!$AW:$AW=AS142)*(SD!$AX:$AX=SD!$C$8), 0),INDEX(_xlpm.gradeRange, _xlpm.matchValue))),IF(AM142="Spiral",CONCATENATE("SP",_xlpm.PartF),_xlpm.PartF))</f>
        <v>#N/A</v>
      </c>
      <c r="BC142" cm="1">
        <f t="array" ref="BC142">_xlfn.LET(_xlpm.leftPart, LEFT(O142, FIND("@", O142) - 2),_xlpm.grade,Q142,_xlpm.gradeRange,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2" cm="1">
        <f t="array" ref="BD142">_xlfn.LET(_xlpm.leftPart, LEFT(P142, FIND("@", P142) - 2),_xlpm.grade, Q142,_xlpm.gradeRange,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2">
        <f t="shared" si="58"/>
        <v>3</v>
      </c>
      <c r="BF142">
        <f>IF(SD!$C$32=SD!$I$2,BE142,IF(SD!$C$32=SD!$I$3,DO142,IF(SD!$C$32=SD!$I$5,BA142,IF(SD!$C$32=SD!$I$6,(LEFT(SD!$C$35,FIND("-",SD!$C$35)-1)+RIGHT(SD!$C$35,LEN(SD!$C$35)-FIND("-",SD!$C$35))/12),IF(SD!$C$32=SD!$I$4,(AU142-(BG142+BH142)))))))</f>
        <v>0</v>
      </c>
      <c r="BG142">
        <f>IF(SD!$C$33=SD!$I$2,BE142,IF(SD!$C$33=SD!$I$3,DO142,IF(SD!$C$33=SD!$I$5,BA142,IF(SD!$C$33=SD!$I$6,(LEFT(SD!$C$35,FIND("-",SD!$C$35)-1)+RIGHT(SD!$C$35,LEN(SD!$C$35)-FIND("-",SD!$C$35))/12),IF(SD!$C$33=SD!$I$4,(AU142-(BF142+BH142)))))))</f>
        <v>-1</v>
      </c>
      <c r="BH142">
        <f>IF(SD!$C$34=SD!$I$2,BE142,IF(SD!$C$34=SD!$I$3,DO142,IF(SD!$C$34=SD!$I$5,BA142,IF(SD!$C$34=SD!$I$6,(LEFT(SD!$C$35,FIND("-",SD!$C$35)-1)+RIGHT(SD!$C$35,LEN(SD!$C$35)-FIND("-",SD!$C$35))/12),IF(SD!$C$34=SD!$I$4,(AU142-(BF142+BG142)))))))</f>
        <v>1</v>
      </c>
      <c r="BJ142">
        <f>IF(AM142="Spiral","1",MAX(ROUNDUP(IF(SD!$C$32="",AT142,BF142/(LEFT(RIGHT(N142,LEN(N142)-FIND("@",N142)),LEN(RIGHT(N142,LEN(N142)-FIND("@",N142)))-1)/12)+1),0),0))</f>
        <v>1</v>
      </c>
      <c r="BK142">
        <f>MAX(ROUNDUP(IF(SD!$C$33="","",BG142/(LEFT(RIGHT(O142,LEN(O142)-FIND("@",O142)),LEN(RIGHT(O142,LEN(O142)-FIND("@",O142)))-1)/12)+1),0),0)</f>
        <v>0</v>
      </c>
      <c r="BL142">
        <f>MAX(ROUNDUP(IF(SD!$C$34="","",BH142/(LEFT(RIGHT(P142,LEN(P142)-FIND("@",P142)),LEN(RIGHT(P142,LEN(P142)-FIND("@",P142)))-1)/12)+1),0),0)</f>
        <v>3</v>
      </c>
      <c r="BN142" t="e">
        <f t="shared" si="59"/>
        <v>#N/A</v>
      </c>
      <c r="BO142" t="e">
        <f t="shared" si="60"/>
        <v>#N/A</v>
      </c>
      <c r="BP142" t="e">
        <f t="shared" si="61"/>
        <v>#N/A</v>
      </c>
      <c r="BQ142" s="24" t="e">
        <f>IF(AM142=TRUE,(((Y142-(SD!$E$12*2))*3.14159265359)+BN142+BO142+BP142)/12+AL142,SUM(AF142:AG142,BN142,BO142,BP142,AO142,AQ142)/12)</f>
        <v>#N/A</v>
      </c>
      <c r="BR142" t="e">
        <f t="shared" si="62"/>
        <v>#N/A</v>
      </c>
      <c r="BS142" t="e">
        <f t="shared" si="63"/>
        <v>#N/A</v>
      </c>
      <c r="BT142" t="e">
        <f t="shared" si="64"/>
        <v>#N/A</v>
      </c>
      <c r="BU142" s="24" t="e">
        <f>IF(AM142=TRUE,(((Y142-(SD!$E$12*2))*3.14159265359)+BR142+BS142+BT142)/12+AL142,SUM(AF142:AG142,BR142,BS142,BT142,AO142,AQ142)/12)</f>
        <v>#N/A</v>
      </c>
      <c r="BW142" t="str">
        <f>IFERROR(LEFT(Data!L142,FIND(" -",Data!L142)-1),"")</f>
        <v/>
      </c>
      <c r="BX142" t="str">
        <f>IFERROR(IF(SD!$C$40=SD!$U$2,W142,IF(SD!$C$40=SD!$U$3,RIGHT(Data!L142,LEN(Data!L142)-(FIND("-",Data!L142)+1)),SD!$C$40)),"")</f>
        <v>#10</v>
      </c>
      <c r="BY142" t="str" cm="1">
        <f t="array" ref="BY142">IFERROR(_xlfn.LET(_xlpm.GRR,IF(AND(SD!$C$19=SD!$H$2,Grade!$G$1="Per level"),VLOOKUP(B142,Grade!$E$1:$F$200,2,FALSE),IF(AND(SD!$C$19=SD!$H$2,Grade!$G$1="Per Bar Size"),VLOOKUP(BX142,Grade!$B$1:$C$12,2,0),SD!$C$19)),_xlpm.is_equal, A141=A142,_xlpm.grade_range, IF(_xlpm.GRR=SD!$H$3, A615GR60,IF(_xlpm.GRR=SD!$H$4, A615GR75,IF(_xlpm.GRR=SD!$H$5, A615GR80,IF(_xlpm.GRR=SD!H146, A615GR100,IF(_xlpm.GRR=SD!$H$7, A706GR60,IF(_xlpm.GRR=SD!$H$8, A706GR80)))))),_xlpm.match_result, MATCH(1, (BSize=BX142)*(BCName=SD!$C$8), 0),_xlpm.final_result, INDEX(_xlpm.grade_range, _xlpm.match_result),IF(_xlpm.is_equal, "", _xlpm.final_result)),"")</f>
        <v/>
      </c>
      <c r="BZ142" t="str">
        <f>IF(A141=A142,"",IF(SD!$C$41="Match Vertical Bars ",X142,IF(SD!$C$41=SD!$V$3,BW142,SD!$C$41)))</f>
        <v/>
      </c>
      <c r="CA142" t="str" cm="1">
        <f t="array" ref="CA142">IF(A141=A142,"",IF(SD!$C$44="No T-Head",IF(SD!$C$42=SD!$Q$3,VLOOKUP(BX142,S90Range,3,FALSE),LEFT(SD!$C$42,FIND("-",SD!$C$42)-1)+(RIGHT(SD!$C$42,LEN(SD!$C$42)-FIND("-",SD!$C$42))/12)),IF(SD!$C$44="T-Head",_xlfn._xlws.FILTER(THead,(TCName=SD!$C$8)*(TSize=BX142)),IF(SD!$C$44="Level Wise",_xlfn.LET(_xlpm.result,_xlfn.XLOOKUP(B142,VDLevel,VDLevelStatus,"No"),IF(_xlpm.result="Yes",_xlfn._xlws.FILTER(THead,(TCName=SD!$C$8)*(TSize=BX142)),IF(SD!$C$42=SD!$Q$3,VLOOKUP(BX142,S90Range,3,FALSE),LEFT(SD!$C$42,FIND("-",SD!$C$42)-1)+(RIGHT(SD!$C$42,LEN(SD!$C$42)-FIND("-", SD!$C$42))/12)))),IF(SD!$C$44="BarSize Wise",_xlfn.LET(_xlpm.result,_xlfn.XLOOKUP(BX142,VDBarSize,VDBarSizeStatus,"No"),IF(_xlpm.result="Yes",_xlfn._xlws.FILTER(THead,(TCName=SD!$C$8)*(TSize=BX142)),IF(SD!$C$42=SD!$Q$3,VLOOKUP(BX142,S90Range,3,FALSE),LEFT(SD!$C$42,FIND("-",SD!$C$42)-1)+(RIGHT(SD!$C$42,LEN(SD!$C$42)-FIND("-",SD!$C$42))/12)))), "")))))</f>
        <v/>
      </c>
      <c r="CB142" t="str" cm="1">
        <f t="array" ref="CB142">_xlfn.LET(_xlpm.GRR,IF(AND(SD!$C$19=SD!$H$2,Grade!$G$1="Per level"),VLOOKUP(B142,Grade!$E$1:$F$200,2,FALSE),IF(AND(SD!$C$19=SD!$H$2,Grade!$G$1="Per Bar Size"),VLOOKUP(BX142,Grade!$B$1:$C$12,2,0),SD!$C$19)),_xlpm.is_coupler, K142="Coupler",_xlpm.condition1, SD!$C$43=SD!$W$2,_xlpm.data_j2_empty, Data!$J142="",_xlpm.lookup_table, IF(SD!$C$11="Create", Lap!$A$3:$BF$14, IF(SD!$C$11="Per Uploaded File", Lap!$A$19:$BF$30, "")),_xlpm.row_match, MATCH(BX142, Lap!$A$3:$A$14, 0),_xlpm.grade_offset, IF(IFERROR(FIND("Grade 60",_xlpm.GRR), 0) &gt; 0, 0, IF(IFERROR(FIND("Grade 80",_xlpm.GRR), 0), 1, IF(IFERROR(FIND("Grade 75",_xlpm.GRR), 0), 2, ""))),_xlpm.col_match, MATCH(VALUE(D142), Lap!$A$3:$BF$3, 0) + _xlpm.grade_offset,_xlpm.index_result, IFERROR(INDEX(_xlpm.lookup_table, _xlpm.row_match, _xlpm.col_match), Data!$J142),_xlpm.result_if_condition1, IF(_xlpm.data_j2_empty, _xlpm.index_result, Data!$J142),IF(_xlpm.is_coupler, 0, IF(_xlpm.condition1, _xlpm.result_if_condition1, SD!$C$43)))</f>
        <v>5-1</v>
      </c>
      <c r="CC142" s="24">
        <f t="shared" si="65"/>
        <v>5.083333333333333</v>
      </c>
      <c r="CD142">
        <f t="shared" si="66"/>
        <v>5.75</v>
      </c>
      <c r="CE142" t="str" cm="1">
        <f t="array" ref="CE142">IF(BY142="","",_xlfn._xlws.FILTER(SAC,(CName=SD!$C$8)*(EName="Vert Dowels")))</f>
        <v/>
      </c>
      <c r="CF142" t="str" cm="1">
        <f t="array" ref="CF142">IFERROR(IF(BY142="","",IF(K142="Coupler",_xlfn._xlws.FILTER(CCoupler,(CCName=SD!$C$8)*(CBSize=IF(A141=A142,W141&amp;W142,BX142&amp;W142))*(CCMFM="Male")),"")),"N/A")</f>
        <v/>
      </c>
      <c r="CG142" t="str">
        <f t="shared" si="67"/>
        <v/>
      </c>
      <c r="CH142" t="str">
        <f t="shared" si="68"/>
        <v/>
      </c>
      <c r="CI142" t="str">
        <f>_xlfn.LET(_xlpm.u3_value, U143,_xlpm.hyphen_pos,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K143="Coupler",_xlpm.coupler_value, IF(_xlpm.is_coupler, 0, _xlpm.calculated_value),_xlpm.final_value, _xlpm.calculated_value + SD!$E$13 + _xlpm.coupler_value,IF(CG142="", "", _xlpm.final_value))</f>
        <v/>
      </c>
      <c r="CJ142" t="str" cm="1">
        <f t="array" ref="CJ142">IF(CG142="","",_xlfn._xlws.FILTER(SAC,(CName=SD!$C$8)*(EName="Loose Dowels")))</f>
        <v/>
      </c>
      <c r="CK142" t="str" cm="1">
        <f t="array" ref="CK142">IFERROR(IF(CG142="","",IF(K143="Coupler",_xlfn._xlws.FILTER(CCoupler,(CCName=SD!$C$8)*(CBSize=IF(A142=A143,W142&amp;W143,""))*(CCMFM="Male")),"")),"N/A")</f>
        <v/>
      </c>
      <c r="CL142" t="str">
        <f>IFERROR(IF(AM142="Spiral","",IF(A141=A142,"",IF(SD!$C$37=0,"",SD!$C$37))),"")</f>
        <v/>
      </c>
      <c r="CN142">
        <f>IF(AM142="Spiral","",IFERROR(IF(SD!$C$36=0,"",SD!$C$36),""))</f>
        <v>5</v>
      </c>
      <c r="CP142" t="str">
        <f>IFERROR(IF(SD!$C$42=SD!$Q$3,'Take-off'!CA142,""),"")</f>
        <v/>
      </c>
      <c r="CR142">
        <f>IFERROR(IF(SD!$C$22=SD!$U$2,W142,SD!$C$22),"")</f>
        <v>0</v>
      </c>
      <c r="CS142" t="str" cm="1">
        <f t="array" ref="CS142">_xlfn.LET(_xlpm.GR,IF(AND(SD!$C$19=SD!$H$2,Grade!$G$1="Per level"),VLOOKUP(B142,Grade!$E$1:$F$200,2,FALSE),IF(AND(SD!$C$19=SD!$H$2,Grade!$G$1="Per Bar Size"),VLOOKUP(CR142,Grade!$B$1:$C$12,2,0),SD!$C$19)),IF(SD!$C$20=SD!$R$4,IF(A143=A142,"",INDEX(IF(_xlpm.GR=SD!$H$3,A615GR60,IF(_xlpm.GR=SD!$H$4,A615GR75,IF(_xlpm.GR=SD!$H$5,A615GR80,IF(_xlpm.GR=SD!H146,A615GR100,IF(_xlpm.GR=SD!$H$7,A706GR60,IF(_xlpm.GR=SD!$H$8,A706GR80)))))), MATCH(1, (BSize=CR142)*(BCName=SD!$C$8), 0))),""))</f>
        <v/>
      </c>
      <c r="CT142" t="str">
        <f>IF(A143=A142,"",IF(SD!$C$23="Match Vertical Bars ",X142,SD!$C$23))</f>
        <v/>
      </c>
      <c r="CU142" t="str" cm="1">
        <f t="array" ref="CU142">IF(A143=A142,"",IF(SD!$C$20="Top dowels",IF(SD!$E$25="No T-Head",IF(SD!$C$24=SD!$Q$3,VLOOKUP(CR142,S90Range,3,FALSE),LEFT(SD!$C$24,FIND("-",SD!$C$24)-1)+(RIGHT(SD!$C$24,LEN(SD!$C$24)-FIND("-",SD!$C$24))/12)),IF(SD!$E$25="T-Head",_xlfn._xlws.FILTER(THead,(TCName=SD!$C$8)*(TSize=CR142)),IF(SD!$E$25="Level Wise",_xlfn.LET(_xlpm.result,_xlfn.XLOOKUP(B142,TDLevel,TDLevelStatus,"No"),IF(_xlpm.result="Yes",_xlfn._xlws.FILTER(THead,(TCName=SD!$C$8)*(TSize=CR142)),IF(SD!$C$24=SD!$Q$3,VLOOKUP(CR142,S90Range,3,FALSE),LEFT(SD!$C$24,FIND("-",SD!$C$24)-1)+(RIGHT(SD!$C$24,LEN(SD!$C$24)-FIND("-", SD!$C$24))/12)))),IF(SD!$E$25="BarSize Wise",_xlfn.LET(_xlpm.result,_xlfn.XLOOKUP(CR142,TDBarSize,TDBarSizeStatus,"No"),IF(_xlpm.result="Yes",_xlfn._xlws.FILTER(THead,(TCName=SD!$C$8)*(TSize=CR142)),IF(SD!$C$24=SD!$Q$3,VLOOKUP(CR142,S90Range,3,FALSE),LEFT(SD!$C$24,FIND("-",SD!$C$24)-1)+(RIGHT(SD!$C$24,LEN(SD!$C$24)-FIND("-",SD!$C$24))/12)))), "")))),""))</f>
        <v/>
      </c>
      <c r="CV142" t="str">
        <f>_xlfn.LET(_xlpm.GRR,IF(AND(SD!$C$19=SD!$H$2,Grade!$G$1="Per level"),VLOOKUP(B142,Grade!$E$1:$F$200,2,FALSE),IF(AND(SD!$C$19=SD!$H$2,Grade!$G$1="Per Bar Size"),VLOOKUP(CR142,Grade!$B$1:$C$12,2,0),SD!$C$19)),IF(SD!$C$25=SD!$W$2,IF(Data!$J142="",IFERROR(INDEX(IF(SD!$C$11="Create",Lap!$A$3:$BF$14,IF(SD!$C$11="Per Uploaded File",Lap!$A$19:$BF$30,"")),MATCH(CR142,Lap!$A$3:$A$14,0),MATCH(VALUE(D142),Lap!$A$3:$BF$3,0)+IF(IFERROR(FIND("Grade 60",_xlpm.GRR),0)&gt;0,0,IF(IFERROR(FIND("Grade 80",_xlpm.GRR),0),1,IF(IFERROR(FIND("Grade 75",_xlpm.GRR),0),2,"")))),""),Data!J142),SD!$C$43))</f>
        <v>Match Lap</v>
      </c>
      <c r="CW142">
        <f t="shared" si="69"/>
        <v>0</v>
      </c>
      <c r="CX142">
        <f t="shared" si="70"/>
        <v>0</v>
      </c>
      <c r="CY142" t="str">
        <f t="shared" si="71"/>
        <v/>
      </c>
      <c r="DA142" t="str">
        <f t="shared" si="72"/>
        <v/>
      </c>
      <c r="DB142" t="str">
        <f t="shared" si="73"/>
        <v/>
      </c>
      <c r="DC142" s="24" t="str">
        <f t="shared" si="74"/>
        <v/>
      </c>
      <c r="DD142">
        <f t="shared" si="75"/>
        <v>10.583333333333334</v>
      </c>
      <c r="DE142" t="s">
        <v>785</v>
      </c>
      <c r="DF142" t="s">
        <v>67</v>
      </c>
      <c r="DG142" t="str">
        <f>VLOOKUP(W142,'Level Wise PSI'!$F$2:$G$12,2,FALSE)</f>
        <v>Double Lift</v>
      </c>
      <c r="DI142" t="str" cm="1">
        <f t="array" ref="DI142">_xlfn.LET(_xlpm.Coup,IFERROR(IF(BY142="","",IF(K142="Coupler",_xlfn._xlws.FILTER(CCFCoupler,(CCName=SD!$C$8)*(CBSize=IF(A141=A142,W141&amp;W142,BX142&amp;W142))),"")),"N/A"),IF(_xlpm.Coup=0,"",_xlpm.Coup))</f>
        <v/>
      </c>
      <c r="DJ142" t="str" cm="1">
        <f t="array" ref="DJ142">_xlfn.LET(_xlpm.Coup3,IFERROR(IF(CG142="","",IF(K143="Coupler",_xlfn._xlws.FILTER(CCFCoupler,(CCName=SD!$C$8)*(CBSize=IF(A142=A143,W142&amp;W143,""))),"")),"N/A"),IF(_xlpm.Coup3=0,"",_xlpm.Coup3))</f>
        <v/>
      </c>
      <c r="DK142" t="str" cm="1">
        <f t="array" ref="DK142">_xlfn.LET(_xlpm.Coup2,IFERROR(IF(A142&lt;&gt;A143,"",IF(DF142="No Lap","",IF(K143="Coupler",_xlfn._xlws.FILTER(CCFCoupler,(CCName=SD!$C$8)*(CBSize=IF(A141=A142,W142&amp;W143,W142&amp;W142))),""))),"N/A"),IF(_xlpm.Coup2=0,"",_xlpm.Coup2))</f>
        <v/>
      </c>
      <c r="DM142" t="str">
        <f>IF(AM142="Spiral","",IF(SD!$C$31=SD!$Y$3,SD!$E$32*2,""))</f>
        <v/>
      </c>
      <c r="DO142" s="24">
        <f t="shared" si="76"/>
        <v>3</v>
      </c>
      <c r="DQ142" t="str">
        <f t="shared" si="77"/>
        <v>Lig</v>
      </c>
      <c r="DR142" t="str">
        <f>IF(AM142="Spiral",((Y142-(SD!$E$12*2))/12),"")</f>
        <v/>
      </c>
      <c r="DS142" t="str">
        <f t="shared" si="78"/>
        <v/>
      </c>
      <c r="DT142" t="str">
        <f t="shared" si="79"/>
        <v/>
      </c>
      <c r="DU142" t="str">
        <f t="shared" si="80"/>
        <v/>
      </c>
    </row>
    <row r="143" spans="1:125" x14ac:dyDescent="0.25">
      <c r="A143">
        <v>47</v>
      </c>
      <c r="B143" t="s">
        <v>670</v>
      </c>
      <c r="C143" s="15">
        <v>2429</v>
      </c>
      <c r="D143" s="15">
        <v>10000</v>
      </c>
      <c r="E143" t="str">
        <f>IF(B143=Level!$A$2,SD!$C$14,SD!$C$13)</f>
        <v>0-8</v>
      </c>
      <c r="F143" s="15" t="s">
        <v>787</v>
      </c>
      <c r="G143" t="s">
        <v>742</v>
      </c>
      <c r="H143" t="str">
        <f>RIGHT(VLOOKUP(B143,Level!A:C,3,FALSE),LEN(VLOOKUP(B143,Level!A:C,3,FALSE))-1)</f>
        <v>10-7</v>
      </c>
      <c r="I143" t="s">
        <v>743</v>
      </c>
      <c r="J143" t="str">
        <f>IF(AND(SD!$C$19=SD!$H$2,Grade!$G$1="Per level"),VLOOKUP(B143,Grade!$E$1:$F$200,2,FALSE),IF(AND(SD!$C$19=SD!$H$2,Grade!$G$1="Per Bar Size"),VLOOKUP(W143,Grade!$B$1:$C$12,2,0),SD!$C$19))</f>
        <v>A615 Grade 60</v>
      </c>
      <c r="K143" t="s">
        <v>67</v>
      </c>
      <c r="L143" t="str">
        <f>IFERROR(IF(A143&lt;&gt;A144,"",IF(DF143="No Lap","",IF(K144="Lap",U143,IF(K144="Coupler",_xlfn._xlws.FILTER(CCoupler,(CCName=SD!$C$8)*(CBSize=IF(A142=A143,W143&amp;W144,W143&amp;W143))*(CCMFM="Male")),"")))),"N/A")</f>
        <v>5-1</v>
      </c>
      <c r="M143" t="str">
        <f t="shared" si="54"/>
        <v/>
      </c>
      <c r="N143" t="s">
        <v>719</v>
      </c>
      <c r="O143" t="s">
        <v>720</v>
      </c>
      <c r="P143" t="s">
        <v>719</v>
      </c>
      <c r="Q143" t="str">
        <f>IF(AND(SD!$C$29=SD!$P$2,Grade!$O$1="Per level"),VLOOKUP(B143,Grade!$M$1:$N$200,2,FALSE),IF(AND(SD!$C$29=SD!$P$2,Grade!$O$1="Per Bar Size"),VLOOKUP(LEFT(N143,FIND("@",N143)-2),Grade!$J$1:$K$12,2,0),SD!$C$29))</f>
        <v>A615 Grade 60</v>
      </c>
      <c r="R143" t="s">
        <v>742</v>
      </c>
      <c r="S143" s="57">
        <v>143</v>
      </c>
      <c r="U143" t="str">
        <f>IF(Data!$J143="",IFERROR(INDEX(IF(SD!$C$11="Create",Lap!$A$3:$BF$14,IF(SD!$C$11="Per Uploaded File",Lap!$A$19:$BF$30,"")),MATCH(W143,Lap!$A$3:$A$14,0),MATCH(VALUE(D143),Lap!$A$3:$BF$3,0)+IF(IFERROR(FIND("Grade 60",J143),0)&gt;0,0,IF(IFERROR(FIND("Grade 80",J143),0),1,IF(IFERROR(FIND("Grade 75",J143),0),2,"")))),""),Data!J143)</f>
        <v>5-1</v>
      </c>
      <c r="W143" t="s">
        <v>176</v>
      </c>
      <c r="X143">
        <v>6</v>
      </c>
      <c r="Y143" t="str">
        <f t="shared" si="55"/>
        <v>30</v>
      </c>
      <c r="Z143">
        <f t="shared" si="56"/>
        <v>0</v>
      </c>
      <c r="AA143" s="24">
        <f t="shared" si="57"/>
        <v>15.666666666666666</v>
      </c>
      <c r="BB143" t="e" cm="1">
        <f t="array" ref="BB143">_xlfn.LET(_xlpm.PartF,(_xlfn.LET(_xlpm.grade, Q143,_xlpm.gradeRange, IF(_xlpm.grade=SD!$H$3, A615GR60, IF(_xlpm.grade=SD!$H$4, A615GR75, IF(_xlpm.grade=SD!$H$5, A615GR80, IF(_xlpm.grade=SD!$H$6, A615GR100, IF(_xlpm.grade=SD!$H$7, A706GR60, IF(_xlpm.grade=SD!$H$8, A706GR80)))))),_xlpm.matchValue, MATCH(1, (SD!$AW:$AW=AS143)*(SD!$AX:$AX=SD!$C$8), 0),INDEX(_xlpm.gradeRange, _xlpm.matchValue))),IF(AM143="Spiral",CONCATENATE("SP",_xlpm.PartF),_xlpm.PartF))</f>
        <v>#N/A</v>
      </c>
      <c r="BC143" cm="1">
        <f t="array" ref="BC143">_xlfn.LET(_xlpm.leftPart, LEFT(O143, FIND("@", O143) - 2),_xlpm.grade,Q143,_xlpm.gradeRange,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3" cm="1">
        <f t="array" ref="BD143">_xlfn.LET(_xlpm.leftPart, LEFT(P143, FIND("@", P143) - 2),_xlpm.grade, Q143,_xlpm.gradeRange,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3">
        <f t="shared" si="58"/>
        <v>2.5</v>
      </c>
      <c r="BF143">
        <f>IF(SD!$C$32=SD!$I$2,BE143,IF(SD!$C$32=SD!$I$3,DO143,IF(SD!$C$32=SD!$I$5,BA143,IF(SD!$C$32=SD!$I$6,(LEFT(SD!$C$35,FIND("-",SD!$C$35)-1)+RIGHT(SD!$C$35,LEN(SD!$C$35)-FIND("-",SD!$C$35))/12),IF(SD!$C$32=SD!$I$4,(AU143-(BG143+BH143)))))))</f>
        <v>0</v>
      </c>
      <c r="BG143">
        <f>IF(SD!$C$33=SD!$I$2,BE143,IF(SD!$C$33=SD!$I$3,DO143,IF(SD!$C$33=SD!$I$5,BA143,IF(SD!$C$33=SD!$I$6,(LEFT(SD!$C$35,FIND("-",SD!$C$35)-1)+RIGHT(SD!$C$35,LEN(SD!$C$35)-FIND("-",SD!$C$35))/12),IF(SD!$C$33=SD!$I$4,(AU143-(BF143+BH143)))))))</f>
        <v>-1</v>
      </c>
      <c r="BH143">
        <f>IF(SD!$C$34=SD!$I$2,BE143,IF(SD!$C$34=SD!$I$3,DO143,IF(SD!$C$34=SD!$I$5,BA143,IF(SD!$C$34=SD!$I$6,(LEFT(SD!$C$35,FIND("-",SD!$C$35)-1)+RIGHT(SD!$C$35,LEN(SD!$C$35)-FIND("-",SD!$C$35))/12),IF(SD!$C$34=SD!$I$4,(AU143-(BF143+BG143)))))))</f>
        <v>1</v>
      </c>
      <c r="BJ143">
        <f>IF(AM143="Spiral","1",MAX(ROUNDUP(IF(SD!$C$32="",AT143,BF143/(LEFT(RIGHT(N143,LEN(N143)-FIND("@",N143)),LEN(RIGHT(N143,LEN(N143)-FIND("@",N143)))-1)/12)+1),0),0))</f>
        <v>1</v>
      </c>
      <c r="BK143">
        <f>MAX(ROUNDUP(IF(SD!$C$33="","",BG143/(LEFT(RIGHT(O143,LEN(O143)-FIND("@",O143)),LEN(RIGHT(O143,LEN(O143)-FIND("@",O143)))-1)/12)+1),0),0)</f>
        <v>0</v>
      </c>
      <c r="BL143">
        <f>MAX(ROUNDUP(IF(SD!$C$34="","",BH143/(LEFT(RIGHT(P143,LEN(P143)-FIND("@",P143)),LEN(RIGHT(P143,LEN(P143)-FIND("@",P143)))-1)/12)+1),0),0)</f>
        <v>3</v>
      </c>
      <c r="BN143" t="e">
        <f t="shared" si="59"/>
        <v>#N/A</v>
      </c>
      <c r="BO143" t="e">
        <f t="shared" si="60"/>
        <v>#N/A</v>
      </c>
      <c r="BP143" t="e">
        <f t="shared" si="61"/>
        <v>#N/A</v>
      </c>
      <c r="BQ143" s="24" t="e">
        <f>IF(AM143=TRUE,(((Y143-(SD!$E$12*2))*3.14159265359)+BN143+BO143+BP143)/12+AL143,SUM(AF143:AG143,BN143,BO143,BP143,AO143,AQ143)/12)</f>
        <v>#N/A</v>
      </c>
      <c r="BR143" t="e">
        <f t="shared" si="62"/>
        <v>#N/A</v>
      </c>
      <c r="BS143" t="e">
        <f t="shared" si="63"/>
        <v>#N/A</v>
      </c>
      <c r="BT143" t="e">
        <f t="shared" si="64"/>
        <v>#N/A</v>
      </c>
      <c r="BU143" s="24" t="e">
        <f>IF(AM143=TRUE,(((Y143-(SD!$E$12*2))*3.14159265359)+BR143+BS143+BT143)/12+AL143,SUM(AF143:AG143,BR143,BS143,BT143,AO143,AQ143)/12)</f>
        <v>#N/A</v>
      </c>
      <c r="BW143" t="str">
        <f>IFERROR(LEFT(Data!L143,FIND(" -",Data!L143)-1),"")</f>
        <v/>
      </c>
      <c r="BX143" t="str">
        <f>IFERROR(IF(SD!$C$40=SD!$U$2,W143,IF(SD!$C$40=SD!$U$3,RIGHT(Data!L143,LEN(Data!L143)-(FIND("-",Data!L143)+1)),SD!$C$40)),"")</f>
        <v>#10</v>
      </c>
      <c r="BY143" t="str" cm="1">
        <f t="array" ref="BY143">IFERROR(_xlfn.LET(_xlpm.GRR,IF(AND(SD!$C$19=SD!$H$2,Grade!$G$1="Per level"),VLOOKUP(B143,Grade!$E$1:$F$200,2,FALSE),IF(AND(SD!$C$19=SD!$H$2,Grade!$G$1="Per Bar Size"),VLOOKUP(BX143,Grade!$B$1:$C$12,2,0),SD!$C$19)),_xlpm.is_equal, A142=A143,_xlpm.grade_range, IF(_xlpm.GRR=SD!$H$3, A615GR60,IF(_xlpm.GRR=SD!$H$4, A615GR75,IF(_xlpm.GRR=SD!$H$5, A615GR80,IF(_xlpm.GRR=SD!H147, A615GR100,IF(_xlpm.GRR=SD!$H$7, A706GR60,IF(_xlpm.GRR=SD!$H$8, A706GR80)))))),_xlpm.match_result, MATCH(1, (BSize=BX143)*(BCName=SD!$C$8), 0),_xlpm.final_result, INDEX(_xlpm.grade_range, _xlpm.match_result),IF(_xlpm.is_equal, "", _xlpm.final_result)),"")</f>
        <v/>
      </c>
      <c r="BZ143" t="str">
        <f>IF(A142=A143,"",IF(SD!$C$41="Match Vertical Bars ",X143,IF(SD!$C$41=SD!$V$3,BW143,SD!$C$41)))</f>
        <v/>
      </c>
      <c r="CA143" t="str" cm="1">
        <f t="array" ref="CA143">IF(A142=A143,"",IF(SD!$C$44="No T-Head",IF(SD!$C$42=SD!$Q$3,VLOOKUP(BX143,S90Range,3,FALSE),LEFT(SD!$C$42,FIND("-",SD!$C$42)-1)+(RIGHT(SD!$C$42,LEN(SD!$C$42)-FIND("-",SD!$C$42))/12)),IF(SD!$C$44="T-Head",_xlfn._xlws.FILTER(THead,(TCName=SD!$C$8)*(TSize=BX143)),IF(SD!$C$44="Level Wise",_xlfn.LET(_xlpm.result,_xlfn.XLOOKUP(B143,VDLevel,VDLevelStatus,"No"),IF(_xlpm.result="Yes",_xlfn._xlws.FILTER(THead,(TCName=SD!$C$8)*(TSize=BX143)),IF(SD!$C$42=SD!$Q$3,VLOOKUP(BX143,S90Range,3,FALSE),LEFT(SD!$C$42,FIND("-",SD!$C$42)-1)+(RIGHT(SD!$C$42,LEN(SD!$C$42)-FIND("-", SD!$C$42))/12)))),IF(SD!$C$44="BarSize Wise",_xlfn.LET(_xlpm.result,_xlfn.XLOOKUP(BX143,VDBarSize,VDBarSizeStatus,"No"),IF(_xlpm.result="Yes",_xlfn._xlws.FILTER(THead,(TCName=SD!$C$8)*(TSize=BX143)),IF(SD!$C$42=SD!$Q$3,VLOOKUP(BX143,S90Range,3,FALSE),LEFT(SD!$C$42,FIND("-",SD!$C$42)-1)+(RIGHT(SD!$C$42,LEN(SD!$C$42)-FIND("-",SD!$C$42))/12)))), "")))))</f>
        <v/>
      </c>
      <c r="CB143" t="str" cm="1">
        <f t="array" ref="CB143">_xlfn.LET(_xlpm.GRR,IF(AND(SD!$C$19=SD!$H$2,Grade!$G$1="Per level"),VLOOKUP(B143,Grade!$E$1:$F$200,2,FALSE),IF(AND(SD!$C$19=SD!$H$2,Grade!$G$1="Per Bar Size"),VLOOKUP(BX143,Grade!$B$1:$C$12,2,0),SD!$C$19)),_xlpm.is_coupler, K143="Coupler",_xlpm.condition1, SD!$C$43=SD!$W$2,_xlpm.data_j2_empty, Data!$J143="",_xlpm.lookup_table, IF(SD!$C$11="Create", Lap!$A$3:$BF$14, IF(SD!$C$11="Per Uploaded File", Lap!$A$19:$BF$30, "")),_xlpm.row_match, MATCH(BX143, Lap!$A$3:$A$14, 0),_xlpm.grade_offset, IF(IFERROR(FIND("Grade 60",_xlpm.GRR), 0) &gt; 0, 0, IF(IFERROR(FIND("Grade 80",_xlpm.GRR), 0), 1, IF(IFERROR(FIND("Grade 75",_xlpm.GRR), 0), 2, ""))),_xlpm.col_match, MATCH(VALUE(D143), Lap!$A$3:$BF$3, 0) + _xlpm.grade_offset,_xlpm.index_result, IFERROR(INDEX(_xlpm.lookup_table, _xlpm.row_match, _xlpm.col_match), Data!$J143),_xlpm.result_if_condition1, IF(_xlpm.data_j2_empty, _xlpm.index_result, Data!$J143),IF(_xlpm.is_coupler, 0, IF(_xlpm.condition1, _xlpm.result_if_condition1, SD!$C$43)))</f>
        <v>5-1</v>
      </c>
      <c r="CC143" s="24">
        <f t="shared" si="65"/>
        <v>5.083333333333333</v>
      </c>
      <c r="CD143">
        <f t="shared" si="66"/>
        <v>5.75</v>
      </c>
      <c r="CE143" t="str" cm="1">
        <f t="array" ref="CE143">IF(BY143="","",_xlfn._xlws.FILTER(SAC,(CName=SD!$C$8)*(EName="Vert Dowels")))</f>
        <v/>
      </c>
      <c r="CF143" t="str" cm="1">
        <f t="array" ref="CF143">IFERROR(IF(BY143="","",IF(K143="Coupler",_xlfn._xlws.FILTER(CCoupler,(CCName=SD!$C$8)*(CBSize=IF(A142=A143,W142&amp;W143,BX143&amp;W143))*(CCMFM="Male")),"")),"N/A")</f>
        <v/>
      </c>
      <c r="CG143" t="str">
        <f t="shared" si="67"/>
        <v/>
      </c>
      <c r="CH143" t="str">
        <f t="shared" si="68"/>
        <v/>
      </c>
      <c r="CI143" t="str">
        <f>_xlfn.LET(_xlpm.u3_value, U144,_xlpm.hyphen_pos,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K144="Coupler",_xlpm.coupler_value, IF(_xlpm.is_coupler, 0, _xlpm.calculated_value),_xlpm.final_value, _xlpm.calculated_value + SD!$E$13 + _xlpm.coupler_value,IF(CG143="", "", _xlpm.final_value))</f>
        <v/>
      </c>
      <c r="CJ143" t="str" cm="1">
        <f t="array" ref="CJ143">IF(CG143="","",_xlfn._xlws.FILTER(SAC,(CName=SD!$C$8)*(EName="Loose Dowels")))</f>
        <v/>
      </c>
      <c r="CK143" t="str" cm="1">
        <f t="array" ref="CK143">IFERROR(IF(CG143="","",IF(K144="Coupler",_xlfn._xlws.FILTER(CCoupler,(CCName=SD!$C$8)*(CBSize=IF(A143=A144,W143&amp;W144,""))*(CCMFM="Male")),"")),"N/A")</f>
        <v/>
      </c>
      <c r="CL143" t="str">
        <f>IFERROR(IF(AM143="Spiral","",IF(A142=A143,"",IF(SD!$C$37=0,"",SD!$C$37))),"")</f>
        <v/>
      </c>
      <c r="CN143">
        <f>IF(AM143="Spiral","",IFERROR(IF(SD!$C$36=0,"",SD!$C$36),""))</f>
        <v>5</v>
      </c>
      <c r="CP143" t="str">
        <f>IFERROR(IF(SD!$C$42=SD!$Q$3,'Take-off'!CA143,""),"")</f>
        <v/>
      </c>
      <c r="CR143">
        <f>IFERROR(IF(SD!$C$22=SD!$U$2,W143,SD!$C$22),"")</f>
        <v>0</v>
      </c>
      <c r="CS143" t="str" cm="1">
        <f t="array" ref="CS143">_xlfn.LET(_xlpm.GR,IF(AND(SD!$C$19=SD!$H$2,Grade!$G$1="Per level"),VLOOKUP(B143,Grade!$E$1:$F$200,2,FALSE),IF(AND(SD!$C$19=SD!$H$2,Grade!$G$1="Per Bar Size"),VLOOKUP(CR143,Grade!$B$1:$C$12,2,0),SD!$C$19)),IF(SD!$C$20=SD!$R$4,IF(A144=A143,"",INDEX(IF(_xlpm.GR=SD!$H$3,A615GR60,IF(_xlpm.GR=SD!$H$4,A615GR75,IF(_xlpm.GR=SD!$H$5,A615GR80,IF(_xlpm.GR=SD!H147,A615GR100,IF(_xlpm.GR=SD!$H$7,A706GR60,IF(_xlpm.GR=SD!$H$8,A706GR80)))))), MATCH(1, (BSize=CR143)*(BCName=SD!$C$8), 0))),""))</f>
        <v/>
      </c>
      <c r="CT143" t="str">
        <f>IF(A144=A143,"",IF(SD!$C$23="Match Vertical Bars ",X143,SD!$C$23))</f>
        <v/>
      </c>
      <c r="CU143" t="str" cm="1">
        <f t="array" ref="CU143">IF(A144=A143,"",IF(SD!$C$20="Top dowels",IF(SD!$E$25="No T-Head",IF(SD!$C$24=SD!$Q$3,VLOOKUP(CR143,S90Range,3,FALSE),LEFT(SD!$C$24,FIND("-",SD!$C$24)-1)+(RIGHT(SD!$C$24,LEN(SD!$C$24)-FIND("-",SD!$C$24))/12)),IF(SD!$E$25="T-Head",_xlfn._xlws.FILTER(THead,(TCName=SD!$C$8)*(TSize=CR143)),IF(SD!$E$25="Level Wise",_xlfn.LET(_xlpm.result,_xlfn.XLOOKUP(B143,TDLevel,TDLevelStatus,"No"),IF(_xlpm.result="Yes",_xlfn._xlws.FILTER(THead,(TCName=SD!$C$8)*(TSize=CR143)),IF(SD!$C$24=SD!$Q$3,VLOOKUP(CR143,S90Range,3,FALSE),LEFT(SD!$C$24,FIND("-",SD!$C$24)-1)+(RIGHT(SD!$C$24,LEN(SD!$C$24)-FIND("-", SD!$C$24))/12)))),IF(SD!$E$25="BarSize Wise",_xlfn.LET(_xlpm.result,_xlfn.XLOOKUP(CR143,TDBarSize,TDBarSizeStatus,"No"),IF(_xlpm.result="Yes",_xlfn._xlws.FILTER(THead,(TCName=SD!$C$8)*(TSize=CR143)),IF(SD!$C$24=SD!$Q$3,VLOOKUP(CR143,S90Range,3,FALSE),LEFT(SD!$C$24,FIND("-",SD!$C$24)-1)+(RIGHT(SD!$C$24,LEN(SD!$C$24)-FIND("-",SD!$C$24))/12)))), "")))),""))</f>
        <v/>
      </c>
      <c r="CV143" t="str">
        <f>_xlfn.LET(_xlpm.GRR,IF(AND(SD!$C$19=SD!$H$2,Grade!$G$1="Per level"),VLOOKUP(B143,Grade!$E$1:$F$200,2,FALSE),IF(AND(SD!$C$19=SD!$H$2,Grade!$G$1="Per Bar Size"),VLOOKUP(CR143,Grade!$B$1:$C$12,2,0),SD!$C$19)),IF(SD!$C$25=SD!$W$2,IF(Data!$J143="",IFERROR(INDEX(IF(SD!$C$11="Create",Lap!$A$3:$BF$14,IF(SD!$C$11="Per Uploaded File",Lap!$A$19:$BF$30,"")),MATCH(CR143,Lap!$A$3:$A$14,0),MATCH(VALUE(D143),Lap!$A$3:$BF$3,0)+IF(IFERROR(FIND("Grade 60",_xlpm.GRR),0)&gt;0,0,IF(IFERROR(FIND("Grade 80",_xlpm.GRR),0),1,IF(IFERROR(FIND("Grade 75",_xlpm.GRR),0),2,"")))),""),Data!J143),SD!$C$43))</f>
        <v>Match Lap</v>
      </c>
      <c r="CW143">
        <f t="shared" si="69"/>
        <v>0</v>
      </c>
      <c r="CX143">
        <f t="shared" si="70"/>
        <v>0</v>
      </c>
      <c r="CY143" t="str">
        <f t="shared" si="71"/>
        <v/>
      </c>
      <c r="DA143" t="str">
        <f t="shared" si="72"/>
        <v/>
      </c>
      <c r="DB143" t="str">
        <f t="shared" si="73"/>
        <v/>
      </c>
      <c r="DC143" s="24" t="str">
        <f t="shared" si="74"/>
        <v/>
      </c>
      <c r="DD143">
        <f t="shared" si="75"/>
        <v>10.583333333333334</v>
      </c>
      <c r="DE143" t="s">
        <v>785</v>
      </c>
      <c r="DF143" t="s">
        <v>67</v>
      </c>
      <c r="DG143" t="str">
        <f>VLOOKUP(W143,'Level Wise PSI'!$F$2:$G$12,2,FALSE)</f>
        <v>Double Lift</v>
      </c>
      <c r="DI143" t="str" cm="1">
        <f t="array" ref="DI143">_xlfn.LET(_xlpm.Coup,IFERROR(IF(BY143="","",IF(K143="Coupler",_xlfn._xlws.FILTER(CCFCoupler,(CCName=SD!$C$8)*(CBSize=IF(A142=A143,W142&amp;W143,BX143&amp;W143))),"")),"N/A"),IF(_xlpm.Coup=0,"",_xlpm.Coup))</f>
        <v/>
      </c>
      <c r="DJ143" t="str" cm="1">
        <f t="array" ref="DJ143">_xlfn.LET(_xlpm.Coup3,IFERROR(IF(CG143="","",IF(K144="Coupler",_xlfn._xlws.FILTER(CCFCoupler,(CCName=SD!$C$8)*(CBSize=IF(A143=A144,W143&amp;W144,""))),"")),"N/A"),IF(_xlpm.Coup3=0,"",_xlpm.Coup3))</f>
        <v/>
      </c>
      <c r="DK143" t="str" cm="1">
        <f t="array" ref="DK143">_xlfn.LET(_xlpm.Coup2,IFERROR(IF(A143&lt;&gt;A144,"",IF(DF143="No Lap","",IF(K144="Coupler",_xlfn._xlws.FILTER(CCFCoupler,(CCName=SD!$C$8)*(CBSize=IF(A142=A143,W143&amp;W144,W143&amp;W143))),""))),"N/A"),IF(_xlpm.Coup2=0,"",_xlpm.Coup2))</f>
        <v/>
      </c>
      <c r="DM143" t="str">
        <f>IF(AM143="Spiral","",IF(SD!$C$31=SD!$Y$3,SD!$E$32*2,""))</f>
        <v/>
      </c>
      <c r="DO143" s="24">
        <f t="shared" si="76"/>
        <v>2.5</v>
      </c>
      <c r="DQ143" t="str">
        <f t="shared" si="77"/>
        <v>Lig</v>
      </c>
      <c r="DR143" t="str">
        <f>IF(AM143="Spiral",((Y143-(SD!$E$12*2))/12),"")</f>
        <v/>
      </c>
      <c r="DS143" t="str">
        <f t="shared" si="78"/>
        <v/>
      </c>
      <c r="DT143" t="str">
        <f t="shared" si="79"/>
        <v/>
      </c>
      <c r="DU143" t="str">
        <f t="shared" si="80"/>
        <v/>
      </c>
    </row>
    <row r="144" spans="1:125" x14ac:dyDescent="0.25">
      <c r="A144">
        <v>47</v>
      </c>
      <c r="B144" t="s">
        <v>672</v>
      </c>
      <c r="C144" s="15">
        <v>2429</v>
      </c>
      <c r="D144" s="15">
        <v>10000</v>
      </c>
      <c r="E144" t="str">
        <f>IF(B144=Level!$A$2,SD!$C$14,SD!$C$13)</f>
        <v>0-8</v>
      </c>
      <c r="F144" s="15" t="s">
        <v>787</v>
      </c>
      <c r="G144" t="s">
        <v>742</v>
      </c>
      <c r="H144" t="str">
        <f>RIGHT(VLOOKUP(B144,Level!A:C,3,FALSE),LEN(VLOOKUP(B144,Level!A:C,3,FALSE))-1)</f>
        <v>10-7</v>
      </c>
      <c r="I144" t="s">
        <v>743</v>
      </c>
      <c r="J144" t="str">
        <f>IF(AND(SD!$C$19=SD!$H$2,Grade!$G$1="Per level"),VLOOKUP(B144,Grade!$E$1:$F$200,2,FALSE),IF(AND(SD!$C$19=SD!$H$2,Grade!$G$1="Per Bar Size"),VLOOKUP(W144,Grade!$B$1:$C$12,2,0),SD!$C$19))</f>
        <v>A615 Grade 60</v>
      </c>
      <c r="K144" t="s">
        <v>67</v>
      </c>
      <c r="L144" t="str">
        <f>IFERROR(IF(A144&lt;&gt;A145,"",IF(DF144="No Lap","",IF(K145="Lap",U144,IF(K145="Coupler",_xlfn._xlws.FILTER(CCoupler,(CCName=SD!$C$8)*(CBSize=IF(A143=A144,W144&amp;W145,W144&amp;W144))*(CCMFM="Male")),"")))),"N/A")</f>
        <v>5-1</v>
      </c>
      <c r="M144" t="str">
        <f t="shared" si="54"/>
        <v/>
      </c>
      <c r="N144" t="s">
        <v>719</v>
      </c>
      <c r="O144" t="s">
        <v>720</v>
      </c>
      <c r="P144" t="s">
        <v>719</v>
      </c>
      <c r="Q144" t="str">
        <f>IF(AND(SD!$C$29=SD!$P$2,Grade!$O$1="Per level"),VLOOKUP(B144,Grade!$M$1:$N$200,2,FALSE),IF(AND(SD!$C$29=SD!$P$2,Grade!$O$1="Per Bar Size"),VLOOKUP(LEFT(N144,FIND("@",N144)-2),Grade!$J$1:$K$12,2,0),SD!$C$29))</f>
        <v>A615 Grade 60</v>
      </c>
      <c r="R144" t="s">
        <v>742</v>
      </c>
      <c r="S144" s="57">
        <v>144</v>
      </c>
      <c r="U144" t="str">
        <f>IF(Data!$J144="",IFERROR(INDEX(IF(SD!$C$11="Create",Lap!$A$3:$BF$14,IF(SD!$C$11="Per Uploaded File",Lap!$A$19:$BF$30,"")),MATCH(W144,Lap!$A$3:$A$14,0),MATCH(VALUE(D144),Lap!$A$3:$BF$3,0)+IF(IFERROR(FIND("Grade 60",J144),0)&gt;0,0,IF(IFERROR(FIND("Grade 80",J144),0),1,IF(IFERROR(FIND("Grade 75",J144),0),2,"")))),""),Data!J144)</f>
        <v>5-1</v>
      </c>
      <c r="W144" t="s">
        <v>176</v>
      </c>
      <c r="X144">
        <v>6</v>
      </c>
      <c r="Y144" t="str">
        <f t="shared" si="55"/>
        <v>30</v>
      </c>
      <c r="Z144">
        <f t="shared" si="56"/>
        <v>0</v>
      </c>
      <c r="AA144" s="24">
        <f t="shared" si="57"/>
        <v>15.666666666666666</v>
      </c>
      <c r="BB144" t="e" cm="1">
        <f t="array" ref="BB144">_xlfn.LET(_xlpm.PartF,(_xlfn.LET(_xlpm.grade, Q144,_xlpm.gradeRange, IF(_xlpm.grade=SD!$H$3, A615GR60, IF(_xlpm.grade=SD!$H$4, A615GR75, IF(_xlpm.grade=SD!$H$5, A615GR80, IF(_xlpm.grade=SD!$H$6, A615GR100, IF(_xlpm.grade=SD!$H$7, A706GR60, IF(_xlpm.grade=SD!$H$8, A706GR80)))))),_xlpm.matchValue, MATCH(1, (SD!$AW:$AW=AS144)*(SD!$AX:$AX=SD!$C$8), 0),INDEX(_xlpm.gradeRange, _xlpm.matchValue))),IF(AM144="Spiral",CONCATENATE("SP",_xlpm.PartF),_xlpm.PartF))</f>
        <v>#N/A</v>
      </c>
      <c r="BC144" cm="1">
        <f t="array" ref="BC144">_xlfn.LET(_xlpm.leftPart, LEFT(O144, FIND("@", O144) - 2),_xlpm.grade,Q144,_xlpm.gradeRange,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4" cm="1">
        <f t="array" ref="BD144">_xlfn.LET(_xlpm.leftPart, LEFT(P144, FIND("@", P144) - 2),_xlpm.grade, Q144,_xlpm.gradeRange,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4">
        <f t="shared" si="58"/>
        <v>2.5</v>
      </c>
      <c r="BF144">
        <f>IF(SD!$C$32=SD!$I$2,BE144,IF(SD!$C$32=SD!$I$3,DO144,IF(SD!$C$32=SD!$I$5,BA144,IF(SD!$C$32=SD!$I$6,(LEFT(SD!$C$35,FIND("-",SD!$C$35)-1)+RIGHT(SD!$C$35,LEN(SD!$C$35)-FIND("-",SD!$C$35))/12),IF(SD!$C$32=SD!$I$4,(AU144-(BG144+BH144)))))))</f>
        <v>0</v>
      </c>
      <c r="BG144">
        <f>IF(SD!$C$33=SD!$I$2,BE144,IF(SD!$C$33=SD!$I$3,DO144,IF(SD!$C$33=SD!$I$5,BA144,IF(SD!$C$33=SD!$I$6,(LEFT(SD!$C$35,FIND("-",SD!$C$35)-1)+RIGHT(SD!$C$35,LEN(SD!$C$35)-FIND("-",SD!$C$35))/12),IF(SD!$C$33=SD!$I$4,(AU144-(BF144+BH144)))))))</f>
        <v>-1</v>
      </c>
      <c r="BH144">
        <f>IF(SD!$C$34=SD!$I$2,BE144,IF(SD!$C$34=SD!$I$3,DO144,IF(SD!$C$34=SD!$I$5,BA144,IF(SD!$C$34=SD!$I$6,(LEFT(SD!$C$35,FIND("-",SD!$C$35)-1)+RIGHT(SD!$C$35,LEN(SD!$C$35)-FIND("-",SD!$C$35))/12),IF(SD!$C$34=SD!$I$4,(AU144-(BF144+BG144)))))))</f>
        <v>1</v>
      </c>
      <c r="BJ144">
        <f>IF(AM144="Spiral","1",MAX(ROUNDUP(IF(SD!$C$32="",AT144,BF144/(LEFT(RIGHT(N144,LEN(N144)-FIND("@",N144)),LEN(RIGHT(N144,LEN(N144)-FIND("@",N144)))-1)/12)+1),0),0))</f>
        <v>1</v>
      </c>
      <c r="BK144">
        <f>MAX(ROUNDUP(IF(SD!$C$33="","",BG144/(LEFT(RIGHT(O144,LEN(O144)-FIND("@",O144)),LEN(RIGHT(O144,LEN(O144)-FIND("@",O144)))-1)/12)+1),0),0)</f>
        <v>0</v>
      </c>
      <c r="BL144">
        <f>MAX(ROUNDUP(IF(SD!$C$34="","",BH144/(LEFT(RIGHT(P144,LEN(P144)-FIND("@",P144)),LEN(RIGHT(P144,LEN(P144)-FIND("@",P144)))-1)/12)+1),0),0)</f>
        <v>3</v>
      </c>
      <c r="BN144" t="e">
        <f t="shared" si="59"/>
        <v>#N/A</v>
      </c>
      <c r="BO144" t="e">
        <f t="shared" si="60"/>
        <v>#N/A</v>
      </c>
      <c r="BP144" t="e">
        <f t="shared" si="61"/>
        <v>#N/A</v>
      </c>
      <c r="BQ144" s="24" t="e">
        <f>IF(AM144=TRUE,(((Y144-(SD!$E$12*2))*3.14159265359)+BN144+BO144+BP144)/12+AL144,SUM(AF144:AG144,BN144,BO144,BP144,AO144,AQ144)/12)</f>
        <v>#N/A</v>
      </c>
      <c r="BR144" t="e">
        <f t="shared" si="62"/>
        <v>#N/A</v>
      </c>
      <c r="BS144" t="e">
        <f t="shared" si="63"/>
        <v>#N/A</v>
      </c>
      <c r="BT144" t="e">
        <f t="shared" si="64"/>
        <v>#N/A</v>
      </c>
      <c r="BU144" s="24" t="e">
        <f>IF(AM144=TRUE,(((Y144-(SD!$E$12*2))*3.14159265359)+BR144+BS144+BT144)/12+AL144,SUM(AF144:AG144,BR144,BS144,BT144,AO144,AQ144)/12)</f>
        <v>#N/A</v>
      </c>
      <c r="BW144" t="str">
        <f>IFERROR(LEFT(Data!L144,FIND(" -",Data!L144)-1),"")</f>
        <v/>
      </c>
      <c r="BX144" t="str">
        <f>IFERROR(IF(SD!$C$40=SD!$U$2,W144,IF(SD!$C$40=SD!$U$3,RIGHT(Data!L144,LEN(Data!L144)-(FIND("-",Data!L144)+1)),SD!$C$40)),"")</f>
        <v>#10</v>
      </c>
      <c r="BY144" t="str" cm="1">
        <f t="array" ref="BY144">IFERROR(_xlfn.LET(_xlpm.GRR,IF(AND(SD!$C$19=SD!$H$2,Grade!$G$1="Per level"),VLOOKUP(B144,Grade!$E$1:$F$200,2,FALSE),IF(AND(SD!$C$19=SD!$H$2,Grade!$G$1="Per Bar Size"),VLOOKUP(BX144,Grade!$B$1:$C$12,2,0),SD!$C$19)),_xlpm.is_equal, A143=A144,_xlpm.grade_range, IF(_xlpm.GRR=SD!$H$3, A615GR60,IF(_xlpm.GRR=SD!$H$4, A615GR75,IF(_xlpm.GRR=SD!$H$5, A615GR80,IF(_xlpm.GRR=SD!H148, A615GR100,IF(_xlpm.GRR=SD!$H$7, A706GR60,IF(_xlpm.GRR=SD!$H$8, A706GR80)))))),_xlpm.match_result, MATCH(1, (BSize=BX144)*(BCName=SD!$C$8), 0),_xlpm.final_result, INDEX(_xlpm.grade_range, _xlpm.match_result),IF(_xlpm.is_equal, "", _xlpm.final_result)),"")</f>
        <v/>
      </c>
      <c r="BZ144" t="str">
        <f>IF(A143=A144,"",IF(SD!$C$41="Match Vertical Bars ",X144,IF(SD!$C$41=SD!$V$3,BW144,SD!$C$41)))</f>
        <v/>
      </c>
      <c r="CA144" t="str" cm="1">
        <f t="array" ref="CA144">IF(A143=A144,"",IF(SD!$C$44="No T-Head",IF(SD!$C$42=SD!$Q$3,VLOOKUP(BX144,S90Range,3,FALSE),LEFT(SD!$C$42,FIND("-",SD!$C$42)-1)+(RIGHT(SD!$C$42,LEN(SD!$C$42)-FIND("-",SD!$C$42))/12)),IF(SD!$C$44="T-Head",_xlfn._xlws.FILTER(THead,(TCName=SD!$C$8)*(TSize=BX144)),IF(SD!$C$44="Level Wise",_xlfn.LET(_xlpm.result,_xlfn.XLOOKUP(B144,VDLevel,VDLevelStatus,"No"),IF(_xlpm.result="Yes",_xlfn._xlws.FILTER(THead,(TCName=SD!$C$8)*(TSize=BX144)),IF(SD!$C$42=SD!$Q$3,VLOOKUP(BX144,S90Range,3,FALSE),LEFT(SD!$C$42,FIND("-",SD!$C$42)-1)+(RIGHT(SD!$C$42,LEN(SD!$C$42)-FIND("-", SD!$C$42))/12)))),IF(SD!$C$44="BarSize Wise",_xlfn.LET(_xlpm.result,_xlfn.XLOOKUP(BX144,VDBarSize,VDBarSizeStatus,"No"),IF(_xlpm.result="Yes",_xlfn._xlws.FILTER(THead,(TCName=SD!$C$8)*(TSize=BX144)),IF(SD!$C$42=SD!$Q$3,VLOOKUP(BX144,S90Range,3,FALSE),LEFT(SD!$C$42,FIND("-",SD!$C$42)-1)+(RIGHT(SD!$C$42,LEN(SD!$C$42)-FIND("-",SD!$C$42))/12)))), "")))))</f>
        <v/>
      </c>
      <c r="CB144" t="str" cm="1">
        <f t="array" ref="CB144">_xlfn.LET(_xlpm.GRR,IF(AND(SD!$C$19=SD!$H$2,Grade!$G$1="Per level"),VLOOKUP(B144,Grade!$E$1:$F$200,2,FALSE),IF(AND(SD!$C$19=SD!$H$2,Grade!$G$1="Per Bar Size"),VLOOKUP(BX144,Grade!$B$1:$C$12,2,0),SD!$C$19)),_xlpm.is_coupler, K144="Coupler",_xlpm.condition1, SD!$C$43=SD!$W$2,_xlpm.data_j2_empty, Data!$J144="",_xlpm.lookup_table, IF(SD!$C$11="Create", Lap!$A$3:$BF$14, IF(SD!$C$11="Per Uploaded File", Lap!$A$19:$BF$30, "")),_xlpm.row_match, MATCH(BX144, Lap!$A$3:$A$14, 0),_xlpm.grade_offset, IF(IFERROR(FIND("Grade 60",_xlpm.GRR), 0) &gt; 0, 0, IF(IFERROR(FIND("Grade 80",_xlpm.GRR), 0), 1, IF(IFERROR(FIND("Grade 75",_xlpm.GRR), 0), 2, ""))),_xlpm.col_match, MATCH(VALUE(D144), Lap!$A$3:$BF$3, 0) + _xlpm.grade_offset,_xlpm.index_result, IFERROR(INDEX(_xlpm.lookup_table, _xlpm.row_match, _xlpm.col_match), Data!$J144),_xlpm.result_if_condition1, IF(_xlpm.data_j2_empty, _xlpm.index_result, Data!$J144),IF(_xlpm.is_coupler, 0, IF(_xlpm.condition1, _xlpm.result_if_condition1, SD!$C$43)))</f>
        <v>5-1</v>
      </c>
      <c r="CC144" s="24">
        <f t="shared" si="65"/>
        <v>5.083333333333333</v>
      </c>
      <c r="CD144">
        <f t="shared" si="66"/>
        <v>5.75</v>
      </c>
      <c r="CE144" t="str" cm="1">
        <f t="array" ref="CE144">IF(BY144="","",_xlfn._xlws.FILTER(SAC,(CName=SD!$C$8)*(EName="Vert Dowels")))</f>
        <v/>
      </c>
      <c r="CF144" t="str" cm="1">
        <f t="array" ref="CF144">IFERROR(IF(BY144="","",IF(K144="Coupler",_xlfn._xlws.FILTER(CCoupler,(CCName=SD!$C$8)*(CBSize=IF(A143=A144,W143&amp;W144,BX144&amp;W144))*(CCMFM="Male")),"")),"N/A")</f>
        <v/>
      </c>
      <c r="CG144" t="str">
        <f t="shared" si="67"/>
        <v/>
      </c>
      <c r="CH144" t="str">
        <f t="shared" si="68"/>
        <v/>
      </c>
      <c r="CI144" t="str">
        <f>_xlfn.LET(_xlpm.u3_value, U145,_xlpm.hyphen_pos,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K145="Coupler",_xlpm.coupler_value, IF(_xlpm.is_coupler, 0, _xlpm.calculated_value),_xlpm.final_value, _xlpm.calculated_value + SD!$E$13 + _xlpm.coupler_value,IF(CG144="", "", _xlpm.final_value))</f>
        <v/>
      </c>
      <c r="CJ144" t="str" cm="1">
        <f t="array" ref="CJ144">IF(CG144="","",_xlfn._xlws.FILTER(SAC,(CName=SD!$C$8)*(EName="Loose Dowels")))</f>
        <v/>
      </c>
      <c r="CK144" t="str" cm="1">
        <f t="array" ref="CK144">IFERROR(IF(CG144="","",IF(K145="Coupler",_xlfn._xlws.FILTER(CCoupler,(CCName=SD!$C$8)*(CBSize=IF(A144=A145,W144&amp;W145,""))*(CCMFM="Male")),"")),"N/A")</f>
        <v/>
      </c>
      <c r="CL144" t="str">
        <f>IFERROR(IF(AM144="Spiral","",IF(A143=A144,"",IF(SD!$C$37=0,"",SD!$C$37))),"")</f>
        <v/>
      </c>
      <c r="CN144">
        <f>IF(AM144="Spiral","",IFERROR(IF(SD!$C$36=0,"",SD!$C$36),""))</f>
        <v>5</v>
      </c>
      <c r="CP144" t="str">
        <f>IFERROR(IF(SD!$C$42=SD!$Q$3,'Take-off'!CA144,""),"")</f>
        <v/>
      </c>
      <c r="CR144">
        <f>IFERROR(IF(SD!$C$22=SD!$U$2,W144,SD!$C$22),"")</f>
        <v>0</v>
      </c>
      <c r="CS144" t="str" cm="1">
        <f t="array" ref="CS144">_xlfn.LET(_xlpm.GR,IF(AND(SD!$C$19=SD!$H$2,Grade!$G$1="Per level"),VLOOKUP(B144,Grade!$E$1:$F$200,2,FALSE),IF(AND(SD!$C$19=SD!$H$2,Grade!$G$1="Per Bar Size"),VLOOKUP(CR144,Grade!$B$1:$C$12,2,0),SD!$C$19)),IF(SD!$C$20=SD!$R$4,IF(A145=A144,"",INDEX(IF(_xlpm.GR=SD!$H$3,A615GR60,IF(_xlpm.GR=SD!$H$4,A615GR75,IF(_xlpm.GR=SD!$H$5,A615GR80,IF(_xlpm.GR=SD!H148,A615GR100,IF(_xlpm.GR=SD!$H$7,A706GR60,IF(_xlpm.GR=SD!$H$8,A706GR80)))))), MATCH(1, (BSize=CR144)*(BCName=SD!$C$8), 0))),""))</f>
        <v/>
      </c>
      <c r="CT144" t="str">
        <f>IF(A145=A144,"",IF(SD!$C$23="Match Vertical Bars ",X144,SD!$C$23))</f>
        <v/>
      </c>
      <c r="CU144" t="str" cm="1">
        <f t="array" ref="CU144">IF(A145=A144,"",IF(SD!$C$20="Top dowels",IF(SD!$E$25="No T-Head",IF(SD!$C$24=SD!$Q$3,VLOOKUP(CR144,S90Range,3,FALSE),LEFT(SD!$C$24,FIND("-",SD!$C$24)-1)+(RIGHT(SD!$C$24,LEN(SD!$C$24)-FIND("-",SD!$C$24))/12)),IF(SD!$E$25="T-Head",_xlfn._xlws.FILTER(THead,(TCName=SD!$C$8)*(TSize=CR144)),IF(SD!$E$25="Level Wise",_xlfn.LET(_xlpm.result,_xlfn.XLOOKUP(B144,TDLevel,TDLevelStatus,"No"),IF(_xlpm.result="Yes",_xlfn._xlws.FILTER(THead,(TCName=SD!$C$8)*(TSize=CR144)),IF(SD!$C$24=SD!$Q$3,VLOOKUP(CR144,S90Range,3,FALSE),LEFT(SD!$C$24,FIND("-",SD!$C$24)-1)+(RIGHT(SD!$C$24,LEN(SD!$C$24)-FIND("-", SD!$C$24))/12)))),IF(SD!$E$25="BarSize Wise",_xlfn.LET(_xlpm.result,_xlfn.XLOOKUP(CR144,TDBarSize,TDBarSizeStatus,"No"),IF(_xlpm.result="Yes",_xlfn._xlws.FILTER(THead,(TCName=SD!$C$8)*(TSize=CR144)),IF(SD!$C$24=SD!$Q$3,VLOOKUP(CR144,S90Range,3,FALSE),LEFT(SD!$C$24,FIND("-",SD!$C$24)-1)+(RIGHT(SD!$C$24,LEN(SD!$C$24)-FIND("-",SD!$C$24))/12)))), "")))),""))</f>
        <v/>
      </c>
      <c r="CV144" t="str">
        <f>_xlfn.LET(_xlpm.GRR,IF(AND(SD!$C$19=SD!$H$2,Grade!$G$1="Per level"),VLOOKUP(B144,Grade!$E$1:$F$200,2,FALSE),IF(AND(SD!$C$19=SD!$H$2,Grade!$G$1="Per Bar Size"),VLOOKUP(CR144,Grade!$B$1:$C$12,2,0),SD!$C$19)),IF(SD!$C$25=SD!$W$2,IF(Data!$J144="",IFERROR(INDEX(IF(SD!$C$11="Create",Lap!$A$3:$BF$14,IF(SD!$C$11="Per Uploaded File",Lap!$A$19:$BF$30,"")),MATCH(CR144,Lap!$A$3:$A$14,0),MATCH(VALUE(D144),Lap!$A$3:$BF$3,0)+IF(IFERROR(FIND("Grade 60",_xlpm.GRR),0)&gt;0,0,IF(IFERROR(FIND("Grade 80",_xlpm.GRR),0),1,IF(IFERROR(FIND("Grade 75",_xlpm.GRR),0),2,"")))),""),Data!J144),SD!$C$43))</f>
        <v>Match Lap</v>
      </c>
      <c r="CW144">
        <f t="shared" si="69"/>
        <v>0</v>
      </c>
      <c r="CX144">
        <f t="shared" si="70"/>
        <v>0</v>
      </c>
      <c r="CY144" t="str">
        <f t="shared" si="71"/>
        <v/>
      </c>
      <c r="DA144" t="str">
        <f t="shared" si="72"/>
        <v/>
      </c>
      <c r="DB144" t="str">
        <f t="shared" si="73"/>
        <v/>
      </c>
      <c r="DC144" s="24" t="str">
        <f t="shared" si="74"/>
        <v/>
      </c>
      <c r="DD144">
        <f t="shared" si="75"/>
        <v>10.583333333333334</v>
      </c>
      <c r="DE144" t="s">
        <v>785</v>
      </c>
      <c r="DF144" t="s">
        <v>67</v>
      </c>
      <c r="DG144" t="str">
        <f>VLOOKUP(W144,'Level Wise PSI'!$F$2:$G$12,2,FALSE)</f>
        <v>Double Lift</v>
      </c>
      <c r="DI144" t="str" cm="1">
        <f t="array" ref="DI144">_xlfn.LET(_xlpm.Coup,IFERROR(IF(BY144="","",IF(K144="Coupler",_xlfn._xlws.FILTER(CCFCoupler,(CCName=SD!$C$8)*(CBSize=IF(A143=A144,W143&amp;W144,BX144&amp;W144))),"")),"N/A"),IF(_xlpm.Coup=0,"",_xlpm.Coup))</f>
        <v/>
      </c>
      <c r="DJ144" t="str" cm="1">
        <f t="array" ref="DJ144">_xlfn.LET(_xlpm.Coup3,IFERROR(IF(CG144="","",IF(K145="Coupler",_xlfn._xlws.FILTER(CCFCoupler,(CCName=SD!$C$8)*(CBSize=IF(A144=A145,W144&amp;W145,""))),"")),"N/A"),IF(_xlpm.Coup3=0,"",_xlpm.Coup3))</f>
        <v/>
      </c>
      <c r="DK144" t="str" cm="1">
        <f t="array" ref="DK144">_xlfn.LET(_xlpm.Coup2,IFERROR(IF(A144&lt;&gt;A145,"",IF(DF144="No Lap","",IF(K145="Coupler",_xlfn._xlws.FILTER(CCFCoupler,(CCName=SD!$C$8)*(CBSize=IF(A143=A144,W144&amp;W145,W144&amp;W144))),""))),"N/A"),IF(_xlpm.Coup2=0,"",_xlpm.Coup2))</f>
        <v/>
      </c>
      <c r="DM144" t="str">
        <f>IF(AM144="Spiral","",IF(SD!$C$31=SD!$Y$3,SD!$E$32*2,""))</f>
        <v/>
      </c>
      <c r="DO144" s="24">
        <f t="shared" si="76"/>
        <v>2.5</v>
      </c>
      <c r="DQ144" t="str">
        <f t="shared" si="77"/>
        <v>Lig</v>
      </c>
      <c r="DR144" t="str">
        <f>IF(AM144="Spiral",((Y144-(SD!$E$12*2))/12),"")</f>
        <v/>
      </c>
      <c r="DS144" t="str">
        <f t="shared" si="78"/>
        <v/>
      </c>
      <c r="DT144" t="str">
        <f t="shared" si="79"/>
        <v/>
      </c>
      <c r="DU144" t="str">
        <f t="shared" si="80"/>
        <v/>
      </c>
    </row>
    <row r="145" spans="1:125" x14ac:dyDescent="0.25">
      <c r="A145">
        <v>47</v>
      </c>
      <c r="B145" t="s">
        <v>674</v>
      </c>
      <c r="C145" s="15">
        <v>2429</v>
      </c>
      <c r="D145" s="15">
        <v>10000</v>
      </c>
      <c r="E145" t="str">
        <f>IF(B145=Level!$A$2,SD!$C$14,SD!$C$13)</f>
        <v>0-8</v>
      </c>
      <c r="F145" s="15" t="s">
        <v>787</v>
      </c>
      <c r="G145" t="s">
        <v>742</v>
      </c>
      <c r="H145" t="str">
        <f>RIGHT(VLOOKUP(B145,Level!A:C,3,FALSE),LEN(VLOOKUP(B145,Level!A:C,3,FALSE))-1)</f>
        <v>10-7</v>
      </c>
      <c r="I145" t="s">
        <v>743</v>
      </c>
      <c r="J145" t="str">
        <f>IF(AND(SD!$C$19=SD!$H$2,Grade!$G$1="Per level"),VLOOKUP(B145,Grade!$E$1:$F$200,2,FALSE),IF(AND(SD!$C$19=SD!$H$2,Grade!$G$1="Per Bar Size"),VLOOKUP(W145,Grade!$B$1:$C$12,2,0),SD!$C$19))</f>
        <v>A615 Grade 60</v>
      </c>
      <c r="K145" t="s">
        <v>67</v>
      </c>
      <c r="L145" t="str">
        <f>IFERROR(IF(A145&lt;&gt;A146,"",IF(DF145="No Lap","",IF(K146="Lap",U145,IF(K146="Coupler",_xlfn._xlws.FILTER(CCoupler,(CCName=SD!$C$8)*(CBSize=IF(A144=A145,W145&amp;W146,W145&amp;W145))*(CCMFM="Male")),"")))),"N/A")</f>
        <v>5-1</v>
      </c>
      <c r="M145" t="str">
        <f t="shared" si="54"/>
        <v/>
      </c>
      <c r="N145" t="s">
        <v>719</v>
      </c>
      <c r="O145" t="s">
        <v>720</v>
      </c>
      <c r="P145" t="s">
        <v>719</v>
      </c>
      <c r="Q145" t="str">
        <f>IF(AND(SD!$C$29=SD!$P$2,Grade!$O$1="Per level"),VLOOKUP(B145,Grade!$M$1:$N$200,2,FALSE),IF(AND(SD!$C$29=SD!$P$2,Grade!$O$1="Per Bar Size"),VLOOKUP(LEFT(N145,FIND("@",N145)-2),Grade!$J$1:$K$12,2,0),SD!$C$29))</f>
        <v>A615 Grade 60</v>
      </c>
      <c r="R145" t="s">
        <v>742</v>
      </c>
      <c r="S145" s="57">
        <v>145</v>
      </c>
      <c r="U145" t="str">
        <f>IF(Data!$J145="",IFERROR(INDEX(IF(SD!$C$11="Create",Lap!$A$3:$BF$14,IF(SD!$C$11="Per Uploaded File",Lap!$A$19:$BF$30,"")),MATCH(W145,Lap!$A$3:$A$14,0),MATCH(VALUE(D145),Lap!$A$3:$BF$3,0)+IF(IFERROR(FIND("Grade 60",J145),0)&gt;0,0,IF(IFERROR(FIND("Grade 80",J145),0),1,IF(IFERROR(FIND("Grade 75",J145),0),2,"")))),""),Data!J145)</f>
        <v>5-1</v>
      </c>
      <c r="W145" t="s">
        <v>176</v>
      </c>
      <c r="X145">
        <v>6</v>
      </c>
      <c r="Y145" t="str">
        <f t="shared" si="55"/>
        <v>30</v>
      </c>
      <c r="Z145">
        <f t="shared" si="56"/>
        <v>0</v>
      </c>
      <c r="AA145" s="24">
        <f t="shared" si="57"/>
        <v>15.666666666666666</v>
      </c>
      <c r="BB145" t="e" cm="1">
        <f t="array" ref="BB145">_xlfn.LET(_xlpm.PartF,(_xlfn.LET(_xlpm.grade, Q145,_xlpm.gradeRange, IF(_xlpm.grade=SD!$H$3, A615GR60, IF(_xlpm.grade=SD!$H$4, A615GR75, IF(_xlpm.grade=SD!$H$5, A615GR80, IF(_xlpm.grade=SD!$H$6, A615GR100, IF(_xlpm.grade=SD!$H$7, A706GR60, IF(_xlpm.grade=SD!$H$8, A706GR80)))))),_xlpm.matchValue, MATCH(1, (SD!$AW:$AW=AS145)*(SD!$AX:$AX=SD!$C$8), 0),INDEX(_xlpm.gradeRange, _xlpm.matchValue))),IF(AM145="Spiral",CONCATENATE("SP",_xlpm.PartF),_xlpm.PartF))</f>
        <v>#N/A</v>
      </c>
      <c r="BC145" cm="1">
        <f t="array" ref="BC145">_xlfn.LET(_xlpm.leftPart, LEFT(O145, FIND("@", O145) - 2),_xlpm.grade,Q145,_xlpm.gradeRange,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5" cm="1">
        <f t="array" ref="BD145">_xlfn.LET(_xlpm.leftPart, LEFT(P145, FIND("@", P145) - 2),_xlpm.grade, Q145,_xlpm.gradeRange,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5">
        <f t="shared" si="58"/>
        <v>2.5</v>
      </c>
      <c r="BF145">
        <f>IF(SD!$C$32=SD!$I$2,BE145,IF(SD!$C$32=SD!$I$3,DO145,IF(SD!$C$32=SD!$I$5,BA145,IF(SD!$C$32=SD!$I$6,(LEFT(SD!$C$35,FIND("-",SD!$C$35)-1)+RIGHT(SD!$C$35,LEN(SD!$C$35)-FIND("-",SD!$C$35))/12),IF(SD!$C$32=SD!$I$4,(AU145-(BG145+BH145)))))))</f>
        <v>0</v>
      </c>
      <c r="BG145">
        <f>IF(SD!$C$33=SD!$I$2,BE145,IF(SD!$C$33=SD!$I$3,DO145,IF(SD!$C$33=SD!$I$5,BA145,IF(SD!$C$33=SD!$I$6,(LEFT(SD!$C$35,FIND("-",SD!$C$35)-1)+RIGHT(SD!$C$35,LEN(SD!$C$35)-FIND("-",SD!$C$35))/12),IF(SD!$C$33=SD!$I$4,(AU145-(BF145+BH145)))))))</f>
        <v>-1</v>
      </c>
      <c r="BH145">
        <f>IF(SD!$C$34=SD!$I$2,BE145,IF(SD!$C$34=SD!$I$3,DO145,IF(SD!$C$34=SD!$I$5,BA145,IF(SD!$C$34=SD!$I$6,(LEFT(SD!$C$35,FIND("-",SD!$C$35)-1)+RIGHT(SD!$C$35,LEN(SD!$C$35)-FIND("-",SD!$C$35))/12),IF(SD!$C$34=SD!$I$4,(AU145-(BF145+BG145)))))))</f>
        <v>1</v>
      </c>
      <c r="BJ145">
        <f>IF(AM145="Spiral","1",MAX(ROUNDUP(IF(SD!$C$32="",AT145,BF145/(LEFT(RIGHT(N145,LEN(N145)-FIND("@",N145)),LEN(RIGHT(N145,LEN(N145)-FIND("@",N145)))-1)/12)+1),0),0))</f>
        <v>1</v>
      </c>
      <c r="BK145">
        <f>MAX(ROUNDUP(IF(SD!$C$33="","",BG145/(LEFT(RIGHT(O145,LEN(O145)-FIND("@",O145)),LEN(RIGHT(O145,LEN(O145)-FIND("@",O145)))-1)/12)+1),0),0)</f>
        <v>0</v>
      </c>
      <c r="BL145">
        <f>MAX(ROUNDUP(IF(SD!$C$34="","",BH145/(LEFT(RIGHT(P145,LEN(P145)-FIND("@",P145)),LEN(RIGHT(P145,LEN(P145)-FIND("@",P145)))-1)/12)+1),0),0)</f>
        <v>3</v>
      </c>
      <c r="BN145" t="e">
        <f t="shared" si="59"/>
        <v>#N/A</v>
      </c>
      <c r="BO145" t="e">
        <f t="shared" si="60"/>
        <v>#N/A</v>
      </c>
      <c r="BP145" t="e">
        <f t="shared" si="61"/>
        <v>#N/A</v>
      </c>
      <c r="BQ145" s="24" t="e">
        <f>IF(AM145=TRUE,(((Y145-(SD!$E$12*2))*3.14159265359)+BN145+BO145+BP145)/12+AL145,SUM(AF145:AG145,BN145,BO145,BP145,AO145,AQ145)/12)</f>
        <v>#N/A</v>
      </c>
      <c r="BR145" t="e">
        <f t="shared" si="62"/>
        <v>#N/A</v>
      </c>
      <c r="BS145" t="e">
        <f t="shared" si="63"/>
        <v>#N/A</v>
      </c>
      <c r="BT145" t="e">
        <f t="shared" si="64"/>
        <v>#N/A</v>
      </c>
      <c r="BU145" s="24" t="e">
        <f>IF(AM145=TRUE,(((Y145-(SD!$E$12*2))*3.14159265359)+BR145+BS145+BT145)/12+AL145,SUM(AF145:AG145,BR145,BS145,BT145,AO145,AQ145)/12)</f>
        <v>#N/A</v>
      </c>
      <c r="BW145" t="str">
        <f>IFERROR(LEFT(Data!L145,FIND(" -",Data!L145)-1),"")</f>
        <v/>
      </c>
      <c r="BX145" t="str">
        <f>IFERROR(IF(SD!$C$40=SD!$U$2,W145,IF(SD!$C$40=SD!$U$3,RIGHT(Data!L145,LEN(Data!L145)-(FIND("-",Data!L145)+1)),SD!$C$40)),"")</f>
        <v>#10</v>
      </c>
      <c r="BY145" t="str" cm="1">
        <f t="array" ref="BY145">IFERROR(_xlfn.LET(_xlpm.GRR,IF(AND(SD!$C$19=SD!$H$2,Grade!$G$1="Per level"),VLOOKUP(B145,Grade!$E$1:$F$200,2,FALSE),IF(AND(SD!$C$19=SD!$H$2,Grade!$G$1="Per Bar Size"),VLOOKUP(BX145,Grade!$B$1:$C$12,2,0),SD!$C$19)),_xlpm.is_equal, A144=A145,_xlpm.grade_range, IF(_xlpm.GRR=SD!$H$3, A615GR60,IF(_xlpm.GRR=SD!$H$4, A615GR75,IF(_xlpm.GRR=SD!$H$5, A615GR80,IF(_xlpm.GRR=SD!H149, A615GR100,IF(_xlpm.GRR=SD!$H$7, A706GR60,IF(_xlpm.GRR=SD!$H$8, A706GR80)))))),_xlpm.match_result, MATCH(1, (BSize=BX145)*(BCName=SD!$C$8), 0),_xlpm.final_result, INDEX(_xlpm.grade_range, _xlpm.match_result),IF(_xlpm.is_equal, "", _xlpm.final_result)),"")</f>
        <v/>
      </c>
      <c r="BZ145" t="str">
        <f>IF(A144=A145,"",IF(SD!$C$41="Match Vertical Bars ",X145,IF(SD!$C$41=SD!$V$3,BW145,SD!$C$41)))</f>
        <v/>
      </c>
      <c r="CA145" t="str" cm="1">
        <f t="array" ref="CA145">IF(A144=A145,"",IF(SD!$C$44="No T-Head",IF(SD!$C$42=SD!$Q$3,VLOOKUP(BX145,S90Range,3,FALSE),LEFT(SD!$C$42,FIND("-",SD!$C$42)-1)+(RIGHT(SD!$C$42,LEN(SD!$C$42)-FIND("-",SD!$C$42))/12)),IF(SD!$C$44="T-Head",_xlfn._xlws.FILTER(THead,(TCName=SD!$C$8)*(TSize=BX145)),IF(SD!$C$44="Level Wise",_xlfn.LET(_xlpm.result,_xlfn.XLOOKUP(B145,VDLevel,VDLevelStatus,"No"),IF(_xlpm.result="Yes",_xlfn._xlws.FILTER(THead,(TCName=SD!$C$8)*(TSize=BX145)),IF(SD!$C$42=SD!$Q$3,VLOOKUP(BX145,S90Range,3,FALSE),LEFT(SD!$C$42,FIND("-",SD!$C$42)-1)+(RIGHT(SD!$C$42,LEN(SD!$C$42)-FIND("-", SD!$C$42))/12)))),IF(SD!$C$44="BarSize Wise",_xlfn.LET(_xlpm.result,_xlfn.XLOOKUP(BX145,VDBarSize,VDBarSizeStatus,"No"),IF(_xlpm.result="Yes",_xlfn._xlws.FILTER(THead,(TCName=SD!$C$8)*(TSize=BX145)),IF(SD!$C$42=SD!$Q$3,VLOOKUP(BX145,S90Range,3,FALSE),LEFT(SD!$C$42,FIND("-",SD!$C$42)-1)+(RIGHT(SD!$C$42,LEN(SD!$C$42)-FIND("-",SD!$C$42))/12)))), "")))))</f>
        <v/>
      </c>
      <c r="CB145" t="str" cm="1">
        <f t="array" ref="CB145">_xlfn.LET(_xlpm.GRR,IF(AND(SD!$C$19=SD!$H$2,Grade!$G$1="Per level"),VLOOKUP(B145,Grade!$E$1:$F$200,2,FALSE),IF(AND(SD!$C$19=SD!$H$2,Grade!$G$1="Per Bar Size"),VLOOKUP(BX145,Grade!$B$1:$C$12,2,0),SD!$C$19)),_xlpm.is_coupler, K145="Coupler",_xlpm.condition1, SD!$C$43=SD!$W$2,_xlpm.data_j2_empty, Data!$J145="",_xlpm.lookup_table, IF(SD!$C$11="Create", Lap!$A$3:$BF$14, IF(SD!$C$11="Per Uploaded File", Lap!$A$19:$BF$30, "")),_xlpm.row_match, MATCH(BX145, Lap!$A$3:$A$14, 0),_xlpm.grade_offset, IF(IFERROR(FIND("Grade 60",_xlpm.GRR), 0) &gt; 0, 0, IF(IFERROR(FIND("Grade 80",_xlpm.GRR), 0), 1, IF(IFERROR(FIND("Grade 75",_xlpm.GRR), 0), 2, ""))),_xlpm.col_match, MATCH(VALUE(D145), Lap!$A$3:$BF$3, 0) + _xlpm.grade_offset,_xlpm.index_result, IFERROR(INDEX(_xlpm.lookup_table, _xlpm.row_match, _xlpm.col_match), Data!$J145),_xlpm.result_if_condition1, IF(_xlpm.data_j2_empty, _xlpm.index_result, Data!$J145),IF(_xlpm.is_coupler, 0, IF(_xlpm.condition1, _xlpm.result_if_condition1, SD!$C$43)))</f>
        <v>5-1</v>
      </c>
      <c r="CC145" s="24">
        <f t="shared" si="65"/>
        <v>5.083333333333333</v>
      </c>
      <c r="CD145">
        <f t="shared" si="66"/>
        <v>5.75</v>
      </c>
      <c r="CE145" t="str" cm="1">
        <f t="array" ref="CE145">IF(BY145="","",_xlfn._xlws.FILTER(SAC,(CName=SD!$C$8)*(EName="Vert Dowels")))</f>
        <v/>
      </c>
      <c r="CF145" t="str" cm="1">
        <f t="array" ref="CF145">IFERROR(IF(BY145="","",IF(K145="Coupler",_xlfn._xlws.FILTER(CCoupler,(CCName=SD!$C$8)*(CBSize=IF(A144=A145,W144&amp;W145,BX145&amp;W145))*(CCMFM="Male")),"")),"N/A")</f>
        <v/>
      </c>
      <c r="CG145" t="str">
        <f t="shared" si="67"/>
        <v/>
      </c>
      <c r="CH145" t="str">
        <f t="shared" si="68"/>
        <v/>
      </c>
      <c r="CI145" t="str">
        <f>_xlfn.LET(_xlpm.u3_value, U146,_xlpm.hyphen_pos,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K146="Coupler",_xlpm.coupler_value, IF(_xlpm.is_coupler, 0, _xlpm.calculated_value),_xlpm.final_value, _xlpm.calculated_value + SD!$E$13 + _xlpm.coupler_value,IF(CG145="", "", _xlpm.final_value))</f>
        <v/>
      </c>
      <c r="CJ145" t="str" cm="1">
        <f t="array" ref="CJ145">IF(CG145="","",_xlfn._xlws.FILTER(SAC,(CName=SD!$C$8)*(EName="Loose Dowels")))</f>
        <v/>
      </c>
      <c r="CK145" t="str" cm="1">
        <f t="array" ref="CK145">IFERROR(IF(CG145="","",IF(K146="Coupler",_xlfn._xlws.FILTER(CCoupler,(CCName=SD!$C$8)*(CBSize=IF(A145=A146,W145&amp;W146,""))*(CCMFM="Male")),"")),"N/A")</f>
        <v/>
      </c>
      <c r="CL145" t="str">
        <f>IFERROR(IF(AM145="Spiral","",IF(A144=A145,"",IF(SD!$C$37=0,"",SD!$C$37))),"")</f>
        <v/>
      </c>
      <c r="CN145">
        <f>IF(AM145="Spiral","",IFERROR(IF(SD!$C$36=0,"",SD!$C$36),""))</f>
        <v>5</v>
      </c>
      <c r="CP145" t="str">
        <f>IFERROR(IF(SD!$C$42=SD!$Q$3,'Take-off'!CA145,""),"")</f>
        <v/>
      </c>
      <c r="CR145">
        <f>IFERROR(IF(SD!$C$22=SD!$U$2,W145,SD!$C$22),"")</f>
        <v>0</v>
      </c>
      <c r="CS145" t="str" cm="1">
        <f t="array" ref="CS145">_xlfn.LET(_xlpm.GR,IF(AND(SD!$C$19=SD!$H$2,Grade!$G$1="Per level"),VLOOKUP(B145,Grade!$E$1:$F$200,2,FALSE),IF(AND(SD!$C$19=SD!$H$2,Grade!$G$1="Per Bar Size"),VLOOKUP(CR145,Grade!$B$1:$C$12,2,0),SD!$C$19)),IF(SD!$C$20=SD!$R$4,IF(A146=A145,"",INDEX(IF(_xlpm.GR=SD!$H$3,A615GR60,IF(_xlpm.GR=SD!$H$4,A615GR75,IF(_xlpm.GR=SD!$H$5,A615GR80,IF(_xlpm.GR=SD!H149,A615GR100,IF(_xlpm.GR=SD!$H$7,A706GR60,IF(_xlpm.GR=SD!$H$8,A706GR80)))))), MATCH(1, (BSize=CR145)*(BCName=SD!$C$8), 0))),""))</f>
        <v/>
      </c>
      <c r="CT145" t="str">
        <f>IF(A146=A145,"",IF(SD!$C$23="Match Vertical Bars ",X145,SD!$C$23))</f>
        <v/>
      </c>
      <c r="CU145" t="str" cm="1">
        <f t="array" ref="CU145">IF(A146=A145,"",IF(SD!$C$20="Top dowels",IF(SD!$E$25="No T-Head",IF(SD!$C$24=SD!$Q$3,VLOOKUP(CR145,S90Range,3,FALSE),LEFT(SD!$C$24,FIND("-",SD!$C$24)-1)+(RIGHT(SD!$C$24,LEN(SD!$C$24)-FIND("-",SD!$C$24))/12)),IF(SD!$E$25="T-Head",_xlfn._xlws.FILTER(THead,(TCName=SD!$C$8)*(TSize=CR145)),IF(SD!$E$25="Level Wise",_xlfn.LET(_xlpm.result,_xlfn.XLOOKUP(B145,TDLevel,TDLevelStatus,"No"),IF(_xlpm.result="Yes",_xlfn._xlws.FILTER(THead,(TCName=SD!$C$8)*(TSize=CR145)),IF(SD!$C$24=SD!$Q$3,VLOOKUP(CR145,S90Range,3,FALSE),LEFT(SD!$C$24,FIND("-",SD!$C$24)-1)+(RIGHT(SD!$C$24,LEN(SD!$C$24)-FIND("-", SD!$C$24))/12)))),IF(SD!$E$25="BarSize Wise",_xlfn.LET(_xlpm.result,_xlfn.XLOOKUP(CR145,TDBarSize,TDBarSizeStatus,"No"),IF(_xlpm.result="Yes",_xlfn._xlws.FILTER(THead,(TCName=SD!$C$8)*(TSize=CR145)),IF(SD!$C$24=SD!$Q$3,VLOOKUP(CR145,S90Range,3,FALSE),LEFT(SD!$C$24,FIND("-",SD!$C$24)-1)+(RIGHT(SD!$C$24,LEN(SD!$C$24)-FIND("-",SD!$C$24))/12)))), "")))),""))</f>
        <v/>
      </c>
      <c r="CV145" t="str">
        <f>_xlfn.LET(_xlpm.GRR,IF(AND(SD!$C$19=SD!$H$2,Grade!$G$1="Per level"),VLOOKUP(B145,Grade!$E$1:$F$200,2,FALSE),IF(AND(SD!$C$19=SD!$H$2,Grade!$G$1="Per Bar Size"),VLOOKUP(CR145,Grade!$B$1:$C$12,2,0),SD!$C$19)),IF(SD!$C$25=SD!$W$2,IF(Data!$J145="",IFERROR(INDEX(IF(SD!$C$11="Create",Lap!$A$3:$BF$14,IF(SD!$C$11="Per Uploaded File",Lap!$A$19:$BF$30,"")),MATCH(CR145,Lap!$A$3:$A$14,0),MATCH(VALUE(D145),Lap!$A$3:$BF$3,0)+IF(IFERROR(FIND("Grade 60",_xlpm.GRR),0)&gt;0,0,IF(IFERROR(FIND("Grade 80",_xlpm.GRR),0),1,IF(IFERROR(FIND("Grade 75",_xlpm.GRR),0),2,"")))),""),Data!J145),SD!$C$43))</f>
        <v>Match Lap</v>
      </c>
      <c r="CW145">
        <f t="shared" si="69"/>
        <v>0</v>
      </c>
      <c r="CX145">
        <f t="shared" si="70"/>
        <v>0</v>
      </c>
      <c r="CY145" t="str">
        <f t="shared" si="71"/>
        <v/>
      </c>
      <c r="DA145" t="str">
        <f t="shared" si="72"/>
        <v/>
      </c>
      <c r="DB145" t="str">
        <f t="shared" si="73"/>
        <v/>
      </c>
      <c r="DC145" s="24" t="str">
        <f t="shared" si="74"/>
        <v/>
      </c>
      <c r="DD145">
        <f t="shared" si="75"/>
        <v>10.583333333333334</v>
      </c>
      <c r="DE145" t="s">
        <v>785</v>
      </c>
      <c r="DF145" t="s">
        <v>67</v>
      </c>
      <c r="DG145" t="str">
        <f>VLOOKUP(W145,'Level Wise PSI'!$F$2:$G$12,2,FALSE)</f>
        <v>Double Lift</v>
      </c>
      <c r="DI145" t="str" cm="1">
        <f t="array" ref="DI145">_xlfn.LET(_xlpm.Coup,IFERROR(IF(BY145="","",IF(K145="Coupler",_xlfn._xlws.FILTER(CCFCoupler,(CCName=SD!$C$8)*(CBSize=IF(A144=A145,W144&amp;W145,BX145&amp;W145))),"")),"N/A"),IF(_xlpm.Coup=0,"",_xlpm.Coup))</f>
        <v/>
      </c>
      <c r="DJ145" t="str" cm="1">
        <f t="array" ref="DJ145">_xlfn.LET(_xlpm.Coup3,IFERROR(IF(CG145="","",IF(K146="Coupler",_xlfn._xlws.FILTER(CCFCoupler,(CCName=SD!$C$8)*(CBSize=IF(A145=A146,W145&amp;W146,""))),"")),"N/A"),IF(_xlpm.Coup3=0,"",_xlpm.Coup3))</f>
        <v/>
      </c>
      <c r="DK145" t="str" cm="1">
        <f t="array" ref="DK145">_xlfn.LET(_xlpm.Coup2,IFERROR(IF(A145&lt;&gt;A146,"",IF(DF145="No Lap","",IF(K146="Coupler",_xlfn._xlws.FILTER(CCFCoupler,(CCName=SD!$C$8)*(CBSize=IF(A144=A145,W145&amp;W146,W145&amp;W145))),""))),"N/A"),IF(_xlpm.Coup2=0,"",_xlpm.Coup2))</f>
        <v/>
      </c>
      <c r="DM145" t="str">
        <f>IF(AM145="Spiral","",IF(SD!$C$31=SD!$Y$3,SD!$E$32*2,""))</f>
        <v/>
      </c>
      <c r="DO145" s="24">
        <f t="shared" si="76"/>
        <v>2.5</v>
      </c>
      <c r="DQ145" t="str">
        <f t="shared" si="77"/>
        <v>Lig</v>
      </c>
      <c r="DR145" t="str">
        <f>IF(AM145="Spiral",((Y145-(SD!$E$12*2))/12),"")</f>
        <v/>
      </c>
      <c r="DS145" t="str">
        <f t="shared" si="78"/>
        <v/>
      </c>
      <c r="DT145" t="str">
        <f t="shared" si="79"/>
        <v/>
      </c>
      <c r="DU145" t="str">
        <f t="shared" si="80"/>
        <v/>
      </c>
    </row>
    <row r="146" spans="1:125" x14ac:dyDescent="0.25">
      <c r="A146">
        <v>47</v>
      </c>
      <c r="B146" t="s">
        <v>676</v>
      </c>
      <c r="C146" s="15">
        <v>2429</v>
      </c>
      <c r="D146" s="15">
        <v>10000</v>
      </c>
      <c r="E146" t="str">
        <f>IF(B146=Level!$A$2,SD!$C$14,SD!$C$13)</f>
        <v>0-8</v>
      </c>
      <c r="F146" s="15" t="s">
        <v>787</v>
      </c>
      <c r="G146" t="s">
        <v>742</v>
      </c>
      <c r="H146" t="str">
        <f>RIGHT(VLOOKUP(B146,Level!A:C,3,FALSE),LEN(VLOOKUP(B146,Level!A:C,3,FALSE))-1)</f>
        <v>10-7</v>
      </c>
      <c r="I146" t="s">
        <v>743</v>
      </c>
      <c r="J146" t="str">
        <f>IF(AND(SD!$C$19=SD!$H$2,Grade!$G$1="Per level"),VLOOKUP(B146,Grade!$E$1:$F$200,2,FALSE),IF(AND(SD!$C$19=SD!$H$2,Grade!$G$1="Per Bar Size"),VLOOKUP(W146,Grade!$B$1:$C$12,2,0),SD!$C$19))</f>
        <v>A615 Grade 60</v>
      </c>
      <c r="K146" t="s">
        <v>67</v>
      </c>
      <c r="L146" t="str">
        <f>IFERROR(IF(A146&lt;&gt;A147,"",IF(DF146="No Lap","",IF(K147="Lap",U146,IF(K147="Coupler",_xlfn._xlws.FILTER(CCoupler,(CCName=SD!$C$8)*(CBSize=IF(A145=A146,W146&amp;W147,W146&amp;W146))*(CCMFM="Male")),"")))),"N/A")</f>
        <v>5-1</v>
      </c>
      <c r="M146" t="str">
        <f t="shared" si="54"/>
        <v/>
      </c>
      <c r="N146" t="s">
        <v>719</v>
      </c>
      <c r="O146" t="s">
        <v>720</v>
      </c>
      <c r="P146" t="s">
        <v>719</v>
      </c>
      <c r="Q146" t="str">
        <f>IF(AND(SD!$C$29=SD!$P$2,Grade!$O$1="Per level"),VLOOKUP(B146,Grade!$M$1:$N$200,2,FALSE),IF(AND(SD!$C$29=SD!$P$2,Grade!$O$1="Per Bar Size"),VLOOKUP(LEFT(N146,FIND("@",N146)-2),Grade!$J$1:$K$12,2,0),SD!$C$29))</f>
        <v>A615 Grade 60</v>
      </c>
      <c r="R146" t="s">
        <v>742</v>
      </c>
      <c r="S146" s="57">
        <v>146</v>
      </c>
      <c r="U146" t="str">
        <f>IF(Data!$J146="",IFERROR(INDEX(IF(SD!$C$11="Create",Lap!$A$3:$BF$14,IF(SD!$C$11="Per Uploaded File",Lap!$A$19:$BF$30,"")),MATCH(W146,Lap!$A$3:$A$14,0),MATCH(VALUE(D146),Lap!$A$3:$BF$3,0)+IF(IFERROR(FIND("Grade 60",J146),0)&gt;0,0,IF(IFERROR(FIND("Grade 80",J146),0),1,IF(IFERROR(FIND("Grade 75",J146),0),2,"")))),""),Data!J146)</f>
        <v>5-1</v>
      </c>
      <c r="W146" t="s">
        <v>176</v>
      </c>
      <c r="X146">
        <v>6</v>
      </c>
      <c r="Y146" t="str">
        <f t="shared" si="55"/>
        <v>30</v>
      </c>
      <c r="Z146">
        <f t="shared" si="56"/>
        <v>0</v>
      </c>
      <c r="AA146" s="24">
        <f t="shared" si="57"/>
        <v>15.666666666666666</v>
      </c>
      <c r="BB146" t="e" cm="1">
        <f t="array" ref="BB146">_xlfn.LET(_xlpm.PartF,(_xlfn.LET(_xlpm.grade, Q146,_xlpm.gradeRange, IF(_xlpm.grade=SD!$H$3, A615GR60, IF(_xlpm.grade=SD!$H$4, A615GR75, IF(_xlpm.grade=SD!$H$5, A615GR80, IF(_xlpm.grade=SD!$H$6, A615GR100, IF(_xlpm.grade=SD!$H$7, A706GR60, IF(_xlpm.grade=SD!$H$8, A706GR80)))))),_xlpm.matchValue, MATCH(1, (SD!$AW:$AW=AS146)*(SD!$AX:$AX=SD!$C$8), 0),INDEX(_xlpm.gradeRange, _xlpm.matchValue))),IF(AM146="Spiral",CONCATENATE("SP",_xlpm.PartF),_xlpm.PartF))</f>
        <v>#N/A</v>
      </c>
      <c r="BC146" cm="1">
        <f t="array" ref="BC146">_xlfn.LET(_xlpm.leftPart, LEFT(O146, FIND("@", O146) - 2),_xlpm.grade,Q146,_xlpm.gradeRange,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6" cm="1">
        <f t="array" ref="BD146">_xlfn.LET(_xlpm.leftPart, LEFT(P146, FIND("@", P146) - 2),_xlpm.grade, Q146,_xlpm.gradeRange,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6">
        <f t="shared" si="58"/>
        <v>2.5</v>
      </c>
      <c r="BF146">
        <f>IF(SD!$C$32=SD!$I$2,BE146,IF(SD!$C$32=SD!$I$3,DO146,IF(SD!$C$32=SD!$I$5,BA146,IF(SD!$C$32=SD!$I$6,(LEFT(SD!$C$35,FIND("-",SD!$C$35)-1)+RIGHT(SD!$C$35,LEN(SD!$C$35)-FIND("-",SD!$C$35))/12),IF(SD!$C$32=SD!$I$4,(AU146-(BG146+BH146)))))))</f>
        <v>0</v>
      </c>
      <c r="BG146">
        <f>IF(SD!$C$33=SD!$I$2,BE146,IF(SD!$C$33=SD!$I$3,DO146,IF(SD!$C$33=SD!$I$5,BA146,IF(SD!$C$33=SD!$I$6,(LEFT(SD!$C$35,FIND("-",SD!$C$35)-1)+RIGHT(SD!$C$35,LEN(SD!$C$35)-FIND("-",SD!$C$35))/12),IF(SD!$C$33=SD!$I$4,(AU146-(BF146+BH146)))))))</f>
        <v>-1</v>
      </c>
      <c r="BH146">
        <f>IF(SD!$C$34=SD!$I$2,BE146,IF(SD!$C$34=SD!$I$3,DO146,IF(SD!$C$34=SD!$I$5,BA146,IF(SD!$C$34=SD!$I$6,(LEFT(SD!$C$35,FIND("-",SD!$C$35)-1)+RIGHT(SD!$C$35,LEN(SD!$C$35)-FIND("-",SD!$C$35))/12),IF(SD!$C$34=SD!$I$4,(AU146-(BF146+BG146)))))))</f>
        <v>1</v>
      </c>
      <c r="BJ146">
        <f>IF(AM146="Spiral","1",MAX(ROUNDUP(IF(SD!$C$32="",AT146,BF146/(LEFT(RIGHT(N146,LEN(N146)-FIND("@",N146)),LEN(RIGHT(N146,LEN(N146)-FIND("@",N146)))-1)/12)+1),0),0))</f>
        <v>1</v>
      </c>
      <c r="BK146">
        <f>MAX(ROUNDUP(IF(SD!$C$33="","",BG146/(LEFT(RIGHT(O146,LEN(O146)-FIND("@",O146)),LEN(RIGHT(O146,LEN(O146)-FIND("@",O146)))-1)/12)+1),0),0)</f>
        <v>0</v>
      </c>
      <c r="BL146">
        <f>MAX(ROUNDUP(IF(SD!$C$34="","",BH146/(LEFT(RIGHT(P146,LEN(P146)-FIND("@",P146)),LEN(RIGHT(P146,LEN(P146)-FIND("@",P146)))-1)/12)+1),0),0)</f>
        <v>3</v>
      </c>
      <c r="BN146" t="e">
        <f t="shared" si="59"/>
        <v>#N/A</v>
      </c>
      <c r="BO146" t="e">
        <f t="shared" si="60"/>
        <v>#N/A</v>
      </c>
      <c r="BP146" t="e">
        <f t="shared" si="61"/>
        <v>#N/A</v>
      </c>
      <c r="BQ146" s="24" t="e">
        <f>IF(AM146=TRUE,(((Y146-(SD!$E$12*2))*3.14159265359)+BN146+BO146+BP146)/12+AL146,SUM(AF146:AG146,BN146,BO146,BP146,AO146,AQ146)/12)</f>
        <v>#N/A</v>
      </c>
      <c r="BR146" t="e">
        <f t="shared" si="62"/>
        <v>#N/A</v>
      </c>
      <c r="BS146" t="e">
        <f t="shared" si="63"/>
        <v>#N/A</v>
      </c>
      <c r="BT146" t="e">
        <f t="shared" si="64"/>
        <v>#N/A</v>
      </c>
      <c r="BU146" s="24" t="e">
        <f>IF(AM146=TRUE,(((Y146-(SD!$E$12*2))*3.14159265359)+BR146+BS146+BT146)/12+AL146,SUM(AF146:AG146,BR146,BS146,BT146,AO146,AQ146)/12)</f>
        <v>#N/A</v>
      </c>
      <c r="BW146" t="str">
        <f>IFERROR(LEFT(Data!L146,FIND(" -",Data!L146)-1),"")</f>
        <v/>
      </c>
      <c r="BX146" t="str">
        <f>IFERROR(IF(SD!$C$40=SD!$U$2,W146,IF(SD!$C$40=SD!$U$3,RIGHT(Data!L146,LEN(Data!L146)-(FIND("-",Data!L146)+1)),SD!$C$40)),"")</f>
        <v>#10</v>
      </c>
      <c r="BY146" t="str" cm="1">
        <f t="array" ref="BY146">IFERROR(_xlfn.LET(_xlpm.GRR,IF(AND(SD!$C$19=SD!$H$2,Grade!$G$1="Per level"),VLOOKUP(B146,Grade!$E$1:$F$200,2,FALSE),IF(AND(SD!$C$19=SD!$H$2,Grade!$G$1="Per Bar Size"),VLOOKUP(BX146,Grade!$B$1:$C$12,2,0),SD!$C$19)),_xlpm.is_equal, A145=A146,_xlpm.grade_range, IF(_xlpm.GRR=SD!$H$3, A615GR60,IF(_xlpm.GRR=SD!$H$4, A615GR75,IF(_xlpm.GRR=SD!$H$5, A615GR80,IF(_xlpm.GRR=SD!H150, A615GR100,IF(_xlpm.GRR=SD!$H$7, A706GR60,IF(_xlpm.GRR=SD!$H$8, A706GR80)))))),_xlpm.match_result, MATCH(1, (BSize=BX146)*(BCName=SD!$C$8), 0),_xlpm.final_result, INDEX(_xlpm.grade_range, _xlpm.match_result),IF(_xlpm.is_equal, "", _xlpm.final_result)),"")</f>
        <v/>
      </c>
      <c r="BZ146" t="str">
        <f>IF(A145=A146,"",IF(SD!$C$41="Match Vertical Bars ",X146,IF(SD!$C$41=SD!$V$3,BW146,SD!$C$41)))</f>
        <v/>
      </c>
      <c r="CA146" t="str" cm="1">
        <f t="array" ref="CA146">IF(A145=A146,"",IF(SD!$C$44="No T-Head",IF(SD!$C$42=SD!$Q$3,VLOOKUP(BX146,S90Range,3,FALSE),LEFT(SD!$C$42,FIND("-",SD!$C$42)-1)+(RIGHT(SD!$C$42,LEN(SD!$C$42)-FIND("-",SD!$C$42))/12)),IF(SD!$C$44="T-Head",_xlfn._xlws.FILTER(THead,(TCName=SD!$C$8)*(TSize=BX146)),IF(SD!$C$44="Level Wise",_xlfn.LET(_xlpm.result,_xlfn.XLOOKUP(B146,VDLevel,VDLevelStatus,"No"),IF(_xlpm.result="Yes",_xlfn._xlws.FILTER(THead,(TCName=SD!$C$8)*(TSize=BX146)),IF(SD!$C$42=SD!$Q$3,VLOOKUP(BX146,S90Range,3,FALSE),LEFT(SD!$C$42,FIND("-",SD!$C$42)-1)+(RIGHT(SD!$C$42,LEN(SD!$C$42)-FIND("-", SD!$C$42))/12)))),IF(SD!$C$44="BarSize Wise",_xlfn.LET(_xlpm.result,_xlfn.XLOOKUP(BX146,VDBarSize,VDBarSizeStatus,"No"),IF(_xlpm.result="Yes",_xlfn._xlws.FILTER(THead,(TCName=SD!$C$8)*(TSize=BX146)),IF(SD!$C$42=SD!$Q$3,VLOOKUP(BX146,S90Range,3,FALSE),LEFT(SD!$C$42,FIND("-",SD!$C$42)-1)+(RIGHT(SD!$C$42,LEN(SD!$C$42)-FIND("-",SD!$C$42))/12)))), "")))))</f>
        <v/>
      </c>
      <c r="CB146" t="str" cm="1">
        <f t="array" ref="CB146">_xlfn.LET(_xlpm.GRR,IF(AND(SD!$C$19=SD!$H$2,Grade!$G$1="Per level"),VLOOKUP(B146,Grade!$E$1:$F$200,2,FALSE),IF(AND(SD!$C$19=SD!$H$2,Grade!$G$1="Per Bar Size"),VLOOKUP(BX146,Grade!$B$1:$C$12,2,0),SD!$C$19)),_xlpm.is_coupler, K146="Coupler",_xlpm.condition1, SD!$C$43=SD!$W$2,_xlpm.data_j2_empty, Data!$J146="",_xlpm.lookup_table, IF(SD!$C$11="Create", Lap!$A$3:$BF$14, IF(SD!$C$11="Per Uploaded File", Lap!$A$19:$BF$30, "")),_xlpm.row_match, MATCH(BX146, Lap!$A$3:$A$14, 0),_xlpm.grade_offset, IF(IFERROR(FIND("Grade 60",_xlpm.GRR), 0) &gt; 0, 0, IF(IFERROR(FIND("Grade 80",_xlpm.GRR), 0), 1, IF(IFERROR(FIND("Grade 75",_xlpm.GRR), 0), 2, ""))),_xlpm.col_match, MATCH(VALUE(D146), Lap!$A$3:$BF$3, 0) + _xlpm.grade_offset,_xlpm.index_result, IFERROR(INDEX(_xlpm.lookup_table, _xlpm.row_match, _xlpm.col_match), Data!$J146),_xlpm.result_if_condition1, IF(_xlpm.data_j2_empty, _xlpm.index_result, Data!$J146),IF(_xlpm.is_coupler, 0, IF(_xlpm.condition1, _xlpm.result_if_condition1, SD!$C$43)))</f>
        <v>5-1</v>
      </c>
      <c r="CC146" s="24">
        <f t="shared" si="65"/>
        <v>5.083333333333333</v>
      </c>
      <c r="CD146">
        <f t="shared" si="66"/>
        <v>5.75</v>
      </c>
      <c r="CE146" t="str" cm="1">
        <f t="array" ref="CE146">IF(BY146="","",_xlfn._xlws.FILTER(SAC,(CName=SD!$C$8)*(EName="Vert Dowels")))</f>
        <v/>
      </c>
      <c r="CF146" t="str" cm="1">
        <f t="array" ref="CF146">IFERROR(IF(BY146="","",IF(K146="Coupler",_xlfn._xlws.FILTER(CCoupler,(CCName=SD!$C$8)*(CBSize=IF(A145=A146,W145&amp;W146,BX146&amp;W146))*(CCMFM="Male")),"")),"N/A")</f>
        <v/>
      </c>
      <c r="CG146" t="str">
        <f t="shared" si="67"/>
        <v/>
      </c>
      <c r="CH146" t="str">
        <f t="shared" si="68"/>
        <v/>
      </c>
      <c r="CI146" t="str">
        <f>_xlfn.LET(_xlpm.u3_value, U147,_xlpm.hyphen_pos,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K147="Coupler",_xlpm.coupler_value, IF(_xlpm.is_coupler, 0, _xlpm.calculated_value),_xlpm.final_value, _xlpm.calculated_value + SD!$E$13 + _xlpm.coupler_value,IF(CG146="", "", _xlpm.final_value))</f>
        <v/>
      </c>
      <c r="CJ146" t="str" cm="1">
        <f t="array" ref="CJ146">IF(CG146="","",_xlfn._xlws.FILTER(SAC,(CName=SD!$C$8)*(EName="Loose Dowels")))</f>
        <v/>
      </c>
      <c r="CK146" t="str" cm="1">
        <f t="array" ref="CK146">IFERROR(IF(CG146="","",IF(K147="Coupler",_xlfn._xlws.FILTER(CCoupler,(CCName=SD!$C$8)*(CBSize=IF(A146=A147,W146&amp;W147,""))*(CCMFM="Male")),"")),"N/A")</f>
        <v/>
      </c>
      <c r="CL146" t="str">
        <f>IFERROR(IF(AM146="Spiral","",IF(A145=A146,"",IF(SD!$C$37=0,"",SD!$C$37))),"")</f>
        <v/>
      </c>
      <c r="CN146">
        <f>IF(AM146="Spiral","",IFERROR(IF(SD!$C$36=0,"",SD!$C$36),""))</f>
        <v>5</v>
      </c>
      <c r="CP146" t="str">
        <f>IFERROR(IF(SD!$C$42=SD!$Q$3,'Take-off'!CA146,""),"")</f>
        <v/>
      </c>
      <c r="CR146">
        <f>IFERROR(IF(SD!$C$22=SD!$U$2,W146,SD!$C$22),"")</f>
        <v>0</v>
      </c>
      <c r="CS146" t="str" cm="1">
        <f t="array" ref="CS146">_xlfn.LET(_xlpm.GR,IF(AND(SD!$C$19=SD!$H$2,Grade!$G$1="Per level"),VLOOKUP(B146,Grade!$E$1:$F$200,2,FALSE),IF(AND(SD!$C$19=SD!$H$2,Grade!$G$1="Per Bar Size"),VLOOKUP(CR146,Grade!$B$1:$C$12,2,0),SD!$C$19)),IF(SD!$C$20=SD!$R$4,IF(A147=A146,"",INDEX(IF(_xlpm.GR=SD!$H$3,A615GR60,IF(_xlpm.GR=SD!$H$4,A615GR75,IF(_xlpm.GR=SD!$H$5,A615GR80,IF(_xlpm.GR=SD!H150,A615GR100,IF(_xlpm.GR=SD!$H$7,A706GR60,IF(_xlpm.GR=SD!$H$8,A706GR80)))))), MATCH(1, (BSize=CR146)*(BCName=SD!$C$8), 0))),""))</f>
        <v/>
      </c>
      <c r="CT146" t="str">
        <f>IF(A147=A146,"",IF(SD!$C$23="Match Vertical Bars ",X146,SD!$C$23))</f>
        <v/>
      </c>
      <c r="CU146" t="str" cm="1">
        <f t="array" ref="CU146">IF(A147=A146,"",IF(SD!$C$20="Top dowels",IF(SD!$E$25="No T-Head",IF(SD!$C$24=SD!$Q$3,VLOOKUP(CR146,S90Range,3,FALSE),LEFT(SD!$C$24,FIND("-",SD!$C$24)-1)+(RIGHT(SD!$C$24,LEN(SD!$C$24)-FIND("-",SD!$C$24))/12)),IF(SD!$E$25="T-Head",_xlfn._xlws.FILTER(THead,(TCName=SD!$C$8)*(TSize=CR146)),IF(SD!$E$25="Level Wise",_xlfn.LET(_xlpm.result,_xlfn.XLOOKUP(B146,TDLevel,TDLevelStatus,"No"),IF(_xlpm.result="Yes",_xlfn._xlws.FILTER(THead,(TCName=SD!$C$8)*(TSize=CR146)),IF(SD!$C$24=SD!$Q$3,VLOOKUP(CR146,S90Range,3,FALSE),LEFT(SD!$C$24,FIND("-",SD!$C$24)-1)+(RIGHT(SD!$C$24,LEN(SD!$C$24)-FIND("-", SD!$C$24))/12)))),IF(SD!$E$25="BarSize Wise",_xlfn.LET(_xlpm.result,_xlfn.XLOOKUP(CR146,TDBarSize,TDBarSizeStatus,"No"),IF(_xlpm.result="Yes",_xlfn._xlws.FILTER(THead,(TCName=SD!$C$8)*(TSize=CR146)),IF(SD!$C$24=SD!$Q$3,VLOOKUP(CR146,S90Range,3,FALSE),LEFT(SD!$C$24,FIND("-",SD!$C$24)-1)+(RIGHT(SD!$C$24,LEN(SD!$C$24)-FIND("-",SD!$C$24))/12)))), "")))),""))</f>
        <v/>
      </c>
      <c r="CV146" t="str">
        <f>_xlfn.LET(_xlpm.GRR,IF(AND(SD!$C$19=SD!$H$2,Grade!$G$1="Per level"),VLOOKUP(B146,Grade!$E$1:$F$200,2,FALSE),IF(AND(SD!$C$19=SD!$H$2,Grade!$G$1="Per Bar Size"),VLOOKUP(CR146,Grade!$B$1:$C$12,2,0),SD!$C$19)),IF(SD!$C$25=SD!$W$2,IF(Data!$J146="",IFERROR(INDEX(IF(SD!$C$11="Create",Lap!$A$3:$BF$14,IF(SD!$C$11="Per Uploaded File",Lap!$A$19:$BF$30,"")),MATCH(CR146,Lap!$A$3:$A$14,0),MATCH(VALUE(D146),Lap!$A$3:$BF$3,0)+IF(IFERROR(FIND("Grade 60",_xlpm.GRR),0)&gt;0,0,IF(IFERROR(FIND("Grade 80",_xlpm.GRR),0),1,IF(IFERROR(FIND("Grade 75",_xlpm.GRR),0),2,"")))),""),Data!J146),SD!$C$43))</f>
        <v>Match Lap</v>
      </c>
      <c r="CW146">
        <f t="shared" si="69"/>
        <v>0</v>
      </c>
      <c r="CX146">
        <f t="shared" si="70"/>
        <v>0</v>
      </c>
      <c r="CY146" t="str">
        <f t="shared" si="71"/>
        <v/>
      </c>
      <c r="DA146" t="str">
        <f t="shared" si="72"/>
        <v/>
      </c>
      <c r="DB146" t="str">
        <f t="shared" si="73"/>
        <v/>
      </c>
      <c r="DC146" s="24" t="str">
        <f t="shared" si="74"/>
        <v/>
      </c>
      <c r="DD146">
        <f t="shared" si="75"/>
        <v>10.583333333333334</v>
      </c>
      <c r="DE146" t="s">
        <v>785</v>
      </c>
      <c r="DF146" t="s">
        <v>67</v>
      </c>
      <c r="DG146" t="str">
        <f>VLOOKUP(W146,'Level Wise PSI'!$F$2:$G$12,2,FALSE)</f>
        <v>Double Lift</v>
      </c>
      <c r="DI146" t="str" cm="1">
        <f t="array" ref="DI146">_xlfn.LET(_xlpm.Coup,IFERROR(IF(BY146="","",IF(K146="Coupler",_xlfn._xlws.FILTER(CCFCoupler,(CCName=SD!$C$8)*(CBSize=IF(A145=A146,W145&amp;W146,BX146&amp;W146))),"")),"N/A"),IF(_xlpm.Coup=0,"",_xlpm.Coup))</f>
        <v/>
      </c>
      <c r="DJ146" t="str" cm="1">
        <f t="array" ref="DJ146">_xlfn.LET(_xlpm.Coup3,IFERROR(IF(CG146="","",IF(K147="Coupler",_xlfn._xlws.FILTER(CCFCoupler,(CCName=SD!$C$8)*(CBSize=IF(A146=A147,W146&amp;W147,""))),"")),"N/A"),IF(_xlpm.Coup3=0,"",_xlpm.Coup3))</f>
        <v/>
      </c>
      <c r="DK146" t="str" cm="1">
        <f t="array" ref="DK146">_xlfn.LET(_xlpm.Coup2,IFERROR(IF(A146&lt;&gt;A147,"",IF(DF146="No Lap","",IF(K147="Coupler",_xlfn._xlws.FILTER(CCFCoupler,(CCName=SD!$C$8)*(CBSize=IF(A145=A146,W146&amp;W147,W146&amp;W146))),""))),"N/A"),IF(_xlpm.Coup2=0,"",_xlpm.Coup2))</f>
        <v/>
      </c>
      <c r="DM146" t="str">
        <f>IF(AM146="Spiral","",IF(SD!$C$31=SD!$Y$3,SD!$E$32*2,""))</f>
        <v/>
      </c>
      <c r="DO146" s="24">
        <f t="shared" si="76"/>
        <v>2.5</v>
      </c>
      <c r="DQ146" t="str">
        <f t="shared" si="77"/>
        <v>Lig</v>
      </c>
      <c r="DR146" t="str">
        <f>IF(AM146="Spiral",((Y146-(SD!$E$12*2))/12),"")</f>
        <v/>
      </c>
      <c r="DS146" t="str">
        <f t="shared" si="78"/>
        <v/>
      </c>
      <c r="DT146" t="str">
        <f t="shared" si="79"/>
        <v/>
      </c>
      <c r="DU146" t="str">
        <f t="shared" si="80"/>
        <v/>
      </c>
    </row>
    <row r="147" spans="1:125" x14ac:dyDescent="0.25">
      <c r="A147">
        <v>47</v>
      </c>
      <c r="B147" t="s">
        <v>678</v>
      </c>
      <c r="C147" s="15">
        <v>2429</v>
      </c>
      <c r="D147" s="15">
        <v>10000</v>
      </c>
      <c r="E147" t="str">
        <f>IF(B147=Level!$A$2,SD!$C$14,SD!$C$13)</f>
        <v>0-8</v>
      </c>
      <c r="F147" s="15" t="s">
        <v>787</v>
      </c>
      <c r="G147" t="s">
        <v>742</v>
      </c>
      <c r="H147" t="str">
        <f>RIGHT(VLOOKUP(B147,Level!A:C,3,FALSE),LEN(VLOOKUP(B147,Level!A:C,3,FALSE))-1)</f>
        <v>10-7</v>
      </c>
      <c r="I147" t="s">
        <v>743</v>
      </c>
      <c r="J147" t="str">
        <f>IF(AND(SD!$C$19=SD!$H$2,Grade!$G$1="Per level"),VLOOKUP(B147,Grade!$E$1:$F$200,2,FALSE),IF(AND(SD!$C$19=SD!$H$2,Grade!$G$1="Per Bar Size"),VLOOKUP(W147,Grade!$B$1:$C$12,2,0),SD!$C$19))</f>
        <v>A615 Grade 60</v>
      </c>
      <c r="K147" t="s">
        <v>67</v>
      </c>
      <c r="L147" t="str">
        <f>IFERROR(IF(A147&lt;&gt;A148,"",IF(DF147="No Lap","",IF(K148="Lap",U147,IF(K148="Coupler",_xlfn._xlws.FILTER(CCoupler,(CCName=SD!$C$8)*(CBSize=IF(A146=A147,W147&amp;W148,W147&amp;W147))*(CCMFM="Male")),"")))),"N/A")</f>
        <v>5-1</v>
      </c>
      <c r="M147" t="str">
        <f t="shared" si="54"/>
        <v/>
      </c>
      <c r="N147" t="s">
        <v>719</v>
      </c>
      <c r="O147" t="s">
        <v>720</v>
      </c>
      <c r="P147" t="s">
        <v>719</v>
      </c>
      <c r="Q147" t="str">
        <f>IF(AND(SD!$C$29=SD!$P$2,Grade!$O$1="Per level"),VLOOKUP(B147,Grade!$M$1:$N$200,2,FALSE),IF(AND(SD!$C$29=SD!$P$2,Grade!$O$1="Per Bar Size"),VLOOKUP(LEFT(N147,FIND("@",N147)-2),Grade!$J$1:$K$12,2,0),SD!$C$29))</f>
        <v>A615 Grade 60</v>
      </c>
      <c r="R147" t="s">
        <v>742</v>
      </c>
      <c r="S147" s="57">
        <v>147</v>
      </c>
      <c r="U147" t="str">
        <f>IF(Data!$J147="",IFERROR(INDEX(IF(SD!$C$11="Create",Lap!$A$3:$BF$14,IF(SD!$C$11="Per Uploaded File",Lap!$A$19:$BF$30,"")),MATCH(W147,Lap!$A$3:$A$14,0),MATCH(VALUE(D147),Lap!$A$3:$BF$3,0)+IF(IFERROR(FIND("Grade 60",J147),0)&gt;0,0,IF(IFERROR(FIND("Grade 80",J147),0),1,IF(IFERROR(FIND("Grade 75",J147),0),2,"")))),""),Data!J147)</f>
        <v>5-1</v>
      </c>
      <c r="W147" t="s">
        <v>176</v>
      </c>
      <c r="X147">
        <v>6</v>
      </c>
      <c r="Y147" t="str">
        <f t="shared" si="55"/>
        <v>30</v>
      </c>
      <c r="Z147">
        <f t="shared" si="56"/>
        <v>0</v>
      </c>
      <c r="AA147" s="24">
        <f t="shared" si="57"/>
        <v>15.666666666666666</v>
      </c>
      <c r="BB147" t="e" cm="1">
        <f t="array" ref="BB147">_xlfn.LET(_xlpm.PartF,(_xlfn.LET(_xlpm.grade, Q147,_xlpm.gradeRange, IF(_xlpm.grade=SD!$H$3, A615GR60, IF(_xlpm.grade=SD!$H$4, A615GR75, IF(_xlpm.grade=SD!$H$5, A615GR80, IF(_xlpm.grade=SD!$H$6, A615GR100, IF(_xlpm.grade=SD!$H$7, A706GR60, IF(_xlpm.grade=SD!$H$8, A706GR80)))))),_xlpm.matchValue, MATCH(1, (SD!$AW:$AW=AS147)*(SD!$AX:$AX=SD!$C$8), 0),INDEX(_xlpm.gradeRange, _xlpm.matchValue))),IF(AM147="Spiral",CONCATENATE("SP",_xlpm.PartF),_xlpm.PartF))</f>
        <v>#N/A</v>
      </c>
      <c r="BC147" cm="1">
        <f t="array" ref="BC147">_xlfn.LET(_xlpm.leftPart, LEFT(O147, FIND("@", O147) - 2),_xlpm.grade,Q147,_xlpm.gradeRange,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7" cm="1">
        <f t="array" ref="BD147">_xlfn.LET(_xlpm.leftPart, LEFT(P147, FIND("@", P147) - 2),_xlpm.grade, Q147,_xlpm.gradeRange,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7">
        <f t="shared" si="58"/>
        <v>2.5</v>
      </c>
      <c r="BF147">
        <f>IF(SD!$C$32=SD!$I$2,BE147,IF(SD!$C$32=SD!$I$3,DO147,IF(SD!$C$32=SD!$I$5,BA147,IF(SD!$C$32=SD!$I$6,(LEFT(SD!$C$35,FIND("-",SD!$C$35)-1)+RIGHT(SD!$C$35,LEN(SD!$C$35)-FIND("-",SD!$C$35))/12),IF(SD!$C$32=SD!$I$4,(AU147-(BG147+BH147)))))))</f>
        <v>0</v>
      </c>
      <c r="BG147">
        <f>IF(SD!$C$33=SD!$I$2,BE147,IF(SD!$C$33=SD!$I$3,DO147,IF(SD!$C$33=SD!$I$5,BA147,IF(SD!$C$33=SD!$I$6,(LEFT(SD!$C$35,FIND("-",SD!$C$35)-1)+RIGHT(SD!$C$35,LEN(SD!$C$35)-FIND("-",SD!$C$35))/12),IF(SD!$C$33=SD!$I$4,(AU147-(BF147+BH147)))))))</f>
        <v>-1</v>
      </c>
      <c r="BH147">
        <f>IF(SD!$C$34=SD!$I$2,BE147,IF(SD!$C$34=SD!$I$3,DO147,IF(SD!$C$34=SD!$I$5,BA147,IF(SD!$C$34=SD!$I$6,(LEFT(SD!$C$35,FIND("-",SD!$C$35)-1)+RIGHT(SD!$C$35,LEN(SD!$C$35)-FIND("-",SD!$C$35))/12),IF(SD!$C$34=SD!$I$4,(AU147-(BF147+BG147)))))))</f>
        <v>1</v>
      </c>
      <c r="BJ147">
        <f>IF(AM147="Spiral","1",MAX(ROUNDUP(IF(SD!$C$32="",AT147,BF147/(LEFT(RIGHT(N147,LEN(N147)-FIND("@",N147)),LEN(RIGHT(N147,LEN(N147)-FIND("@",N147)))-1)/12)+1),0),0))</f>
        <v>1</v>
      </c>
      <c r="BK147">
        <f>MAX(ROUNDUP(IF(SD!$C$33="","",BG147/(LEFT(RIGHT(O147,LEN(O147)-FIND("@",O147)),LEN(RIGHT(O147,LEN(O147)-FIND("@",O147)))-1)/12)+1),0),0)</f>
        <v>0</v>
      </c>
      <c r="BL147">
        <f>MAX(ROUNDUP(IF(SD!$C$34="","",BH147/(LEFT(RIGHT(P147,LEN(P147)-FIND("@",P147)),LEN(RIGHT(P147,LEN(P147)-FIND("@",P147)))-1)/12)+1),0),0)</f>
        <v>3</v>
      </c>
      <c r="BN147" t="e">
        <f t="shared" si="59"/>
        <v>#N/A</v>
      </c>
      <c r="BO147" t="e">
        <f t="shared" si="60"/>
        <v>#N/A</v>
      </c>
      <c r="BP147" t="e">
        <f t="shared" si="61"/>
        <v>#N/A</v>
      </c>
      <c r="BQ147" s="24" t="e">
        <f>IF(AM147=TRUE,(((Y147-(SD!$E$12*2))*3.14159265359)+BN147+BO147+BP147)/12+AL147,SUM(AF147:AG147,BN147,BO147,BP147,AO147,AQ147)/12)</f>
        <v>#N/A</v>
      </c>
      <c r="BR147" t="e">
        <f t="shared" si="62"/>
        <v>#N/A</v>
      </c>
      <c r="BS147" t="e">
        <f t="shared" si="63"/>
        <v>#N/A</v>
      </c>
      <c r="BT147" t="e">
        <f t="shared" si="64"/>
        <v>#N/A</v>
      </c>
      <c r="BU147" s="24" t="e">
        <f>IF(AM147=TRUE,(((Y147-(SD!$E$12*2))*3.14159265359)+BR147+BS147+BT147)/12+AL147,SUM(AF147:AG147,BR147,BS147,BT147,AO147,AQ147)/12)</f>
        <v>#N/A</v>
      </c>
      <c r="BW147" t="str">
        <f>IFERROR(LEFT(Data!L147,FIND(" -",Data!L147)-1),"")</f>
        <v/>
      </c>
      <c r="BX147" t="str">
        <f>IFERROR(IF(SD!$C$40=SD!$U$2,W147,IF(SD!$C$40=SD!$U$3,RIGHT(Data!L147,LEN(Data!L147)-(FIND("-",Data!L147)+1)),SD!$C$40)),"")</f>
        <v>#10</v>
      </c>
      <c r="BY147" t="str" cm="1">
        <f t="array" ref="BY147">IFERROR(_xlfn.LET(_xlpm.GRR,IF(AND(SD!$C$19=SD!$H$2,Grade!$G$1="Per level"),VLOOKUP(B147,Grade!$E$1:$F$200,2,FALSE),IF(AND(SD!$C$19=SD!$H$2,Grade!$G$1="Per Bar Size"),VLOOKUP(BX147,Grade!$B$1:$C$12,2,0),SD!$C$19)),_xlpm.is_equal, A146=A147,_xlpm.grade_range, IF(_xlpm.GRR=SD!$H$3, A615GR60,IF(_xlpm.GRR=SD!$H$4, A615GR75,IF(_xlpm.GRR=SD!$H$5, A615GR80,IF(_xlpm.GRR=SD!H151, A615GR100,IF(_xlpm.GRR=SD!$H$7, A706GR60,IF(_xlpm.GRR=SD!$H$8, A706GR80)))))),_xlpm.match_result, MATCH(1, (BSize=BX147)*(BCName=SD!$C$8), 0),_xlpm.final_result, INDEX(_xlpm.grade_range, _xlpm.match_result),IF(_xlpm.is_equal, "", _xlpm.final_result)),"")</f>
        <v/>
      </c>
      <c r="BZ147" t="str">
        <f>IF(A146=A147,"",IF(SD!$C$41="Match Vertical Bars ",X147,IF(SD!$C$41=SD!$V$3,BW147,SD!$C$41)))</f>
        <v/>
      </c>
      <c r="CA147" t="str" cm="1">
        <f t="array" ref="CA147">IF(A146=A147,"",IF(SD!$C$44="No T-Head",IF(SD!$C$42=SD!$Q$3,VLOOKUP(BX147,S90Range,3,FALSE),LEFT(SD!$C$42,FIND("-",SD!$C$42)-1)+(RIGHT(SD!$C$42,LEN(SD!$C$42)-FIND("-",SD!$C$42))/12)),IF(SD!$C$44="T-Head",_xlfn._xlws.FILTER(THead,(TCName=SD!$C$8)*(TSize=BX147)),IF(SD!$C$44="Level Wise",_xlfn.LET(_xlpm.result,_xlfn.XLOOKUP(B147,VDLevel,VDLevelStatus,"No"),IF(_xlpm.result="Yes",_xlfn._xlws.FILTER(THead,(TCName=SD!$C$8)*(TSize=BX147)),IF(SD!$C$42=SD!$Q$3,VLOOKUP(BX147,S90Range,3,FALSE),LEFT(SD!$C$42,FIND("-",SD!$C$42)-1)+(RIGHT(SD!$C$42,LEN(SD!$C$42)-FIND("-", SD!$C$42))/12)))),IF(SD!$C$44="BarSize Wise",_xlfn.LET(_xlpm.result,_xlfn.XLOOKUP(BX147,VDBarSize,VDBarSizeStatus,"No"),IF(_xlpm.result="Yes",_xlfn._xlws.FILTER(THead,(TCName=SD!$C$8)*(TSize=BX147)),IF(SD!$C$42=SD!$Q$3,VLOOKUP(BX147,S90Range,3,FALSE),LEFT(SD!$C$42,FIND("-",SD!$C$42)-1)+(RIGHT(SD!$C$42,LEN(SD!$C$42)-FIND("-",SD!$C$42))/12)))), "")))))</f>
        <v/>
      </c>
      <c r="CB147" t="str" cm="1">
        <f t="array" ref="CB147">_xlfn.LET(_xlpm.GRR,IF(AND(SD!$C$19=SD!$H$2,Grade!$G$1="Per level"),VLOOKUP(B147,Grade!$E$1:$F$200,2,FALSE),IF(AND(SD!$C$19=SD!$H$2,Grade!$G$1="Per Bar Size"),VLOOKUP(BX147,Grade!$B$1:$C$12,2,0),SD!$C$19)),_xlpm.is_coupler, K147="Coupler",_xlpm.condition1, SD!$C$43=SD!$W$2,_xlpm.data_j2_empty, Data!$J147="",_xlpm.lookup_table, IF(SD!$C$11="Create", Lap!$A$3:$BF$14, IF(SD!$C$11="Per Uploaded File", Lap!$A$19:$BF$30, "")),_xlpm.row_match, MATCH(BX147, Lap!$A$3:$A$14, 0),_xlpm.grade_offset, IF(IFERROR(FIND("Grade 60",_xlpm.GRR), 0) &gt; 0, 0, IF(IFERROR(FIND("Grade 80",_xlpm.GRR), 0), 1, IF(IFERROR(FIND("Grade 75",_xlpm.GRR), 0), 2, ""))),_xlpm.col_match, MATCH(VALUE(D147), Lap!$A$3:$BF$3, 0) + _xlpm.grade_offset,_xlpm.index_result, IFERROR(INDEX(_xlpm.lookup_table, _xlpm.row_match, _xlpm.col_match), Data!$J147),_xlpm.result_if_condition1, IF(_xlpm.data_j2_empty, _xlpm.index_result, Data!$J147),IF(_xlpm.is_coupler, 0, IF(_xlpm.condition1, _xlpm.result_if_condition1, SD!$C$43)))</f>
        <v>5-1</v>
      </c>
      <c r="CC147" s="24">
        <f t="shared" si="65"/>
        <v>5.083333333333333</v>
      </c>
      <c r="CD147">
        <f t="shared" si="66"/>
        <v>5.75</v>
      </c>
      <c r="CE147" t="str" cm="1">
        <f t="array" ref="CE147">IF(BY147="","",_xlfn._xlws.FILTER(SAC,(CName=SD!$C$8)*(EName="Vert Dowels")))</f>
        <v/>
      </c>
      <c r="CF147" t="str" cm="1">
        <f t="array" ref="CF147">IFERROR(IF(BY147="","",IF(K147="Coupler",_xlfn._xlws.FILTER(CCoupler,(CCName=SD!$C$8)*(CBSize=IF(A146=A147,W146&amp;W147,BX147&amp;W147))*(CCMFM="Male")),"")),"N/A")</f>
        <v/>
      </c>
      <c r="CG147" t="str">
        <f t="shared" si="67"/>
        <v/>
      </c>
      <c r="CH147" t="str">
        <f t="shared" si="68"/>
        <v/>
      </c>
      <c r="CI147" t="str">
        <f>_xlfn.LET(_xlpm.u3_value, U148,_xlpm.hyphen_pos,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K148="Coupler",_xlpm.coupler_value, IF(_xlpm.is_coupler, 0, _xlpm.calculated_value),_xlpm.final_value, _xlpm.calculated_value + SD!$E$13 + _xlpm.coupler_value,IF(CG147="", "", _xlpm.final_value))</f>
        <v/>
      </c>
      <c r="CJ147" t="str" cm="1">
        <f t="array" ref="CJ147">IF(CG147="","",_xlfn._xlws.FILTER(SAC,(CName=SD!$C$8)*(EName="Loose Dowels")))</f>
        <v/>
      </c>
      <c r="CK147" t="str" cm="1">
        <f t="array" ref="CK147">IFERROR(IF(CG147="","",IF(K148="Coupler",_xlfn._xlws.FILTER(CCoupler,(CCName=SD!$C$8)*(CBSize=IF(A147=A148,W147&amp;W148,""))*(CCMFM="Male")),"")),"N/A")</f>
        <v/>
      </c>
      <c r="CL147" t="str">
        <f>IFERROR(IF(AM147="Spiral","",IF(A146=A147,"",IF(SD!$C$37=0,"",SD!$C$37))),"")</f>
        <v/>
      </c>
      <c r="CN147">
        <f>IF(AM147="Spiral","",IFERROR(IF(SD!$C$36=0,"",SD!$C$36),""))</f>
        <v>5</v>
      </c>
      <c r="CP147" t="str">
        <f>IFERROR(IF(SD!$C$42=SD!$Q$3,'Take-off'!CA147,""),"")</f>
        <v/>
      </c>
      <c r="CR147">
        <f>IFERROR(IF(SD!$C$22=SD!$U$2,W147,SD!$C$22),"")</f>
        <v>0</v>
      </c>
      <c r="CS147" t="str" cm="1">
        <f t="array" ref="CS147">_xlfn.LET(_xlpm.GR,IF(AND(SD!$C$19=SD!$H$2,Grade!$G$1="Per level"),VLOOKUP(B147,Grade!$E$1:$F$200,2,FALSE),IF(AND(SD!$C$19=SD!$H$2,Grade!$G$1="Per Bar Size"),VLOOKUP(CR147,Grade!$B$1:$C$12,2,0),SD!$C$19)),IF(SD!$C$20=SD!$R$4,IF(A148=A147,"",INDEX(IF(_xlpm.GR=SD!$H$3,A615GR60,IF(_xlpm.GR=SD!$H$4,A615GR75,IF(_xlpm.GR=SD!$H$5,A615GR80,IF(_xlpm.GR=SD!H151,A615GR100,IF(_xlpm.GR=SD!$H$7,A706GR60,IF(_xlpm.GR=SD!$H$8,A706GR80)))))), MATCH(1, (BSize=CR147)*(BCName=SD!$C$8), 0))),""))</f>
        <v/>
      </c>
      <c r="CT147" t="str">
        <f>IF(A148=A147,"",IF(SD!$C$23="Match Vertical Bars ",X147,SD!$C$23))</f>
        <v/>
      </c>
      <c r="CU147" t="str" cm="1">
        <f t="array" ref="CU147">IF(A148=A147,"",IF(SD!$C$20="Top dowels",IF(SD!$E$25="No T-Head",IF(SD!$C$24=SD!$Q$3,VLOOKUP(CR147,S90Range,3,FALSE),LEFT(SD!$C$24,FIND("-",SD!$C$24)-1)+(RIGHT(SD!$C$24,LEN(SD!$C$24)-FIND("-",SD!$C$24))/12)),IF(SD!$E$25="T-Head",_xlfn._xlws.FILTER(THead,(TCName=SD!$C$8)*(TSize=CR147)),IF(SD!$E$25="Level Wise",_xlfn.LET(_xlpm.result,_xlfn.XLOOKUP(B147,TDLevel,TDLevelStatus,"No"),IF(_xlpm.result="Yes",_xlfn._xlws.FILTER(THead,(TCName=SD!$C$8)*(TSize=CR147)),IF(SD!$C$24=SD!$Q$3,VLOOKUP(CR147,S90Range,3,FALSE),LEFT(SD!$C$24,FIND("-",SD!$C$24)-1)+(RIGHT(SD!$C$24,LEN(SD!$C$24)-FIND("-", SD!$C$24))/12)))),IF(SD!$E$25="BarSize Wise",_xlfn.LET(_xlpm.result,_xlfn.XLOOKUP(CR147,TDBarSize,TDBarSizeStatus,"No"),IF(_xlpm.result="Yes",_xlfn._xlws.FILTER(THead,(TCName=SD!$C$8)*(TSize=CR147)),IF(SD!$C$24=SD!$Q$3,VLOOKUP(CR147,S90Range,3,FALSE),LEFT(SD!$C$24,FIND("-",SD!$C$24)-1)+(RIGHT(SD!$C$24,LEN(SD!$C$24)-FIND("-",SD!$C$24))/12)))), "")))),""))</f>
        <v/>
      </c>
      <c r="CV147" t="str">
        <f>_xlfn.LET(_xlpm.GRR,IF(AND(SD!$C$19=SD!$H$2,Grade!$G$1="Per level"),VLOOKUP(B147,Grade!$E$1:$F$200,2,FALSE),IF(AND(SD!$C$19=SD!$H$2,Grade!$G$1="Per Bar Size"),VLOOKUP(CR147,Grade!$B$1:$C$12,2,0),SD!$C$19)),IF(SD!$C$25=SD!$W$2,IF(Data!$J147="",IFERROR(INDEX(IF(SD!$C$11="Create",Lap!$A$3:$BF$14,IF(SD!$C$11="Per Uploaded File",Lap!$A$19:$BF$30,"")),MATCH(CR147,Lap!$A$3:$A$14,0),MATCH(VALUE(D147),Lap!$A$3:$BF$3,0)+IF(IFERROR(FIND("Grade 60",_xlpm.GRR),0)&gt;0,0,IF(IFERROR(FIND("Grade 80",_xlpm.GRR),0),1,IF(IFERROR(FIND("Grade 75",_xlpm.GRR),0),2,"")))),""),Data!J147),SD!$C$43))</f>
        <v>Match Lap</v>
      </c>
      <c r="CW147">
        <f t="shared" si="69"/>
        <v>0</v>
      </c>
      <c r="CX147">
        <f t="shared" si="70"/>
        <v>0</v>
      </c>
      <c r="CY147" t="str">
        <f t="shared" si="71"/>
        <v/>
      </c>
      <c r="DA147" t="str">
        <f t="shared" si="72"/>
        <v/>
      </c>
      <c r="DB147" t="str">
        <f t="shared" si="73"/>
        <v/>
      </c>
      <c r="DC147" s="24" t="str">
        <f t="shared" si="74"/>
        <v/>
      </c>
      <c r="DD147">
        <f t="shared" si="75"/>
        <v>10.583333333333334</v>
      </c>
      <c r="DE147" t="s">
        <v>785</v>
      </c>
      <c r="DF147" t="s">
        <v>67</v>
      </c>
      <c r="DG147" t="str">
        <f>VLOOKUP(W147,'Level Wise PSI'!$F$2:$G$12,2,FALSE)</f>
        <v>Double Lift</v>
      </c>
      <c r="DI147" t="str" cm="1">
        <f t="array" ref="DI147">_xlfn.LET(_xlpm.Coup,IFERROR(IF(BY147="","",IF(K147="Coupler",_xlfn._xlws.FILTER(CCFCoupler,(CCName=SD!$C$8)*(CBSize=IF(A146=A147,W146&amp;W147,BX147&amp;W147))),"")),"N/A"),IF(_xlpm.Coup=0,"",_xlpm.Coup))</f>
        <v/>
      </c>
      <c r="DJ147" t="str" cm="1">
        <f t="array" ref="DJ147">_xlfn.LET(_xlpm.Coup3,IFERROR(IF(CG147="","",IF(K148="Coupler",_xlfn._xlws.FILTER(CCFCoupler,(CCName=SD!$C$8)*(CBSize=IF(A147=A148,W147&amp;W148,""))),"")),"N/A"),IF(_xlpm.Coup3=0,"",_xlpm.Coup3))</f>
        <v/>
      </c>
      <c r="DK147" t="str" cm="1">
        <f t="array" ref="DK147">_xlfn.LET(_xlpm.Coup2,IFERROR(IF(A147&lt;&gt;A148,"",IF(DF147="No Lap","",IF(K148="Coupler",_xlfn._xlws.FILTER(CCFCoupler,(CCName=SD!$C$8)*(CBSize=IF(A146=A147,W147&amp;W148,W147&amp;W147))),""))),"N/A"),IF(_xlpm.Coup2=0,"",_xlpm.Coup2))</f>
        <v/>
      </c>
      <c r="DM147" t="str">
        <f>IF(AM147="Spiral","",IF(SD!$C$31=SD!$Y$3,SD!$E$32*2,""))</f>
        <v/>
      </c>
      <c r="DO147" s="24">
        <f t="shared" si="76"/>
        <v>2.5</v>
      </c>
      <c r="DQ147" t="str">
        <f t="shared" si="77"/>
        <v>Lig</v>
      </c>
      <c r="DR147" t="str">
        <f>IF(AM147="Spiral",((Y147-(SD!$E$12*2))/12),"")</f>
        <v/>
      </c>
      <c r="DS147" t="str">
        <f t="shared" si="78"/>
        <v/>
      </c>
      <c r="DT147" t="str">
        <f t="shared" si="79"/>
        <v/>
      </c>
      <c r="DU147" t="str">
        <f t="shared" si="80"/>
        <v/>
      </c>
    </row>
    <row r="148" spans="1:125" x14ac:dyDescent="0.25">
      <c r="A148">
        <v>47</v>
      </c>
      <c r="B148" t="s">
        <v>680</v>
      </c>
      <c r="C148" s="15">
        <v>2429</v>
      </c>
      <c r="D148" s="15">
        <v>10000</v>
      </c>
      <c r="E148" t="str">
        <f>IF(B148=Level!$A$2,SD!$C$14,SD!$C$13)</f>
        <v>0-8</v>
      </c>
      <c r="F148" s="15" t="s">
        <v>787</v>
      </c>
      <c r="G148" t="s">
        <v>742</v>
      </c>
      <c r="H148" t="str">
        <f>RIGHT(VLOOKUP(B148,Level!A:C,3,FALSE),LEN(VLOOKUP(B148,Level!A:C,3,FALSE))-1)</f>
        <v>10-7</v>
      </c>
      <c r="I148" t="s">
        <v>743</v>
      </c>
      <c r="J148" t="str">
        <f>IF(AND(SD!$C$19=SD!$H$2,Grade!$G$1="Per level"),VLOOKUP(B148,Grade!$E$1:$F$200,2,FALSE),IF(AND(SD!$C$19=SD!$H$2,Grade!$G$1="Per Bar Size"),VLOOKUP(W148,Grade!$B$1:$C$12,2,0),SD!$C$19))</f>
        <v>A615 Grade 60</v>
      </c>
      <c r="K148" t="s">
        <v>67</v>
      </c>
      <c r="L148" t="str">
        <f>IFERROR(IF(A148&lt;&gt;A149,"",IF(DF148="No Lap","",IF(K149="Lap",U148,IF(K149="Coupler",_xlfn._xlws.FILTER(CCoupler,(CCName=SD!$C$8)*(CBSize=IF(A147=A148,W148&amp;W149,W148&amp;W148))*(CCMFM="Male")),"")))),"N/A")</f>
        <v>5-1</v>
      </c>
      <c r="M148" t="str">
        <f t="shared" si="54"/>
        <v/>
      </c>
      <c r="N148" t="s">
        <v>719</v>
      </c>
      <c r="O148" t="s">
        <v>720</v>
      </c>
      <c r="P148" t="s">
        <v>719</v>
      </c>
      <c r="Q148" t="str">
        <f>IF(AND(SD!$C$29=SD!$P$2,Grade!$O$1="Per level"),VLOOKUP(B148,Grade!$M$1:$N$200,2,FALSE),IF(AND(SD!$C$29=SD!$P$2,Grade!$O$1="Per Bar Size"),VLOOKUP(LEFT(N148,FIND("@",N148)-2),Grade!$J$1:$K$12,2,0),SD!$C$29))</f>
        <v>A615 Grade 60</v>
      </c>
      <c r="R148" t="s">
        <v>742</v>
      </c>
      <c r="S148" s="57">
        <v>148</v>
      </c>
      <c r="U148" t="str">
        <f>IF(Data!$J148="",IFERROR(INDEX(IF(SD!$C$11="Create",Lap!$A$3:$BF$14,IF(SD!$C$11="Per Uploaded File",Lap!$A$19:$BF$30,"")),MATCH(W148,Lap!$A$3:$A$14,0),MATCH(VALUE(D148),Lap!$A$3:$BF$3,0)+IF(IFERROR(FIND("Grade 60",J148),0)&gt;0,0,IF(IFERROR(FIND("Grade 80",J148),0),1,IF(IFERROR(FIND("Grade 75",J148),0),2,"")))),""),Data!J148)</f>
        <v>5-1</v>
      </c>
      <c r="W148" t="s">
        <v>176</v>
      </c>
      <c r="X148">
        <v>6</v>
      </c>
      <c r="Y148" t="str">
        <f t="shared" si="55"/>
        <v>30</v>
      </c>
      <c r="Z148">
        <f t="shared" si="56"/>
        <v>0</v>
      </c>
      <c r="AA148" s="24">
        <f t="shared" si="57"/>
        <v>15.666666666666666</v>
      </c>
      <c r="BB148" t="e" cm="1">
        <f t="array" ref="BB148">_xlfn.LET(_xlpm.PartF,(_xlfn.LET(_xlpm.grade, Q148,_xlpm.gradeRange, IF(_xlpm.grade=SD!$H$3, A615GR60, IF(_xlpm.grade=SD!$H$4, A615GR75, IF(_xlpm.grade=SD!$H$5, A615GR80, IF(_xlpm.grade=SD!$H$6, A615GR100, IF(_xlpm.grade=SD!$H$7, A706GR60, IF(_xlpm.grade=SD!$H$8, A706GR80)))))),_xlpm.matchValue, MATCH(1, (SD!$AW:$AW=AS148)*(SD!$AX:$AX=SD!$C$8), 0),INDEX(_xlpm.gradeRange, _xlpm.matchValue))),IF(AM148="Spiral",CONCATENATE("SP",_xlpm.PartF),_xlpm.PartF))</f>
        <v>#N/A</v>
      </c>
      <c r="BC148" cm="1">
        <f t="array" ref="BC148">_xlfn.LET(_xlpm.leftPart, LEFT(O148, FIND("@", O148) - 2),_xlpm.grade,Q148,_xlpm.gradeRange,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8" cm="1">
        <f t="array" ref="BD148">_xlfn.LET(_xlpm.leftPart, LEFT(P148, FIND("@", P148) - 2),_xlpm.grade, Q148,_xlpm.gradeRange,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8">
        <f t="shared" si="58"/>
        <v>2.5</v>
      </c>
      <c r="BF148">
        <f>IF(SD!$C$32=SD!$I$2,BE148,IF(SD!$C$32=SD!$I$3,DO148,IF(SD!$C$32=SD!$I$5,BA148,IF(SD!$C$32=SD!$I$6,(LEFT(SD!$C$35,FIND("-",SD!$C$35)-1)+RIGHT(SD!$C$35,LEN(SD!$C$35)-FIND("-",SD!$C$35))/12),IF(SD!$C$32=SD!$I$4,(AU148-(BG148+BH148)))))))</f>
        <v>0</v>
      </c>
      <c r="BG148">
        <f>IF(SD!$C$33=SD!$I$2,BE148,IF(SD!$C$33=SD!$I$3,DO148,IF(SD!$C$33=SD!$I$5,BA148,IF(SD!$C$33=SD!$I$6,(LEFT(SD!$C$35,FIND("-",SD!$C$35)-1)+RIGHT(SD!$C$35,LEN(SD!$C$35)-FIND("-",SD!$C$35))/12),IF(SD!$C$33=SD!$I$4,(AU148-(BF148+BH148)))))))</f>
        <v>-1</v>
      </c>
      <c r="BH148">
        <f>IF(SD!$C$34=SD!$I$2,BE148,IF(SD!$C$34=SD!$I$3,DO148,IF(SD!$C$34=SD!$I$5,BA148,IF(SD!$C$34=SD!$I$6,(LEFT(SD!$C$35,FIND("-",SD!$C$35)-1)+RIGHT(SD!$C$35,LEN(SD!$C$35)-FIND("-",SD!$C$35))/12),IF(SD!$C$34=SD!$I$4,(AU148-(BF148+BG148)))))))</f>
        <v>1</v>
      </c>
      <c r="BJ148">
        <f>IF(AM148="Spiral","1",MAX(ROUNDUP(IF(SD!$C$32="",AT148,BF148/(LEFT(RIGHT(N148,LEN(N148)-FIND("@",N148)),LEN(RIGHT(N148,LEN(N148)-FIND("@",N148)))-1)/12)+1),0),0))</f>
        <v>1</v>
      </c>
      <c r="BK148">
        <f>MAX(ROUNDUP(IF(SD!$C$33="","",BG148/(LEFT(RIGHT(O148,LEN(O148)-FIND("@",O148)),LEN(RIGHT(O148,LEN(O148)-FIND("@",O148)))-1)/12)+1),0),0)</f>
        <v>0</v>
      </c>
      <c r="BL148">
        <f>MAX(ROUNDUP(IF(SD!$C$34="","",BH148/(LEFT(RIGHT(P148,LEN(P148)-FIND("@",P148)),LEN(RIGHT(P148,LEN(P148)-FIND("@",P148)))-1)/12)+1),0),0)</f>
        <v>3</v>
      </c>
      <c r="BN148" t="e">
        <f t="shared" si="59"/>
        <v>#N/A</v>
      </c>
      <c r="BO148" t="e">
        <f t="shared" si="60"/>
        <v>#N/A</v>
      </c>
      <c r="BP148" t="e">
        <f t="shared" si="61"/>
        <v>#N/A</v>
      </c>
      <c r="BQ148" s="24" t="e">
        <f>IF(AM148=TRUE,(((Y148-(SD!$E$12*2))*3.14159265359)+BN148+BO148+BP148)/12+AL148,SUM(AF148:AG148,BN148,BO148,BP148,AO148,AQ148)/12)</f>
        <v>#N/A</v>
      </c>
      <c r="BR148" t="e">
        <f t="shared" si="62"/>
        <v>#N/A</v>
      </c>
      <c r="BS148" t="e">
        <f t="shared" si="63"/>
        <v>#N/A</v>
      </c>
      <c r="BT148" t="e">
        <f t="shared" si="64"/>
        <v>#N/A</v>
      </c>
      <c r="BU148" s="24" t="e">
        <f>IF(AM148=TRUE,(((Y148-(SD!$E$12*2))*3.14159265359)+BR148+BS148+BT148)/12+AL148,SUM(AF148:AG148,BR148,BS148,BT148,AO148,AQ148)/12)</f>
        <v>#N/A</v>
      </c>
      <c r="BW148" t="str">
        <f>IFERROR(LEFT(Data!L148,FIND(" -",Data!L148)-1),"")</f>
        <v/>
      </c>
      <c r="BX148" t="str">
        <f>IFERROR(IF(SD!$C$40=SD!$U$2,W148,IF(SD!$C$40=SD!$U$3,RIGHT(Data!L148,LEN(Data!L148)-(FIND("-",Data!L148)+1)),SD!$C$40)),"")</f>
        <v>#10</v>
      </c>
      <c r="BY148" t="str" cm="1">
        <f t="array" ref="BY148">IFERROR(_xlfn.LET(_xlpm.GRR,IF(AND(SD!$C$19=SD!$H$2,Grade!$G$1="Per level"),VLOOKUP(B148,Grade!$E$1:$F$200,2,FALSE),IF(AND(SD!$C$19=SD!$H$2,Grade!$G$1="Per Bar Size"),VLOOKUP(BX148,Grade!$B$1:$C$12,2,0),SD!$C$19)),_xlpm.is_equal, A147=A148,_xlpm.grade_range, IF(_xlpm.GRR=SD!$H$3, A615GR60,IF(_xlpm.GRR=SD!$H$4, A615GR75,IF(_xlpm.GRR=SD!$H$5, A615GR80,IF(_xlpm.GRR=SD!H152, A615GR100,IF(_xlpm.GRR=SD!$H$7, A706GR60,IF(_xlpm.GRR=SD!$H$8, A706GR80)))))),_xlpm.match_result, MATCH(1, (BSize=BX148)*(BCName=SD!$C$8), 0),_xlpm.final_result, INDEX(_xlpm.grade_range, _xlpm.match_result),IF(_xlpm.is_equal, "", _xlpm.final_result)),"")</f>
        <v/>
      </c>
      <c r="BZ148" t="str">
        <f>IF(A147=A148,"",IF(SD!$C$41="Match Vertical Bars ",X148,IF(SD!$C$41=SD!$V$3,BW148,SD!$C$41)))</f>
        <v/>
      </c>
      <c r="CA148" t="str" cm="1">
        <f t="array" ref="CA148">IF(A147=A148,"",IF(SD!$C$44="No T-Head",IF(SD!$C$42=SD!$Q$3,VLOOKUP(BX148,S90Range,3,FALSE),LEFT(SD!$C$42,FIND("-",SD!$C$42)-1)+(RIGHT(SD!$C$42,LEN(SD!$C$42)-FIND("-",SD!$C$42))/12)),IF(SD!$C$44="T-Head",_xlfn._xlws.FILTER(THead,(TCName=SD!$C$8)*(TSize=BX148)),IF(SD!$C$44="Level Wise",_xlfn.LET(_xlpm.result,_xlfn.XLOOKUP(B148,VDLevel,VDLevelStatus,"No"),IF(_xlpm.result="Yes",_xlfn._xlws.FILTER(THead,(TCName=SD!$C$8)*(TSize=BX148)),IF(SD!$C$42=SD!$Q$3,VLOOKUP(BX148,S90Range,3,FALSE),LEFT(SD!$C$42,FIND("-",SD!$C$42)-1)+(RIGHT(SD!$C$42,LEN(SD!$C$42)-FIND("-", SD!$C$42))/12)))),IF(SD!$C$44="BarSize Wise",_xlfn.LET(_xlpm.result,_xlfn.XLOOKUP(BX148,VDBarSize,VDBarSizeStatus,"No"),IF(_xlpm.result="Yes",_xlfn._xlws.FILTER(THead,(TCName=SD!$C$8)*(TSize=BX148)),IF(SD!$C$42=SD!$Q$3,VLOOKUP(BX148,S90Range,3,FALSE),LEFT(SD!$C$42,FIND("-",SD!$C$42)-1)+(RIGHT(SD!$C$42,LEN(SD!$C$42)-FIND("-",SD!$C$42))/12)))), "")))))</f>
        <v/>
      </c>
      <c r="CB148" t="str" cm="1">
        <f t="array" ref="CB148">_xlfn.LET(_xlpm.GRR,IF(AND(SD!$C$19=SD!$H$2,Grade!$G$1="Per level"),VLOOKUP(B148,Grade!$E$1:$F$200,2,FALSE),IF(AND(SD!$C$19=SD!$H$2,Grade!$G$1="Per Bar Size"),VLOOKUP(BX148,Grade!$B$1:$C$12,2,0),SD!$C$19)),_xlpm.is_coupler, K148="Coupler",_xlpm.condition1, SD!$C$43=SD!$W$2,_xlpm.data_j2_empty, Data!$J148="",_xlpm.lookup_table, IF(SD!$C$11="Create", Lap!$A$3:$BF$14, IF(SD!$C$11="Per Uploaded File", Lap!$A$19:$BF$30, "")),_xlpm.row_match, MATCH(BX148, Lap!$A$3:$A$14, 0),_xlpm.grade_offset, IF(IFERROR(FIND("Grade 60",_xlpm.GRR), 0) &gt; 0, 0, IF(IFERROR(FIND("Grade 80",_xlpm.GRR), 0), 1, IF(IFERROR(FIND("Grade 75",_xlpm.GRR), 0), 2, ""))),_xlpm.col_match, MATCH(VALUE(D148), Lap!$A$3:$BF$3, 0) + _xlpm.grade_offset,_xlpm.index_result, IFERROR(INDEX(_xlpm.lookup_table, _xlpm.row_match, _xlpm.col_match), Data!$J148),_xlpm.result_if_condition1, IF(_xlpm.data_j2_empty, _xlpm.index_result, Data!$J148),IF(_xlpm.is_coupler, 0, IF(_xlpm.condition1, _xlpm.result_if_condition1, SD!$C$43)))</f>
        <v>5-1</v>
      </c>
      <c r="CC148" s="24">
        <f t="shared" si="65"/>
        <v>5.083333333333333</v>
      </c>
      <c r="CD148">
        <f t="shared" si="66"/>
        <v>5.75</v>
      </c>
      <c r="CE148" t="str" cm="1">
        <f t="array" ref="CE148">IF(BY148="","",_xlfn._xlws.FILTER(SAC,(CName=SD!$C$8)*(EName="Vert Dowels")))</f>
        <v/>
      </c>
      <c r="CF148" t="str" cm="1">
        <f t="array" ref="CF148">IFERROR(IF(BY148="","",IF(K148="Coupler",_xlfn._xlws.FILTER(CCoupler,(CCName=SD!$C$8)*(CBSize=IF(A147=A148,W147&amp;W148,BX148&amp;W148))*(CCMFM="Male")),"")),"N/A")</f>
        <v/>
      </c>
      <c r="CG148" t="str">
        <f t="shared" si="67"/>
        <v/>
      </c>
      <c r="CH148" t="str">
        <f t="shared" si="68"/>
        <v/>
      </c>
      <c r="CI148" t="str">
        <f>_xlfn.LET(_xlpm.u3_value, U149,_xlpm.hyphen_pos,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K149="Coupler",_xlpm.coupler_value, IF(_xlpm.is_coupler, 0, _xlpm.calculated_value),_xlpm.final_value, _xlpm.calculated_value + SD!$E$13 + _xlpm.coupler_value,IF(CG148="", "", _xlpm.final_value))</f>
        <v/>
      </c>
      <c r="CJ148" t="str" cm="1">
        <f t="array" ref="CJ148">IF(CG148="","",_xlfn._xlws.FILTER(SAC,(CName=SD!$C$8)*(EName="Loose Dowels")))</f>
        <v/>
      </c>
      <c r="CK148" t="str" cm="1">
        <f t="array" ref="CK148">IFERROR(IF(CG148="","",IF(K149="Coupler",_xlfn._xlws.FILTER(CCoupler,(CCName=SD!$C$8)*(CBSize=IF(A148=A149,W148&amp;W149,""))*(CCMFM="Male")),"")),"N/A")</f>
        <v/>
      </c>
      <c r="CL148" t="str">
        <f>IFERROR(IF(AM148="Spiral","",IF(A147=A148,"",IF(SD!$C$37=0,"",SD!$C$37))),"")</f>
        <v/>
      </c>
      <c r="CN148">
        <f>IF(AM148="Spiral","",IFERROR(IF(SD!$C$36=0,"",SD!$C$36),""))</f>
        <v>5</v>
      </c>
      <c r="CP148" t="str">
        <f>IFERROR(IF(SD!$C$42=SD!$Q$3,'Take-off'!CA148,""),"")</f>
        <v/>
      </c>
      <c r="CR148">
        <f>IFERROR(IF(SD!$C$22=SD!$U$2,W148,SD!$C$22),"")</f>
        <v>0</v>
      </c>
      <c r="CS148" t="str" cm="1">
        <f t="array" ref="CS148">_xlfn.LET(_xlpm.GR,IF(AND(SD!$C$19=SD!$H$2,Grade!$G$1="Per level"),VLOOKUP(B148,Grade!$E$1:$F$200,2,FALSE),IF(AND(SD!$C$19=SD!$H$2,Grade!$G$1="Per Bar Size"),VLOOKUP(CR148,Grade!$B$1:$C$12,2,0),SD!$C$19)),IF(SD!$C$20=SD!$R$4,IF(A149=A148,"",INDEX(IF(_xlpm.GR=SD!$H$3,A615GR60,IF(_xlpm.GR=SD!$H$4,A615GR75,IF(_xlpm.GR=SD!$H$5,A615GR80,IF(_xlpm.GR=SD!H152,A615GR100,IF(_xlpm.GR=SD!$H$7,A706GR60,IF(_xlpm.GR=SD!$H$8,A706GR80)))))), MATCH(1, (BSize=CR148)*(BCName=SD!$C$8), 0))),""))</f>
        <v/>
      </c>
      <c r="CT148" t="str">
        <f>IF(A149=A148,"",IF(SD!$C$23="Match Vertical Bars ",X148,SD!$C$23))</f>
        <v/>
      </c>
      <c r="CU148" t="str" cm="1">
        <f t="array" ref="CU148">IF(A149=A148,"",IF(SD!$C$20="Top dowels",IF(SD!$E$25="No T-Head",IF(SD!$C$24=SD!$Q$3,VLOOKUP(CR148,S90Range,3,FALSE),LEFT(SD!$C$24,FIND("-",SD!$C$24)-1)+(RIGHT(SD!$C$24,LEN(SD!$C$24)-FIND("-",SD!$C$24))/12)),IF(SD!$E$25="T-Head",_xlfn._xlws.FILTER(THead,(TCName=SD!$C$8)*(TSize=CR148)),IF(SD!$E$25="Level Wise",_xlfn.LET(_xlpm.result,_xlfn.XLOOKUP(B148,TDLevel,TDLevelStatus,"No"),IF(_xlpm.result="Yes",_xlfn._xlws.FILTER(THead,(TCName=SD!$C$8)*(TSize=CR148)),IF(SD!$C$24=SD!$Q$3,VLOOKUP(CR148,S90Range,3,FALSE),LEFT(SD!$C$24,FIND("-",SD!$C$24)-1)+(RIGHT(SD!$C$24,LEN(SD!$C$24)-FIND("-", SD!$C$24))/12)))),IF(SD!$E$25="BarSize Wise",_xlfn.LET(_xlpm.result,_xlfn.XLOOKUP(CR148,TDBarSize,TDBarSizeStatus,"No"),IF(_xlpm.result="Yes",_xlfn._xlws.FILTER(THead,(TCName=SD!$C$8)*(TSize=CR148)),IF(SD!$C$24=SD!$Q$3,VLOOKUP(CR148,S90Range,3,FALSE),LEFT(SD!$C$24,FIND("-",SD!$C$24)-1)+(RIGHT(SD!$C$24,LEN(SD!$C$24)-FIND("-",SD!$C$24))/12)))), "")))),""))</f>
        <v/>
      </c>
      <c r="CV148" t="str">
        <f>_xlfn.LET(_xlpm.GRR,IF(AND(SD!$C$19=SD!$H$2,Grade!$G$1="Per level"),VLOOKUP(B148,Grade!$E$1:$F$200,2,FALSE),IF(AND(SD!$C$19=SD!$H$2,Grade!$G$1="Per Bar Size"),VLOOKUP(CR148,Grade!$B$1:$C$12,2,0),SD!$C$19)),IF(SD!$C$25=SD!$W$2,IF(Data!$J148="",IFERROR(INDEX(IF(SD!$C$11="Create",Lap!$A$3:$BF$14,IF(SD!$C$11="Per Uploaded File",Lap!$A$19:$BF$30,"")),MATCH(CR148,Lap!$A$3:$A$14,0),MATCH(VALUE(D148),Lap!$A$3:$BF$3,0)+IF(IFERROR(FIND("Grade 60",_xlpm.GRR),0)&gt;0,0,IF(IFERROR(FIND("Grade 80",_xlpm.GRR),0),1,IF(IFERROR(FIND("Grade 75",_xlpm.GRR),0),2,"")))),""),Data!J148),SD!$C$43))</f>
        <v>Match Lap</v>
      </c>
      <c r="CW148">
        <f t="shared" si="69"/>
        <v>0</v>
      </c>
      <c r="CX148">
        <f t="shared" si="70"/>
        <v>0</v>
      </c>
      <c r="CY148" t="str">
        <f t="shared" si="71"/>
        <v/>
      </c>
      <c r="DA148" t="str">
        <f t="shared" si="72"/>
        <v/>
      </c>
      <c r="DB148" t="str">
        <f t="shared" si="73"/>
        <v/>
      </c>
      <c r="DC148" s="24" t="str">
        <f t="shared" si="74"/>
        <v/>
      </c>
      <c r="DD148">
        <f t="shared" si="75"/>
        <v>10.583333333333334</v>
      </c>
      <c r="DE148" t="s">
        <v>785</v>
      </c>
      <c r="DF148" t="s">
        <v>67</v>
      </c>
      <c r="DG148" t="str">
        <f>VLOOKUP(W148,'Level Wise PSI'!$F$2:$G$12,2,FALSE)</f>
        <v>Double Lift</v>
      </c>
      <c r="DI148" t="str" cm="1">
        <f t="array" ref="DI148">_xlfn.LET(_xlpm.Coup,IFERROR(IF(BY148="","",IF(K148="Coupler",_xlfn._xlws.FILTER(CCFCoupler,(CCName=SD!$C$8)*(CBSize=IF(A147=A148,W147&amp;W148,BX148&amp;W148))),"")),"N/A"),IF(_xlpm.Coup=0,"",_xlpm.Coup))</f>
        <v/>
      </c>
      <c r="DJ148" t="str" cm="1">
        <f t="array" ref="DJ148">_xlfn.LET(_xlpm.Coup3,IFERROR(IF(CG148="","",IF(K149="Coupler",_xlfn._xlws.FILTER(CCFCoupler,(CCName=SD!$C$8)*(CBSize=IF(A148=A149,W148&amp;W149,""))),"")),"N/A"),IF(_xlpm.Coup3=0,"",_xlpm.Coup3))</f>
        <v/>
      </c>
      <c r="DK148" t="str" cm="1">
        <f t="array" ref="DK148">_xlfn.LET(_xlpm.Coup2,IFERROR(IF(A148&lt;&gt;A149,"",IF(DF148="No Lap","",IF(K149="Coupler",_xlfn._xlws.FILTER(CCFCoupler,(CCName=SD!$C$8)*(CBSize=IF(A147=A148,W148&amp;W149,W148&amp;W148))),""))),"N/A"),IF(_xlpm.Coup2=0,"",_xlpm.Coup2))</f>
        <v/>
      </c>
      <c r="DM148" t="str">
        <f>IF(AM148="Spiral","",IF(SD!$C$31=SD!$Y$3,SD!$E$32*2,""))</f>
        <v/>
      </c>
      <c r="DO148" s="24">
        <f t="shared" si="76"/>
        <v>2.5</v>
      </c>
      <c r="DQ148" t="str">
        <f t="shared" si="77"/>
        <v>Lig</v>
      </c>
      <c r="DR148" t="str">
        <f>IF(AM148="Spiral",((Y148-(SD!$E$12*2))/12),"")</f>
        <v/>
      </c>
      <c r="DS148" t="str">
        <f t="shared" si="78"/>
        <v/>
      </c>
      <c r="DT148" t="str">
        <f t="shared" si="79"/>
        <v/>
      </c>
      <c r="DU148" t="str">
        <f t="shared" si="80"/>
        <v/>
      </c>
    </row>
    <row r="149" spans="1:125" x14ac:dyDescent="0.25">
      <c r="A149">
        <v>47</v>
      </c>
      <c r="B149" t="s">
        <v>682</v>
      </c>
      <c r="C149" s="15">
        <v>2429</v>
      </c>
      <c r="D149" s="15">
        <v>10000</v>
      </c>
      <c r="E149" t="str">
        <f>IF(B149=Level!$A$2,SD!$C$14,SD!$C$13)</f>
        <v>0-8</v>
      </c>
      <c r="F149" s="15" t="s">
        <v>787</v>
      </c>
      <c r="G149" t="s">
        <v>742</v>
      </c>
      <c r="H149" t="str">
        <f>RIGHT(VLOOKUP(B149,Level!A:C,3,FALSE),LEN(VLOOKUP(B149,Level!A:C,3,FALSE))-1)</f>
        <v>10-7</v>
      </c>
      <c r="I149" t="s">
        <v>743</v>
      </c>
      <c r="J149" t="str">
        <f>IF(AND(SD!$C$19=SD!$H$2,Grade!$G$1="Per level"),VLOOKUP(B149,Grade!$E$1:$F$200,2,FALSE),IF(AND(SD!$C$19=SD!$H$2,Grade!$G$1="Per Bar Size"),VLOOKUP(W149,Grade!$B$1:$C$12,2,0),SD!$C$19))</f>
        <v>A615 Grade 60</v>
      </c>
      <c r="K149" t="s">
        <v>67</v>
      </c>
      <c r="L149" t="str">
        <f>IFERROR(IF(A149&lt;&gt;A150,"",IF(DF149="No Lap","",IF(K150="Lap",U149,IF(K150="Coupler",_xlfn._xlws.FILTER(CCoupler,(CCName=SD!$C$8)*(CBSize=IF(A148=A149,W149&amp;W150,W149&amp;W149))*(CCMFM="Male")),"")))),"N/A")</f>
        <v>5-1</v>
      </c>
      <c r="M149" t="str">
        <f t="shared" si="54"/>
        <v/>
      </c>
      <c r="N149" t="s">
        <v>719</v>
      </c>
      <c r="O149" t="s">
        <v>720</v>
      </c>
      <c r="P149" t="s">
        <v>719</v>
      </c>
      <c r="Q149" t="str">
        <f>IF(AND(SD!$C$29=SD!$P$2,Grade!$O$1="Per level"),VLOOKUP(B149,Grade!$M$1:$N$200,2,FALSE),IF(AND(SD!$C$29=SD!$P$2,Grade!$O$1="Per Bar Size"),VLOOKUP(LEFT(N149,FIND("@",N149)-2),Grade!$J$1:$K$12,2,0),SD!$C$29))</f>
        <v>A615 Grade 60</v>
      </c>
      <c r="R149" t="s">
        <v>742</v>
      </c>
      <c r="S149" s="57">
        <v>149</v>
      </c>
      <c r="U149" t="str">
        <f>IF(Data!$J149="",IFERROR(INDEX(IF(SD!$C$11="Create",Lap!$A$3:$BF$14,IF(SD!$C$11="Per Uploaded File",Lap!$A$19:$BF$30,"")),MATCH(W149,Lap!$A$3:$A$14,0),MATCH(VALUE(D149),Lap!$A$3:$BF$3,0)+IF(IFERROR(FIND("Grade 60",J149),0)&gt;0,0,IF(IFERROR(FIND("Grade 80",J149),0),1,IF(IFERROR(FIND("Grade 75",J149),0),2,"")))),""),Data!J149)</f>
        <v>5-1</v>
      </c>
      <c r="W149" t="s">
        <v>176</v>
      </c>
      <c r="X149">
        <v>6</v>
      </c>
      <c r="Y149" t="str">
        <f t="shared" si="55"/>
        <v>30</v>
      </c>
      <c r="Z149">
        <f t="shared" si="56"/>
        <v>0</v>
      </c>
      <c r="AA149" s="24">
        <f t="shared" si="57"/>
        <v>15.666666666666666</v>
      </c>
      <c r="BB149" t="e" cm="1">
        <f t="array" ref="BB149">_xlfn.LET(_xlpm.PartF,(_xlfn.LET(_xlpm.grade, Q149,_xlpm.gradeRange, IF(_xlpm.grade=SD!$H$3, A615GR60, IF(_xlpm.grade=SD!$H$4, A615GR75, IF(_xlpm.grade=SD!$H$5, A615GR80, IF(_xlpm.grade=SD!$H$6, A615GR100, IF(_xlpm.grade=SD!$H$7, A706GR60, IF(_xlpm.grade=SD!$H$8, A706GR80)))))),_xlpm.matchValue, MATCH(1, (SD!$AW:$AW=AS149)*(SD!$AX:$AX=SD!$C$8), 0),INDEX(_xlpm.gradeRange, _xlpm.matchValue))),IF(AM149="Spiral",CONCATENATE("SP",_xlpm.PartF),_xlpm.PartF))</f>
        <v>#N/A</v>
      </c>
      <c r="BC149" cm="1">
        <f t="array" ref="BC149">_xlfn.LET(_xlpm.leftPart, LEFT(O149, FIND("@", O149) - 2),_xlpm.grade,Q149,_xlpm.gradeRange,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49" cm="1">
        <f t="array" ref="BD149">_xlfn.LET(_xlpm.leftPart, LEFT(P149, FIND("@", P149) - 2),_xlpm.grade, Q149,_xlpm.gradeRange,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49">
        <f t="shared" si="58"/>
        <v>2.5</v>
      </c>
      <c r="BF149">
        <f>IF(SD!$C$32=SD!$I$2,BE149,IF(SD!$C$32=SD!$I$3,DO149,IF(SD!$C$32=SD!$I$5,BA149,IF(SD!$C$32=SD!$I$6,(LEFT(SD!$C$35,FIND("-",SD!$C$35)-1)+RIGHT(SD!$C$35,LEN(SD!$C$35)-FIND("-",SD!$C$35))/12),IF(SD!$C$32=SD!$I$4,(AU149-(BG149+BH149)))))))</f>
        <v>0</v>
      </c>
      <c r="BG149">
        <f>IF(SD!$C$33=SD!$I$2,BE149,IF(SD!$C$33=SD!$I$3,DO149,IF(SD!$C$33=SD!$I$5,BA149,IF(SD!$C$33=SD!$I$6,(LEFT(SD!$C$35,FIND("-",SD!$C$35)-1)+RIGHT(SD!$C$35,LEN(SD!$C$35)-FIND("-",SD!$C$35))/12),IF(SD!$C$33=SD!$I$4,(AU149-(BF149+BH149)))))))</f>
        <v>-1</v>
      </c>
      <c r="BH149">
        <f>IF(SD!$C$34=SD!$I$2,BE149,IF(SD!$C$34=SD!$I$3,DO149,IF(SD!$C$34=SD!$I$5,BA149,IF(SD!$C$34=SD!$I$6,(LEFT(SD!$C$35,FIND("-",SD!$C$35)-1)+RIGHT(SD!$C$35,LEN(SD!$C$35)-FIND("-",SD!$C$35))/12),IF(SD!$C$34=SD!$I$4,(AU149-(BF149+BG149)))))))</f>
        <v>1</v>
      </c>
      <c r="BJ149">
        <f>IF(AM149="Spiral","1",MAX(ROUNDUP(IF(SD!$C$32="",AT149,BF149/(LEFT(RIGHT(N149,LEN(N149)-FIND("@",N149)),LEN(RIGHT(N149,LEN(N149)-FIND("@",N149)))-1)/12)+1),0),0))</f>
        <v>1</v>
      </c>
      <c r="BK149">
        <f>MAX(ROUNDUP(IF(SD!$C$33="","",BG149/(LEFT(RIGHT(O149,LEN(O149)-FIND("@",O149)),LEN(RIGHT(O149,LEN(O149)-FIND("@",O149)))-1)/12)+1),0),0)</f>
        <v>0</v>
      </c>
      <c r="BL149">
        <f>MAX(ROUNDUP(IF(SD!$C$34="","",BH149/(LEFT(RIGHT(P149,LEN(P149)-FIND("@",P149)),LEN(RIGHT(P149,LEN(P149)-FIND("@",P149)))-1)/12)+1),0),0)</f>
        <v>3</v>
      </c>
      <c r="BN149" t="e">
        <f t="shared" si="59"/>
        <v>#N/A</v>
      </c>
      <c r="BO149" t="e">
        <f t="shared" si="60"/>
        <v>#N/A</v>
      </c>
      <c r="BP149" t="e">
        <f t="shared" si="61"/>
        <v>#N/A</v>
      </c>
      <c r="BQ149" s="24" t="e">
        <f>IF(AM149=TRUE,(((Y149-(SD!$E$12*2))*3.14159265359)+BN149+BO149+BP149)/12+AL149,SUM(AF149:AG149,BN149,BO149,BP149,AO149,AQ149)/12)</f>
        <v>#N/A</v>
      </c>
      <c r="BR149" t="e">
        <f t="shared" si="62"/>
        <v>#N/A</v>
      </c>
      <c r="BS149" t="e">
        <f t="shared" si="63"/>
        <v>#N/A</v>
      </c>
      <c r="BT149" t="e">
        <f t="shared" si="64"/>
        <v>#N/A</v>
      </c>
      <c r="BU149" s="24" t="e">
        <f>IF(AM149=TRUE,(((Y149-(SD!$E$12*2))*3.14159265359)+BR149+BS149+BT149)/12+AL149,SUM(AF149:AG149,BR149,BS149,BT149,AO149,AQ149)/12)</f>
        <v>#N/A</v>
      </c>
      <c r="BW149" t="str">
        <f>IFERROR(LEFT(Data!L149,FIND(" -",Data!L149)-1),"")</f>
        <v/>
      </c>
      <c r="BX149" t="str">
        <f>IFERROR(IF(SD!$C$40=SD!$U$2,W149,IF(SD!$C$40=SD!$U$3,RIGHT(Data!L149,LEN(Data!L149)-(FIND("-",Data!L149)+1)),SD!$C$40)),"")</f>
        <v>#10</v>
      </c>
      <c r="BY149" t="str" cm="1">
        <f t="array" ref="BY149">IFERROR(_xlfn.LET(_xlpm.GRR,IF(AND(SD!$C$19=SD!$H$2,Grade!$G$1="Per level"),VLOOKUP(B149,Grade!$E$1:$F$200,2,FALSE),IF(AND(SD!$C$19=SD!$H$2,Grade!$G$1="Per Bar Size"),VLOOKUP(BX149,Grade!$B$1:$C$12,2,0),SD!$C$19)),_xlpm.is_equal, A148=A149,_xlpm.grade_range, IF(_xlpm.GRR=SD!$H$3, A615GR60,IF(_xlpm.GRR=SD!$H$4, A615GR75,IF(_xlpm.GRR=SD!$H$5, A615GR80,IF(_xlpm.GRR=SD!H153, A615GR100,IF(_xlpm.GRR=SD!$H$7, A706GR60,IF(_xlpm.GRR=SD!$H$8, A706GR80)))))),_xlpm.match_result, MATCH(1, (BSize=BX149)*(BCName=SD!$C$8), 0),_xlpm.final_result, INDEX(_xlpm.grade_range, _xlpm.match_result),IF(_xlpm.is_equal, "", _xlpm.final_result)),"")</f>
        <v/>
      </c>
      <c r="BZ149" t="str">
        <f>IF(A148=A149,"",IF(SD!$C$41="Match Vertical Bars ",X149,IF(SD!$C$41=SD!$V$3,BW149,SD!$C$41)))</f>
        <v/>
      </c>
      <c r="CA149" t="str" cm="1">
        <f t="array" ref="CA149">IF(A148=A149,"",IF(SD!$C$44="No T-Head",IF(SD!$C$42=SD!$Q$3,VLOOKUP(BX149,S90Range,3,FALSE),LEFT(SD!$C$42,FIND("-",SD!$C$42)-1)+(RIGHT(SD!$C$42,LEN(SD!$C$42)-FIND("-",SD!$C$42))/12)),IF(SD!$C$44="T-Head",_xlfn._xlws.FILTER(THead,(TCName=SD!$C$8)*(TSize=BX149)),IF(SD!$C$44="Level Wise",_xlfn.LET(_xlpm.result,_xlfn.XLOOKUP(B149,VDLevel,VDLevelStatus,"No"),IF(_xlpm.result="Yes",_xlfn._xlws.FILTER(THead,(TCName=SD!$C$8)*(TSize=BX149)),IF(SD!$C$42=SD!$Q$3,VLOOKUP(BX149,S90Range,3,FALSE),LEFT(SD!$C$42,FIND("-",SD!$C$42)-1)+(RIGHT(SD!$C$42,LEN(SD!$C$42)-FIND("-", SD!$C$42))/12)))),IF(SD!$C$44="BarSize Wise",_xlfn.LET(_xlpm.result,_xlfn.XLOOKUP(BX149,VDBarSize,VDBarSizeStatus,"No"),IF(_xlpm.result="Yes",_xlfn._xlws.FILTER(THead,(TCName=SD!$C$8)*(TSize=BX149)),IF(SD!$C$42=SD!$Q$3,VLOOKUP(BX149,S90Range,3,FALSE),LEFT(SD!$C$42,FIND("-",SD!$C$42)-1)+(RIGHT(SD!$C$42,LEN(SD!$C$42)-FIND("-",SD!$C$42))/12)))), "")))))</f>
        <v/>
      </c>
      <c r="CB149" t="str" cm="1">
        <f t="array" ref="CB149">_xlfn.LET(_xlpm.GRR,IF(AND(SD!$C$19=SD!$H$2,Grade!$G$1="Per level"),VLOOKUP(B149,Grade!$E$1:$F$200,2,FALSE),IF(AND(SD!$C$19=SD!$H$2,Grade!$G$1="Per Bar Size"),VLOOKUP(BX149,Grade!$B$1:$C$12,2,0),SD!$C$19)),_xlpm.is_coupler, K149="Coupler",_xlpm.condition1, SD!$C$43=SD!$W$2,_xlpm.data_j2_empty, Data!$J149="",_xlpm.lookup_table, IF(SD!$C$11="Create", Lap!$A$3:$BF$14, IF(SD!$C$11="Per Uploaded File", Lap!$A$19:$BF$30, "")),_xlpm.row_match, MATCH(BX149, Lap!$A$3:$A$14, 0),_xlpm.grade_offset, IF(IFERROR(FIND("Grade 60",_xlpm.GRR), 0) &gt; 0, 0, IF(IFERROR(FIND("Grade 80",_xlpm.GRR), 0), 1, IF(IFERROR(FIND("Grade 75",_xlpm.GRR), 0), 2, ""))),_xlpm.col_match, MATCH(VALUE(D149), Lap!$A$3:$BF$3, 0) + _xlpm.grade_offset,_xlpm.index_result, IFERROR(INDEX(_xlpm.lookup_table, _xlpm.row_match, _xlpm.col_match), Data!$J149),_xlpm.result_if_condition1, IF(_xlpm.data_j2_empty, _xlpm.index_result, Data!$J149),IF(_xlpm.is_coupler, 0, IF(_xlpm.condition1, _xlpm.result_if_condition1, SD!$C$43)))</f>
        <v>5-1</v>
      </c>
      <c r="CC149" s="24">
        <f t="shared" si="65"/>
        <v>5.083333333333333</v>
      </c>
      <c r="CD149">
        <f t="shared" si="66"/>
        <v>5.75</v>
      </c>
      <c r="CE149" t="str" cm="1">
        <f t="array" ref="CE149">IF(BY149="","",_xlfn._xlws.FILTER(SAC,(CName=SD!$C$8)*(EName="Vert Dowels")))</f>
        <v/>
      </c>
      <c r="CF149" t="str" cm="1">
        <f t="array" ref="CF149">IFERROR(IF(BY149="","",IF(K149="Coupler",_xlfn._xlws.FILTER(CCoupler,(CCName=SD!$C$8)*(CBSize=IF(A148=A149,W148&amp;W149,BX149&amp;W149))*(CCMFM="Male")),"")),"N/A")</f>
        <v/>
      </c>
      <c r="CG149" t="str">
        <f t="shared" si="67"/>
        <v/>
      </c>
      <c r="CH149" t="str">
        <f t="shared" si="68"/>
        <v/>
      </c>
      <c r="CI149" t="str">
        <f>_xlfn.LET(_xlpm.u3_value, U150,_xlpm.hyphen_pos,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K150="Coupler",_xlpm.coupler_value, IF(_xlpm.is_coupler, 0, _xlpm.calculated_value),_xlpm.final_value, _xlpm.calculated_value + SD!$E$13 + _xlpm.coupler_value,IF(CG149="", "", _xlpm.final_value))</f>
        <v/>
      </c>
      <c r="CJ149" t="str" cm="1">
        <f t="array" ref="CJ149">IF(CG149="","",_xlfn._xlws.FILTER(SAC,(CName=SD!$C$8)*(EName="Loose Dowels")))</f>
        <v/>
      </c>
      <c r="CK149" t="str" cm="1">
        <f t="array" ref="CK149">IFERROR(IF(CG149="","",IF(K150="Coupler",_xlfn._xlws.FILTER(CCoupler,(CCName=SD!$C$8)*(CBSize=IF(A149=A150,W149&amp;W150,""))*(CCMFM="Male")),"")),"N/A")</f>
        <v/>
      </c>
      <c r="CL149" t="str">
        <f>IFERROR(IF(AM149="Spiral","",IF(A148=A149,"",IF(SD!$C$37=0,"",SD!$C$37))),"")</f>
        <v/>
      </c>
      <c r="CN149">
        <f>IF(AM149="Spiral","",IFERROR(IF(SD!$C$36=0,"",SD!$C$36),""))</f>
        <v>5</v>
      </c>
      <c r="CP149" t="str">
        <f>IFERROR(IF(SD!$C$42=SD!$Q$3,'Take-off'!CA149,""),"")</f>
        <v/>
      </c>
      <c r="CR149">
        <f>IFERROR(IF(SD!$C$22=SD!$U$2,W149,SD!$C$22),"")</f>
        <v>0</v>
      </c>
      <c r="CS149" t="str" cm="1">
        <f t="array" ref="CS149">_xlfn.LET(_xlpm.GR,IF(AND(SD!$C$19=SD!$H$2,Grade!$G$1="Per level"),VLOOKUP(B149,Grade!$E$1:$F$200,2,FALSE),IF(AND(SD!$C$19=SD!$H$2,Grade!$G$1="Per Bar Size"),VLOOKUP(CR149,Grade!$B$1:$C$12,2,0),SD!$C$19)),IF(SD!$C$20=SD!$R$4,IF(A150=A149,"",INDEX(IF(_xlpm.GR=SD!$H$3,A615GR60,IF(_xlpm.GR=SD!$H$4,A615GR75,IF(_xlpm.GR=SD!$H$5,A615GR80,IF(_xlpm.GR=SD!H153,A615GR100,IF(_xlpm.GR=SD!$H$7,A706GR60,IF(_xlpm.GR=SD!$H$8,A706GR80)))))), MATCH(1, (BSize=CR149)*(BCName=SD!$C$8), 0))),""))</f>
        <v/>
      </c>
      <c r="CT149" t="str">
        <f>IF(A150=A149,"",IF(SD!$C$23="Match Vertical Bars ",X149,SD!$C$23))</f>
        <v/>
      </c>
      <c r="CU149" t="str" cm="1">
        <f t="array" ref="CU149">IF(A150=A149,"",IF(SD!$C$20="Top dowels",IF(SD!$E$25="No T-Head",IF(SD!$C$24=SD!$Q$3,VLOOKUP(CR149,S90Range,3,FALSE),LEFT(SD!$C$24,FIND("-",SD!$C$24)-1)+(RIGHT(SD!$C$24,LEN(SD!$C$24)-FIND("-",SD!$C$24))/12)),IF(SD!$E$25="T-Head",_xlfn._xlws.FILTER(THead,(TCName=SD!$C$8)*(TSize=CR149)),IF(SD!$E$25="Level Wise",_xlfn.LET(_xlpm.result,_xlfn.XLOOKUP(B149,TDLevel,TDLevelStatus,"No"),IF(_xlpm.result="Yes",_xlfn._xlws.FILTER(THead,(TCName=SD!$C$8)*(TSize=CR149)),IF(SD!$C$24=SD!$Q$3,VLOOKUP(CR149,S90Range,3,FALSE),LEFT(SD!$C$24,FIND("-",SD!$C$24)-1)+(RIGHT(SD!$C$24,LEN(SD!$C$24)-FIND("-", SD!$C$24))/12)))),IF(SD!$E$25="BarSize Wise",_xlfn.LET(_xlpm.result,_xlfn.XLOOKUP(CR149,TDBarSize,TDBarSizeStatus,"No"),IF(_xlpm.result="Yes",_xlfn._xlws.FILTER(THead,(TCName=SD!$C$8)*(TSize=CR149)),IF(SD!$C$24=SD!$Q$3,VLOOKUP(CR149,S90Range,3,FALSE),LEFT(SD!$C$24,FIND("-",SD!$C$24)-1)+(RIGHT(SD!$C$24,LEN(SD!$C$24)-FIND("-",SD!$C$24))/12)))), "")))),""))</f>
        <v/>
      </c>
      <c r="CV149" t="str">
        <f>_xlfn.LET(_xlpm.GRR,IF(AND(SD!$C$19=SD!$H$2,Grade!$G$1="Per level"),VLOOKUP(B149,Grade!$E$1:$F$200,2,FALSE),IF(AND(SD!$C$19=SD!$H$2,Grade!$G$1="Per Bar Size"),VLOOKUP(CR149,Grade!$B$1:$C$12,2,0),SD!$C$19)),IF(SD!$C$25=SD!$W$2,IF(Data!$J149="",IFERROR(INDEX(IF(SD!$C$11="Create",Lap!$A$3:$BF$14,IF(SD!$C$11="Per Uploaded File",Lap!$A$19:$BF$30,"")),MATCH(CR149,Lap!$A$3:$A$14,0),MATCH(VALUE(D149),Lap!$A$3:$BF$3,0)+IF(IFERROR(FIND("Grade 60",_xlpm.GRR),0)&gt;0,0,IF(IFERROR(FIND("Grade 80",_xlpm.GRR),0),1,IF(IFERROR(FIND("Grade 75",_xlpm.GRR),0),2,"")))),""),Data!J149),SD!$C$43))</f>
        <v>Match Lap</v>
      </c>
      <c r="CW149">
        <f t="shared" si="69"/>
        <v>0</v>
      </c>
      <c r="CX149">
        <f t="shared" si="70"/>
        <v>0</v>
      </c>
      <c r="CY149" t="str">
        <f t="shared" si="71"/>
        <v/>
      </c>
      <c r="DA149" t="str">
        <f t="shared" si="72"/>
        <v/>
      </c>
      <c r="DB149" t="str">
        <f t="shared" si="73"/>
        <v/>
      </c>
      <c r="DC149" s="24" t="str">
        <f t="shared" si="74"/>
        <v/>
      </c>
      <c r="DD149">
        <f t="shared" si="75"/>
        <v>10.583333333333334</v>
      </c>
      <c r="DE149" t="s">
        <v>785</v>
      </c>
      <c r="DF149" t="s">
        <v>67</v>
      </c>
      <c r="DG149" t="str">
        <f>VLOOKUP(W149,'Level Wise PSI'!$F$2:$G$12,2,FALSE)</f>
        <v>Double Lift</v>
      </c>
      <c r="DI149" t="str" cm="1">
        <f t="array" ref="DI149">_xlfn.LET(_xlpm.Coup,IFERROR(IF(BY149="","",IF(K149="Coupler",_xlfn._xlws.FILTER(CCFCoupler,(CCName=SD!$C$8)*(CBSize=IF(A148=A149,W148&amp;W149,BX149&amp;W149))),"")),"N/A"),IF(_xlpm.Coup=0,"",_xlpm.Coup))</f>
        <v/>
      </c>
      <c r="DJ149" t="str" cm="1">
        <f t="array" ref="DJ149">_xlfn.LET(_xlpm.Coup3,IFERROR(IF(CG149="","",IF(K150="Coupler",_xlfn._xlws.FILTER(CCFCoupler,(CCName=SD!$C$8)*(CBSize=IF(A149=A150,W149&amp;W150,""))),"")),"N/A"),IF(_xlpm.Coup3=0,"",_xlpm.Coup3))</f>
        <v/>
      </c>
      <c r="DK149" t="str" cm="1">
        <f t="array" ref="DK149">_xlfn.LET(_xlpm.Coup2,IFERROR(IF(A149&lt;&gt;A150,"",IF(DF149="No Lap","",IF(K150="Coupler",_xlfn._xlws.FILTER(CCFCoupler,(CCName=SD!$C$8)*(CBSize=IF(A148=A149,W149&amp;W150,W149&amp;W149))),""))),"N/A"),IF(_xlpm.Coup2=0,"",_xlpm.Coup2))</f>
        <v/>
      </c>
      <c r="DM149" t="str">
        <f>IF(AM149="Spiral","",IF(SD!$C$31=SD!$Y$3,SD!$E$32*2,""))</f>
        <v/>
      </c>
      <c r="DO149" s="24">
        <f t="shared" si="76"/>
        <v>2.5</v>
      </c>
      <c r="DQ149" t="str">
        <f t="shared" si="77"/>
        <v>Lig</v>
      </c>
      <c r="DR149" t="str">
        <f>IF(AM149="Spiral",((Y149-(SD!$E$12*2))/12),"")</f>
        <v/>
      </c>
      <c r="DS149" t="str">
        <f t="shared" si="78"/>
        <v/>
      </c>
      <c r="DT149" t="str">
        <f t="shared" si="79"/>
        <v/>
      </c>
      <c r="DU149" t="str">
        <f t="shared" si="80"/>
        <v/>
      </c>
    </row>
    <row r="150" spans="1:125" x14ac:dyDescent="0.25">
      <c r="A150">
        <v>47</v>
      </c>
      <c r="B150" t="s">
        <v>684</v>
      </c>
      <c r="C150" s="15">
        <v>2429</v>
      </c>
      <c r="D150" s="15">
        <v>10000</v>
      </c>
      <c r="E150" t="str">
        <f>IF(B150=Level!$A$2,SD!$C$14,SD!$C$13)</f>
        <v>0-8</v>
      </c>
      <c r="F150" s="15" t="s">
        <v>787</v>
      </c>
      <c r="G150" t="s">
        <v>742</v>
      </c>
      <c r="H150" t="str">
        <f>RIGHT(VLOOKUP(B150,Level!A:C,3,FALSE),LEN(VLOOKUP(B150,Level!A:C,3,FALSE))-1)</f>
        <v>10-7</v>
      </c>
      <c r="I150" t="s">
        <v>743</v>
      </c>
      <c r="J150" t="str">
        <f>IF(AND(SD!$C$19=SD!$H$2,Grade!$G$1="Per level"),VLOOKUP(B150,Grade!$E$1:$F$200,2,FALSE),IF(AND(SD!$C$19=SD!$H$2,Grade!$G$1="Per Bar Size"),VLOOKUP(W150,Grade!$B$1:$C$12,2,0),SD!$C$19))</f>
        <v>A615 Grade 60</v>
      </c>
      <c r="K150" t="s">
        <v>67</v>
      </c>
      <c r="L150" t="str">
        <f>IFERROR(IF(A150&lt;&gt;A151,"",IF(DF150="No Lap","",IF(K151="Lap",U150,IF(K151="Coupler",_xlfn._xlws.FILTER(CCoupler,(CCName=SD!$C$8)*(CBSize=IF(A149=A150,W150&amp;W151,W150&amp;W150))*(CCMFM="Male")),"")))),"N/A")</f>
        <v>5-1</v>
      </c>
      <c r="M150" t="str">
        <f t="shared" si="54"/>
        <v/>
      </c>
      <c r="N150" t="s">
        <v>719</v>
      </c>
      <c r="O150" t="s">
        <v>720</v>
      </c>
      <c r="P150" t="s">
        <v>719</v>
      </c>
      <c r="Q150" t="str">
        <f>IF(AND(SD!$C$29=SD!$P$2,Grade!$O$1="Per level"),VLOOKUP(B150,Grade!$M$1:$N$200,2,FALSE),IF(AND(SD!$C$29=SD!$P$2,Grade!$O$1="Per Bar Size"),VLOOKUP(LEFT(N150,FIND("@",N150)-2),Grade!$J$1:$K$12,2,0),SD!$C$29))</f>
        <v>A615 Grade 60</v>
      </c>
      <c r="R150" t="s">
        <v>742</v>
      </c>
      <c r="S150" s="57">
        <v>150</v>
      </c>
      <c r="U150" t="str">
        <f>IF(Data!$J150="",IFERROR(INDEX(IF(SD!$C$11="Create",Lap!$A$3:$BF$14,IF(SD!$C$11="Per Uploaded File",Lap!$A$19:$BF$30,"")),MATCH(W150,Lap!$A$3:$A$14,0),MATCH(VALUE(D150),Lap!$A$3:$BF$3,0)+IF(IFERROR(FIND("Grade 60",J150),0)&gt;0,0,IF(IFERROR(FIND("Grade 80",J150),0),1,IF(IFERROR(FIND("Grade 75",J150),0),2,"")))),""),Data!J150)</f>
        <v>5-1</v>
      </c>
      <c r="W150" t="s">
        <v>176</v>
      </c>
      <c r="X150">
        <v>6</v>
      </c>
      <c r="Y150" t="str">
        <f t="shared" si="55"/>
        <v>30</v>
      </c>
      <c r="Z150">
        <f t="shared" si="56"/>
        <v>0</v>
      </c>
      <c r="AA150" s="24">
        <f t="shared" si="57"/>
        <v>15.666666666666666</v>
      </c>
      <c r="BB150" t="e" cm="1">
        <f t="array" ref="BB150">_xlfn.LET(_xlpm.PartF,(_xlfn.LET(_xlpm.grade, Q150,_xlpm.gradeRange, IF(_xlpm.grade=SD!$H$3, A615GR60, IF(_xlpm.grade=SD!$H$4, A615GR75, IF(_xlpm.grade=SD!$H$5, A615GR80, IF(_xlpm.grade=SD!$H$6, A615GR100, IF(_xlpm.grade=SD!$H$7, A706GR60, IF(_xlpm.grade=SD!$H$8, A706GR80)))))),_xlpm.matchValue, MATCH(1, (SD!$AW:$AW=AS150)*(SD!$AX:$AX=SD!$C$8), 0),INDEX(_xlpm.gradeRange, _xlpm.matchValue))),IF(AM150="Spiral",CONCATENATE("SP",_xlpm.PartF),_xlpm.PartF))</f>
        <v>#N/A</v>
      </c>
      <c r="BC150" cm="1">
        <f t="array" ref="BC150">_xlfn.LET(_xlpm.leftPart, LEFT(O150, FIND("@", O150) - 2),_xlpm.grade,Q150,_xlpm.gradeRange,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0" cm="1">
        <f t="array" ref="BD150">_xlfn.LET(_xlpm.leftPart, LEFT(P150, FIND("@", P150) - 2),_xlpm.grade, Q150,_xlpm.gradeRange,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0">
        <f t="shared" si="58"/>
        <v>2.5</v>
      </c>
      <c r="BF150">
        <f>IF(SD!$C$32=SD!$I$2,BE150,IF(SD!$C$32=SD!$I$3,DO150,IF(SD!$C$32=SD!$I$5,BA150,IF(SD!$C$32=SD!$I$6,(LEFT(SD!$C$35,FIND("-",SD!$C$35)-1)+RIGHT(SD!$C$35,LEN(SD!$C$35)-FIND("-",SD!$C$35))/12),IF(SD!$C$32=SD!$I$4,(AU150-(BG150+BH150)))))))</f>
        <v>0</v>
      </c>
      <c r="BG150">
        <f>IF(SD!$C$33=SD!$I$2,BE150,IF(SD!$C$33=SD!$I$3,DO150,IF(SD!$C$33=SD!$I$5,BA150,IF(SD!$C$33=SD!$I$6,(LEFT(SD!$C$35,FIND("-",SD!$C$35)-1)+RIGHT(SD!$C$35,LEN(SD!$C$35)-FIND("-",SD!$C$35))/12),IF(SD!$C$33=SD!$I$4,(AU150-(BF150+BH150)))))))</f>
        <v>-1</v>
      </c>
      <c r="BH150">
        <f>IF(SD!$C$34=SD!$I$2,BE150,IF(SD!$C$34=SD!$I$3,DO150,IF(SD!$C$34=SD!$I$5,BA150,IF(SD!$C$34=SD!$I$6,(LEFT(SD!$C$35,FIND("-",SD!$C$35)-1)+RIGHT(SD!$C$35,LEN(SD!$C$35)-FIND("-",SD!$C$35))/12),IF(SD!$C$34=SD!$I$4,(AU150-(BF150+BG150)))))))</f>
        <v>1</v>
      </c>
      <c r="BJ150">
        <f>IF(AM150="Spiral","1",MAX(ROUNDUP(IF(SD!$C$32="",AT150,BF150/(LEFT(RIGHT(N150,LEN(N150)-FIND("@",N150)),LEN(RIGHT(N150,LEN(N150)-FIND("@",N150)))-1)/12)+1),0),0))</f>
        <v>1</v>
      </c>
      <c r="BK150">
        <f>MAX(ROUNDUP(IF(SD!$C$33="","",BG150/(LEFT(RIGHT(O150,LEN(O150)-FIND("@",O150)),LEN(RIGHT(O150,LEN(O150)-FIND("@",O150)))-1)/12)+1),0),0)</f>
        <v>0</v>
      </c>
      <c r="BL150">
        <f>MAX(ROUNDUP(IF(SD!$C$34="","",BH150/(LEFT(RIGHT(P150,LEN(P150)-FIND("@",P150)),LEN(RIGHT(P150,LEN(P150)-FIND("@",P150)))-1)/12)+1),0),0)</f>
        <v>3</v>
      </c>
      <c r="BN150" t="e">
        <f t="shared" si="59"/>
        <v>#N/A</v>
      </c>
      <c r="BO150" t="e">
        <f t="shared" si="60"/>
        <v>#N/A</v>
      </c>
      <c r="BP150" t="e">
        <f t="shared" si="61"/>
        <v>#N/A</v>
      </c>
      <c r="BQ150" s="24" t="e">
        <f>IF(AM150=TRUE,(((Y150-(SD!$E$12*2))*3.14159265359)+BN150+BO150+BP150)/12+AL150,SUM(AF150:AG150,BN150,BO150,BP150,AO150,AQ150)/12)</f>
        <v>#N/A</v>
      </c>
      <c r="BR150" t="e">
        <f t="shared" si="62"/>
        <v>#N/A</v>
      </c>
      <c r="BS150" t="e">
        <f t="shared" si="63"/>
        <v>#N/A</v>
      </c>
      <c r="BT150" t="e">
        <f t="shared" si="64"/>
        <v>#N/A</v>
      </c>
      <c r="BU150" s="24" t="e">
        <f>IF(AM150=TRUE,(((Y150-(SD!$E$12*2))*3.14159265359)+BR150+BS150+BT150)/12+AL150,SUM(AF150:AG150,BR150,BS150,BT150,AO150,AQ150)/12)</f>
        <v>#N/A</v>
      </c>
      <c r="BW150" t="str">
        <f>IFERROR(LEFT(Data!L150,FIND(" -",Data!L150)-1),"")</f>
        <v/>
      </c>
      <c r="BX150" t="str">
        <f>IFERROR(IF(SD!$C$40=SD!$U$2,W150,IF(SD!$C$40=SD!$U$3,RIGHT(Data!L150,LEN(Data!L150)-(FIND("-",Data!L150)+1)),SD!$C$40)),"")</f>
        <v>#10</v>
      </c>
      <c r="BY150" t="str" cm="1">
        <f t="array" ref="BY150">IFERROR(_xlfn.LET(_xlpm.GRR,IF(AND(SD!$C$19=SD!$H$2,Grade!$G$1="Per level"),VLOOKUP(B150,Grade!$E$1:$F$200,2,FALSE),IF(AND(SD!$C$19=SD!$H$2,Grade!$G$1="Per Bar Size"),VLOOKUP(BX150,Grade!$B$1:$C$12,2,0),SD!$C$19)),_xlpm.is_equal, A149=A150,_xlpm.grade_range, IF(_xlpm.GRR=SD!$H$3, A615GR60,IF(_xlpm.GRR=SD!$H$4, A615GR75,IF(_xlpm.GRR=SD!$H$5, A615GR80,IF(_xlpm.GRR=SD!H154, A615GR100,IF(_xlpm.GRR=SD!$H$7, A706GR60,IF(_xlpm.GRR=SD!$H$8, A706GR80)))))),_xlpm.match_result, MATCH(1, (BSize=BX150)*(BCName=SD!$C$8), 0),_xlpm.final_result, INDEX(_xlpm.grade_range, _xlpm.match_result),IF(_xlpm.is_equal, "", _xlpm.final_result)),"")</f>
        <v/>
      </c>
      <c r="BZ150" t="str">
        <f>IF(A149=A150,"",IF(SD!$C$41="Match Vertical Bars ",X150,IF(SD!$C$41=SD!$V$3,BW150,SD!$C$41)))</f>
        <v/>
      </c>
      <c r="CA150" t="str" cm="1">
        <f t="array" ref="CA150">IF(A149=A150,"",IF(SD!$C$44="No T-Head",IF(SD!$C$42=SD!$Q$3,VLOOKUP(BX150,S90Range,3,FALSE),LEFT(SD!$C$42,FIND("-",SD!$C$42)-1)+(RIGHT(SD!$C$42,LEN(SD!$C$42)-FIND("-",SD!$C$42))/12)),IF(SD!$C$44="T-Head",_xlfn._xlws.FILTER(THead,(TCName=SD!$C$8)*(TSize=BX150)),IF(SD!$C$44="Level Wise",_xlfn.LET(_xlpm.result,_xlfn.XLOOKUP(B150,VDLevel,VDLevelStatus,"No"),IF(_xlpm.result="Yes",_xlfn._xlws.FILTER(THead,(TCName=SD!$C$8)*(TSize=BX150)),IF(SD!$C$42=SD!$Q$3,VLOOKUP(BX150,S90Range,3,FALSE),LEFT(SD!$C$42,FIND("-",SD!$C$42)-1)+(RIGHT(SD!$C$42,LEN(SD!$C$42)-FIND("-", SD!$C$42))/12)))),IF(SD!$C$44="BarSize Wise",_xlfn.LET(_xlpm.result,_xlfn.XLOOKUP(BX150,VDBarSize,VDBarSizeStatus,"No"),IF(_xlpm.result="Yes",_xlfn._xlws.FILTER(THead,(TCName=SD!$C$8)*(TSize=BX150)),IF(SD!$C$42=SD!$Q$3,VLOOKUP(BX150,S90Range,3,FALSE),LEFT(SD!$C$42,FIND("-",SD!$C$42)-1)+(RIGHT(SD!$C$42,LEN(SD!$C$42)-FIND("-",SD!$C$42))/12)))), "")))))</f>
        <v/>
      </c>
      <c r="CB150" t="str" cm="1">
        <f t="array" ref="CB150">_xlfn.LET(_xlpm.GRR,IF(AND(SD!$C$19=SD!$H$2,Grade!$G$1="Per level"),VLOOKUP(B150,Grade!$E$1:$F$200,2,FALSE),IF(AND(SD!$C$19=SD!$H$2,Grade!$G$1="Per Bar Size"),VLOOKUP(BX150,Grade!$B$1:$C$12,2,0),SD!$C$19)),_xlpm.is_coupler, K150="Coupler",_xlpm.condition1, SD!$C$43=SD!$W$2,_xlpm.data_j2_empty, Data!$J150="",_xlpm.lookup_table, IF(SD!$C$11="Create", Lap!$A$3:$BF$14, IF(SD!$C$11="Per Uploaded File", Lap!$A$19:$BF$30, "")),_xlpm.row_match, MATCH(BX150, Lap!$A$3:$A$14, 0),_xlpm.grade_offset, IF(IFERROR(FIND("Grade 60",_xlpm.GRR), 0) &gt; 0, 0, IF(IFERROR(FIND("Grade 80",_xlpm.GRR), 0), 1, IF(IFERROR(FIND("Grade 75",_xlpm.GRR), 0), 2, ""))),_xlpm.col_match, MATCH(VALUE(D150), Lap!$A$3:$BF$3, 0) + _xlpm.grade_offset,_xlpm.index_result, IFERROR(INDEX(_xlpm.lookup_table, _xlpm.row_match, _xlpm.col_match), Data!$J150),_xlpm.result_if_condition1, IF(_xlpm.data_j2_empty, _xlpm.index_result, Data!$J150),IF(_xlpm.is_coupler, 0, IF(_xlpm.condition1, _xlpm.result_if_condition1, SD!$C$43)))</f>
        <v>5-1</v>
      </c>
      <c r="CC150" s="24">
        <f t="shared" si="65"/>
        <v>5.083333333333333</v>
      </c>
      <c r="CD150">
        <f t="shared" si="66"/>
        <v>5.75</v>
      </c>
      <c r="CE150" t="str" cm="1">
        <f t="array" ref="CE150">IF(BY150="","",_xlfn._xlws.FILTER(SAC,(CName=SD!$C$8)*(EName="Vert Dowels")))</f>
        <v/>
      </c>
      <c r="CF150" t="str" cm="1">
        <f t="array" ref="CF150">IFERROR(IF(BY150="","",IF(K150="Coupler",_xlfn._xlws.FILTER(CCoupler,(CCName=SD!$C$8)*(CBSize=IF(A149=A150,W149&amp;W150,BX150&amp;W150))*(CCMFM="Male")),"")),"N/A")</f>
        <v/>
      </c>
      <c r="CG150" t="str">
        <f t="shared" si="67"/>
        <v/>
      </c>
      <c r="CH150" t="str">
        <f t="shared" si="68"/>
        <v/>
      </c>
      <c r="CI150" t="str">
        <f>_xlfn.LET(_xlpm.u3_value, U151,_xlpm.hyphen_pos,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K151="Coupler",_xlpm.coupler_value, IF(_xlpm.is_coupler, 0, _xlpm.calculated_value),_xlpm.final_value, _xlpm.calculated_value + SD!$E$13 + _xlpm.coupler_value,IF(CG150="", "", _xlpm.final_value))</f>
        <v/>
      </c>
      <c r="CJ150" t="str" cm="1">
        <f t="array" ref="CJ150">IF(CG150="","",_xlfn._xlws.FILTER(SAC,(CName=SD!$C$8)*(EName="Loose Dowels")))</f>
        <v/>
      </c>
      <c r="CK150" t="str" cm="1">
        <f t="array" ref="CK150">IFERROR(IF(CG150="","",IF(K151="Coupler",_xlfn._xlws.FILTER(CCoupler,(CCName=SD!$C$8)*(CBSize=IF(A150=A151,W150&amp;W151,""))*(CCMFM="Male")),"")),"N/A")</f>
        <v/>
      </c>
      <c r="CL150" t="str">
        <f>IFERROR(IF(AM150="Spiral","",IF(A149=A150,"",IF(SD!$C$37=0,"",SD!$C$37))),"")</f>
        <v/>
      </c>
      <c r="CN150">
        <f>IF(AM150="Spiral","",IFERROR(IF(SD!$C$36=0,"",SD!$C$36),""))</f>
        <v>5</v>
      </c>
      <c r="CP150" t="str">
        <f>IFERROR(IF(SD!$C$42=SD!$Q$3,'Take-off'!CA150,""),"")</f>
        <v/>
      </c>
      <c r="CR150">
        <f>IFERROR(IF(SD!$C$22=SD!$U$2,W150,SD!$C$22),"")</f>
        <v>0</v>
      </c>
      <c r="CS150" t="str" cm="1">
        <f t="array" ref="CS150">_xlfn.LET(_xlpm.GR,IF(AND(SD!$C$19=SD!$H$2,Grade!$G$1="Per level"),VLOOKUP(B150,Grade!$E$1:$F$200,2,FALSE),IF(AND(SD!$C$19=SD!$H$2,Grade!$G$1="Per Bar Size"),VLOOKUP(CR150,Grade!$B$1:$C$12,2,0),SD!$C$19)),IF(SD!$C$20=SD!$R$4,IF(A151=A150,"",INDEX(IF(_xlpm.GR=SD!$H$3,A615GR60,IF(_xlpm.GR=SD!$H$4,A615GR75,IF(_xlpm.GR=SD!$H$5,A615GR80,IF(_xlpm.GR=SD!H154,A615GR100,IF(_xlpm.GR=SD!$H$7,A706GR60,IF(_xlpm.GR=SD!$H$8,A706GR80)))))), MATCH(1, (BSize=CR150)*(BCName=SD!$C$8), 0))),""))</f>
        <v/>
      </c>
      <c r="CT150" t="str">
        <f>IF(A151=A150,"",IF(SD!$C$23="Match Vertical Bars ",X150,SD!$C$23))</f>
        <v/>
      </c>
      <c r="CU150" t="str" cm="1">
        <f t="array" ref="CU150">IF(A151=A150,"",IF(SD!$C$20="Top dowels",IF(SD!$E$25="No T-Head",IF(SD!$C$24=SD!$Q$3,VLOOKUP(CR150,S90Range,3,FALSE),LEFT(SD!$C$24,FIND("-",SD!$C$24)-1)+(RIGHT(SD!$C$24,LEN(SD!$C$24)-FIND("-",SD!$C$24))/12)),IF(SD!$E$25="T-Head",_xlfn._xlws.FILTER(THead,(TCName=SD!$C$8)*(TSize=CR150)),IF(SD!$E$25="Level Wise",_xlfn.LET(_xlpm.result,_xlfn.XLOOKUP(B150,TDLevel,TDLevelStatus,"No"),IF(_xlpm.result="Yes",_xlfn._xlws.FILTER(THead,(TCName=SD!$C$8)*(TSize=CR150)),IF(SD!$C$24=SD!$Q$3,VLOOKUP(CR150,S90Range,3,FALSE),LEFT(SD!$C$24,FIND("-",SD!$C$24)-1)+(RIGHT(SD!$C$24,LEN(SD!$C$24)-FIND("-", SD!$C$24))/12)))),IF(SD!$E$25="BarSize Wise",_xlfn.LET(_xlpm.result,_xlfn.XLOOKUP(CR150,TDBarSize,TDBarSizeStatus,"No"),IF(_xlpm.result="Yes",_xlfn._xlws.FILTER(THead,(TCName=SD!$C$8)*(TSize=CR150)),IF(SD!$C$24=SD!$Q$3,VLOOKUP(CR150,S90Range,3,FALSE),LEFT(SD!$C$24,FIND("-",SD!$C$24)-1)+(RIGHT(SD!$C$24,LEN(SD!$C$24)-FIND("-",SD!$C$24))/12)))), "")))),""))</f>
        <v/>
      </c>
      <c r="CV150" t="str">
        <f>_xlfn.LET(_xlpm.GRR,IF(AND(SD!$C$19=SD!$H$2,Grade!$G$1="Per level"),VLOOKUP(B150,Grade!$E$1:$F$200,2,FALSE),IF(AND(SD!$C$19=SD!$H$2,Grade!$G$1="Per Bar Size"),VLOOKUP(CR150,Grade!$B$1:$C$12,2,0),SD!$C$19)),IF(SD!$C$25=SD!$W$2,IF(Data!$J150="",IFERROR(INDEX(IF(SD!$C$11="Create",Lap!$A$3:$BF$14,IF(SD!$C$11="Per Uploaded File",Lap!$A$19:$BF$30,"")),MATCH(CR150,Lap!$A$3:$A$14,0),MATCH(VALUE(D150),Lap!$A$3:$BF$3,0)+IF(IFERROR(FIND("Grade 60",_xlpm.GRR),0)&gt;0,0,IF(IFERROR(FIND("Grade 80",_xlpm.GRR),0),1,IF(IFERROR(FIND("Grade 75",_xlpm.GRR),0),2,"")))),""),Data!J150),SD!$C$43))</f>
        <v>Match Lap</v>
      </c>
      <c r="CW150">
        <f t="shared" si="69"/>
        <v>0</v>
      </c>
      <c r="CX150">
        <f t="shared" si="70"/>
        <v>0</v>
      </c>
      <c r="CY150" t="str">
        <f t="shared" si="71"/>
        <v/>
      </c>
      <c r="DA150" t="str">
        <f t="shared" si="72"/>
        <v/>
      </c>
      <c r="DB150" t="str">
        <f t="shared" si="73"/>
        <v/>
      </c>
      <c r="DC150" s="24" t="str">
        <f t="shared" si="74"/>
        <v/>
      </c>
      <c r="DD150">
        <f t="shared" si="75"/>
        <v>10.583333333333334</v>
      </c>
      <c r="DE150" t="s">
        <v>785</v>
      </c>
      <c r="DF150" t="s">
        <v>67</v>
      </c>
      <c r="DG150" t="str">
        <f>VLOOKUP(W150,'Level Wise PSI'!$F$2:$G$12,2,FALSE)</f>
        <v>Double Lift</v>
      </c>
      <c r="DI150" t="str" cm="1">
        <f t="array" ref="DI150">_xlfn.LET(_xlpm.Coup,IFERROR(IF(BY150="","",IF(K150="Coupler",_xlfn._xlws.FILTER(CCFCoupler,(CCName=SD!$C$8)*(CBSize=IF(A149=A150,W149&amp;W150,BX150&amp;W150))),"")),"N/A"),IF(_xlpm.Coup=0,"",_xlpm.Coup))</f>
        <v/>
      </c>
      <c r="DJ150" t="str" cm="1">
        <f t="array" ref="DJ150">_xlfn.LET(_xlpm.Coup3,IFERROR(IF(CG150="","",IF(K151="Coupler",_xlfn._xlws.FILTER(CCFCoupler,(CCName=SD!$C$8)*(CBSize=IF(A150=A151,W150&amp;W151,""))),"")),"N/A"),IF(_xlpm.Coup3=0,"",_xlpm.Coup3))</f>
        <v/>
      </c>
      <c r="DK150" t="str" cm="1">
        <f t="array" ref="DK150">_xlfn.LET(_xlpm.Coup2,IFERROR(IF(A150&lt;&gt;A151,"",IF(DF150="No Lap","",IF(K151="Coupler",_xlfn._xlws.FILTER(CCFCoupler,(CCName=SD!$C$8)*(CBSize=IF(A149=A150,W150&amp;W151,W150&amp;W150))),""))),"N/A"),IF(_xlpm.Coup2=0,"",_xlpm.Coup2))</f>
        <v/>
      </c>
      <c r="DM150" t="str">
        <f>IF(AM150="Spiral","",IF(SD!$C$31=SD!$Y$3,SD!$E$32*2,""))</f>
        <v/>
      </c>
      <c r="DO150" s="24">
        <f t="shared" si="76"/>
        <v>2.5</v>
      </c>
      <c r="DQ150" t="str">
        <f t="shared" si="77"/>
        <v>Lig</v>
      </c>
      <c r="DR150" t="str">
        <f>IF(AM150="Spiral",((Y150-(SD!$E$12*2))/12),"")</f>
        <v/>
      </c>
      <c r="DS150" t="str">
        <f t="shared" si="78"/>
        <v/>
      </c>
      <c r="DT150" t="str">
        <f t="shared" si="79"/>
        <v/>
      </c>
      <c r="DU150" t="str">
        <f t="shared" si="80"/>
        <v/>
      </c>
    </row>
    <row r="151" spans="1:125" x14ac:dyDescent="0.25">
      <c r="A151">
        <v>47</v>
      </c>
      <c r="B151" t="s">
        <v>686</v>
      </c>
      <c r="C151" s="15">
        <v>2429</v>
      </c>
      <c r="D151" s="15">
        <v>10000</v>
      </c>
      <c r="E151" t="str">
        <f>IF(B151=Level!$A$2,SD!$C$14,SD!$C$13)</f>
        <v>0-8</v>
      </c>
      <c r="F151" s="15" t="s">
        <v>787</v>
      </c>
      <c r="G151" t="s">
        <v>742</v>
      </c>
      <c r="H151" t="str">
        <f>RIGHT(VLOOKUP(B151,Level!A:C,3,FALSE),LEN(VLOOKUP(B151,Level!A:C,3,FALSE))-1)</f>
        <v>10-7</v>
      </c>
      <c r="I151" t="s">
        <v>743</v>
      </c>
      <c r="J151" t="str">
        <f>IF(AND(SD!$C$19=SD!$H$2,Grade!$G$1="Per level"),VLOOKUP(B151,Grade!$E$1:$F$200,2,FALSE),IF(AND(SD!$C$19=SD!$H$2,Grade!$G$1="Per Bar Size"),VLOOKUP(W151,Grade!$B$1:$C$12,2,0),SD!$C$19))</f>
        <v>A615 Grade 60</v>
      </c>
      <c r="K151" t="s">
        <v>67</v>
      </c>
      <c r="L151" t="str">
        <f>IFERROR(IF(A151&lt;&gt;A152,"",IF(DF151="No Lap","",IF(K152="Lap",U151,IF(K152="Coupler",_xlfn._xlws.FILTER(CCoupler,(CCName=SD!$C$8)*(CBSize=IF(A150=A151,W151&amp;W152,W151&amp;W151))*(CCMFM="Male")),"")))),"N/A")</f>
        <v>5-1</v>
      </c>
      <c r="M151" t="str">
        <f t="shared" si="54"/>
        <v/>
      </c>
      <c r="N151" t="s">
        <v>719</v>
      </c>
      <c r="O151" t="s">
        <v>720</v>
      </c>
      <c r="P151" t="s">
        <v>719</v>
      </c>
      <c r="Q151" t="str">
        <f>IF(AND(SD!$C$29=SD!$P$2,Grade!$O$1="Per level"),VLOOKUP(B151,Grade!$M$1:$N$200,2,FALSE),IF(AND(SD!$C$29=SD!$P$2,Grade!$O$1="Per Bar Size"),VLOOKUP(LEFT(N151,FIND("@",N151)-2),Grade!$J$1:$K$12,2,0),SD!$C$29))</f>
        <v>A615 Grade 60</v>
      </c>
      <c r="R151" t="s">
        <v>742</v>
      </c>
      <c r="S151" s="57">
        <v>151</v>
      </c>
      <c r="U151" t="str">
        <f>IF(Data!$J151="",IFERROR(INDEX(IF(SD!$C$11="Create",Lap!$A$3:$BF$14,IF(SD!$C$11="Per Uploaded File",Lap!$A$19:$BF$30,"")),MATCH(W151,Lap!$A$3:$A$14,0),MATCH(VALUE(D151),Lap!$A$3:$BF$3,0)+IF(IFERROR(FIND("Grade 60",J151),0)&gt;0,0,IF(IFERROR(FIND("Grade 80",J151),0),1,IF(IFERROR(FIND("Grade 75",J151),0),2,"")))),""),Data!J151)</f>
        <v>5-1</v>
      </c>
      <c r="W151" t="s">
        <v>176</v>
      </c>
      <c r="X151">
        <v>6</v>
      </c>
      <c r="Y151" t="str">
        <f t="shared" si="55"/>
        <v>30</v>
      </c>
      <c r="Z151">
        <f t="shared" si="56"/>
        <v>0</v>
      </c>
      <c r="AA151" s="24">
        <f t="shared" si="57"/>
        <v>15.666666666666666</v>
      </c>
      <c r="BB151" t="e" cm="1">
        <f t="array" ref="BB151">_xlfn.LET(_xlpm.PartF,(_xlfn.LET(_xlpm.grade, Q151,_xlpm.gradeRange, IF(_xlpm.grade=SD!$H$3, A615GR60, IF(_xlpm.grade=SD!$H$4, A615GR75, IF(_xlpm.grade=SD!$H$5, A615GR80, IF(_xlpm.grade=SD!$H$6, A615GR100, IF(_xlpm.grade=SD!$H$7, A706GR60, IF(_xlpm.grade=SD!$H$8, A706GR80)))))),_xlpm.matchValue, MATCH(1, (SD!$AW:$AW=AS151)*(SD!$AX:$AX=SD!$C$8), 0),INDEX(_xlpm.gradeRange, _xlpm.matchValue))),IF(AM151="Spiral",CONCATENATE("SP",_xlpm.PartF),_xlpm.PartF))</f>
        <v>#N/A</v>
      </c>
      <c r="BC151" cm="1">
        <f t="array" ref="BC151">_xlfn.LET(_xlpm.leftPart, LEFT(O151, FIND("@", O151) - 2),_xlpm.grade,Q151,_xlpm.gradeRange,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1" cm="1">
        <f t="array" ref="BD151">_xlfn.LET(_xlpm.leftPart, LEFT(P151, FIND("@", P151) - 2),_xlpm.grade, Q151,_xlpm.gradeRange,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1">
        <f t="shared" si="58"/>
        <v>2.5</v>
      </c>
      <c r="BF151">
        <f>IF(SD!$C$32=SD!$I$2,BE151,IF(SD!$C$32=SD!$I$3,DO151,IF(SD!$C$32=SD!$I$5,BA151,IF(SD!$C$32=SD!$I$6,(LEFT(SD!$C$35,FIND("-",SD!$C$35)-1)+RIGHT(SD!$C$35,LEN(SD!$C$35)-FIND("-",SD!$C$35))/12),IF(SD!$C$32=SD!$I$4,(AU151-(BG151+BH151)))))))</f>
        <v>0</v>
      </c>
      <c r="BG151">
        <f>IF(SD!$C$33=SD!$I$2,BE151,IF(SD!$C$33=SD!$I$3,DO151,IF(SD!$C$33=SD!$I$5,BA151,IF(SD!$C$33=SD!$I$6,(LEFT(SD!$C$35,FIND("-",SD!$C$35)-1)+RIGHT(SD!$C$35,LEN(SD!$C$35)-FIND("-",SD!$C$35))/12),IF(SD!$C$33=SD!$I$4,(AU151-(BF151+BH151)))))))</f>
        <v>-1</v>
      </c>
      <c r="BH151">
        <f>IF(SD!$C$34=SD!$I$2,BE151,IF(SD!$C$34=SD!$I$3,DO151,IF(SD!$C$34=SD!$I$5,BA151,IF(SD!$C$34=SD!$I$6,(LEFT(SD!$C$35,FIND("-",SD!$C$35)-1)+RIGHT(SD!$C$35,LEN(SD!$C$35)-FIND("-",SD!$C$35))/12),IF(SD!$C$34=SD!$I$4,(AU151-(BF151+BG151)))))))</f>
        <v>1</v>
      </c>
      <c r="BJ151">
        <f>IF(AM151="Spiral","1",MAX(ROUNDUP(IF(SD!$C$32="",AT151,BF151/(LEFT(RIGHT(N151,LEN(N151)-FIND("@",N151)),LEN(RIGHT(N151,LEN(N151)-FIND("@",N151)))-1)/12)+1),0),0))</f>
        <v>1</v>
      </c>
      <c r="BK151">
        <f>MAX(ROUNDUP(IF(SD!$C$33="","",BG151/(LEFT(RIGHT(O151,LEN(O151)-FIND("@",O151)),LEN(RIGHT(O151,LEN(O151)-FIND("@",O151)))-1)/12)+1),0),0)</f>
        <v>0</v>
      </c>
      <c r="BL151">
        <f>MAX(ROUNDUP(IF(SD!$C$34="","",BH151/(LEFT(RIGHT(P151,LEN(P151)-FIND("@",P151)),LEN(RIGHT(P151,LEN(P151)-FIND("@",P151)))-1)/12)+1),0),0)</f>
        <v>3</v>
      </c>
      <c r="BN151" t="e">
        <f t="shared" si="59"/>
        <v>#N/A</v>
      </c>
      <c r="BO151" t="e">
        <f t="shared" si="60"/>
        <v>#N/A</v>
      </c>
      <c r="BP151" t="e">
        <f t="shared" si="61"/>
        <v>#N/A</v>
      </c>
      <c r="BQ151" s="24" t="e">
        <f>IF(AM151=TRUE,(((Y151-(SD!$E$12*2))*3.14159265359)+BN151+BO151+BP151)/12+AL151,SUM(AF151:AG151,BN151,BO151,BP151,AO151,AQ151)/12)</f>
        <v>#N/A</v>
      </c>
      <c r="BR151" t="e">
        <f t="shared" si="62"/>
        <v>#N/A</v>
      </c>
      <c r="BS151" t="e">
        <f t="shared" si="63"/>
        <v>#N/A</v>
      </c>
      <c r="BT151" t="e">
        <f t="shared" si="64"/>
        <v>#N/A</v>
      </c>
      <c r="BU151" s="24" t="e">
        <f>IF(AM151=TRUE,(((Y151-(SD!$E$12*2))*3.14159265359)+BR151+BS151+BT151)/12+AL151,SUM(AF151:AG151,BR151,BS151,BT151,AO151,AQ151)/12)</f>
        <v>#N/A</v>
      </c>
      <c r="BW151" t="str">
        <f>IFERROR(LEFT(Data!L151,FIND(" -",Data!L151)-1),"")</f>
        <v/>
      </c>
      <c r="BX151" t="str">
        <f>IFERROR(IF(SD!$C$40=SD!$U$2,W151,IF(SD!$C$40=SD!$U$3,RIGHT(Data!L151,LEN(Data!L151)-(FIND("-",Data!L151)+1)),SD!$C$40)),"")</f>
        <v>#10</v>
      </c>
      <c r="BY151" t="str" cm="1">
        <f t="array" ref="BY151">IFERROR(_xlfn.LET(_xlpm.GRR,IF(AND(SD!$C$19=SD!$H$2,Grade!$G$1="Per level"),VLOOKUP(B151,Grade!$E$1:$F$200,2,FALSE),IF(AND(SD!$C$19=SD!$H$2,Grade!$G$1="Per Bar Size"),VLOOKUP(BX151,Grade!$B$1:$C$12,2,0),SD!$C$19)),_xlpm.is_equal, A150=A151,_xlpm.grade_range, IF(_xlpm.GRR=SD!$H$3, A615GR60,IF(_xlpm.GRR=SD!$H$4, A615GR75,IF(_xlpm.GRR=SD!$H$5, A615GR80,IF(_xlpm.GRR=SD!H155, A615GR100,IF(_xlpm.GRR=SD!$H$7, A706GR60,IF(_xlpm.GRR=SD!$H$8, A706GR80)))))),_xlpm.match_result, MATCH(1, (BSize=BX151)*(BCName=SD!$C$8), 0),_xlpm.final_result, INDEX(_xlpm.grade_range, _xlpm.match_result),IF(_xlpm.is_equal, "", _xlpm.final_result)),"")</f>
        <v/>
      </c>
      <c r="BZ151" t="str">
        <f>IF(A150=A151,"",IF(SD!$C$41="Match Vertical Bars ",X151,IF(SD!$C$41=SD!$V$3,BW151,SD!$C$41)))</f>
        <v/>
      </c>
      <c r="CA151" t="str" cm="1">
        <f t="array" ref="CA151">IF(A150=A151,"",IF(SD!$C$44="No T-Head",IF(SD!$C$42=SD!$Q$3,VLOOKUP(BX151,S90Range,3,FALSE),LEFT(SD!$C$42,FIND("-",SD!$C$42)-1)+(RIGHT(SD!$C$42,LEN(SD!$C$42)-FIND("-",SD!$C$42))/12)),IF(SD!$C$44="T-Head",_xlfn._xlws.FILTER(THead,(TCName=SD!$C$8)*(TSize=BX151)),IF(SD!$C$44="Level Wise",_xlfn.LET(_xlpm.result,_xlfn.XLOOKUP(B151,VDLevel,VDLevelStatus,"No"),IF(_xlpm.result="Yes",_xlfn._xlws.FILTER(THead,(TCName=SD!$C$8)*(TSize=BX151)),IF(SD!$C$42=SD!$Q$3,VLOOKUP(BX151,S90Range,3,FALSE),LEFT(SD!$C$42,FIND("-",SD!$C$42)-1)+(RIGHT(SD!$C$42,LEN(SD!$C$42)-FIND("-", SD!$C$42))/12)))),IF(SD!$C$44="BarSize Wise",_xlfn.LET(_xlpm.result,_xlfn.XLOOKUP(BX151,VDBarSize,VDBarSizeStatus,"No"),IF(_xlpm.result="Yes",_xlfn._xlws.FILTER(THead,(TCName=SD!$C$8)*(TSize=BX151)),IF(SD!$C$42=SD!$Q$3,VLOOKUP(BX151,S90Range,3,FALSE),LEFT(SD!$C$42,FIND("-",SD!$C$42)-1)+(RIGHT(SD!$C$42,LEN(SD!$C$42)-FIND("-",SD!$C$42))/12)))), "")))))</f>
        <v/>
      </c>
      <c r="CB151" t="str" cm="1">
        <f t="array" ref="CB151">_xlfn.LET(_xlpm.GRR,IF(AND(SD!$C$19=SD!$H$2,Grade!$G$1="Per level"),VLOOKUP(B151,Grade!$E$1:$F$200,2,FALSE),IF(AND(SD!$C$19=SD!$H$2,Grade!$G$1="Per Bar Size"),VLOOKUP(BX151,Grade!$B$1:$C$12,2,0),SD!$C$19)),_xlpm.is_coupler, K151="Coupler",_xlpm.condition1, SD!$C$43=SD!$W$2,_xlpm.data_j2_empty, Data!$J151="",_xlpm.lookup_table, IF(SD!$C$11="Create", Lap!$A$3:$BF$14, IF(SD!$C$11="Per Uploaded File", Lap!$A$19:$BF$30, "")),_xlpm.row_match, MATCH(BX151, Lap!$A$3:$A$14, 0),_xlpm.grade_offset, IF(IFERROR(FIND("Grade 60",_xlpm.GRR), 0) &gt; 0, 0, IF(IFERROR(FIND("Grade 80",_xlpm.GRR), 0), 1, IF(IFERROR(FIND("Grade 75",_xlpm.GRR), 0), 2, ""))),_xlpm.col_match, MATCH(VALUE(D151), Lap!$A$3:$BF$3, 0) + _xlpm.grade_offset,_xlpm.index_result, IFERROR(INDEX(_xlpm.lookup_table, _xlpm.row_match, _xlpm.col_match), Data!$J151),_xlpm.result_if_condition1, IF(_xlpm.data_j2_empty, _xlpm.index_result, Data!$J151),IF(_xlpm.is_coupler, 0, IF(_xlpm.condition1, _xlpm.result_if_condition1, SD!$C$43)))</f>
        <v>5-1</v>
      </c>
      <c r="CC151" s="24">
        <f t="shared" si="65"/>
        <v>5.083333333333333</v>
      </c>
      <c r="CD151">
        <f t="shared" si="66"/>
        <v>5.75</v>
      </c>
      <c r="CE151" t="str" cm="1">
        <f t="array" ref="CE151">IF(BY151="","",_xlfn._xlws.FILTER(SAC,(CName=SD!$C$8)*(EName="Vert Dowels")))</f>
        <v/>
      </c>
      <c r="CF151" t="str" cm="1">
        <f t="array" ref="CF151">IFERROR(IF(BY151="","",IF(K151="Coupler",_xlfn._xlws.FILTER(CCoupler,(CCName=SD!$C$8)*(CBSize=IF(A150=A151,W150&amp;W151,BX151&amp;W151))*(CCMFM="Male")),"")),"N/A")</f>
        <v/>
      </c>
      <c r="CG151" t="str">
        <f t="shared" si="67"/>
        <v/>
      </c>
      <c r="CH151" t="str">
        <f t="shared" si="68"/>
        <v/>
      </c>
      <c r="CI151" t="str">
        <f>_xlfn.LET(_xlpm.u3_value, U152,_xlpm.hyphen_pos,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K152="Coupler",_xlpm.coupler_value, IF(_xlpm.is_coupler, 0, _xlpm.calculated_value),_xlpm.final_value, _xlpm.calculated_value + SD!$E$13 + _xlpm.coupler_value,IF(CG151="", "", _xlpm.final_value))</f>
        <v/>
      </c>
      <c r="CJ151" t="str" cm="1">
        <f t="array" ref="CJ151">IF(CG151="","",_xlfn._xlws.FILTER(SAC,(CName=SD!$C$8)*(EName="Loose Dowels")))</f>
        <v/>
      </c>
      <c r="CK151" t="str" cm="1">
        <f t="array" ref="CK151">IFERROR(IF(CG151="","",IF(K152="Coupler",_xlfn._xlws.FILTER(CCoupler,(CCName=SD!$C$8)*(CBSize=IF(A151=A152,W151&amp;W152,""))*(CCMFM="Male")),"")),"N/A")</f>
        <v/>
      </c>
      <c r="CL151" t="str">
        <f>IFERROR(IF(AM151="Spiral","",IF(A150=A151,"",IF(SD!$C$37=0,"",SD!$C$37))),"")</f>
        <v/>
      </c>
      <c r="CN151">
        <f>IF(AM151="Spiral","",IFERROR(IF(SD!$C$36=0,"",SD!$C$36),""))</f>
        <v>5</v>
      </c>
      <c r="CP151" t="str">
        <f>IFERROR(IF(SD!$C$42=SD!$Q$3,'Take-off'!CA151,""),"")</f>
        <v/>
      </c>
      <c r="CR151">
        <f>IFERROR(IF(SD!$C$22=SD!$U$2,W151,SD!$C$22),"")</f>
        <v>0</v>
      </c>
      <c r="CS151" t="str" cm="1">
        <f t="array" ref="CS151">_xlfn.LET(_xlpm.GR,IF(AND(SD!$C$19=SD!$H$2,Grade!$G$1="Per level"),VLOOKUP(B151,Grade!$E$1:$F$200,2,FALSE),IF(AND(SD!$C$19=SD!$H$2,Grade!$G$1="Per Bar Size"),VLOOKUP(CR151,Grade!$B$1:$C$12,2,0),SD!$C$19)),IF(SD!$C$20=SD!$R$4,IF(A152=A151,"",INDEX(IF(_xlpm.GR=SD!$H$3,A615GR60,IF(_xlpm.GR=SD!$H$4,A615GR75,IF(_xlpm.GR=SD!$H$5,A615GR80,IF(_xlpm.GR=SD!H155,A615GR100,IF(_xlpm.GR=SD!$H$7,A706GR60,IF(_xlpm.GR=SD!$H$8,A706GR80)))))), MATCH(1, (BSize=CR151)*(BCName=SD!$C$8), 0))),""))</f>
        <v/>
      </c>
      <c r="CT151" t="str">
        <f>IF(A152=A151,"",IF(SD!$C$23="Match Vertical Bars ",X151,SD!$C$23))</f>
        <v/>
      </c>
      <c r="CU151" t="str" cm="1">
        <f t="array" ref="CU151">IF(A152=A151,"",IF(SD!$C$20="Top dowels",IF(SD!$E$25="No T-Head",IF(SD!$C$24=SD!$Q$3,VLOOKUP(CR151,S90Range,3,FALSE),LEFT(SD!$C$24,FIND("-",SD!$C$24)-1)+(RIGHT(SD!$C$24,LEN(SD!$C$24)-FIND("-",SD!$C$24))/12)),IF(SD!$E$25="T-Head",_xlfn._xlws.FILTER(THead,(TCName=SD!$C$8)*(TSize=CR151)),IF(SD!$E$25="Level Wise",_xlfn.LET(_xlpm.result,_xlfn.XLOOKUP(B151,TDLevel,TDLevelStatus,"No"),IF(_xlpm.result="Yes",_xlfn._xlws.FILTER(THead,(TCName=SD!$C$8)*(TSize=CR151)),IF(SD!$C$24=SD!$Q$3,VLOOKUP(CR151,S90Range,3,FALSE),LEFT(SD!$C$24,FIND("-",SD!$C$24)-1)+(RIGHT(SD!$C$24,LEN(SD!$C$24)-FIND("-", SD!$C$24))/12)))),IF(SD!$E$25="BarSize Wise",_xlfn.LET(_xlpm.result,_xlfn.XLOOKUP(CR151,TDBarSize,TDBarSizeStatus,"No"),IF(_xlpm.result="Yes",_xlfn._xlws.FILTER(THead,(TCName=SD!$C$8)*(TSize=CR151)),IF(SD!$C$24=SD!$Q$3,VLOOKUP(CR151,S90Range,3,FALSE),LEFT(SD!$C$24,FIND("-",SD!$C$24)-1)+(RIGHT(SD!$C$24,LEN(SD!$C$24)-FIND("-",SD!$C$24))/12)))), "")))),""))</f>
        <v/>
      </c>
      <c r="CV151" t="str">
        <f>_xlfn.LET(_xlpm.GRR,IF(AND(SD!$C$19=SD!$H$2,Grade!$G$1="Per level"),VLOOKUP(B151,Grade!$E$1:$F$200,2,FALSE),IF(AND(SD!$C$19=SD!$H$2,Grade!$G$1="Per Bar Size"),VLOOKUP(CR151,Grade!$B$1:$C$12,2,0),SD!$C$19)),IF(SD!$C$25=SD!$W$2,IF(Data!$J151="",IFERROR(INDEX(IF(SD!$C$11="Create",Lap!$A$3:$BF$14,IF(SD!$C$11="Per Uploaded File",Lap!$A$19:$BF$30,"")),MATCH(CR151,Lap!$A$3:$A$14,0),MATCH(VALUE(D151),Lap!$A$3:$BF$3,0)+IF(IFERROR(FIND("Grade 60",_xlpm.GRR),0)&gt;0,0,IF(IFERROR(FIND("Grade 80",_xlpm.GRR),0),1,IF(IFERROR(FIND("Grade 75",_xlpm.GRR),0),2,"")))),""),Data!J151),SD!$C$43))</f>
        <v>Match Lap</v>
      </c>
      <c r="CW151">
        <f t="shared" si="69"/>
        <v>0</v>
      </c>
      <c r="CX151">
        <f t="shared" si="70"/>
        <v>0</v>
      </c>
      <c r="CY151" t="str">
        <f t="shared" si="71"/>
        <v/>
      </c>
      <c r="DA151" t="str">
        <f t="shared" si="72"/>
        <v/>
      </c>
      <c r="DB151" t="str">
        <f t="shared" si="73"/>
        <v/>
      </c>
      <c r="DC151" s="24" t="str">
        <f t="shared" si="74"/>
        <v/>
      </c>
      <c r="DD151">
        <f t="shared" si="75"/>
        <v>10.583333333333334</v>
      </c>
      <c r="DE151" t="s">
        <v>785</v>
      </c>
      <c r="DF151" t="s">
        <v>67</v>
      </c>
      <c r="DG151" t="str">
        <f>VLOOKUP(W151,'Level Wise PSI'!$F$2:$G$12,2,FALSE)</f>
        <v>Double Lift</v>
      </c>
      <c r="DI151" t="str" cm="1">
        <f t="array" ref="DI151">_xlfn.LET(_xlpm.Coup,IFERROR(IF(BY151="","",IF(K151="Coupler",_xlfn._xlws.FILTER(CCFCoupler,(CCName=SD!$C$8)*(CBSize=IF(A150=A151,W150&amp;W151,BX151&amp;W151))),"")),"N/A"),IF(_xlpm.Coup=0,"",_xlpm.Coup))</f>
        <v/>
      </c>
      <c r="DJ151" t="str" cm="1">
        <f t="array" ref="DJ151">_xlfn.LET(_xlpm.Coup3,IFERROR(IF(CG151="","",IF(K152="Coupler",_xlfn._xlws.FILTER(CCFCoupler,(CCName=SD!$C$8)*(CBSize=IF(A151=A152,W151&amp;W152,""))),"")),"N/A"),IF(_xlpm.Coup3=0,"",_xlpm.Coup3))</f>
        <v/>
      </c>
      <c r="DK151" t="str" cm="1">
        <f t="array" ref="DK151">_xlfn.LET(_xlpm.Coup2,IFERROR(IF(A151&lt;&gt;A152,"",IF(DF151="No Lap","",IF(K152="Coupler",_xlfn._xlws.FILTER(CCFCoupler,(CCName=SD!$C$8)*(CBSize=IF(A150=A151,W151&amp;W152,W151&amp;W151))),""))),"N/A"),IF(_xlpm.Coup2=0,"",_xlpm.Coup2))</f>
        <v/>
      </c>
      <c r="DM151" t="str">
        <f>IF(AM151="Spiral","",IF(SD!$C$31=SD!$Y$3,SD!$E$32*2,""))</f>
        <v/>
      </c>
      <c r="DO151" s="24">
        <f t="shared" si="76"/>
        <v>2.5</v>
      </c>
      <c r="DQ151" t="str">
        <f t="shared" si="77"/>
        <v>Lig</v>
      </c>
      <c r="DR151" t="str">
        <f>IF(AM151="Spiral",((Y151-(SD!$E$12*2))/12),"")</f>
        <v/>
      </c>
      <c r="DS151" t="str">
        <f t="shared" si="78"/>
        <v/>
      </c>
      <c r="DT151" t="str">
        <f t="shared" si="79"/>
        <v/>
      </c>
      <c r="DU151" t="str">
        <f t="shared" si="80"/>
        <v/>
      </c>
    </row>
    <row r="152" spans="1:125" x14ac:dyDescent="0.25">
      <c r="A152">
        <v>47</v>
      </c>
      <c r="B152" t="s">
        <v>688</v>
      </c>
      <c r="C152" s="15">
        <v>2429</v>
      </c>
      <c r="D152" s="15">
        <v>10000</v>
      </c>
      <c r="E152" t="str">
        <f>IF(B152=Level!$A$2,SD!$C$14,SD!$C$13)</f>
        <v>0-8</v>
      </c>
      <c r="F152" s="15" t="s">
        <v>787</v>
      </c>
      <c r="G152" t="s">
        <v>742</v>
      </c>
      <c r="H152" t="str">
        <f>RIGHT(VLOOKUP(B152,Level!A:C,3,FALSE),LEN(VLOOKUP(B152,Level!A:C,3,FALSE))-1)</f>
        <v>10-7</v>
      </c>
      <c r="I152" t="s">
        <v>744</v>
      </c>
      <c r="J152" t="str">
        <f>IF(AND(SD!$C$19=SD!$H$2,Grade!$G$1="Per level"),VLOOKUP(B152,Grade!$E$1:$F$200,2,FALSE),IF(AND(SD!$C$19=SD!$H$2,Grade!$G$1="Per Bar Size"),VLOOKUP(W152,Grade!$B$1:$C$12,2,0),SD!$C$19))</f>
        <v>A615 Grade 60</v>
      </c>
      <c r="K152" t="s">
        <v>67</v>
      </c>
      <c r="L152" t="str">
        <f>IFERROR(IF(A152&lt;&gt;A153,"",IF(DF152="No Lap","",IF(K153="Lap",U152,IF(K153="Coupler",_xlfn._xlws.FILTER(CCoupler,(CCName=SD!$C$8)*(CBSize=IF(A151=A152,W152&amp;W153,W152&amp;W152))*(CCMFM="Male")),"")))),"N/A")</f>
        <v/>
      </c>
      <c r="M152" t="str">
        <f t="shared" si="54"/>
        <v/>
      </c>
      <c r="N152" t="s">
        <v>719</v>
      </c>
      <c r="O152" t="s">
        <v>720</v>
      </c>
      <c r="P152" t="s">
        <v>719</v>
      </c>
      <c r="Q152" t="str">
        <f>IF(AND(SD!$C$29=SD!$P$2,Grade!$O$1="Per level"),VLOOKUP(B152,Grade!$M$1:$N$200,2,FALSE),IF(AND(SD!$C$29=SD!$P$2,Grade!$O$1="Per Bar Size"),VLOOKUP(LEFT(N152,FIND("@",N152)-2),Grade!$J$1:$K$12,2,0),SD!$C$29))</f>
        <v>A615 Grade 60</v>
      </c>
      <c r="R152" t="s">
        <v>742</v>
      </c>
      <c r="S152" s="57">
        <v>152</v>
      </c>
      <c r="U152" t="str">
        <f>IF(Data!$J152="",IFERROR(INDEX(IF(SD!$C$11="Create",Lap!$A$3:$BF$14,IF(SD!$C$11="Per Uploaded File",Lap!$A$19:$BF$30,"")),MATCH(W152,Lap!$A$3:$A$14,0),MATCH(VALUE(D152),Lap!$A$3:$BF$3,0)+IF(IFERROR(FIND("Grade 60",J152),0)&gt;0,0,IF(IFERROR(FIND("Grade 80",J152),0),1,IF(IFERROR(FIND("Grade 75",J152),0),2,"")))),""),Data!J152)</f>
        <v>4-0</v>
      </c>
      <c r="W152" t="s">
        <v>151</v>
      </c>
      <c r="X152">
        <v>10</v>
      </c>
      <c r="Y152" t="str">
        <f t="shared" si="55"/>
        <v>30</v>
      </c>
      <c r="Z152">
        <f t="shared" si="56"/>
        <v>0</v>
      </c>
      <c r="AA152" s="24">
        <f t="shared" si="57"/>
        <v>10.583333333333334</v>
      </c>
      <c r="BB152" t="e" cm="1">
        <f t="array" ref="BB152">_xlfn.LET(_xlpm.PartF,(_xlfn.LET(_xlpm.grade, Q152,_xlpm.gradeRange, IF(_xlpm.grade=SD!$H$3, A615GR60, IF(_xlpm.grade=SD!$H$4, A615GR75, IF(_xlpm.grade=SD!$H$5, A615GR80, IF(_xlpm.grade=SD!$H$6, A615GR100, IF(_xlpm.grade=SD!$H$7, A706GR60, IF(_xlpm.grade=SD!$H$8, A706GR80)))))),_xlpm.matchValue, MATCH(1, (SD!$AW:$AW=AS152)*(SD!$AX:$AX=SD!$C$8), 0),INDEX(_xlpm.gradeRange, _xlpm.matchValue))),IF(AM152="Spiral",CONCATENATE("SP",_xlpm.PartF),_xlpm.PartF))</f>
        <v>#N/A</v>
      </c>
      <c r="BC152" cm="1">
        <f t="array" ref="BC152">_xlfn.LET(_xlpm.leftPart, LEFT(O152, FIND("@", O152) - 2),_xlpm.grade,Q152,_xlpm.gradeRange,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2" cm="1">
        <f t="array" ref="BD152">_xlfn.LET(_xlpm.leftPart, LEFT(P152, FIND("@", P152) - 2),_xlpm.grade, Q152,_xlpm.gradeRange,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2">
        <f t="shared" si="58"/>
        <v>2.5</v>
      </c>
      <c r="BF152">
        <f>IF(SD!$C$32=SD!$I$2,BE152,IF(SD!$C$32=SD!$I$3,DO152,IF(SD!$C$32=SD!$I$5,BA152,IF(SD!$C$32=SD!$I$6,(LEFT(SD!$C$35,FIND("-",SD!$C$35)-1)+RIGHT(SD!$C$35,LEN(SD!$C$35)-FIND("-",SD!$C$35))/12),IF(SD!$C$32=SD!$I$4,(AU152-(BG152+BH152)))))))</f>
        <v>0</v>
      </c>
      <c r="BG152">
        <f>IF(SD!$C$33=SD!$I$2,BE152,IF(SD!$C$33=SD!$I$3,DO152,IF(SD!$C$33=SD!$I$5,BA152,IF(SD!$C$33=SD!$I$6,(LEFT(SD!$C$35,FIND("-",SD!$C$35)-1)+RIGHT(SD!$C$35,LEN(SD!$C$35)-FIND("-",SD!$C$35))/12),IF(SD!$C$33=SD!$I$4,(AU152-(BF152+BH152)))))))</f>
        <v>-1</v>
      </c>
      <c r="BH152">
        <f>IF(SD!$C$34=SD!$I$2,BE152,IF(SD!$C$34=SD!$I$3,DO152,IF(SD!$C$34=SD!$I$5,BA152,IF(SD!$C$34=SD!$I$6,(LEFT(SD!$C$35,FIND("-",SD!$C$35)-1)+RIGHT(SD!$C$35,LEN(SD!$C$35)-FIND("-",SD!$C$35))/12),IF(SD!$C$34=SD!$I$4,(AU152-(BF152+BG152)))))))</f>
        <v>1</v>
      </c>
      <c r="BJ152">
        <f>IF(AM152="Spiral","1",MAX(ROUNDUP(IF(SD!$C$32="",AT152,BF152/(LEFT(RIGHT(N152,LEN(N152)-FIND("@",N152)),LEN(RIGHT(N152,LEN(N152)-FIND("@",N152)))-1)/12)+1),0),0))</f>
        <v>1</v>
      </c>
      <c r="BK152">
        <f>MAX(ROUNDUP(IF(SD!$C$33="","",BG152/(LEFT(RIGHT(O152,LEN(O152)-FIND("@",O152)),LEN(RIGHT(O152,LEN(O152)-FIND("@",O152)))-1)/12)+1),0),0)</f>
        <v>0</v>
      </c>
      <c r="BL152">
        <f>MAX(ROUNDUP(IF(SD!$C$34="","",BH152/(LEFT(RIGHT(P152,LEN(P152)-FIND("@",P152)),LEN(RIGHT(P152,LEN(P152)-FIND("@",P152)))-1)/12)+1),0),0)</f>
        <v>3</v>
      </c>
      <c r="BN152" t="e">
        <f t="shared" si="59"/>
        <v>#N/A</v>
      </c>
      <c r="BO152" t="e">
        <f t="shared" si="60"/>
        <v>#N/A</v>
      </c>
      <c r="BP152" t="e">
        <f t="shared" si="61"/>
        <v>#N/A</v>
      </c>
      <c r="BQ152" s="24" t="e">
        <f>IF(AM152=TRUE,(((Y152-(SD!$E$12*2))*3.14159265359)+BN152+BO152+BP152)/12+AL152,SUM(AF152:AG152,BN152,BO152,BP152,AO152,AQ152)/12)</f>
        <v>#N/A</v>
      </c>
      <c r="BR152" t="e">
        <f t="shared" si="62"/>
        <v>#N/A</v>
      </c>
      <c r="BS152" t="e">
        <f t="shared" si="63"/>
        <v>#N/A</v>
      </c>
      <c r="BT152" t="e">
        <f t="shared" si="64"/>
        <v>#N/A</v>
      </c>
      <c r="BU152" s="24" t="e">
        <f>IF(AM152=TRUE,(((Y152-(SD!$E$12*2))*3.14159265359)+BR152+BS152+BT152)/12+AL152,SUM(AF152:AG152,BR152,BS152,BT152,AO152,AQ152)/12)</f>
        <v>#N/A</v>
      </c>
      <c r="BW152" t="str">
        <f>IFERROR(LEFT(Data!L152,FIND(" -",Data!L152)-1),"")</f>
        <v/>
      </c>
      <c r="BX152" t="str">
        <f>IFERROR(IF(SD!$C$40=SD!$U$2,W152,IF(SD!$C$40=SD!$U$3,RIGHT(Data!L152,LEN(Data!L152)-(FIND("-",Data!L152)+1)),SD!$C$40)),"")</f>
        <v>#8</v>
      </c>
      <c r="BY152" t="str" cm="1">
        <f t="array" ref="BY152">IFERROR(_xlfn.LET(_xlpm.GRR,IF(AND(SD!$C$19=SD!$H$2,Grade!$G$1="Per level"),VLOOKUP(B152,Grade!$E$1:$F$200,2,FALSE),IF(AND(SD!$C$19=SD!$H$2,Grade!$G$1="Per Bar Size"),VLOOKUP(BX152,Grade!$B$1:$C$12,2,0),SD!$C$19)),_xlpm.is_equal, A151=A152,_xlpm.grade_range, IF(_xlpm.GRR=SD!$H$3, A615GR60,IF(_xlpm.GRR=SD!$H$4, A615GR75,IF(_xlpm.GRR=SD!$H$5, A615GR80,IF(_xlpm.GRR=SD!H156, A615GR100,IF(_xlpm.GRR=SD!$H$7, A706GR60,IF(_xlpm.GRR=SD!$H$8, A706GR80)))))),_xlpm.match_result, MATCH(1, (BSize=BX152)*(BCName=SD!$C$8), 0),_xlpm.final_result, INDEX(_xlpm.grade_range, _xlpm.match_result),IF(_xlpm.is_equal, "", _xlpm.final_result)),"")</f>
        <v/>
      </c>
      <c r="BZ152" t="str">
        <f>IF(A151=A152,"",IF(SD!$C$41="Match Vertical Bars ",X152,IF(SD!$C$41=SD!$V$3,BW152,SD!$C$41)))</f>
        <v/>
      </c>
      <c r="CA152" t="str" cm="1">
        <f t="array" ref="CA152">IF(A151=A152,"",IF(SD!$C$44="No T-Head",IF(SD!$C$42=SD!$Q$3,VLOOKUP(BX152,S90Range,3,FALSE),LEFT(SD!$C$42,FIND("-",SD!$C$42)-1)+(RIGHT(SD!$C$42,LEN(SD!$C$42)-FIND("-",SD!$C$42))/12)),IF(SD!$C$44="T-Head",_xlfn._xlws.FILTER(THead,(TCName=SD!$C$8)*(TSize=BX152)),IF(SD!$C$44="Level Wise",_xlfn.LET(_xlpm.result,_xlfn.XLOOKUP(B152,VDLevel,VDLevelStatus,"No"),IF(_xlpm.result="Yes",_xlfn._xlws.FILTER(THead,(TCName=SD!$C$8)*(TSize=BX152)),IF(SD!$C$42=SD!$Q$3,VLOOKUP(BX152,S90Range,3,FALSE),LEFT(SD!$C$42,FIND("-",SD!$C$42)-1)+(RIGHT(SD!$C$42,LEN(SD!$C$42)-FIND("-", SD!$C$42))/12)))),IF(SD!$C$44="BarSize Wise",_xlfn.LET(_xlpm.result,_xlfn.XLOOKUP(BX152,VDBarSize,VDBarSizeStatus,"No"),IF(_xlpm.result="Yes",_xlfn._xlws.FILTER(THead,(TCName=SD!$C$8)*(TSize=BX152)),IF(SD!$C$42=SD!$Q$3,VLOOKUP(BX152,S90Range,3,FALSE),LEFT(SD!$C$42,FIND("-",SD!$C$42)-1)+(RIGHT(SD!$C$42,LEN(SD!$C$42)-FIND("-",SD!$C$42))/12)))), "")))))</f>
        <v/>
      </c>
      <c r="CB152" t="str" cm="1">
        <f t="array" ref="CB152">_xlfn.LET(_xlpm.GRR,IF(AND(SD!$C$19=SD!$H$2,Grade!$G$1="Per level"),VLOOKUP(B152,Grade!$E$1:$F$200,2,FALSE),IF(AND(SD!$C$19=SD!$H$2,Grade!$G$1="Per Bar Size"),VLOOKUP(BX152,Grade!$B$1:$C$12,2,0),SD!$C$19)),_xlpm.is_coupler, K152="Coupler",_xlpm.condition1, SD!$C$43=SD!$W$2,_xlpm.data_j2_empty, Data!$J152="",_xlpm.lookup_table, IF(SD!$C$11="Create", Lap!$A$3:$BF$14, IF(SD!$C$11="Per Uploaded File", Lap!$A$19:$BF$30, "")),_xlpm.row_match, MATCH(BX152, Lap!$A$3:$A$14, 0),_xlpm.grade_offset, IF(IFERROR(FIND("Grade 60",_xlpm.GRR), 0) &gt; 0, 0, IF(IFERROR(FIND("Grade 80",_xlpm.GRR), 0), 1, IF(IFERROR(FIND("Grade 75",_xlpm.GRR), 0), 2, ""))),_xlpm.col_match, MATCH(VALUE(D152), Lap!$A$3:$BF$3, 0) + _xlpm.grade_offset,_xlpm.index_result, IFERROR(INDEX(_xlpm.lookup_table, _xlpm.row_match, _xlpm.col_match), Data!$J152),_xlpm.result_if_condition1, IF(_xlpm.data_j2_empty, _xlpm.index_result, Data!$J152),IF(_xlpm.is_coupler, 0, IF(_xlpm.condition1, _xlpm.result_if_condition1, SD!$C$43)))</f>
        <v>4-0</v>
      </c>
      <c r="CC152" s="24">
        <f t="shared" si="65"/>
        <v>4</v>
      </c>
      <c r="CD152">
        <f t="shared" si="66"/>
        <v>4.666666666666667</v>
      </c>
      <c r="CE152" t="str" cm="1">
        <f t="array" ref="CE152">IF(BY152="","",_xlfn._xlws.FILTER(SAC,(CName=SD!$C$8)*(EName="Vert Dowels")))</f>
        <v/>
      </c>
      <c r="CF152" t="str" cm="1">
        <f t="array" ref="CF152">IFERROR(IF(BY152="","",IF(K152="Coupler",_xlfn._xlws.FILTER(CCoupler,(CCName=SD!$C$8)*(CBSize=IF(A151=A152,W151&amp;W152,BX152&amp;W152))*(CCMFM="Male")),"")),"N/A")</f>
        <v/>
      </c>
      <c r="CG152" t="str">
        <f t="shared" si="67"/>
        <v/>
      </c>
      <c r="CH152" t="str">
        <f t="shared" si="68"/>
        <v/>
      </c>
      <c r="CI152" t="str">
        <f>_xlfn.LET(_xlpm.u3_value, U153,_xlpm.hyphen_pos,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K153="Coupler",_xlpm.coupler_value, IF(_xlpm.is_coupler, 0, _xlpm.calculated_value),_xlpm.final_value, _xlpm.calculated_value + SD!$E$13 + _xlpm.coupler_value,IF(CG152="", "", _xlpm.final_value))</f>
        <v/>
      </c>
      <c r="CJ152" t="str" cm="1">
        <f t="array" ref="CJ152">IF(CG152="","",_xlfn._xlws.FILTER(SAC,(CName=SD!$C$8)*(EName="Loose Dowels")))</f>
        <v/>
      </c>
      <c r="CK152" t="str" cm="1">
        <f t="array" ref="CK152">IFERROR(IF(CG152="","",IF(K153="Coupler",_xlfn._xlws.FILTER(CCoupler,(CCName=SD!$C$8)*(CBSize=IF(A152=A153,W152&amp;W153,""))*(CCMFM="Male")),"")),"N/A")</f>
        <v/>
      </c>
      <c r="CL152" t="str">
        <f>IFERROR(IF(AM152="Spiral","",IF(A151=A152,"",IF(SD!$C$37=0,"",SD!$C$37))),"")</f>
        <v/>
      </c>
      <c r="CN152">
        <f>IF(AM152="Spiral","",IFERROR(IF(SD!$C$36=0,"",SD!$C$36),""))</f>
        <v>5</v>
      </c>
      <c r="CP152" t="str">
        <f>IFERROR(IF(SD!$C$42=SD!$Q$3,'Take-off'!CA152,""),"")</f>
        <v/>
      </c>
      <c r="CR152">
        <f>IFERROR(IF(SD!$C$22=SD!$U$2,W152,SD!$C$22),"")</f>
        <v>0</v>
      </c>
      <c r="CS152" t="str" cm="1">
        <f t="array" ref="CS152">_xlfn.LET(_xlpm.GR,IF(AND(SD!$C$19=SD!$H$2,Grade!$G$1="Per level"),VLOOKUP(B152,Grade!$E$1:$F$200,2,FALSE),IF(AND(SD!$C$19=SD!$H$2,Grade!$G$1="Per Bar Size"),VLOOKUP(CR152,Grade!$B$1:$C$12,2,0),SD!$C$19)),IF(SD!$C$20=SD!$R$4,IF(A153=A152,"",INDEX(IF(_xlpm.GR=SD!$H$3,A615GR60,IF(_xlpm.GR=SD!$H$4,A615GR75,IF(_xlpm.GR=SD!$H$5,A615GR80,IF(_xlpm.GR=SD!H156,A615GR100,IF(_xlpm.GR=SD!$H$7,A706GR60,IF(_xlpm.GR=SD!$H$8,A706GR80)))))), MATCH(1, (BSize=CR152)*(BCName=SD!$C$8), 0))),""))</f>
        <v/>
      </c>
      <c r="CT152">
        <f>IF(A153=A152,"",IF(SD!$C$23="Match Vertical Bars ",X152,SD!$C$23))</f>
        <v>0</v>
      </c>
      <c r="CU152" t="str" cm="1">
        <f t="array" ref="CU152">IF(A153=A152,"",IF(SD!$C$20="Top dowels",IF(SD!$E$25="No T-Head",IF(SD!$C$24=SD!$Q$3,VLOOKUP(CR152,S90Range,3,FALSE),LEFT(SD!$C$24,FIND("-",SD!$C$24)-1)+(RIGHT(SD!$C$24,LEN(SD!$C$24)-FIND("-",SD!$C$24))/12)),IF(SD!$E$25="T-Head",_xlfn._xlws.FILTER(THead,(TCName=SD!$C$8)*(TSize=CR152)),IF(SD!$E$25="Level Wise",_xlfn.LET(_xlpm.result,_xlfn.XLOOKUP(B152,TDLevel,TDLevelStatus,"No"),IF(_xlpm.result="Yes",_xlfn._xlws.FILTER(THead,(TCName=SD!$C$8)*(TSize=CR152)),IF(SD!$C$24=SD!$Q$3,VLOOKUP(CR152,S90Range,3,FALSE),LEFT(SD!$C$24,FIND("-",SD!$C$24)-1)+(RIGHT(SD!$C$24,LEN(SD!$C$24)-FIND("-", SD!$C$24))/12)))),IF(SD!$E$25="BarSize Wise",_xlfn.LET(_xlpm.result,_xlfn.XLOOKUP(CR152,TDBarSize,TDBarSizeStatus,"No"),IF(_xlpm.result="Yes",_xlfn._xlws.FILTER(THead,(TCName=SD!$C$8)*(TSize=CR152)),IF(SD!$C$24=SD!$Q$3,VLOOKUP(CR152,S90Range,3,FALSE),LEFT(SD!$C$24,FIND("-",SD!$C$24)-1)+(RIGHT(SD!$C$24,LEN(SD!$C$24)-FIND("-",SD!$C$24))/12)))), "")))),""))</f>
        <v/>
      </c>
      <c r="CV152" t="str">
        <f>_xlfn.LET(_xlpm.GRR,IF(AND(SD!$C$19=SD!$H$2,Grade!$G$1="Per level"),VLOOKUP(B152,Grade!$E$1:$F$200,2,FALSE),IF(AND(SD!$C$19=SD!$H$2,Grade!$G$1="Per Bar Size"),VLOOKUP(CR152,Grade!$B$1:$C$12,2,0),SD!$C$19)),IF(SD!$C$25=SD!$W$2,IF(Data!$J152="",IFERROR(INDEX(IF(SD!$C$11="Create",Lap!$A$3:$BF$14,IF(SD!$C$11="Per Uploaded File",Lap!$A$19:$BF$30,"")),MATCH(CR152,Lap!$A$3:$A$14,0),MATCH(VALUE(D152),Lap!$A$3:$BF$3,0)+IF(IFERROR(FIND("Grade 60",_xlpm.GRR),0)&gt;0,0,IF(IFERROR(FIND("Grade 80",_xlpm.GRR),0),1,IF(IFERROR(FIND("Grade 75",_xlpm.GRR),0),2,"")))),""),Data!J152),SD!$C$43))</f>
        <v>Match Lap</v>
      </c>
      <c r="CW152">
        <f t="shared" si="69"/>
        <v>0</v>
      </c>
      <c r="CX152">
        <f t="shared" si="70"/>
        <v>0</v>
      </c>
      <c r="CY152" t="str">
        <f t="shared" si="71"/>
        <v/>
      </c>
      <c r="DA152" t="str">
        <f t="shared" si="72"/>
        <v/>
      </c>
      <c r="DB152" t="str">
        <f t="shared" si="73"/>
        <v/>
      </c>
      <c r="DC152" s="24" t="str">
        <f t="shared" si="74"/>
        <v/>
      </c>
      <c r="DD152">
        <f t="shared" si="75"/>
        <v>10.583333333333334</v>
      </c>
      <c r="DE152" t="s">
        <v>785</v>
      </c>
      <c r="DF152" t="s">
        <v>67</v>
      </c>
      <c r="DG152" t="str">
        <f>VLOOKUP(W152,'Level Wise PSI'!$F$2:$G$12,2,FALSE)</f>
        <v>Double Lift</v>
      </c>
      <c r="DI152" t="str" cm="1">
        <f t="array" ref="DI152">_xlfn.LET(_xlpm.Coup,IFERROR(IF(BY152="","",IF(K152="Coupler",_xlfn._xlws.FILTER(CCFCoupler,(CCName=SD!$C$8)*(CBSize=IF(A151=A152,W151&amp;W152,BX152&amp;W152))),"")),"N/A"),IF(_xlpm.Coup=0,"",_xlpm.Coup))</f>
        <v/>
      </c>
      <c r="DJ152" t="str" cm="1">
        <f t="array" ref="DJ152">_xlfn.LET(_xlpm.Coup3,IFERROR(IF(CG152="","",IF(K153="Coupler",_xlfn._xlws.FILTER(CCFCoupler,(CCName=SD!$C$8)*(CBSize=IF(A152=A153,W152&amp;W153,""))),"")),"N/A"),IF(_xlpm.Coup3=0,"",_xlpm.Coup3))</f>
        <v/>
      </c>
      <c r="DK152" t="str" cm="1">
        <f t="array" ref="DK152">_xlfn.LET(_xlpm.Coup2,IFERROR(IF(A152&lt;&gt;A153,"",IF(DF152="No Lap","",IF(K153="Coupler",_xlfn._xlws.FILTER(CCFCoupler,(CCName=SD!$C$8)*(CBSize=IF(A151=A152,W152&amp;W153,W152&amp;W152))),""))),"N/A"),IF(_xlpm.Coup2=0,"",_xlpm.Coup2))</f>
        <v/>
      </c>
      <c r="DM152" t="str">
        <f>IF(AM152="Spiral","",IF(SD!$C$31=SD!$Y$3,SD!$E$32*2,""))</f>
        <v/>
      </c>
      <c r="DO152" s="24">
        <f t="shared" si="76"/>
        <v>2.5</v>
      </c>
      <c r="DQ152" t="str">
        <f t="shared" si="77"/>
        <v>Lig</v>
      </c>
      <c r="DR152" t="str">
        <f>IF(AM152="Spiral",((Y152-(SD!$E$12*2))/12),"")</f>
        <v/>
      </c>
      <c r="DS152" t="str">
        <f t="shared" si="78"/>
        <v/>
      </c>
      <c r="DT152" t="str">
        <f t="shared" si="79"/>
        <v/>
      </c>
      <c r="DU152" t="str">
        <f t="shared" si="80"/>
        <v/>
      </c>
    </row>
    <row r="153" spans="1:125" x14ac:dyDescent="0.25">
      <c r="A153">
        <v>48</v>
      </c>
      <c r="B153" t="s">
        <v>664</v>
      </c>
      <c r="C153" s="15">
        <v>2429</v>
      </c>
      <c r="D153" s="15">
        <v>10000</v>
      </c>
      <c r="E153" s="15" t="s">
        <v>792</v>
      </c>
      <c r="F153" s="15" t="s">
        <v>787</v>
      </c>
      <c r="G153" t="s">
        <v>754</v>
      </c>
      <c r="H153" s="15" t="s">
        <v>789</v>
      </c>
      <c r="I153" t="s">
        <v>751</v>
      </c>
      <c r="J153" t="str">
        <f>IF(AND(SD!$C$19=SD!$H$2,Grade!$G$1="Per level"),VLOOKUP(B153,Grade!$E$1:$F$200,2,FALSE),IF(AND(SD!$C$19=SD!$H$2,Grade!$G$1="Per Bar Size"),VLOOKUP(W153,Grade!$B$1:$C$12,2,0),SD!$C$19))</f>
        <v>A615 Grade 60</v>
      </c>
      <c r="K153" t="s">
        <v>67</v>
      </c>
      <c r="L153" t="str">
        <f>IFERROR(IF(A153&lt;&gt;A154,"",IF(DF153="No Lap","",IF(K154="Lap",U153,IF(K154="Coupler",_xlfn._xlws.FILTER(CCoupler,(CCName=SD!$C$8)*(CBSize=IF(A152=A153,W153&amp;W154,W153&amp;W153))*(CCMFM="Male")),"")))),"N/A")</f>
        <v>5-1</v>
      </c>
      <c r="M153" t="str">
        <f t="shared" si="54"/>
        <v>5 - #10</v>
      </c>
      <c r="N153" t="s">
        <v>719</v>
      </c>
      <c r="O153" t="s">
        <v>720</v>
      </c>
      <c r="P153" t="s">
        <v>719</v>
      </c>
      <c r="Q153" t="str">
        <f>IF(AND(SD!$C$29=SD!$P$2,Grade!$O$1="Per level"),VLOOKUP(B153,Grade!$M$1:$N$200,2,FALSE),IF(AND(SD!$C$29=SD!$P$2,Grade!$O$1="Per Bar Size"),VLOOKUP(LEFT(N153,FIND("@",N153)-2),Grade!$J$1:$K$12,2,0),SD!$C$29))</f>
        <v>A615 Grade 60</v>
      </c>
      <c r="R153" t="s">
        <v>728</v>
      </c>
      <c r="S153" s="57">
        <v>153</v>
      </c>
      <c r="U153" t="str">
        <f>IF(Data!$J153="",IFERROR(INDEX(IF(SD!$C$11="Create",Lap!$A$3:$BF$14,IF(SD!$C$11="Per Uploaded File",Lap!$A$19:$BF$30,"")),MATCH(W153,Lap!$A$3:$A$14,0),MATCH(VALUE(D153),Lap!$A$3:$BF$3,0)+IF(IFERROR(FIND("Grade 60",J153),0)&gt;0,0,IF(IFERROR(FIND("Grade 80",J153),0),1,IF(IFERROR(FIND("Grade 75",J153),0),2,"")))),""),Data!J153)</f>
        <v>5-1</v>
      </c>
      <c r="W153" t="s">
        <v>176</v>
      </c>
      <c r="X153">
        <v>12</v>
      </c>
      <c r="Y153" t="str">
        <f t="shared" si="55"/>
        <v xml:space="preserve">36 </v>
      </c>
      <c r="Z153" t="str">
        <f t="shared" si="56"/>
        <v xml:space="preserve"> 36</v>
      </c>
      <c r="AA153" s="24">
        <f t="shared" si="57"/>
        <v>26.666666666666668</v>
      </c>
      <c r="BB153" t="e" cm="1">
        <f t="array" ref="BB153">_xlfn.LET(_xlpm.PartF,(_xlfn.LET(_xlpm.grade, Q153,_xlpm.gradeRange, IF(_xlpm.grade=SD!$H$3, A615GR60, IF(_xlpm.grade=SD!$H$4, A615GR75, IF(_xlpm.grade=SD!$H$5, A615GR80, IF(_xlpm.grade=SD!$H$6, A615GR100, IF(_xlpm.grade=SD!$H$7, A706GR60, IF(_xlpm.grade=SD!$H$8, A706GR80)))))),_xlpm.matchValue, MATCH(1, (SD!$AW:$AW=AS153)*(SD!$AX:$AX=SD!$C$8), 0),INDEX(_xlpm.gradeRange, _xlpm.matchValue))),IF(AM153="Spiral",CONCATENATE("SP",_xlpm.PartF),_xlpm.PartF))</f>
        <v>#N/A</v>
      </c>
      <c r="BC153" cm="1">
        <f t="array" ref="BC153">_xlfn.LET(_xlpm.leftPart, LEFT(O153, FIND("@", O153) - 2),_xlpm.grade,Q153,_xlpm.gradeRange,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3" cm="1">
        <f t="array" ref="BD153">_xlfn.LET(_xlpm.leftPart, LEFT(P153, FIND("@", P153) - 2),_xlpm.grade, Q153,_xlpm.gradeRange,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3">
        <f t="shared" si="58"/>
        <v>3</v>
      </c>
      <c r="BF153">
        <f>IF(SD!$C$32=SD!$I$2,BE153,IF(SD!$C$32=SD!$I$3,DO153,IF(SD!$C$32=SD!$I$5,BA153,IF(SD!$C$32=SD!$I$6,(LEFT(SD!$C$35,FIND("-",SD!$C$35)-1)+RIGHT(SD!$C$35,LEN(SD!$C$35)-FIND("-",SD!$C$35))/12),IF(SD!$C$32=SD!$I$4,(AU153-(BG153+BH153)))))))</f>
        <v>0</v>
      </c>
      <c r="BG153">
        <f>IF(SD!$C$33=SD!$I$2,BE153,IF(SD!$C$33=SD!$I$3,DO153,IF(SD!$C$33=SD!$I$5,BA153,IF(SD!$C$33=SD!$I$6,(LEFT(SD!$C$35,FIND("-",SD!$C$35)-1)+RIGHT(SD!$C$35,LEN(SD!$C$35)-FIND("-",SD!$C$35))/12),IF(SD!$C$33=SD!$I$4,(AU153-(BF153+BH153)))))))</f>
        <v>-1</v>
      </c>
      <c r="BH153">
        <f>IF(SD!$C$34=SD!$I$2,BE153,IF(SD!$C$34=SD!$I$3,DO153,IF(SD!$C$34=SD!$I$5,BA153,IF(SD!$C$34=SD!$I$6,(LEFT(SD!$C$35,FIND("-",SD!$C$35)-1)+RIGHT(SD!$C$35,LEN(SD!$C$35)-FIND("-",SD!$C$35))/12),IF(SD!$C$34=SD!$I$4,(AU153-(BF153+BG153)))))))</f>
        <v>1</v>
      </c>
      <c r="BJ153">
        <f>IF(AM153="Spiral","1",MAX(ROUNDUP(IF(SD!$C$32="",AT153,BF153/(LEFT(RIGHT(N153,LEN(N153)-FIND("@",N153)),LEN(RIGHT(N153,LEN(N153)-FIND("@",N153)))-1)/12)+1),0),0))</f>
        <v>1</v>
      </c>
      <c r="BK153">
        <f>MAX(ROUNDUP(IF(SD!$C$33="","",BG153/(LEFT(RIGHT(O153,LEN(O153)-FIND("@",O153)),LEN(RIGHT(O153,LEN(O153)-FIND("@",O153)))-1)/12)+1),0),0)</f>
        <v>0</v>
      </c>
      <c r="BL153">
        <f>MAX(ROUNDUP(IF(SD!$C$34="","",BH153/(LEFT(RIGHT(P153,LEN(P153)-FIND("@",P153)),LEN(RIGHT(P153,LEN(P153)-FIND("@",P153)))-1)/12)+1),0),0)</f>
        <v>3</v>
      </c>
      <c r="BN153" t="e">
        <f t="shared" si="59"/>
        <v>#N/A</v>
      </c>
      <c r="BO153" t="e">
        <f t="shared" si="60"/>
        <v>#N/A</v>
      </c>
      <c r="BP153" t="e">
        <f t="shared" si="61"/>
        <v>#N/A</v>
      </c>
      <c r="BQ153" s="24" t="e">
        <f>IF(AM153=TRUE,(((Y153-(SD!$E$12*2))*3.14159265359)+BN153+BO153+BP153)/12+AL153,SUM(AF153:AG153,BN153,BO153,BP153,AO153,AQ153)/12)</f>
        <v>#N/A</v>
      </c>
      <c r="BR153" t="e">
        <f t="shared" si="62"/>
        <v>#N/A</v>
      </c>
      <c r="BS153" t="e">
        <f t="shared" si="63"/>
        <v>#N/A</v>
      </c>
      <c r="BT153" t="e">
        <f t="shared" si="64"/>
        <v>#N/A</v>
      </c>
      <c r="BU153" s="24" t="e">
        <f>IF(AM153=TRUE,(((Y153-(SD!$E$12*2))*3.14159265359)+BR153+BS153+BT153)/12+AL153,SUM(AF153:AG153,BR153,BS153,BT153,AO153,AQ153)/12)</f>
        <v>#N/A</v>
      </c>
      <c r="BW153" t="str">
        <f>IFERROR(LEFT(Data!L153,FIND(" -",Data!L153)-1),"")</f>
        <v/>
      </c>
      <c r="BX153" t="str">
        <f>IFERROR(IF(SD!$C$40=SD!$U$2,W153,IF(SD!$C$40=SD!$U$3,RIGHT(Data!L153,LEN(Data!L153)-(FIND("-",Data!L153)+1)),SD!$C$40)),"")</f>
        <v>#10</v>
      </c>
      <c r="BY153" cm="1">
        <f t="array" ref="BY153">IFERROR(_xlfn.LET(_xlpm.GRR,IF(AND(SD!$C$19=SD!$H$2,Grade!$G$1="Per level"),VLOOKUP(B153,Grade!$E$1:$F$200,2,FALSE),IF(AND(SD!$C$19=SD!$H$2,Grade!$G$1="Per Bar Size"),VLOOKUP(BX153,Grade!$B$1:$C$12,2,0),SD!$C$19)),_xlpm.is_equal, A152=A153,_xlpm.grade_range, IF(_xlpm.GRR=SD!$H$3, A615GR60,IF(_xlpm.GRR=SD!$H$4, A615GR75,IF(_xlpm.GRR=SD!$H$5, A615GR80,IF(_xlpm.GRR=SD!H157, A615GR100,IF(_xlpm.GRR=SD!$H$7, A706GR60,IF(_xlpm.GRR=SD!$H$8, A706GR80)))))),_xlpm.match_result, MATCH(1, (BSize=BX153)*(BCName=SD!$C$8), 0),_xlpm.final_result, INDEX(_xlpm.grade_range, _xlpm.match_result),IF(_xlpm.is_equal, "", _xlpm.final_result)),"")</f>
        <v>10</v>
      </c>
      <c r="BZ153">
        <f>IF(A152=A153,"",IF(SD!$C$41="Match Vertical Bars ",X153,IF(SD!$C$41=SD!$V$3,BW153,SD!$C$41)))</f>
        <v>12</v>
      </c>
      <c r="CA153" cm="1">
        <f t="array" ref="CA153">IF(A152=A153,"",IF(SD!$C$44="No T-Head",IF(SD!$C$42=SD!$Q$3,VLOOKUP(BX153,S90Range,3,FALSE),LEFT(SD!$C$42,FIND("-",SD!$C$42)-1)+(RIGHT(SD!$C$42,LEN(SD!$C$42)-FIND("-",SD!$C$42))/12)),IF(SD!$C$44="T-Head",_xlfn._xlws.FILTER(THead,(TCName=SD!$C$8)*(TSize=BX153)),IF(SD!$C$44="Level Wise",_xlfn.LET(_xlpm.result,_xlfn.XLOOKUP(B153,VDLevel,VDLevelStatus,"No"),IF(_xlpm.result="Yes",_xlfn._xlws.FILTER(THead,(TCName=SD!$C$8)*(TSize=BX153)),IF(SD!$C$42=SD!$Q$3,VLOOKUP(BX153,S90Range,3,FALSE),LEFT(SD!$C$42,FIND("-",SD!$C$42)-1)+(RIGHT(SD!$C$42,LEN(SD!$C$42)-FIND("-", SD!$C$42))/12)))),IF(SD!$C$44="BarSize Wise",_xlfn.LET(_xlpm.result,_xlfn.XLOOKUP(BX153,VDBarSize,VDBarSizeStatus,"No"),IF(_xlpm.result="Yes",_xlfn._xlws.FILTER(THead,(TCName=SD!$C$8)*(TSize=BX153)),IF(SD!$C$42=SD!$Q$3,VLOOKUP(BX153,S90Range,3,FALSE),LEFT(SD!$C$42,FIND("-",SD!$C$42)-1)+(RIGHT(SD!$C$42,LEN(SD!$C$42)-FIND("-",SD!$C$42))/12)))), "")))))</f>
        <v>1.8333333333333335</v>
      </c>
      <c r="CB153" t="str" cm="1">
        <f t="array" ref="CB153">_xlfn.LET(_xlpm.GRR,IF(AND(SD!$C$19=SD!$H$2,Grade!$G$1="Per level"),VLOOKUP(B153,Grade!$E$1:$F$200,2,FALSE),IF(AND(SD!$C$19=SD!$H$2,Grade!$G$1="Per Bar Size"),VLOOKUP(BX153,Grade!$B$1:$C$12,2,0),SD!$C$19)),_xlpm.is_coupler, K153="Coupler",_xlpm.condition1, SD!$C$43=SD!$W$2,_xlpm.data_j2_empty, Data!$J153="",_xlpm.lookup_table, IF(SD!$C$11="Create", Lap!$A$3:$BF$14, IF(SD!$C$11="Per Uploaded File", Lap!$A$19:$BF$30, "")),_xlpm.row_match, MATCH(BX153, Lap!$A$3:$A$14, 0),_xlpm.grade_offset, IF(IFERROR(FIND("Grade 60",_xlpm.GRR), 0) &gt; 0, 0, IF(IFERROR(FIND("Grade 80",_xlpm.GRR), 0), 1, IF(IFERROR(FIND("Grade 75",_xlpm.GRR), 0), 2, ""))),_xlpm.col_match, MATCH(VALUE(D153), Lap!$A$3:$BF$3, 0) + _xlpm.grade_offset,_xlpm.index_result, IFERROR(INDEX(_xlpm.lookup_table, _xlpm.row_match, _xlpm.col_match), Data!$J153),_xlpm.result_if_condition1, IF(_xlpm.data_j2_empty, _xlpm.index_result, Data!$J153),IF(_xlpm.is_coupler, 0, IF(_xlpm.condition1, _xlpm.result_if_condition1, SD!$C$43)))</f>
        <v>5-1</v>
      </c>
      <c r="CC153" s="24">
        <f t="shared" si="65"/>
        <v>5.083333333333333</v>
      </c>
      <c r="CD153">
        <f t="shared" si="66"/>
        <v>12.416666666666666</v>
      </c>
      <c r="CE153" t="str" cm="1">
        <f t="array" ref="CE153">IF(BY153="","",_xlfn._xlws.FILTER(SAC,(CName=SD!$C$8)*(EName="Vert Dowels")))</f>
        <v>2200 CD</v>
      </c>
      <c r="CF153" t="str" cm="1">
        <f t="array" ref="CF153">IFERROR(IF(BY153="","",IF(K153="Coupler",_xlfn._xlws.FILTER(CCoupler,(CCName=SD!$C$8)*(CBSize=IF(A152=A153,W152&amp;W153,BX153&amp;W153))*(CCMFM="Male")),"")),"N/A")</f>
        <v/>
      </c>
      <c r="CG153" t="str">
        <f t="shared" si="67"/>
        <v>5</v>
      </c>
      <c r="CH153">
        <f t="shared" si="68"/>
        <v>0</v>
      </c>
      <c r="CI153">
        <f>_xlfn.LET(_xlpm.u3_value, U154,_xlpm.hyphen_pos,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K154="Coupler",_xlpm.coupler_value, IF(_xlpm.is_coupler, 0, _xlpm.calculated_value),_xlpm.final_value, _xlpm.calculated_value + SD!$E$13 + _xlpm.coupler_value,IF(CG153="", "", _xlpm.final_value))</f>
        <v>10.833333333333332</v>
      </c>
      <c r="CJ153" cm="1">
        <f t="array" ref="CJ153">IF(CG153="","",_xlfn._xlws.FILTER(SAC,(CName=SD!$C$8)*(EName="Loose Dowels")))</f>
        <v>2429</v>
      </c>
      <c r="CK153" t="str" cm="1">
        <f t="array" ref="CK153">IFERROR(IF(CG153="","",IF(K154="Coupler",_xlfn._xlws.FILTER(CCoupler,(CCName=SD!$C$8)*(CBSize=IF(A153=A154,W153&amp;W154,""))*(CCMFM="Male")),"")),"N/A")</f>
        <v/>
      </c>
      <c r="CL153">
        <f>IFERROR(IF(AM153="Spiral","",IF(A152=A153,"",IF(SD!$C$37=0,"",SD!$C$37))),"")</f>
        <v>3</v>
      </c>
      <c r="CN153">
        <f>IF(AM153="Spiral","",IFERROR(IF(SD!$C$36=0,"",SD!$C$36),""))</f>
        <v>5</v>
      </c>
      <c r="CP153">
        <f>IFERROR(IF(SD!$C$42=SD!$Q$3,'Take-off'!CA153,""),"")</f>
        <v>1.8333333333333335</v>
      </c>
      <c r="CR153">
        <f>IFERROR(IF(SD!$C$22=SD!$U$2,W153,SD!$C$22),"")</f>
        <v>0</v>
      </c>
      <c r="CS153" t="str" cm="1">
        <f t="array" ref="CS153">_xlfn.LET(_xlpm.GR,IF(AND(SD!$C$19=SD!$H$2,Grade!$G$1="Per level"),VLOOKUP(B153,Grade!$E$1:$F$200,2,FALSE),IF(AND(SD!$C$19=SD!$H$2,Grade!$G$1="Per Bar Size"),VLOOKUP(CR153,Grade!$B$1:$C$12,2,0),SD!$C$19)),IF(SD!$C$20=SD!$R$4,IF(A154=A153,"",INDEX(IF(_xlpm.GR=SD!$H$3,A615GR60,IF(_xlpm.GR=SD!$H$4,A615GR75,IF(_xlpm.GR=SD!$H$5,A615GR80,IF(_xlpm.GR=SD!H157,A615GR100,IF(_xlpm.GR=SD!$H$7,A706GR60,IF(_xlpm.GR=SD!$H$8,A706GR80)))))), MATCH(1, (BSize=CR153)*(BCName=SD!$C$8), 0))),""))</f>
        <v/>
      </c>
      <c r="CT153" t="str">
        <f>IF(A154=A153,"",IF(SD!$C$23="Match Vertical Bars ",X153,SD!$C$23))</f>
        <v/>
      </c>
      <c r="CU153" t="str" cm="1">
        <f t="array" ref="CU153">IF(A154=A153,"",IF(SD!$C$20="Top dowels",IF(SD!$E$25="No T-Head",IF(SD!$C$24=SD!$Q$3,VLOOKUP(CR153,S90Range,3,FALSE),LEFT(SD!$C$24,FIND("-",SD!$C$24)-1)+(RIGHT(SD!$C$24,LEN(SD!$C$24)-FIND("-",SD!$C$24))/12)),IF(SD!$E$25="T-Head",_xlfn._xlws.FILTER(THead,(TCName=SD!$C$8)*(TSize=CR153)),IF(SD!$E$25="Level Wise",_xlfn.LET(_xlpm.result,_xlfn.XLOOKUP(B153,TDLevel,TDLevelStatus,"No"),IF(_xlpm.result="Yes",_xlfn._xlws.FILTER(THead,(TCName=SD!$C$8)*(TSize=CR153)),IF(SD!$C$24=SD!$Q$3,VLOOKUP(CR153,S90Range,3,FALSE),LEFT(SD!$C$24,FIND("-",SD!$C$24)-1)+(RIGHT(SD!$C$24,LEN(SD!$C$24)-FIND("-", SD!$C$24))/12)))),IF(SD!$E$25="BarSize Wise",_xlfn.LET(_xlpm.result,_xlfn.XLOOKUP(CR153,TDBarSize,TDBarSizeStatus,"No"),IF(_xlpm.result="Yes",_xlfn._xlws.FILTER(THead,(TCName=SD!$C$8)*(TSize=CR153)),IF(SD!$C$24=SD!$Q$3,VLOOKUP(CR153,S90Range,3,FALSE),LEFT(SD!$C$24,FIND("-",SD!$C$24)-1)+(RIGHT(SD!$C$24,LEN(SD!$C$24)-FIND("-",SD!$C$24))/12)))), "")))),""))</f>
        <v/>
      </c>
      <c r="CV153" t="str">
        <f>_xlfn.LET(_xlpm.GRR,IF(AND(SD!$C$19=SD!$H$2,Grade!$G$1="Per level"),VLOOKUP(B153,Grade!$E$1:$F$200,2,FALSE),IF(AND(SD!$C$19=SD!$H$2,Grade!$G$1="Per Bar Size"),VLOOKUP(CR153,Grade!$B$1:$C$12,2,0),SD!$C$19)),IF(SD!$C$25=SD!$W$2,IF(Data!$J153="",IFERROR(INDEX(IF(SD!$C$11="Create",Lap!$A$3:$BF$14,IF(SD!$C$11="Per Uploaded File",Lap!$A$19:$BF$30,"")),MATCH(CR153,Lap!$A$3:$A$14,0),MATCH(VALUE(D153),Lap!$A$3:$BF$3,0)+IF(IFERROR(FIND("Grade 60",_xlpm.GRR),0)&gt;0,0,IF(IFERROR(FIND("Grade 80",_xlpm.GRR),0),1,IF(IFERROR(FIND("Grade 75",_xlpm.GRR),0),2,"")))),""),Data!J153),SD!$C$43))</f>
        <v>Match Lap</v>
      </c>
      <c r="CW153">
        <f t="shared" si="69"/>
        <v>0</v>
      </c>
      <c r="CX153">
        <f t="shared" si="70"/>
        <v>0</v>
      </c>
      <c r="CY153" t="str">
        <f t="shared" si="71"/>
        <v/>
      </c>
      <c r="DA153">
        <f t="shared" si="72"/>
        <v>48</v>
      </c>
      <c r="DB153" t="str">
        <f t="shared" si="73"/>
        <v>138-0</v>
      </c>
      <c r="DC153" s="24">
        <f t="shared" si="74"/>
        <v>137.99999999999997</v>
      </c>
      <c r="DD153">
        <f t="shared" si="75"/>
        <v>21.583333333333332</v>
      </c>
      <c r="DE153" t="s">
        <v>785</v>
      </c>
      <c r="DF153" t="s">
        <v>67</v>
      </c>
      <c r="DG153" t="str">
        <f>VLOOKUP(W153,'Level Wise PSI'!$F$2:$G$12,2,FALSE)</f>
        <v>Double Lift</v>
      </c>
      <c r="DI153" t="str" cm="1">
        <f t="array" ref="DI153">_xlfn.LET(_xlpm.Coup,IFERROR(IF(BY153="","",IF(K153="Coupler",_xlfn._xlws.FILTER(CCFCoupler,(CCName=SD!$C$8)*(CBSize=IF(A152=A153,W152&amp;W153,BX153&amp;W153))),"")),"N/A"),IF(_xlpm.Coup=0,"",_xlpm.Coup))</f>
        <v/>
      </c>
      <c r="DJ153" t="str" cm="1">
        <f t="array" ref="DJ153">_xlfn.LET(_xlpm.Coup3,IFERROR(IF(CG153="","",IF(K154="Coupler",_xlfn._xlws.FILTER(CCFCoupler,(CCName=SD!$C$8)*(CBSize=IF(A153=A154,W153&amp;W154,""))),"")),"N/A"),IF(_xlpm.Coup3=0,"",_xlpm.Coup3))</f>
        <v/>
      </c>
      <c r="DK153" t="str" cm="1">
        <f t="array" ref="DK153">_xlfn.LET(_xlpm.Coup2,IFERROR(IF(A153&lt;&gt;A154,"",IF(DF153="No Lap","",IF(K154="Coupler",_xlfn._xlws.FILTER(CCFCoupler,(CCName=SD!$C$8)*(CBSize=IF(A152=A153,W153&amp;W154,W153&amp;W153))),""))),"N/A"),IF(_xlpm.Coup2=0,"",_xlpm.Coup2))</f>
        <v/>
      </c>
      <c r="DM153" t="str">
        <f>IF(AM153="Spiral","",IF(SD!$C$31=SD!$Y$3,SD!$E$32*2,""))</f>
        <v/>
      </c>
      <c r="DO153" s="24">
        <f t="shared" si="76"/>
        <v>3</v>
      </c>
      <c r="DQ153" t="str">
        <f t="shared" si="77"/>
        <v>Lig</v>
      </c>
      <c r="DR153" t="str">
        <f>IF(AM153="Spiral",((Y153-(SD!$E$12*2))/12),"")</f>
        <v/>
      </c>
      <c r="DS153" t="str">
        <f t="shared" si="78"/>
        <v/>
      </c>
      <c r="DT153" t="str">
        <f t="shared" si="79"/>
        <v/>
      </c>
      <c r="DU153" t="str">
        <f t="shared" si="80"/>
        <v/>
      </c>
    </row>
    <row r="154" spans="1:125" x14ac:dyDescent="0.25">
      <c r="A154">
        <v>48</v>
      </c>
      <c r="B154" t="s">
        <v>667</v>
      </c>
      <c r="C154" s="15">
        <v>2429</v>
      </c>
      <c r="D154" s="15">
        <v>10000</v>
      </c>
      <c r="E154" t="str">
        <f>IF(B154=Level!$A$2,SD!$C$14,SD!$C$13)</f>
        <v>0-8</v>
      </c>
      <c r="F154" s="15" t="s">
        <v>787</v>
      </c>
      <c r="G154" t="s">
        <v>740</v>
      </c>
      <c r="H154" t="str">
        <f>RIGHT(VLOOKUP(B154,Level!A:C,3,FALSE),LEN(VLOOKUP(B154,Level!A:C,3,FALSE))-1)</f>
        <v>10-7</v>
      </c>
      <c r="I154" t="s">
        <v>741</v>
      </c>
      <c r="J154" t="str">
        <f>IF(AND(SD!$C$19=SD!$H$2,Grade!$G$1="Per level"),VLOOKUP(B154,Grade!$E$1:$F$200,2,FALSE),IF(AND(SD!$C$19=SD!$H$2,Grade!$G$1="Per Bar Size"),VLOOKUP(W154,Grade!$B$1:$C$12,2,0),SD!$C$19))</f>
        <v>A615 Grade 60</v>
      </c>
      <c r="K154" t="s">
        <v>67</v>
      </c>
      <c r="L154" t="str">
        <f>IFERROR(IF(A154&lt;&gt;A155,"",IF(DF154="No Lap","",IF(K155="Lap",U154,IF(K155="Coupler",_xlfn._xlws.FILTER(CCoupler,(CCName=SD!$C$8)*(CBSize=IF(A153=A154,W154&amp;W155,W154&amp;W154))*(CCMFM="Male")),"")))),"N/A")</f>
        <v>5-1</v>
      </c>
      <c r="M154" t="str">
        <f t="shared" si="54"/>
        <v/>
      </c>
      <c r="N154" t="s">
        <v>719</v>
      </c>
      <c r="O154" t="s">
        <v>720</v>
      </c>
      <c r="P154" t="s">
        <v>719</v>
      </c>
      <c r="Q154" t="str">
        <f>IF(AND(SD!$C$29=SD!$P$2,Grade!$O$1="Per level"),VLOOKUP(B154,Grade!$M$1:$N$200,2,FALSE),IF(AND(SD!$C$29=SD!$P$2,Grade!$O$1="Per Bar Size"),VLOOKUP(LEFT(N154,FIND("@",N154)-2),Grade!$J$1:$K$12,2,0),SD!$C$29))</f>
        <v>A615 Grade 60</v>
      </c>
      <c r="R154" t="s">
        <v>740</v>
      </c>
      <c r="S154" s="57">
        <v>154</v>
      </c>
      <c r="U154" t="str">
        <f>IF(Data!$J154="",IFERROR(INDEX(IF(SD!$C$11="Create",Lap!$A$3:$BF$14,IF(SD!$C$11="Per Uploaded File",Lap!$A$19:$BF$30,"")),MATCH(W154,Lap!$A$3:$A$14,0),MATCH(VALUE(D154),Lap!$A$3:$BF$3,0)+IF(IFERROR(FIND("Grade 60",J154),0)&gt;0,0,IF(IFERROR(FIND("Grade 80",J154),0),1,IF(IFERROR(FIND("Grade 75",J154),0),2,"")))),""),Data!J154)</f>
        <v>5-1</v>
      </c>
      <c r="W154" t="s">
        <v>176</v>
      </c>
      <c r="X154">
        <v>10</v>
      </c>
      <c r="Y154" t="str">
        <f t="shared" si="55"/>
        <v>36</v>
      </c>
      <c r="Z154">
        <f t="shared" si="56"/>
        <v>0</v>
      </c>
      <c r="AA154" s="24">
        <f t="shared" si="57"/>
        <v>15.666666666666666</v>
      </c>
      <c r="BB154" t="e" cm="1">
        <f t="array" ref="BB154">_xlfn.LET(_xlpm.PartF,(_xlfn.LET(_xlpm.grade, Q154,_xlpm.gradeRange, IF(_xlpm.grade=SD!$H$3, A615GR60, IF(_xlpm.grade=SD!$H$4, A615GR75, IF(_xlpm.grade=SD!$H$5, A615GR80, IF(_xlpm.grade=SD!$H$6, A615GR100, IF(_xlpm.grade=SD!$H$7, A706GR60, IF(_xlpm.grade=SD!$H$8, A706GR80)))))),_xlpm.matchValue, MATCH(1, (SD!$AW:$AW=AS154)*(SD!$AX:$AX=SD!$C$8), 0),INDEX(_xlpm.gradeRange, _xlpm.matchValue))),IF(AM154="Spiral",CONCATENATE("SP",_xlpm.PartF),_xlpm.PartF))</f>
        <v>#N/A</v>
      </c>
      <c r="BC154" cm="1">
        <f t="array" ref="BC154">_xlfn.LET(_xlpm.leftPart, LEFT(O154, FIND("@", O154) - 2),_xlpm.grade,Q154,_xlpm.gradeRange,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4" cm="1">
        <f t="array" ref="BD154">_xlfn.LET(_xlpm.leftPart, LEFT(P154, FIND("@", P154) - 2),_xlpm.grade, Q154,_xlpm.gradeRange,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4">
        <f t="shared" si="58"/>
        <v>3</v>
      </c>
      <c r="BF154">
        <f>IF(SD!$C$32=SD!$I$2,BE154,IF(SD!$C$32=SD!$I$3,DO154,IF(SD!$C$32=SD!$I$5,BA154,IF(SD!$C$32=SD!$I$6,(LEFT(SD!$C$35,FIND("-",SD!$C$35)-1)+RIGHT(SD!$C$35,LEN(SD!$C$35)-FIND("-",SD!$C$35))/12),IF(SD!$C$32=SD!$I$4,(AU154-(BG154+BH154)))))))</f>
        <v>0</v>
      </c>
      <c r="BG154">
        <f>IF(SD!$C$33=SD!$I$2,BE154,IF(SD!$C$33=SD!$I$3,DO154,IF(SD!$C$33=SD!$I$5,BA154,IF(SD!$C$33=SD!$I$6,(LEFT(SD!$C$35,FIND("-",SD!$C$35)-1)+RIGHT(SD!$C$35,LEN(SD!$C$35)-FIND("-",SD!$C$35))/12),IF(SD!$C$33=SD!$I$4,(AU154-(BF154+BH154)))))))</f>
        <v>-1</v>
      </c>
      <c r="BH154">
        <f>IF(SD!$C$34=SD!$I$2,BE154,IF(SD!$C$34=SD!$I$3,DO154,IF(SD!$C$34=SD!$I$5,BA154,IF(SD!$C$34=SD!$I$6,(LEFT(SD!$C$35,FIND("-",SD!$C$35)-1)+RIGHT(SD!$C$35,LEN(SD!$C$35)-FIND("-",SD!$C$35))/12),IF(SD!$C$34=SD!$I$4,(AU154-(BF154+BG154)))))))</f>
        <v>1</v>
      </c>
      <c r="BJ154">
        <f>IF(AM154="Spiral","1",MAX(ROUNDUP(IF(SD!$C$32="",AT154,BF154/(LEFT(RIGHT(N154,LEN(N154)-FIND("@",N154)),LEN(RIGHT(N154,LEN(N154)-FIND("@",N154)))-1)/12)+1),0),0))</f>
        <v>1</v>
      </c>
      <c r="BK154">
        <f>MAX(ROUNDUP(IF(SD!$C$33="","",BG154/(LEFT(RIGHT(O154,LEN(O154)-FIND("@",O154)),LEN(RIGHT(O154,LEN(O154)-FIND("@",O154)))-1)/12)+1),0),0)</f>
        <v>0</v>
      </c>
      <c r="BL154">
        <f>MAX(ROUNDUP(IF(SD!$C$34="","",BH154/(LEFT(RIGHT(P154,LEN(P154)-FIND("@",P154)),LEN(RIGHT(P154,LEN(P154)-FIND("@",P154)))-1)/12)+1),0),0)</f>
        <v>3</v>
      </c>
      <c r="BN154" t="e">
        <f t="shared" si="59"/>
        <v>#N/A</v>
      </c>
      <c r="BO154" t="e">
        <f t="shared" si="60"/>
        <v>#N/A</v>
      </c>
      <c r="BP154" t="e">
        <f t="shared" si="61"/>
        <v>#N/A</v>
      </c>
      <c r="BQ154" s="24" t="e">
        <f>IF(AM154=TRUE,(((Y154-(SD!$E$12*2))*3.14159265359)+BN154+BO154+BP154)/12+AL154,SUM(AF154:AG154,BN154,BO154,BP154,AO154,AQ154)/12)</f>
        <v>#N/A</v>
      </c>
      <c r="BR154" t="e">
        <f t="shared" si="62"/>
        <v>#N/A</v>
      </c>
      <c r="BS154" t="e">
        <f t="shared" si="63"/>
        <v>#N/A</v>
      </c>
      <c r="BT154" t="e">
        <f t="shared" si="64"/>
        <v>#N/A</v>
      </c>
      <c r="BU154" s="24" t="e">
        <f>IF(AM154=TRUE,(((Y154-(SD!$E$12*2))*3.14159265359)+BR154+BS154+BT154)/12+AL154,SUM(AF154:AG154,BR154,BS154,BT154,AO154,AQ154)/12)</f>
        <v>#N/A</v>
      </c>
      <c r="BW154" t="str">
        <f>IFERROR(LEFT(Data!L154,FIND(" -",Data!L154)-1),"")</f>
        <v/>
      </c>
      <c r="BX154" t="str">
        <f>IFERROR(IF(SD!$C$40=SD!$U$2,W154,IF(SD!$C$40=SD!$U$3,RIGHT(Data!L154,LEN(Data!L154)-(FIND("-",Data!L154)+1)),SD!$C$40)),"")</f>
        <v>#10</v>
      </c>
      <c r="BY154" t="str" cm="1">
        <f t="array" ref="BY154">IFERROR(_xlfn.LET(_xlpm.GRR,IF(AND(SD!$C$19=SD!$H$2,Grade!$G$1="Per level"),VLOOKUP(B154,Grade!$E$1:$F$200,2,FALSE),IF(AND(SD!$C$19=SD!$H$2,Grade!$G$1="Per Bar Size"),VLOOKUP(BX154,Grade!$B$1:$C$12,2,0),SD!$C$19)),_xlpm.is_equal, A153=A154,_xlpm.grade_range, IF(_xlpm.GRR=SD!$H$3, A615GR60,IF(_xlpm.GRR=SD!$H$4, A615GR75,IF(_xlpm.GRR=SD!$H$5, A615GR80,IF(_xlpm.GRR=SD!H158, A615GR100,IF(_xlpm.GRR=SD!$H$7, A706GR60,IF(_xlpm.GRR=SD!$H$8, A706GR80)))))),_xlpm.match_result, MATCH(1, (BSize=BX154)*(BCName=SD!$C$8), 0),_xlpm.final_result, INDEX(_xlpm.grade_range, _xlpm.match_result),IF(_xlpm.is_equal, "", _xlpm.final_result)),"")</f>
        <v/>
      </c>
      <c r="BZ154" t="str">
        <f>IF(A153=A154,"",IF(SD!$C$41="Match Vertical Bars ",X154,IF(SD!$C$41=SD!$V$3,BW154,SD!$C$41)))</f>
        <v/>
      </c>
      <c r="CA154" t="str" cm="1">
        <f t="array" ref="CA154">IF(A153=A154,"",IF(SD!$C$44="No T-Head",IF(SD!$C$42=SD!$Q$3,VLOOKUP(BX154,S90Range,3,FALSE),LEFT(SD!$C$42,FIND("-",SD!$C$42)-1)+(RIGHT(SD!$C$42,LEN(SD!$C$42)-FIND("-",SD!$C$42))/12)),IF(SD!$C$44="T-Head",_xlfn._xlws.FILTER(THead,(TCName=SD!$C$8)*(TSize=BX154)),IF(SD!$C$44="Level Wise",_xlfn.LET(_xlpm.result,_xlfn.XLOOKUP(B154,VDLevel,VDLevelStatus,"No"),IF(_xlpm.result="Yes",_xlfn._xlws.FILTER(THead,(TCName=SD!$C$8)*(TSize=BX154)),IF(SD!$C$42=SD!$Q$3,VLOOKUP(BX154,S90Range,3,FALSE),LEFT(SD!$C$42,FIND("-",SD!$C$42)-1)+(RIGHT(SD!$C$42,LEN(SD!$C$42)-FIND("-", SD!$C$42))/12)))),IF(SD!$C$44="BarSize Wise",_xlfn.LET(_xlpm.result,_xlfn.XLOOKUP(BX154,VDBarSize,VDBarSizeStatus,"No"),IF(_xlpm.result="Yes",_xlfn._xlws.FILTER(THead,(TCName=SD!$C$8)*(TSize=BX154)),IF(SD!$C$42=SD!$Q$3,VLOOKUP(BX154,S90Range,3,FALSE),LEFT(SD!$C$42,FIND("-",SD!$C$42)-1)+(RIGHT(SD!$C$42,LEN(SD!$C$42)-FIND("-",SD!$C$42))/12)))), "")))))</f>
        <v/>
      </c>
      <c r="CB154" t="str" cm="1">
        <f t="array" ref="CB154">_xlfn.LET(_xlpm.GRR,IF(AND(SD!$C$19=SD!$H$2,Grade!$G$1="Per level"),VLOOKUP(B154,Grade!$E$1:$F$200,2,FALSE),IF(AND(SD!$C$19=SD!$H$2,Grade!$G$1="Per Bar Size"),VLOOKUP(BX154,Grade!$B$1:$C$12,2,0),SD!$C$19)),_xlpm.is_coupler, K154="Coupler",_xlpm.condition1, SD!$C$43=SD!$W$2,_xlpm.data_j2_empty, Data!$J154="",_xlpm.lookup_table, IF(SD!$C$11="Create", Lap!$A$3:$BF$14, IF(SD!$C$11="Per Uploaded File", Lap!$A$19:$BF$30, "")),_xlpm.row_match, MATCH(BX154, Lap!$A$3:$A$14, 0),_xlpm.grade_offset, IF(IFERROR(FIND("Grade 60",_xlpm.GRR), 0) &gt; 0, 0, IF(IFERROR(FIND("Grade 80",_xlpm.GRR), 0), 1, IF(IFERROR(FIND("Grade 75",_xlpm.GRR), 0), 2, ""))),_xlpm.col_match, MATCH(VALUE(D154), Lap!$A$3:$BF$3, 0) + _xlpm.grade_offset,_xlpm.index_result, IFERROR(INDEX(_xlpm.lookup_table, _xlpm.row_match, _xlpm.col_match), Data!$J154),_xlpm.result_if_condition1, IF(_xlpm.data_j2_empty, _xlpm.index_result, Data!$J154),IF(_xlpm.is_coupler, 0, IF(_xlpm.condition1, _xlpm.result_if_condition1, SD!$C$43)))</f>
        <v>5-1</v>
      </c>
      <c r="CC154" s="24">
        <f t="shared" si="65"/>
        <v>5.083333333333333</v>
      </c>
      <c r="CD154">
        <f t="shared" si="66"/>
        <v>5.75</v>
      </c>
      <c r="CE154" t="str" cm="1">
        <f t="array" ref="CE154">IF(BY154="","",_xlfn._xlws.FILTER(SAC,(CName=SD!$C$8)*(EName="Vert Dowels")))</f>
        <v/>
      </c>
      <c r="CF154" t="str" cm="1">
        <f t="array" ref="CF154">IFERROR(IF(BY154="","",IF(K154="Coupler",_xlfn._xlws.FILTER(CCoupler,(CCName=SD!$C$8)*(CBSize=IF(A153=A154,W153&amp;W154,BX154&amp;W154))*(CCMFM="Male")),"")),"N/A")</f>
        <v/>
      </c>
      <c r="CG154" t="str">
        <f t="shared" si="67"/>
        <v/>
      </c>
      <c r="CH154" t="str">
        <f t="shared" si="68"/>
        <v/>
      </c>
      <c r="CI154" t="str">
        <f>_xlfn.LET(_xlpm.u3_value, U155,_xlpm.hyphen_pos,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K155="Coupler",_xlpm.coupler_value, IF(_xlpm.is_coupler, 0, _xlpm.calculated_value),_xlpm.final_value, _xlpm.calculated_value + SD!$E$13 + _xlpm.coupler_value,IF(CG154="", "", _xlpm.final_value))</f>
        <v/>
      </c>
      <c r="CJ154" t="str" cm="1">
        <f t="array" ref="CJ154">IF(CG154="","",_xlfn._xlws.FILTER(SAC,(CName=SD!$C$8)*(EName="Loose Dowels")))</f>
        <v/>
      </c>
      <c r="CK154" t="str" cm="1">
        <f t="array" ref="CK154">IFERROR(IF(CG154="","",IF(K155="Coupler",_xlfn._xlws.FILTER(CCoupler,(CCName=SD!$C$8)*(CBSize=IF(A154=A155,W154&amp;W155,""))*(CCMFM="Male")),"")),"N/A")</f>
        <v/>
      </c>
      <c r="CL154" t="str">
        <f>IFERROR(IF(AM154="Spiral","",IF(A153=A154,"",IF(SD!$C$37=0,"",SD!$C$37))),"")</f>
        <v/>
      </c>
      <c r="CN154">
        <f>IF(AM154="Spiral","",IFERROR(IF(SD!$C$36=0,"",SD!$C$36),""))</f>
        <v>5</v>
      </c>
      <c r="CP154" t="str">
        <f>IFERROR(IF(SD!$C$42=SD!$Q$3,'Take-off'!CA154,""),"")</f>
        <v/>
      </c>
      <c r="CR154">
        <f>IFERROR(IF(SD!$C$22=SD!$U$2,W154,SD!$C$22),"")</f>
        <v>0</v>
      </c>
      <c r="CS154" t="str" cm="1">
        <f t="array" ref="CS154">_xlfn.LET(_xlpm.GR,IF(AND(SD!$C$19=SD!$H$2,Grade!$G$1="Per level"),VLOOKUP(B154,Grade!$E$1:$F$200,2,FALSE),IF(AND(SD!$C$19=SD!$H$2,Grade!$G$1="Per Bar Size"),VLOOKUP(CR154,Grade!$B$1:$C$12,2,0),SD!$C$19)),IF(SD!$C$20=SD!$R$4,IF(A155=A154,"",INDEX(IF(_xlpm.GR=SD!$H$3,A615GR60,IF(_xlpm.GR=SD!$H$4,A615GR75,IF(_xlpm.GR=SD!$H$5,A615GR80,IF(_xlpm.GR=SD!H158,A615GR100,IF(_xlpm.GR=SD!$H$7,A706GR60,IF(_xlpm.GR=SD!$H$8,A706GR80)))))), MATCH(1, (BSize=CR154)*(BCName=SD!$C$8), 0))),""))</f>
        <v/>
      </c>
      <c r="CT154" t="str">
        <f>IF(A155=A154,"",IF(SD!$C$23="Match Vertical Bars ",X154,SD!$C$23))</f>
        <v/>
      </c>
      <c r="CU154" t="str" cm="1">
        <f t="array" ref="CU154">IF(A155=A154,"",IF(SD!$C$20="Top dowels",IF(SD!$E$25="No T-Head",IF(SD!$C$24=SD!$Q$3,VLOOKUP(CR154,S90Range,3,FALSE),LEFT(SD!$C$24,FIND("-",SD!$C$24)-1)+(RIGHT(SD!$C$24,LEN(SD!$C$24)-FIND("-",SD!$C$24))/12)),IF(SD!$E$25="T-Head",_xlfn._xlws.FILTER(THead,(TCName=SD!$C$8)*(TSize=CR154)),IF(SD!$E$25="Level Wise",_xlfn.LET(_xlpm.result,_xlfn.XLOOKUP(B154,TDLevel,TDLevelStatus,"No"),IF(_xlpm.result="Yes",_xlfn._xlws.FILTER(THead,(TCName=SD!$C$8)*(TSize=CR154)),IF(SD!$C$24=SD!$Q$3,VLOOKUP(CR154,S90Range,3,FALSE),LEFT(SD!$C$24,FIND("-",SD!$C$24)-1)+(RIGHT(SD!$C$24,LEN(SD!$C$24)-FIND("-", SD!$C$24))/12)))),IF(SD!$E$25="BarSize Wise",_xlfn.LET(_xlpm.result,_xlfn.XLOOKUP(CR154,TDBarSize,TDBarSizeStatus,"No"),IF(_xlpm.result="Yes",_xlfn._xlws.FILTER(THead,(TCName=SD!$C$8)*(TSize=CR154)),IF(SD!$C$24=SD!$Q$3,VLOOKUP(CR154,S90Range,3,FALSE),LEFT(SD!$C$24,FIND("-",SD!$C$24)-1)+(RIGHT(SD!$C$24,LEN(SD!$C$24)-FIND("-",SD!$C$24))/12)))), "")))),""))</f>
        <v/>
      </c>
      <c r="CV154" t="str">
        <f>_xlfn.LET(_xlpm.GRR,IF(AND(SD!$C$19=SD!$H$2,Grade!$G$1="Per level"),VLOOKUP(B154,Grade!$E$1:$F$200,2,FALSE),IF(AND(SD!$C$19=SD!$H$2,Grade!$G$1="Per Bar Size"),VLOOKUP(CR154,Grade!$B$1:$C$12,2,0),SD!$C$19)),IF(SD!$C$25=SD!$W$2,IF(Data!$J154="",IFERROR(INDEX(IF(SD!$C$11="Create",Lap!$A$3:$BF$14,IF(SD!$C$11="Per Uploaded File",Lap!$A$19:$BF$30,"")),MATCH(CR154,Lap!$A$3:$A$14,0),MATCH(VALUE(D154),Lap!$A$3:$BF$3,0)+IF(IFERROR(FIND("Grade 60",_xlpm.GRR),0)&gt;0,0,IF(IFERROR(FIND("Grade 80",_xlpm.GRR),0),1,IF(IFERROR(FIND("Grade 75",_xlpm.GRR),0),2,"")))),""),Data!J154),SD!$C$43))</f>
        <v>Match Lap</v>
      </c>
      <c r="CW154">
        <f t="shared" si="69"/>
        <v>0</v>
      </c>
      <c r="CX154">
        <f t="shared" si="70"/>
        <v>0</v>
      </c>
      <c r="CY154" t="str">
        <f t="shared" si="71"/>
        <v/>
      </c>
      <c r="DA154" t="str">
        <f t="shared" si="72"/>
        <v/>
      </c>
      <c r="DB154" t="str">
        <f t="shared" si="73"/>
        <v/>
      </c>
      <c r="DC154" s="24" t="str">
        <f t="shared" si="74"/>
        <v/>
      </c>
      <c r="DD154">
        <f t="shared" si="75"/>
        <v>10.583333333333334</v>
      </c>
      <c r="DE154" t="s">
        <v>785</v>
      </c>
      <c r="DF154" t="s">
        <v>67</v>
      </c>
      <c r="DG154" t="str">
        <f>VLOOKUP(W154,'Level Wise PSI'!$F$2:$G$12,2,FALSE)</f>
        <v>Double Lift</v>
      </c>
      <c r="DI154" t="str" cm="1">
        <f t="array" ref="DI154">_xlfn.LET(_xlpm.Coup,IFERROR(IF(BY154="","",IF(K154="Coupler",_xlfn._xlws.FILTER(CCFCoupler,(CCName=SD!$C$8)*(CBSize=IF(A153=A154,W153&amp;W154,BX154&amp;W154))),"")),"N/A"),IF(_xlpm.Coup=0,"",_xlpm.Coup))</f>
        <v/>
      </c>
      <c r="DJ154" t="str" cm="1">
        <f t="array" ref="DJ154">_xlfn.LET(_xlpm.Coup3,IFERROR(IF(CG154="","",IF(K155="Coupler",_xlfn._xlws.FILTER(CCFCoupler,(CCName=SD!$C$8)*(CBSize=IF(A154=A155,W154&amp;W155,""))),"")),"N/A"),IF(_xlpm.Coup3=0,"",_xlpm.Coup3))</f>
        <v/>
      </c>
      <c r="DK154" t="str" cm="1">
        <f t="array" ref="DK154">_xlfn.LET(_xlpm.Coup2,IFERROR(IF(A154&lt;&gt;A155,"",IF(DF154="No Lap","",IF(K155="Coupler",_xlfn._xlws.FILTER(CCFCoupler,(CCName=SD!$C$8)*(CBSize=IF(A153=A154,W154&amp;W155,W154&amp;W154))),""))),"N/A"),IF(_xlpm.Coup2=0,"",_xlpm.Coup2))</f>
        <v/>
      </c>
      <c r="DM154" t="str">
        <f>IF(AM154="Spiral","",IF(SD!$C$31=SD!$Y$3,SD!$E$32*2,""))</f>
        <v/>
      </c>
      <c r="DO154" s="24">
        <f t="shared" si="76"/>
        <v>3</v>
      </c>
      <c r="DQ154" t="str">
        <f t="shared" si="77"/>
        <v>Lig</v>
      </c>
      <c r="DR154" t="str">
        <f>IF(AM154="Spiral",((Y154-(SD!$E$12*2))/12),"")</f>
        <v/>
      </c>
      <c r="DS154" t="str">
        <f t="shared" si="78"/>
        <v/>
      </c>
      <c r="DT154" t="str">
        <f t="shared" si="79"/>
        <v/>
      </c>
      <c r="DU154" t="str">
        <f t="shared" si="80"/>
        <v/>
      </c>
    </row>
    <row r="155" spans="1:125" x14ac:dyDescent="0.25">
      <c r="A155">
        <v>48</v>
      </c>
      <c r="B155" t="s">
        <v>670</v>
      </c>
      <c r="C155" s="15">
        <v>2429</v>
      </c>
      <c r="D155" s="15">
        <v>10000</v>
      </c>
      <c r="E155" t="str">
        <f>IF(B155=Level!$A$2,SD!$C$14,SD!$C$13)</f>
        <v>0-8</v>
      </c>
      <c r="F155" s="15" t="s">
        <v>787</v>
      </c>
      <c r="G155" t="s">
        <v>742</v>
      </c>
      <c r="H155" t="str">
        <f>RIGHT(VLOOKUP(B155,Level!A:C,3,FALSE),LEN(VLOOKUP(B155,Level!A:C,3,FALSE))-1)</f>
        <v>10-7</v>
      </c>
      <c r="I155" t="s">
        <v>743</v>
      </c>
      <c r="J155" t="str">
        <f>IF(AND(SD!$C$19=SD!$H$2,Grade!$G$1="Per level"),VLOOKUP(B155,Grade!$E$1:$F$200,2,FALSE),IF(AND(SD!$C$19=SD!$H$2,Grade!$G$1="Per Bar Size"),VLOOKUP(W155,Grade!$B$1:$C$12,2,0),SD!$C$19))</f>
        <v>A615 Grade 60</v>
      </c>
      <c r="K155" t="s">
        <v>67</v>
      </c>
      <c r="L155" t="str">
        <f>IFERROR(IF(A155&lt;&gt;A156,"",IF(DF155="No Lap","",IF(K156="Lap",U155,IF(K156="Coupler",_xlfn._xlws.FILTER(CCoupler,(CCName=SD!$C$8)*(CBSize=IF(A154=A155,W155&amp;W156,W155&amp;W155))*(CCMFM="Male")),"")))),"N/A")</f>
        <v>5-1</v>
      </c>
      <c r="M155" t="str">
        <f t="shared" si="54"/>
        <v/>
      </c>
      <c r="N155" t="s">
        <v>719</v>
      </c>
      <c r="O155" t="s">
        <v>720</v>
      </c>
      <c r="P155" t="s">
        <v>719</v>
      </c>
      <c r="Q155" t="str">
        <f>IF(AND(SD!$C$29=SD!$P$2,Grade!$O$1="Per level"),VLOOKUP(B155,Grade!$M$1:$N$200,2,FALSE),IF(AND(SD!$C$29=SD!$P$2,Grade!$O$1="Per Bar Size"),VLOOKUP(LEFT(N155,FIND("@",N155)-2),Grade!$J$1:$K$12,2,0),SD!$C$29))</f>
        <v>A615 Grade 60</v>
      </c>
      <c r="R155" t="s">
        <v>742</v>
      </c>
      <c r="S155" s="57">
        <v>155</v>
      </c>
      <c r="U155" t="str">
        <f>IF(Data!$J155="",IFERROR(INDEX(IF(SD!$C$11="Create",Lap!$A$3:$BF$14,IF(SD!$C$11="Per Uploaded File",Lap!$A$19:$BF$30,"")),MATCH(W155,Lap!$A$3:$A$14,0),MATCH(VALUE(D155),Lap!$A$3:$BF$3,0)+IF(IFERROR(FIND("Grade 60",J155),0)&gt;0,0,IF(IFERROR(FIND("Grade 80",J155),0),1,IF(IFERROR(FIND("Grade 75",J155),0),2,"")))),""),Data!J155)</f>
        <v>5-1</v>
      </c>
      <c r="W155" t="s">
        <v>176</v>
      </c>
      <c r="X155">
        <v>6</v>
      </c>
      <c r="Y155" t="str">
        <f t="shared" si="55"/>
        <v>30</v>
      </c>
      <c r="Z155">
        <f t="shared" si="56"/>
        <v>0</v>
      </c>
      <c r="AA155" s="24">
        <f t="shared" si="57"/>
        <v>15.666666666666666</v>
      </c>
      <c r="BB155" t="e" cm="1">
        <f t="array" ref="BB155">_xlfn.LET(_xlpm.PartF,(_xlfn.LET(_xlpm.grade, Q155,_xlpm.gradeRange, IF(_xlpm.grade=SD!$H$3, A615GR60, IF(_xlpm.grade=SD!$H$4, A615GR75, IF(_xlpm.grade=SD!$H$5, A615GR80, IF(_xlpm.grade=SD!$H$6, A615GR100, IF(_xlpm.grade=SD!$H$7, A706GR60, IF(_xlpm.grade=SD!$H$8, A706GR80)))))),_xlpm.matchValue, MATCH(1, (SD!$AW:$AW=AS155)*(SD!$AX:$AX=SD!$C$8), 0),INDEX(_xlpm.gradeRange, _xlpm.matchValue))),IF(AM155="Spiral",CONCATENATE("SP",_xlpm.PartF),_xlpm.PartF))</f>
        <v>#N/A</v>
      </c>
      <c r="BC155" cm="1">
        <f t="array" ref="BC155">_xlfn.LET(_xlpm.leftPart, LEFT(O155, FIND("@", O155) - 2),_xlpm.grade,Q155,_xlpm.gradeRange,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5" cm="1">
        <f t="array" ref="BD155">_xlfn.LET(_xlpm.leftPart, LEFT(P155, FIND("@", P155) - 2),_xlpm.grade, Q155,_xlpm.gradeRange,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5">
        <f t="shared" si="58"/>
        <v>2.5</v>
      </c>
      <c r="BF155">
        <f>IF(SD!$C$32=SD!$I$2,BE155,IF(SD!$C$32=SD!$I$3,DO155,IF(SD!$C$32=SD!$I$5,BA155,IF(SD!$C$32=SD!$I$6,(LEFT(SD!$C$35,FIND("-",SD!$C$35)-1)+RIGHT(SD!$C$35,LEN(SD!$C$35)-FIND("-",SD!$C$35))/12),IF(SD!$C$32=SD!$I$4,(AU155-(BG155+BH155)))))))</f>
        <v>0</v>
      </c>
      <c r="BG155">
        <f>IF(SD!$C$33=SD!$I$2,BE155,IF(SD!$C$33=SD!$I$3,DO155,IF(SD!$C$33=SD!$I$5,BA155,IF(SD!$C$33=SD!$I$6,(LEFT(SD!$C$35,FIND("-",SD!$C$35)-1)+RIGHT(SD!$C$35,LEN(SD!$C$35)-FIND("-",SD!$C$35))/12),IF(SD!$C$33=SD!$I$4,(AU155-(BF155+BH155)))))))</f>
        <v>-1</v>
      </c>
      <c r="BH155">
        <f>IF(SD!$C$34=SD!$I$2,BE155,IF(SD!$C$34=SD!$I$3,DO155,IF(SD!$C$34=SD!$I$5,BA155,IF(SD!$C$34=SD!$I$6,(LEFT(SD!$C$35,FIND("-",SD!$C$35)-1)+RIGHT(SD!$C$35,LEN(SD!$C$35)-FIND("-",SD!$C$35))/12),IF(SD!$C$34=SD!$I$4,(AU155-(BF155+BG155)))))))</f>
        <v>1</v>
      </c>
      <c r="BJ155">
        <f>IF(AM155="Spiral","1",MAX(ROUNDUP(IF(SD!$C$32="",AT155,BF155/(LEFT(RIGHT(N155,LEN(N155)-FIND("@",N155)),LEN(RIGHT(N155,LEN(N155)-FIND("@",N155)))-1)/12)+1),0),0))</f>
        <v>1</v>
      </c>
      <c r="BK155">
        <f>MAX(ROUNDUP(IF(SD!$C$33="","",BG155/(LEFT(RIGHT(O155,LEN(O155)-FIND("@",O155)),LEN(RIGHT(O155,LEN(O155)-FIND("@",O155)))-1)/12)+1),0),0)</f>
        <v>0</v>
      </c>
      <c r="BL155">
        <f>MAX(ROUNDUP(IF(SD!$C$34="","",BH155/(LEFT(RIGHT(P155,LEN(P155)-FIND("@",P155)),LEN(RIGHT(P155,LEN(P155)-FIND("@",P155)))-1)/12)+1),0),0)</f>
        <v>3</v>
      </c>
      <c r="BN155" t="e">
        <f t="shared" si="59"/>
        <v>#N/A</v>
      </c>
      <c r="BO155" t="e">
        <f t="shared" si="60"/>
        <v>#N/A</v>
      </c>
      <c r="BP155" t="e">
        <f t="shared" si="61"/>
        <v>#N/A</v>
      </c>
      <c r="BQ155" s="24" t="e">
        <f>IF(AM155=TRUE,(((Y155-(SD!$E$12*2))*3.14159265359)+BN155+BO155+BP155)/12+AL155,SUM(AF155:AG155,BN155,BO155,BP155,AO155,AQ155)/12)</f>
        <v>#N/A</v>
      </c>
      <c r="BR155" t="e">
        <f t="shared" si="62"/>
        <v>#N/A</v>
      </c>
      <c r="BS155" t="e">
        <f t="shared" si="63"/>
        <v>#N/A</v>
      </c>
      <c r="BT155" t="e">
        <f t="shared" si="64"/>
        <v>#N/A</v>
      </c>
      <c r="BU155" s="24" t="e">
        <f>IF(AM155=TRUE,(((Y155-(SD!$E$12*2))*3.14159265359)+BR155+BS155+BT155)/12+AL155,SUM(AF155:AG155,BR155,BS155,BT155,AO155,AQ155)/12)</f>
        <v>#N/A</v>
      </c>
      <c r="BW155" t="str">
        <f>IFERROR(LEFT(Data!L155,FIND(" -",Data!L155)-1),"")</f>
        <v/>
      </c>
      <c r="BX155" t="str">
        <f>IFERROR(IF(SD!$C$40=SD!$U$2,W155,IF(SD!$C$40=SD!$U$3,RIGHT(Data!L155,LEN(Data!L155)-(FIND("-",Data!L155)+1)),SD!$C$40)),"")</f>
        <v>#10</v>
      </c>
      <c r="BY155" t="str" cm="1">
        <f t="array" ref="BY155">IFERROR(_xlfn.LET(_xlpm.GRR,IF(AND(SD!$C$19=SD!$H$2,Grade!$G$1="Per level"),VLOOKUP(B155,Grade!$E$1:$F$200,2,FALSE),IF(AND(SD!$C$19=SD!$H$2,Grade!$G$1="Per Bar Size"),VLOOKUP(BX155,Grade!$B$1:$C$12,2,0),SD!$C$19)),_xlpm.is_equal, A154=A155,_xlpm.grade_range, IF(_xlpm.GRR=SD!$H$3, A615GR60,IF(_xlpm.GRR=SD!$H$4, A615GR75,IF(_xlpm.GRR=SD!$H$5, A615GR80,IF(_xlpm.GRR=SD!H159, A615GR100,IF(_xlpm.GRR=SD!$H$7, A706GR60,IF(_xlpm.GRR=SD!$H$8, A706GR80)))))),_xlpm.match_result, MATCH(1, (BSize=BX155)*(BCName=SD!$C$8), 0),_xlpm.final_result, INDEX(_xlpm.grade_range, _xlpm.match_result),IF(_xlpm.is_equal, "", _xlpm.final_result)),"")</f>
        <v/>
      </c>
      <c r="BZ155" t="str">
        <f>IF(A154=A155,"",IF(SD!$C$41="Match Vertical Bars ",X155,IF(SD!$C$41=SD!$V$3,BW155,SD!$C$41)))</f>
        <v/>
      </c>
      <c r="CA155" t="str" cm="1">
        <f t="array" ref="CA155">IF(A154=A155,"",IF(SD!$C$44="No T-Head",IF(SD!$C$42=SD!$Q$3,VLOOKUP(BX155,S90Range,3,FALSE),LEFT(SD!$C$42,FIND("-",SD!$C$42)-1)+(RIGHT(SD!$C$42,LEN(SD!$C$42)-FIND("-",SD!$C$42))/12)),IF(SD!$C$44="T-Head",_xlfn._xlws.FILTER(THead,(TCName=SD!$C$8)*(TSize=BX155)),IF(SD!$C$44="Level Wise",_xlfn.LET(_xlpm.result,_xlfn.XLOOKUP(B155,VDLevel,VDLevelStatus,"No"),IF(_xlpm.result="Yes",_xlfn._xlws.FILTER(THead,(TCName=SD!$C$8)*(TSize=BX155)),IF(SD!$C$42=SD!$Q$3,VLOOKUP(BX155,S90Range,3,FALSE),LEFT(SD!$C$42,FIND("-",SD!$C$42)-1)+(RIGHT(SD!$C$42,LEN(SD!$C$42)-FIND("-", SD!$C$42))/12)))),IF(SD!$C$44="BarSize Wise",_xlfn.LET(_xlpm.result,_xlfn.XLOOKUP(BX155,VDBarSize,VDBarSizeStatus,"No"),IF(_xlpm.result="Yes",_xlfn._xlws.FILTER(THead,(TCName=SD!$C$8)*(TSize=BX155)),IF(SD!$C$42=SD!$Q$3,VLOOKUP(BX155,S90Range,3,FALSE),LEFT(SD!$C$42,FIND("-",SD!$C$42)-1)+(RIGHT(SD!$C$42,LEN(SD!$C$42)-FIND("-",SD!$C$42))/12)))), "")))))</f>
        <v/>
      </c>
      <c r="CB155" t="str" cm="1">
        <f t="array" ref="CB155">_xlfn.LET(_xlpm.GRR,IF(AND(SD!$C$19=SD!$H$2,Grade!$G$1="Per level"),VLOOKUP(B155,Grade!$E$1:$F$200,2,FALSE),IF(AND(SD!$C$19=SD!$H$2,Grade!$G$1="Per Bar Size"),VLOOKUP(BX155,Grade!$B$1:$C$12,2,0),SD!$C$19)),_xlpm.is_coupler, K155="Coupler",_xlpm.condition1, SD!$C$43=SD!$W$2,_xlpm.data_j2_empty, Data!$J155="",_xlpm.lookup_table, IF(SD!$C$11="Create", Lap!$A$3:$BF$14, IF(SD!$C$11="Per Uploaded File", Lap!$A$19:$BF$30, "")),_xlpm.row_match, MATCH(BX155, Lap!$A$3:$A$14, 0),_xlpm.grade_offset, IF(IFERROR(FIND("Grade 60",_xlpm.GRR), 0) &gt; 0, 0, IF(IFERROR(FIND("Grade 80",_xlpm.GRR), 0), 1, IF(IFERROR(FIND("Grade 75",_xlpm.GRR), 0), 2, ""))),_xlpm.col_match, MATCH(VALUE(D155), Lap!$A$3:$BF$3, 0) + _xlpm.grade_offset,_xlpm.index_result, IFERROR(INDEX(_xlpm.lookup_table, _xlpm.row_match, _xlpm.col_match), Data!$J155),_xlpm.result_if_condition1, IF(_xlpm.data_j2_empty, _xlpm.index_result, Data!$J155),IF(_xlpm.is_coupler, 0, IF(_xlpm.condition1, _xlpm.result_if_condition1, SD!$C$43)))</f>
        <v>5-1</v>
      </c>
      <c r="CC155" s="24">
        <f t="shared" si="65"/>
        <v>5.083333333333333</v>
      </c>
      <c r="CD155">
        <f t="shared" si="66"/>
        <v>5.75</v>
      </c>
      <c r="CE155" t="str" cm="1">
        <f t="array" ref="CE155">IF(BY155="","",_xlfn._xlws.FILTER(SAC,(CName=SD!$C$8)*(EName="Vert Dowels")))</f>
        <v/>
      </c>
      <c r="CF155" t="str" cm="1">
        <f t="array" ref="CF155">IFERROR(IF(BY155="","",IF(K155="Coupler",_xlfn._xlws.FILTER(CCoupler,(CCName=SD!$C$8)*(CBSize=IF(A154=A155,W154&amp;W155,BX155&amp;W155))*(CCMFM="Male")),"")),"N/A")</f>
        <v/>
      </c>
      <c r="CG155" t="str">
        <f t="shared" si="67"/>
        <v/>
      </c>
      <c r="CH155" t="str">
        <f t="shared" si="68"/>
        <v/>
      </c>
      <c r="CI155" t="str">
        <f>_xlfn.LET(_xlpm.u3_value, U156,_xlpm.hyphen_pos,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K156="Coupler",_xlpm.coupler_value, IF(_xlpm.is_coupler, 0, _xlpm.calculated_value),_xlpm.final_value, _xlpm.calculated_value + SD!$E$13 + _xlpm.coupler_value,IF(CG155="", "", _xlpm.final_value))</f>
        <v/>
      </c>
      <c r="CJ155" t="str" cm="1">
        <f t="array" ref="CJ155">IF(CG155="","",_xlfn._xlws.FILTER(SAC,(CName=SD!$C$8)*(EName="Loose Dowels")))</f>
        <v/>
      </c>
      <c r="CK155" t="str" cm="1">
        <f t="array" ref="CK155">IFERROR(IF(CG155="","",IF(K156="Coupler",_xlfn._xlws.FILTER(CCoupler,(CCName=SD!$C$8)*(CBSize=IF(A155=A156,W155&amp;W156,""))*(CCMFM="Male")),"")),"N/A")</f>
        <v/>
      </c>
      <c r="CL155" t="str">
        <f>IFERROR(IF(AM155="Spiral","",IF(A154=A155,"",IF(SD!$C$37=0,"",SD!$C$37))),"")</f>
        <v/>
      </c>
      <c r="CN155">
        <f>IF(AM155="Spiral","",IFERROR(IF(SD!$C$36=0,"",SD!$C$36),""))</f>
        <v>5</v>
      </c>
      <c r="CP155" t="str">
        <f>IFERROR(IF(SD!$C$42=SD!$Q$3,'Take-off'!CA155,""),"")</f>
        <v/>
      </c>
      <c r="CR155">
        <f>IFERROR(IF(SD!$C$22=SD!$U$2,W155,SD!$C$22),"")</f>
        <v>0</v>
      </c>
      <c r="CS155" t="str" cm="1">
        <f t="array" ref="CS155">_xlfn.LET(_xlpm.GR,IF(AND(SD!$C$19=SD!$H$2,Grade!$G$1="Per level"),VLOOKUP(B155,Grade!$E$1:$F$200,2,FALSE),IF(AND(SD!$C$19=SD!$H$2,Grade!$G$1="Per Bar Size"),VLOOKUP(CR155,Grade!$B$1:$C$12,2,0),SD!$C$19)),IF(SD!$C$20=SD!$R$4,IF(A156=A155,"",INDEX(IF(_xlpm.GR=SD!$H$3,A615GR60,IF(_xlpm.GR=SD!$H$4,A615GR75,IF(_xlpm.GR=SD!$H$5,A615GR80,IF(_xlpm.GR=SD!H159,A615GR100,IF(_xlpm.GR=SD!$H$7,A706GR60,IF(_xlpm.GR=SD!$H$8,A706GR80)))))), MATCH(1, (BSize=CR155)*(BCName=SD!$C$8), 0))),""))</f>
        <v/>
      </c>
      <c r="CT155" t="str">
        <f>IF(A156=A155,"",IF(SD!$C$23="Match Vertical Bars ",X155,SD!$C$23))</f>
        <v/>
      </c>
      <c r="CU155" t="str" cm="1">
        <f t="array" ref="CU155">IF(A156=A155,"",IF(SD!$C$20="Top dowels",IF(SD!$E$25="No T-Head",IF(SD!$C$24=SD!$Q$3,VLOOKUP(CR155,S90Range,3,FALSE),LEFT(SD!$C$24,FIND("-",SD!$C$24)-1)+(RIGHT(SD!$C$24,LEN(SD!$C$24)-FIND("-",SD!$C$24))/12)),IF(SD!$E$25="T-Head",_xlfn._xlws.FILTER(THead,(TCName=SD!$C$8)*(TSize=CR155)),IF(SD!$E$25="Level Wise",_xlfn.LET(_xlpm.result,_xlfn.XLOOKUP(B155,TDLevel,TDLevelStatus,"No"),IF(_xlpm.result="Yes",_xlfn._xlws.FILTER(THead,(TCName=SD!$C$8)*(TSize=CR155)),IF(SD!$C$24=SD!$Q$3,VLOOKUP(CR155,S90Range,3,FALSE),LEFT(SD!$C$24,FIND("-",SD!$C$24)-1)+(RIGHT(SD!$C$24,LEN(SD!$C$24)-FIND("-", SD!$C$24))/12)))),IF(SD!$E$25="BarSize Wise",_xlfn.LET(_xlpm.result,_xlfn.XLOOKUP(CR155,TDBarSize,TDBarSizeStatus,"No"),IF(_xlpm.result="Yes",_xlfn._xlws.FILTER(THead,(TCName=SD!$C$8)*(TSize=CR155)),IF(SD!$C$24=SD!$Q$3,VLOOKUP(CR155,S90Range,3,FALSE),LEFT(SD!$C$24,FIND("-",SD!$C$24)-1)+(RIGHT(SD!$C$24,LEN(SD!$C$24)-FIND("-",SD!$C$24))/12)))), "")))),""))</f>
        <v/>
      </c>
      <c r="CV155" t="str">
        <f>_xlfn.LET(_xlpm.GRR,IF(AND(SD!$C$19=SD!$H$2,Grade!$G$1="Per level"),VLOOKUP(B155,Grade!$E$1:$F$200,2,FALSE),IF(AND(SD!$C$19=SD!$H$2,Grade!$G$1="Per Bar Size"),VLOOKUP(CR155,Grade!$B$1:$C$12,2,0),SD!$C$19)),IF(SD!$C$25=SD!$W$2,IF(Data!$J155="",IFERROR(INDEX(IF(SD!$C$11="Create",Lap!$A$3:$BF$14,IF(SD!$C$11="Per Uploaded File",Lap!$A$19:$BF$30,"")),MATCH(CR155,Lap!$A$3:$A$14,0),MATCH(VALUE(D155),Lap!$A$3:$BF$3,0)+IF(IFERROR(FIND("Grade 60",_xlpm.GRR),0)&gt;0,0,IF(IFERROR(FIND("Grade 80",_xlpm.GRR),0),1,IF(IFERROR(FIND("Grade 75",_xlpm.GRR),0),2,"")))),""),Data!J155),SD!$C$43))</f>
        <v>Match Lap</v>
      </c>
      <c r="CW155">
        <f t="shared" si="69"/>
        <v>0</v>
      </c>
      <c r="CX155">
        <f t="shared" si="70"/>
        <v>0</v>
      </c>
      <c r="CY155" t="str">
        <f t="shared" si="71"/>
        <v/>
      </c>
      <c r="DA155" t="str">
        <f t="shared" si="72"/>
        <v/>
      </c>
      <c r="DB155" t="str">
        <f t="shared" si="73"/>
        <v/>
      </c>
      <c r="DC155" s="24" t="str">
        <f t="shared" si="74"/>
        <v/>
      </c>
      <c r="DD155">
        <f t="shared" si="75"/>
        <v>10.583333333333334</v>
      </c>
      <c r="DE155" t="s">
        <v>785</v>
      </c>
      <c r="DF155" t="s">
        <v>67</v>
      </c>
      <c r="DG155" t="str">
        <f>VLOOKUP(W155,'Level Wise PSI'!$F$2:$G$12,2,FALSE)</f>
        <v>Double Lift</v>
      </c>
      <c r="DI155" t="str" cm="1">
        <f t="array" ref="DI155">_xlfn.LET(_xlpm.Coup,IFERROR(IF(BY155="","",IF(K155="Coupler",_xlfn._xlws.FILTER(CCFCoupler,(CCName=SD!$C$8)*(CBSize=IF(A154=A155,W154&amp;W155,BX155&amp;W155))),"")),"N/A"),IF(_xlpm.Coup=0,"",_xlpm.Coup))</f>
        <v/>
      </c>
      <c r="DJ155" t="str" cm="1">
        <f t="array" ref="DJ155">_xlfn.LET(_xlpm.Coup3,IFERROR(IF(CG155="","",IF(K156="Coupler",_xlfn._xlws.FILTER(CCFCoupler,(CCName=SD!$C$8)*(CBSize=IF(A155=A156,W155&amp;W156,""))),"")),"N/A"),IF(_xlpm.Coup3=0,"",_xlpm.Coup3))</f>
        <v/>
      </c>
      <c r="DK155" t="str" cm="1">
        <f t="array" ref="DK155">_xlfn.LET(_xlpm.Coup2,IFERROR(IF(A155&lt;&gt;A156,"",IF(DF155="No Lap","",IF(K156="Coupler",_xlfn._xlws.FILTER(CCFCoupler,(CCName=SD!$C$8)*(CBSize=IF(A154=A155,W155&amp;W156,W155&amp;W155))),""))),"N/A"),IF(_xlpm.Coup2=0,"",_xlpm.Coup2))</f>
        <v/>
      </c>
      <c r="DM155" t="str">
        <f>IF(AM155="Spiral","",IF(SD!$C$31=SD!$Y$3,SD!$E$32*2,""))</f>
        <v/>
      </c>
      <c r="DO155" s="24">
        <f t="shared" si="76"/>
        <v>2.5</v>
      </c>
      <c r="DQ155" t="str">
        <f t="shared" si="77"/>
        <v>Lig</v>
      </c>
      <c r="DR155" t="str">
        <f>IF(AM155="Spiral",((Y155-(SD!$E$12*2))/12),"")</f>
        <v/>
      </c>
      <c r="DS155" t="str">
        <f t="shared" si="78"/>
        <v/>
      </c>
      <c r="DT155" t="str">
        <f t="shared" si="79"/>
        <v/>
      </c>
      <c r="DU155" t="str">
        <f t="shared" si="80"/>
        <v/>
      </c>
    </row>
    <row r="156" spans="1:125" x14ac:dyDescent="0.25">
      <c r="A156">
        <v>48</v>
      </c>
      <c r="B156" t="s">
        <v>672</v>
      </c>
      <c r="C156" s="15">
        <v>2429</v>
      </c>
      <c r="D156" s="15">
        <v>10000</v>
      </c>
      <c r="E156" t="str">
        <f>IF(B156=Level!$A$2,SD!$C$14,SD!$C$13)</f>
        <v>0-8</v>
      </c>
      <c r="F156" s="15" t="s">
        <v>787</v>
      </c>
      <c r="G156" t="s">
        <v>742</v>
      </c>
      <c r="H156" t="str">
        <f>RIGHT(VLOOKUP(B156,Level!A:C,3,FALSE),LEN(VLOOKUP(B156,Level!A:C,3,FALSE))-1)</f>
        <v>10-7</v>
      </c>
      <c r="I156" t="s">
        <v>743</v>
      </c>
      <c r="J156" t="str">
        <f>IF(AND(SD!$C$19=SD!$H$2,Grade!$G$1="Per level"),VLOOKUP(B156,Grade!$E$1:$F$200,2,FALSE),IF(AND(SD!$C$19=SD!$H$2,Grade!$G$1="Per Bar Size"),VLOOKUP(W156,Grade!$B$1:$C$12,2,0),SD!$C$19))</f>
        <v>A615 Grade 60</v>
      </c>
      <c r="K156" t="s">
        <v>67</v>
      </c>
      <c r="L156" t="str">
        <f>IFERROR(IF(A156&lt;&gt;A157,"",IF(DF156="No Lap","",IF(K157="Lap",U156,IF(K157="Coupler",_xlfn._xlws.FILTER(CCoupler,(CCName=SD!$C$8)*(CBSize=IF(A155=A156,W156&amp;W157,W156&amp;W156))*(CCMFM="Male")),"")))),"N/A")</f>
        <v>5-1</v>
      </c>
      <c r="M156" t="str">
        <f t="shared" si="54"/>
        <v/>
      </c>
      <c r="N156" t="s">
        <v>719</v>
      </c>
      <c r="O156" t="s">
        <v>720</v>
      </c>
      <c r="P156" t="s">
        <v>719</v>
      </c>
      <c r="Q156" t="str">
        <f>IF(AND(SD!$C$29=SD!$P$2,Grade!$O$1="Per level"),VLOOKUP(B156,Grade!$M$1:$N$200,2,FALSE),IF(AND(SD!$C$29=SD!$P$2,Grade!$O$1="Per Bar Size"),VLOOKUP(LEFT(N156,FIND("@",N156)-2),Grade!$J$1:$K$12,2,0),SD!$C$29))</f>
        <v>A615 Grade 60</v>
      </c>
      <c r="R156" t="s">
        <v>742</v>
      </c>
      <c r="S156" s="57">
        <v>156</v>
      </c>
      <c r="U156" t="str">
        <f>IF(Data!$J156="",IFERROR(INDEX(IF(SD!$C$11="Create",Lap!$A$3:$BF$14,IF(SD!$C$11="Per Uploaded File",Lap!$A$19:$BF$30,"")),MATCH(W156,Lap!$A$3:$A$14,0),MATCH(VALUE(D156),Lap!$A$3:$BF$3,0)+IF(IFERROR(FIND("Grade 60",J156),0)&gt;0,0,IF(IFERROR(FIND("Grade 80",J156),0),1,IF(IFERROR(FIND("Grade 75",J156),0),2,"")))),""),Data!J156)</f>
        <v>5-1</v>
      </c>
      <c r="W156" t="s">
        <v>176</v>
      </c>
      <c r="X156">
        <v>6</v>
      </c>
      <c r="Y156" t="str">
        <f t="shared" si="55"/>
        <v>30</v>
      </c>
      <c r="Z156">
        <f t="shared" si="56"/>
        <v>0</v>
      </c>
      <c r="AA156" s="24">
        <f t="shared" si="57"/>
        <v>15.666666666666666</v>
      </c>
      <c r="BB156" t="e" cm="1">
        <f t="array" ref="BB156">_xlfn.LET(_xlpm.PartF,(_xlfn.LET(_xlpm.grade, Q156,_xlpm.gradeRange, IF(_xlpm.grade=SD!$H$3, A615GR60, IF(_xlpm.grade=SD!$H$4, A615GR75, IF(_xlpm.grade=SD!$H$5, A615GR80, IF(_xlpm.grade=SD!$H$6, A615GR100, IF(_xlpm.grade=SD!$H$7, A706GR60, IF(_xlpm.grade=SD!$H$8, A706GR80)))))),_xlpm.matchValue, MATCH(1, (SD!$AW:$AW=AS156)*(SD!$AX:$AX=SD!$C$8), 0),INDEX(_xlpm.gradeRange, _xlpm.matchValue))),IF(AM156="Spiral",CONCATENATE("SP",_xlpm.PartF),_xlpm.PartF))</f>
        <v>#N/A</v>
      </c>
      <c r="BC156" cm="1">
        <f t="array" ref="BC156">_xlfn.LET(_xlpm.leftPart, LEFT(O156, FIND("@", O156) - 2),_xlpm.grade,Q156,_xlpm.gradeRange,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6" cm="1">
        <f t="array" ref="BD156">_xlfn.LET(_xlpm.leftPart, LEFT(P156, FIND("@", P156) - 2),_xlpm.grade, Q156,_xlpm.gradeRange,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6">
        <f t="shared" si="58"/>
        <v>2.5</v>
      </c>
      <c r="BF156">
        <f>IF(SD!$C$32=SD!$I$2,BE156,IF(SD!$C$32=SD!$I$3,DO156,IF(SD!$C$32=SD!$I$5,BA156,IF(SD!$C$32=SD!$I$6,(LEFT(SD!$C$35,FIND("-",SD!$C$35)-1)+RIGHT(SD!$C$35,LEN(SD!$C$35)-FIND("-",SD!$C$35))/12),IF(SD!$C$32=SD!$I$4,(AU156-(BG156+BH156)))))))</f>
        <v>0</v>
      </c>
      <c r="BG156">
        <f>IF(SD!$C$33=SD!$I$2,BE156,IF(SD!$C$33=SD!$I$3,DO156,IF(SD!$C$33=SD!$I$5,BA156,IF(SD!$C$33=SD!$I$6,(LEFT(SD!$C$35,FIND("-",SD!$C$35)-1)+RIGHT(SD!$C$35,LEN(SD!$C$35)-FIND("-",SD!$C$35))/12),IF(SD!$C$33=SD!$I$4,(AU156-(BF156+BH156)))))))</f>
        <v>-1</v>
      </c>
      <c r="BH156">
        <f>IF(SD!$C$34=SD!$I$2,BE156,IF(SD!$C$34=SD!$I$3,DO156,IF(SD!$C$34=SD!$I$5,BA156,IF(SD!$C$34=SD!$I$6,(LEFT(SD!$C$35,FIND("-",SD!$C$35)-1)+RIGHT(SD!$C$35,LEN(SD!$C$35)-FIND("-",SD!$C$35))/12),IF(SD!$C$34=SD!$I$4,(AU156-(BF156+BG156)))))))</f>
        <v>1</v>
      </c>
      <c r="BJ156">
        <f>IF(AM156="Spiral","1",MAX(ROUNDUP(IF(SD!$C$32="",AT156,BF156/(LEFT(RIGHT(N156,LEN(N156)-FIND("@",N156)),LEN(RIGHT(N156,LEN(N156)-FIND("@",N156)))-1)/12)+1),0),0))</f>
        <v>1</v>
      </c>
      <c r="BK156">
        <f>MAX(ROUNDUP(IF(SD!$C$33="","",BG156/(LEFT(RIGHT(O156,LEN(O156)-FIND("@",O156)),LEN(RIGHT(O156,LEN(O156)-FIND("@",O156)))-1)/12)+1),0),0)</f>
        <v>0</v>
      </c>
      <c r="BL156">
        <f>MAX(ROUNDUP(IF(SD!$C$34="","",BH156/(LEFT(RIGHT(P156,LEN(P156)-FIND("@",P156)),LEN(RIGHT(P156,LEN(P156)-FIND("@",P156)))-1)/12)+1),0),0)</f>
        <v>3</v>
      </c>
      <c r="BN156" t="e">
        <f t="shared" si="59"/>
        <v>#N/A</v>
      </c>
      <c r="BO156" t="e">
        <f t="shared" si="60"/>
        <v>#N/A</v>
      </c>
      <c r="BP156" t="e">
        <f t="shared" si="61"/>
        <v>#N/A</v>
      </c>
      <c r="BQ156" s="24" t="e">
        <f>IF(AM156=TRUE,(((Y156-(SD!$E$12*2))*3.14159265359)+BN156+BO156+BP156)/12+AL156,SUM(AF156:AG156,BN156,BO156,BP156,AO156,AQ156)/12)</f>
        <v>#N/A</v>
      </c>
      <c r="BR156" t="e">
        <f t="shared" si="62"/>
        <v>#N/A</v>
      </c>
      <c r="BS156" t="e">
        <f t="shared" si="63"/>
        <v>#N/A</v>
      </c>
      <c r="BT156" t="e">
        <f t="shared" si="64"/>
        <v>#N/A</v>
      </c>
      <c r="BU156" s="24" t="e">
        <f>IF(AM156=TRUE,(((Y156-(SD!$E$12*2))*3.14159265359)+BR156+BS156+BT156)/12+AL156,SUM(AF156:AG156,BR156,BS156,BT156,AO156,AQ156)/12)</f>
        <v>#N/A</v>
      </c>
      <c r="BW156" t="str">
        <f>IFERROR(LEFT(Data!L156,FIND(" -",Data!L156)-1),"")</f>
        <v/>
      </c>
      <c r="BX156" t="str">
        <f>IFERROR(IF(SD!$C$40=SD!$U$2,W156,IF(SD!$C$40=SD!$U$3,RIGHT(Data!L156,LEN(Data!L156)-(FIND("-",Data!L156)+1)),SD!$C$40)),"")</f>
        <v>#10</v>
      </c>
      <c r="BY156" t="str" cm="1">
        <f t="array" ref="BY156">IFERROR(_xlfn.LET(_xlpm.GRR,IF(AND(SD!$C$19=SD!$H$2,Grade!$G$1="Per level"),VLOOKUP(B156,Grade!$E$1:$F$200,2,FALSE),IF(AND(SD!$C$19=SD!$H$2,Grade!$G$1="Per Bar Size"),VLOOKUP(BX156,Grade!$B$1:$C$12,2,0),SD!$C$19)),_xlpm.is_equal, A155=A156,_xlpm.grade_range, IF(_xlpm.GRR=SD!$H$3, A615GR60,IF(_xlpm.GRR=SD!$H$4, A615GR75,IF(_xlpm.GRR=SD!$H$5, A615GR80,IF(_xlpm.GRR=SD!H160, A615GR100,IF(_xlpm.GRR=SD!$H$7, A706GR60,IF(_xlpm.GRR=SD!$H$8, A706GR80)))))),_xlpm.match_result, MATCH(1, (BSize=BX156)*(BCName=SD!$C$8), 0),_xlpm.final_result, INDEX(_xlpm.grade_range, _xlpm.match_result),IF(_xlpm.is_equal, "", _xlpm.final_result)),"")</f>
        <v/>
      </c>
      <c r="BZ156" t="str">
        <f>IF(A155=A156,"",IF(SD!$C$41="Match Vertical Bars ",X156,IF(SD!$C$41=SD!$V$3,BW156,SD!$C$41)))</f>
        <v/>
      </c>
      <c r="CA156" t="str" cm="1">
        <f t="array" ref="CA156">IF(A155=A156,"",IF(SD!$C$44="No T-Head",IF(SD!$C$42=SD!$Q$3,VLOOKUP(BX156,S90Range,3,FALSE),LEFT(SD!$C$42,FIND("-",SD!$C$42)-1)+(RIGHT(SD!$C$42,LEN(SD!$C$42)-FIND("-",SD!$C$42))/12)),IF(SD!$C$44="T-Head",_xlfn._xlws.FILTER(THead,(TCName=SD!$C$8)*(TSize=BX156)),IF(SD!$C$44="Level Wise",_xlfn.LET(_xlpm.result,_xlfn.XLOOKUP(B156,VDLevel,VDLevelStatus,"No"),IF(_xlpm.result="Yes",_xlfn._xlws.FILTER(THead,(TCName=SD!$C$8)*(TSize=BX156)),IF(SD!$C$42=SD!$Q$3,VLOOKUP(BX156,S90Range,3,FALSE),LEFT(SD!$C$42,FIND("-",SD!$C$42)-1)+(RIGHT(SD!$C$42,LEN(SD!$C$42)-FIND("-", SD!$C$42))/12)))),IF(SD!$C$44="BarSize Wise",_xlfn.LET(_xlpm.result,_xlfn.XLOOKUP(BX156,VDBarSize,VDBarSizeStatus,"No"),IF(_xlpm.result="Yes",_xlfn._xlws.FILTER(THead,(TCName=SD!$C$8)*(TSize=BX156)),IF(SD!$C$42=SD!$Q$3,VLOOKUP(BX156,S90Range,3,FALSE),LEFT(SD!$C$42,FIND("-",SD!$C$42)-1)+(RIGHT(SD!$C$42,LEN(SD!$C$42)-FIND("-",SD!$C$42))/12)))), "")))))</f>
        <v/>
      </c>
      <c r="CB156" t="str" cm="1">
        <f t="array" ref="CB156">_xlfn.LET(_xlpm.GRR,IF(AND(SD!$C$19=SD!$H$2,Grade!$G$1="Per level"),VLOOKUP(B156,Grade!$E$1:$F$200,2,FALSE),IF(AND(SD!$C$19=SD!$H$2,Grade!$G$1="Per Bar Size"),VLOOKUP(BX156,Grade!$B$1:$C$12,2,0),SD!$C$19)),_xlpm.is_coupler, K156="Coupler",_xlpm.condition1, SD!$C$43=SD!$W$2,_xlpm.data_j2_empty, Data!$J156="",_xlpm.lookup_table, IF(SD!$C$11="Create", Lap!$A$3:$BF$14, IF(SD!$C$11="Per Uploaded File", Lap!$A$19:$BF$30, "")),_xlpm.row_match, MATCH(BX156, Lap!$A$3:$A$14, 0),_xlpm.grade_offset, IF(IFERROR(FIND("Grade 60",_xlpm.GRR), 0) &gt; 0, 0, IF(IFERROR(FIND("Grade 80",_xlpm.GRR), 0), 1, IF(IFERROR(FIND("Grade 75",_xlpm.GRR), 0), 2, ""))),_xlpm.col_match, MATCH(VALUE(D156), Lap!$A$3:$BF$3, 0) + _xlpm.grade_offset,_xlpm.index_result, IFERROR(INDEX(_xlpm.lookup_table, _xlpm.row_match, _xlpm.col_match), Data!$J156),_xlpm.result_if_condition1, IF(_xlpm.data_j2_empty, _xlpm.index_result, Data!$J156),IF(_xlpm.is_coupler, 0, IF(_xlpm.condition1, _xlpm.result_if_condition1, SD!$C$43)))</f>
        <v>5-1</v>
      </c>
      <c r="CC156" s="24">
        <f t="shared" si="65"/>
        <v>5.083333333333333</v>
      </c>
      <c r="CD156">
        <f t="shared" si="66"/>
        <v>5.75</v>
      </c>
      <c r="CE156" t="str" cm="1">
        <f t="array" ref="CE156">IF(BY156="","",_xlfn._xlws.FILTER(SAC,(CName=SD!$C$8)*(EName="Vert Dowels")))</f>
        <v/>
      </c>
      <c r="CF156" t="str" cm="1">
        <f t="array" ref="CF156">IFERROR(IF(BY156="","",IF(K156="Coupler",_xlfn._xlws.FILTER(CCoupler,(CCName=SD!$C$8)*(CBSize=IF(A155=A156,W155&amp;W156,BX156&amp;W156))*(CCMFM="Male")),"")),"N/A")</f>
        <v/>
      </c>
      <c r="CG156" t="str">
        <f t="shared" si="67"/>
        <v/>
      </c>
      <c r="CH156" t="str">
        <f t="shared" si="68"/>
        <v/>
      </c>
      <c r="CI156" t="str">
        <f>_xlfn.LET(_xlpm.u3_value, U157,_xlpm.hyphen_pos,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K157="Coupler",_xlpm.coupler_value, IF(_xlpm.is_coupler, 0, _xlpm.calculated_value),_xlpm.final_value, _xlpm.calculated_value + SD!$E$13 + _xlpm.coupler_value,IF(CG156="", "", _xlpm.final_value))</f>
        <v/>
      </c>
      <c r="CJ156" t="str" cm="1">
        <f t="array" ref="CJ156">IF(CG156="","",_xlfn._xlws.FILTER(SAC,(CName=SD!$C$8)*(EName="Loose Dowels")))</f>
        <v/>
      </c>
      <c r="CK156" t="str" cm="1">
        <f t="array" ref="CK156">IFERROR(IF(CG156="","",IF(K157="Coupler",_xlfn._xlws.FILTER(CCoupler,(CCName=SD!$C$8)*(CBSize=IF(A156=A157,W156&amp;W157,""))*(CCMFM="Male")),"")),"N/A")</f>
        <v/>
      </c>
      <c r="CL156" t="str">
        <f>IFERROR(IF(AM156="Spiral","",IF(A155=A156,"",IF(SD!$C$37=0,"",SD!$C$37))),"")</f>
        <v/>
      </c>
      <c r="CN156">
        <f>IF(AM156="Spiral","",IFERROR(IF(SD!$C$36=0,"",SD!$C$36),""))</f>
        <v>5</v>
      </c>
      <c r="CP156" t="str">
        <f>IFERROR(IF(SD!$C$42=SD!$Q$3,'Take-off'!CA156,""),"")</f>
        <v/>
      </c>
      <c r="CR156">
        <f>IFERROR(IF(SD!$C$22=SD!$U$2,W156,SD!$C$22),"")</f>
        <v>0</v>
      </c>
      <c r="CS156" t="str" cm="1">
        <f t="array" ref="CS156">_xlfn.LET(_xlpm.GR,IF(AND(SD!$C$19=SD!$H$2,Grade!$G$1="Per level"),VLOOKUP(B156,Grade!$E$1:$F$200,2,FALSE),IF(AND(SD!$C$19=SD!$H$2,Grade!$G$1="Per Bar Size"),VLOOKUP(CR156,Grade!$B$1:$C$12,2,0),SD!$C$19)),IF(SD!$C$20=SD!$R$4,IF(A157=A156,"",INDEX(IF(_xlpm.GR=SD!$H$3,A615GR60,IF(_xlpm.GR=SD!$H$4,A615GR75,IF(_xlpm.GR=SD!$H$5,A615GR80,IF(_xlpm.GR=SD!H160,A615GR100,IF(_xlpm.GR=SD!$H$7,A706GR60,IF(_xlpm.GR=SD!$H$8,A706GR80)))))), MATCH(1, (BSize=CR156)*(BCName=SD!$C$8), 0))),""))</f>
        <v/>
      </c>
      <c r="CT156" t="str">
        <f>IF(A157=A156,"",IF(SD!$C$23="Match Vertical Bars ",X156,SD!$C$23))</f>
        <v/>
      </c>
      <c r="CU156" t="str" cm="1">
        <f t="array" ref="CU156">IF(A157=A156,"",IF(SD!$C$20="Top dowels",IF(SD!$E$25="No T-Head",IF(SD!$C$24=SD!$Q$3,VLOOKUP(CR156,S90Range,3,FALSE),LEFT(SD!$C$24,FIND("-",SD!$C$24)-1)+(RIGHT(SD!$C$24,LEN(SD!$C$24)-FIND("-",SD!$C$24))/12)),IF(SD!$E$25="T-Head",_xlfn._xlws.FILTER(THead,(TCName=SD!$C$8)*(TSize=CR156)),IF(SD!$E$25="Level Wise",_xlfn.LET(_xlpm.result,_xlfn.XLOOKUP(B156,TDLevel,TDLevelStatus,"No"),IF(_xlpm.result="Yes",_xlfn._xlws.FILTER(THead,(TCName=SD!$C$8)*(TSize=CR156)),IF(SD!$C$24=SD!$Q$3,VLOOKUP(CR156,S90Range,3,FALSE),LEFT(SD!$C$24,FIND("-",SD!$C$24)-1)+(RIGHT(SD!$C$24,LEN(SD!$C$24)-FIND("-", SD!$C$24))/12)))),IF(SD!$E$25="BarSize Wise",_xlfn.LET(_xlpm.result,_xlfn.XLOOKUP(CR156,TDBarSize,TDBarSizeStatus,"No"),IF(_xlpm.result="Yes",_xlfn._xlws.FILTER(THead,(TCName=SD!$C$8)*(TSize=CR156)),IF(SD!$C$24=SD!$Q$3,VLOOKUP(CR156,S90Range,3,FALSE),LEFT(SD!$C$24,FIND("-",SD!$C$24)-1)+(RIGHT(SD!$C$24,LEN(SD!$C$24)-FIND("-",SD!$C$24))/12)))), "")))),""))</f>
        <v/>
      </c>
      <c r="CV156" t="str">
        <f>_xlfn.LET(_xlpm.GRR,IF(AND(SD!$C$19=SD!$H$2,Grade!$G$1="Per level"),VLOOKUP(B156,Grade!$E$1:$F$200,2,FALSE),IF(AND(SD!$C$19=SD!$H$2,Grade!$G$1="Per Bar Size"),VLOOKUP(CR156,Grade!$B$1:$C$12,2,0),SD!$C$19)),IF(SD!$C$25=SD!$W$2,IF(Data!$J156="",IFERROR(INDEX(IF(SD!$C$11="Create",Lap!$A$3:$BF$14,IF(SD!$C$11="Per Uploaded File",Lap!$A$19:$BF$30,"")),MATCH(CR156,Lap!$A$3:$A$14,0),MATCH(VALUE(D156),Lap!$A$3:$BF$3,0)+IF(IFERROR(FIND("Grade 60",_xlpm.GRR),0)&gt;0,0,IF(IFERROR(FIND("Grade 80",_xlpm.GRR),0),1,IF(IFERROR(FIND("Grade 75",_xlpm.GRR),0),2,"")))),""),Data!J156),SD!$C$43))</f>
        <v>Match Lap</v>
      </c>
      <c r="CW156">
        <f t="shared" si="69"/>
        <v>0</v>
      </c>
      <c r="CX156">
        <f t="shared" si="70"/>
        <v>0</v>
      </c>
      <c r="CY156" t="str">
        <f t="shared" si="71"/>
        <v/>
      </c>
      <c r="DA156" t="str">
        <f t="shared" si="72"/>
        <v/>
      </c>
      <c r="DB156" t="str">
        <f t="shared" si="73"/>
        <v/>
      </c>
      <c r="DC156" s="24" t="str">
        <f t="shared" si="74"/>
        <v/>
      </c>
      <c r="DD156">
        <f t="shared" si="75"/>
        <v>10.583333333333334</v>
      </c>
      <c r="DE156" t="s">
        <v>785</v>
      </c>
      <c r="DF156" t="s">
        <v>67</v>
      </c>
      <c r="DG156" t="str">
        <f>VLOOKUP(W156,'Level Wise PSI'!$F$2:$G$12,2,FALSE)</f>
        <v>Double Lift</v>
      </c>
      <c r="DI156" t="str" cm="1">
        <f t="array" ref="DI156">_xlfn.LET(_xlpm.Coup,IFERROR(IF(BY156="","",IF(K156="Coupler",_xlfn._xlws.FILTER(CCFCoupler,(CCName=SD!$C$8)*(CBSize=IF(A155=A156,W155&amp;W156,BX156&amp;W156))),"")),"N/A"),IF(_xlpm.Coup=0,"",_xlpm.Coup))</f>
        <v/>
      </c>
      <c r="DJ156" t="str" cm="1">
        <f t="array" ref="DJ156">_xlfn.LET(_xlpm.Coup3,IFERROR(IF(CG156="","",IF(K157="Coupler",_xlfn._xlws.FILTER(CCFCoupler,(CCName=SD!$C$8)*(CBSize=IF(A156=A157,W156&amp;W157,""))),"")),"N/A"),IF(_xlpm.Coup3=0,"",_xlpm.Coup3))</f>
        <v/>
      </c>
      <c r="DK156" t="str" cm="1">
        <f t="array" ref="DK156">_xlfn.LET(_xlpm.Coup2,IFERROR(IF(A156&lt;&gt;A157,"",IF(DF156="No Lap","",IF(K157="Coupler",_xlfn._xlws.FILTER(CCFCoupler,(CCName=SD!$C$8)*(CBSize=IF(A155=A156,W156&amp;W157,W156&amp;W156))),""))),"N/A"),IF(_xlpm.Coup2=0,"",_xlpm.Coup2))</f>
        <v/>
      </c>
      <c r="DM156" t="str">
        <f>IF(AM156="Spiral","",IF(SD!$C$31=SD!$Y$3,SD!$E$32*2,""))</f>
        <v/>
      </c>
      <c r="DO156" s="24">
        <f t="shared" si="76"/>
        <v>2.5</v>
      </c>
      <c r="DQ156" t="str">
        <f t="shared" si="77"/>
        <v>Lig</v>
      </c>
      <c r="DR156" t="str">
        <f>IF(AM156="Spiral",((Y156-(SD!$E$12*2))/12),"")</f>
        <v/>
      </c>
      <c r="DS156" t="str">
        <f t="shared" si="78"/>
        <v/>
      </c>
      <c r="DT156" t="str">
        <f t="shared" si="79"/>
        <v/>
      </c>
      <c r="DU156" t="str">
        <f t="shared" si="80"/>
        <v/>
      </c>
    </row>
    <row r="157" spans="1:125" x14ac:dyDescent="0.25">
      <c r="A157">
        <v>48</v>
      </c>
      <c r="B157" t="s">
        <v>674</v>
      </c>
      <c r="C157" s="15">
        <v>2429</v>
      </c>
      <c r="D157" s="15">
        <v>10000</v>
      </c>
      <c r="E157" t="str">
        <f>IF(B157=Level!$A$2,SD!$C$14,SD!$C$13)</f>
        <v>0-8</v>
      </c>
      <c r="F157" s="15" t="s">
        <v>787</v>
      </c>
      <c r="G157" t="s">
        <v>742</v>
      </c>
      <c r="H157" t="str">
        <f>RIGHT(VLOOKUP(B157,Level!A:C,3,FALSE),LEN(VLOOKUP(B157,Level!A:C,3,FALSE))-1)</f>
        <v>10-7</v>
      </c>
      <c r="I157" t="s">
        <v>743</v>
      </c>
      <c r="J157" t="str">
        <f>IF(AND(SD!$C$19=SD!$H$2,Grade!$G$1="Per level"),VLOOKUP(B157,Grade!$E$1:$F$200,2,FALSE),IF(AND(SD!$C$19=SD!$H$2,Grade!$G$1="Per Bar Size"),VLOOKUP(W157,Grade!$B$1:$C$12,2,0),SD!$C$19))</f>
        <v>A615 Grade 60</v>
      </c>
      <c r="K157" t="s">
        <v>67</v>
      </c>
      <c r="L157" t="str">
        <f>IFERROR(IF(A157&lt;&gt;A158,"",IF(DF157="No Lap","",IF(K158="Lap",U157,IF(K158="Coupler",_xlfn._xlws.FILTER(CCoupler,(CCName=SD!$C$8)*(CBSize=IF(A156=A157,W157&amp;W158,W157&amp;W157))*(CCMFM="Male")),"")))),"N/A")</f>
        <v>5-1</v>
      </c>
      <c r="M157" t="str">
        <f t="shared" si="54"/>
        <v/>
      </c>
      <c r="N157" t="s">
        <v>719</v>
      </c>
      <c r="O157" t="s">
        <v>720</v>
      </c>
      <c r="P157" t="s">
        <v>719</v>
      </c>
      <c r="Q157" t="str">
        <f>IF(AND(SD!$C$29=SD!$P$2,Grade!$O$1="Per level"),VLOOKUP(B157,Grade!$M$1:$N$200,2,FALSE),IF(AND(SD!$C$29=SD!$P$2,Grade!$O$1="Per Bar Size"),VLOOKUP(LEFT(N157,FIND("@",N157)-2),Grade!$J$1:$K$12,2,0),SD!$C$29))</f>
        <v>A615 Grade 60</v>
      </c>
      <c r="R157" t="s">
        <v>742</v>
      </c>
      <c r="S157" s="57">
        <v>157</v>
      </c>
      <c r="U157" t="str">
        <f>IF(Data!$J157="",IFERROR(INDEX(IF(SD!$C$11="Create",Lap!$A$3:$BF$14,IF(SD!$C$11="Per Uploaded File",Lap!$A$19:$BF$30,"")),MATCH(W157,Lap!$A$3:$A$14,0),MATCH(VALUE(D157),Lap!$A$3:$BF$3,0)+IF(IFERROR(FIND("Grade 60",J157),0)&gt;0,0,IF(IFERROR(FIND("Grade 80",J157),0),1,IF(IFERROR(FIND("Grade 75",J157),0),2,"")))),""),Data!J157)</f>
        <v>5-1</v>
      </c>
      <c r="W157" t="s">
        <v>176</v>
      </c>
      <c r="X157">
        <v>6</v>
      </c>
      <c r="Y157" t="str">
        <f t="shared" si="55"/>
        <v>30</v>
      </c>
      <c r="Z157">
        <f t="shared" si="56"/>
        <v>0</v>
      </c>
      <c r="AA157" s="24">
        <f t="shared" si="57"/>
        <v>15.666666666666666</v>
      </c>
      <c r="BB157" t="e" cm="1">
        <f t="array" ref="BB157">_xlfn.LET(_xlpm.PartF,(_xlfn.LET(_xlpm.grade, Q157,_xlpm.gradeRange, IF(_xlpm.grade=SD!$H$3, A615GR60, IF(_xlpm.grade=SD!$H$4, A615GR75, IF(_xlpm.grade=SD!$H$5, A615GR80, IF(_xlpm.grade=SD!$H$6, A615GR100, IF(_xlpm.grade=SD!$H$7, A706GR60, IF(_xlpm.grade=SD!$H$8, A706GR80)))))),_xlpm.matchValue, MATCH(1, (SD!$AW:$AW=AS157)*(SD!$AX:$AX=SD!$C$8), 0),INDEX(_xlpm.gradeRange, _xlpm.matchValue))),IF(AM157="Spiral",CONCATENATE("SP",_xlpm.PartF),_xlpm.PartF))</f>
        <v>#N/A</v>
      </c>
      <c r="BC157" cm="1">
        <f t="array" ref="BC157">_xlfn.LET(_xlpm.leftPart, LEFT(O157, FIND("@", O157) - 2),_xlpm.grade,Q157,_xlpm.gradeRange,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7" cm="1">
        <f t="array" ref="BD157">_xlfn.LET(_xlpm.leftPart, LEFT(P157, FIND("@", P157) - 2),_xlpm.grade, Q157,_xlpm.gradeRange,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7">
        <f t="shared" si="58"/>
        <v>2.5</v>
      </c>
      <c r="BF157">
        <f>IF(SD!$C$32=SD!$I$2,BE157,IF(SD!$C$32=SD!$I$3,DO157,IF(SD!$C$32=SD!$I$5,BA157,IF(SD!$C$32=SD!$I$6,(LEFT(SD!$C$35,FIND("-",SD!$C$35)-1)+RIGHT(SD!$C$35,LEN(SD!$C$35)-FIND("-",SD!$C$35))/12),IF(SD!$C$32=SD!$I$4,(AU157-(BG157+BH157)))))))</f>
        <v>0</v>
      </c>
      <c r="BG157">
        <f>IF(SD!$C$33=SD!$I$2,BE157,IF(SD!$C$33=SD!$I$3,DO157,IF(SD!$C$33=SD!$I$5,BA157,IF(SD!$C$33=SD!$I$6,(LEFT(SD!$C$35,FIND("-",SD!$C$35)-1)+RIGHT(SD!$C$35,LEN(SD!$C$35)-FIND("-",SD!$C$35))/12),IF(SD!$C$33=SD!$I$4,(AU157-(BF157+BH157)))))))</f>
        <v>-1</v>
      </c>
      <c r="BH157">
        <f>IF(SD!$C$34=SD!$I$2,BE157,IF(SD!$C$34=SD!$I$3,DO157,IF(SD!$C$34=SD!$I$5,BA157,IF(SD!$C$34=SD!$I$6,(LEFT(SD!$C$35,FIND("-",SD!$C$35)-1)+RIGHT(SD!$C$35,LEN(SD!$C$35)-FIND("-",SD!$C$35))/12),IF(SD!$C$34=SD!$I$4,(AU157-(BF157+BG157)))))))</f>
        <v>1</v>
      </c>
      <c r="BJ157">
        <f>IF(AM157="Spiral","1",MAX(ROUNDUP(IF(SD!$C$32="",AT157,BF157/(LEFT(RIGHT(N157,LEN(N157)-FIND("@",N157)),LEN(RIGHT(N157,LEN(N157)-FIND("@",N157)))-1)/12)+1),0),0))</f>
        <v>1</v>
      </c>
      <c r="BK157">
        <f>MAX(ROUNDUP(IF(SD!$C$33="","",BG157/(LEFT(RIGHT(O157,LEN(O157)-FIND("@",O157)),LEN(RIGHT(O157,LEN(O157)-FIND("@",O157)))-1)/12)+1),0),0)</f>
        <v>0</v>
      </c>
      <c r="BL157">
        <f>MAX(ROUNDUP(IF(SD!$C$34="","",BH157/(LEFT(RIGHT(P157,LEN(P157)-FIND("@",P157)),LEN(RIGHT(P157,LEN(P157)-FIND("@",P157)))-1)/12)+1),0),0)</f>
        <v>3</v>
      </c>
      <c r="BN157" t="e">
        <f t="shared" si="59"/>
        <v>#N/A</v>
      </c>
      <c r="BO157" t="e">
        <f t="shared" si="60"/>
        <v>#N/A</v>
      </c>
      <c r="BP157" t="e">
        <f t="shared" si="61"/>
        <v>#N/A</v>
      </c>
      <c r="BQ157" s="24" t="e">
        <f>IF(AM157=TRUE,(((Y157-(SD!$E$12*2))*3.14159265359)+BN157+BO157+BP157)/12+AL157,SUM(AF157:AG157,BN157,BO157,BP157,AO157,AQ157)/12)</f>
        <v>#N/A</v>
      </c>
      <c r="BR157" t="e">
        <f t="shared" si="62"/>
        <v>#N/A</v>
      </c>
      <c r="BS157" t="e">
        <f t="shared" si="63"/>
        <v>#N/A</v>
      </c>
      <c r="BT157" t="e">
        <f t="shared" si="64"/>
        <v>#N/A</v>
      </c>
      <c r="BU157" s="24" t="e">
        <f>IF(AM157=TRUE,(((Y157-(SD!$E$12*2))*3.14159265359)+BR157+BS157+BT157)/12+AL157,SUM(AF157:AG157,BR157,BS157,BT157,AO157,AQ157)/12)</f>
        <v>#N/A</v>
      </c>
      <c r="BW157" t="str">
        <f>IFERROR(LEFT(Data!L157,FIND(" -",Data!L157)-1),"")</f>
        <v/>
      </c>
      <c r="BX157" t="str">
        <f>IFERROR(IF(SD!$C$40=SD!$U$2,W157,IF(SD!$C$40=SD!$U$3,RIGHT(Data!L157,LEN(Data!L157)-(FIND("-",Data!L157)+1)),SD!$C$40)),"")</f>
        <v>#10</v>
      </c>
      <c r="BY157" t="str" cm="1">
        <f t="array" ref="BY157">IFERROR(_xlfn.LET(_xlpm.GRR,IF(AND(SD!$C$19=SD!$H$2,Grade!$G$1="Per level"),VLOOKUP(B157,Grade!$E$1:$F$200,2,FALSE),IF(AND(SD!$C$19=SD!$H$2,Grade!$G$1="Per Bar Size"),VLOOKUP(BX157,Grade!$B$1:$C$12,2,0),SD!$C$19)),_xlpm.is_equal, A156=A157,_xlpm.grade_range, IF(_xlpm.GRR=SD!$H$3, A615GR60,IF(_xlpm.GRR=SD!$H$4, A615GR75,IF(_xlpm.GRR=SD!$H$5, A615GR80,IF(_xlpm.GRR=SD!H161, A615GR100,IF(_xlpm.GRR=SD!$H$7, A706GR60,IF(_xlpm.GRR=SD!$H$8, A706GR80)))))),_xlpm.match_result, MATCH(1, (BSize=BX157)*(BCName=SD!$C$8), 0),_xlpm.final_result, INDEX(_xlpm.grade_range, _xlpm.match_result),IF(_xlpm.is_equal, "", _xlpm.final_result)),"")</f>
        <v/>
      </c>
      <c r="BZ157" t="str">
        <f>IF(A156=A157,"",IF(SD!$C$41="Match Vertical Bars ",X157,IF(SD!$C$41=SD!$V$3,BW157,SD!$C$41)))</f>
        <v/>
      </c>
      <c r="CA157" t="str" cm="1">
        <f t="array" ref="CA157">IF(A156=A157,"",IF(SD!$C$44="No T-Head",IF(SD!$C$42=SD!$Q$3,VLOOKUP(BX157,S90Range,3,FALSE),LEFT(SD!$C$42,FIND("-",SD!$C$42)-1)+(RIGHT(SD!$C$42,LEN(SD!$C$42)-FIND("-",SD!$C$42))/12)),IF(SD!$C$44="T-Head",_xlfn._xlws.FILTER(THead,(TCName=SD!$C$8)*(TSize=BX157)),IF(SD!$C$44="Level Wise",_xlfn.LET(_xlpm.result,_xlfn.XLOOKUP(B157,VDLevel,VDLevelStatus,"No"),IF(_xlpm.result="Yes",_xlfn._xlws.FILTER(THead,(TCName=SD!$C$8)*(TSize=BX157)),IF(SD!$C$42=SD!$Q$3,VLOOKUP(BX157,S90Range,3,FALSE),LEFT(SD!$C$42,FIND("-",SD!$C$42)-1)+(RIGHT(SD!$C$42,LEN(SD!$C$42)-FIND("-", SD!$C$42))/12)))),IF(SD!$C$44="BarSize Wise",_xlfn.LET(_xlpm.result,_xlfn.XLOOKUP(BX157,VDBarSize,VDBarSizeStatus,"No"),IF(_xlpm.result="Yes",_xlfn._xlws.FILTER(THead,(TCName=SD!$C$8)*(TSize=BX157)),IF(SD!$C$42=SD!$Q$3,VLOOKUP(BX157,S90Range,3,FALSE),LEFT(SD!$C$42,FIND("-",SD!$C$42)-1)+(RIGHT(SD!$C$42,LEN(SD!$C$42)-FIND("-",SD!$C$42))/12)))), "")))))</f>
        <v/>
      </c>
      <c r="CB157" t="str" cm="1">
        <f t="array" ref="CB157">_xlfn.LET(_xlpm.GRR,IF(AND(SD!$C$19=SD!$H$2,Grade!$G$1="Per level"),VLOOKUP(B157,Grade!$E$1:$F$200,2,FALSE),IF(AND(SD!$C$19=SD!$H$2,Grade!$G$1="Per Bar Size"),VLOOKUP(BX157,Grade!$B$1:$C$12,2,0),SD!$C$19)),_xlpm.is_coupler, K157="Coupler",_xlpm.condition1, SD!$C$43=SD!$W$2,_xlpm.data_j2_empty, Data!$J157="",_xlpm.lookup_table, IF(SD!$C$11="Create", Lap!$A$3:$BF$14, IF(SD!$C$11="Per Uploaded File", Lap!$A$19:$BF$30, "")),_xlpm.row_match, MATCH(BX157, Lap!$A$3:$A$14, 0),_xlpm.grade_offset, IF(IFERROR(FIND("Grade 60",_xlpm.GRR), 0) &gt; 0, 0, IF(IFERROR(FIND("Grade 80",_xlpm.GRR), 0), 1, IF(IFERROR(FIND("Grade 75",_xlpm.GRR), 0), 2, ""))),_xlpm.col_match, MATCH(VALUE(D157), Lap!$A$3:$BF$3, 0) + _xlpm.grade_offset,_xlpm.index_result, IFERROR(INDEX(_xlpm.lookup_table, _xlpm.row_match, _xlpm.col_match), Data!$J157),_xlpm.result_if_condition1, IF(_xlpm.data_j2_empty, _xlpm.index_result, Data!$J157),IF(_xlpm.is_coupler, 0, IF(_xlpm.condition1, _xlpm.result_if_condition1, SD!$C$43)))</f>
        <v>5-1</v>
      </c>
      <c r="CC157" s="24">
        <f t="shared" si="65"/>
        <v>5.083333333333333</v>
      </c>
      <c r="CD157">
        <f t="shared" si="66"/>
        <v>5.75</v>
      </c>
      <c r="CE157" t="str" cm="1">
        <f t="array" ref="CE157">IF(BY157="","",_xlfn._xlws.FILTER(SAC,(CName=SD!$C$8)*(EName="Vert Dowels")))</f>
        <v/>
      </c>
      <c r="CF157" t="str" cm="1">
        <f t="array" ref="CF157">IFERROR(IF(BY157="","",IF(K157="Coupler",_xlfn._xlws.FILTER(CCoupler,(CCName=SD!$C$8)*(CBSize=IF(A156=A157,W156&amp;W157,BX157&amp;W157))*(CCMFM="Male")),"")),"N/A")</f>
        <v/>
      </c>
      <c r="CG157" t="str">
        <f t="shared" si="67"/>
        <v/>
      </c>
      <c r="CH157" t="str">
        <f t="shared" si="68"/>
        <v/>
      </c>
      <c r="CI157" t="str">
        <f>_xlfn.LET(_xlpm.u3_value, U158,_xlpm.hyphen_pos,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K158="Coupler",_xlpm.coupler_value, IF(_xlpm.is_coupler, 0, _xlpm.calculated_value),_xlpm.final_value, _xlpm.calculated_value + SD!$E$13 + _xlpm.coupler_value,IF(CG157="", "", _xlpm.final_value))</f>
        <v/>
      </c>
      <c r="CJ157" t="str" cm="1">
        <f t="array" ref="CJ157">IF(CG157="","",_xlfn._xlws.FILTER(SAC,(CName=SD!$C$8)*(EName="Loose Dowels")))</f>
        <v/>
      </c>
      <c r="CK157" t="str" cm="1">
        <f t="array" ref="CK157">IFERROR(IF(CG157="","",IF(K158="Coupler",_xlfn._xlws.FILTER(CCoupler,(CCName=SD!$C$8)*(CBSize=IF(A157=A158,W157&amp;W158,""))*(CCMFM="Male")),"")),"N/A")</f>
        <v/>
      </c>
      <c r="CL157" t="str">
        <f>IFERROR(IF(AM157="Spiral","",IF(A156=A157,"",IF(SD!$C$37=0,"",SD!$C$37))),"")</f>
        <v/>
      </c>
      <c r="CN157">
        <f>IF(AM157="Spiral","",IFERROR(IF(SD!$C$36=0,"",SD!$C$36),""))</f>
        <v>5</v>
      </c>
      <c r="CP157" t="str">
        <f>IFERROR(IF(SD!$C$42=SD!$Q$3,'Take-off'!CA157,""),"")</f>
        <v/>
      </c>
      <c r="CR157">
        <f>IFERROR(IF(SD!$C$22=SD!$U$2,W157,SD!$C$22),"")</f>
        <v>0</v>
      </c>
      <c r="CS157" t="str" cm="1">
        <f t="array" ref="CS157">_xlfn.LET(_xlpm.GR,IF(AND(SD!$C$19=SD!$H$2,Grade!$G$1="Per level"),VLOOKUP(B157,Grade!$E$1:$F$200,2,FALSE),IF(AND(SD!$C$19=SD!$H$2,Grade!$G$1="Per Bar Size"),VLOOKUP(CR157,Grade!$B$1:$C$12,2,0),SD!$C$19)),IF(SD!$C$20=SD!$R$4,IF(A158=A157,"",INDEX(IF(_xlpm.GR=SD!$H$3,A615GR60,IF(_xlpm.GR=SD!$H$4,A615GR75,IF(_xlpm.GR=SD!$H$5,A615GR80,IF(_xlpm.GR=SD!H161,A615GR100,IF(_xlpm.GR=SD!$H$7,A706GR60,IF(_xlpm.GR=SD!$H$8,A706GR80)))))), MATCH(1, (BSize=CR157)*(BCName=SD!$C$8), 0))),""))</f>
        <v/>
      </c>
      <c r="CT157" t="str">
        <f>IF(A158=A157,"",IF(SD!$C$23="Match Vertical Bars ",X157,SD!$C$23))</f>
        <v/>
      </c>
      <c r="CU157" t="str" cm="1">
        <f t="array" ref="CU157">IF(A158=A157,"",IF(SD!$C$20="Top dowels",IF(SD!$E$25="No T-Head",IF(SD!$C$24=SD!$Q$3,VLOOKUP(CR157,S90Range,3,FALSE),LEFT(SD!$C$24,FIND("-",SD!$C$24)-1)+(RIGHT(SD!$C$24,LEN(SD!$C$24)-FIND("-",SD!$C$24))/12)),IF(SD!$E$25="T-Head",_xlfn._xlws.FILTER(THead,(TCName=SD!$C$8)*(TSize=CR157)),IF(SD!$E$25="Level Wise",_xlfn.LET(_xlpm.result,_xlfn.XLOOKUP(B157,TDLevel,TDLevelStatus,"No"),IF(_xlpm.result="Yes",_xlfn._xlws.FILTER(THead,(TCName=SD!$C$8)*(TSize=CR157)),IF(SD!$C$24=SD!$Q$3,VLOOKUP(CR157,S90Range,3,FALSE),LEFT(SD!$C$24,FIND("-",SD!$C$24)-1)+(RIGHT(SD!$C$24,LEN(SD!$C$24)-FIND("-", SD!$C$24))/12)))),IF(SD!$E$25="BarSize Wise",_xlfn.LET(_xlpm.result,_xlfn.XLOOKUP(CR157,TDBarSize,TDBarSizeStatus,"No"),IF(_xlpm.result="Yes",_xlfn._xlws.FILTER(THead,(TCName=SD!$C$8)*(TSize=CR157)),IF(SD!$C$24=SD!$Q$3,VLOOKUP(CR157,S90Range,3,FALSE),LEFT(SD!$C$24,FIND("-",SD!$C$24)-1)+(RIGHT(SD!$C$24,LEN(SD!$C$24)-FIND("-",SD!$C$24))/12)))), "")))),""))</f>
        <v/>
      </c>
      <c r="CV157" t="str">
        <f>_xlfn.LET(_xlpm.GRR,IF(AND(SD!$C$19=SD!$H$2,Grade!$G$1="Per level"),VLOOKUP(B157,Grade!$E$1:$F$200,2,FALSE),IF(AND(SD!$C$19=SD!$H$2,Grade!$G$1="Per Bar Size"),VLOOKUP(CR157,Grade!$B$1:$C$12,2,0),SD!$C$19)),IF(SD!$C$25=SD!$W$2,IF(Data!$J157="",IFERROR(INDEX(IF(SD!$C$11="Create",Lap!$A$3:$BF$14,IF(SD!$C$11="Per Uploaded File",Lap!$A$19:$BF$30,"")),MATCH(CR157,Lap!$A$3:$A$14,0),MATCH(VALUE(D157),Lap!$A$3:$BF$3,0)+IF(IFERROR(FIND("Grade 60",_xlpm.GRR),0)&gt;0,0,IF(IFERROR(FIND("Grade 80",_xlpm.GRR),0),1,IF(IFERROR(FIND("Grade 75",_xlpm.GRR),0),2,"")))),""),Data!J157),SD!$C$43))</f>
        <v>Match Lap</v>
      </c>
      <c r="CW157">
        <f t="shared" si="69"/>
        <v>0</v>
      </c>
      <c r="CX157">
        <f t="shared" si="70"/>
        <v>0</v>
      </c>
      <c r="CY157" t="str">
        <f t="shared" si="71"/>
        <v/>
      </c>
      <c r="DA157" t="str">
        <f t="shared" si="72"/>
        <v/>
      </c>
      <c r="DB157" t="str">
        <f t="shared" si="73"/>
        <v/>
      </c>
      <c r="DC157" s="24" t="str">
        <f t="shared" si="74"/>
        <v/>
      </c>
      <c r="DD157">
        <f t="shared" si="75"/>
        <v>10.583333333333334</v>
      </c>
      <c r="DE157" t="s">
        <v>785</v>
      </c>
      <c r="DF157" t="s">
        <v>67</v>
      </c>
      <c r="DG157" t="str">
        <f>VLOOKUP(W157,'Level Wise PSI'!$F$2:$G$12,2,FALSE)</f>
        <v>Double Lift</v>
      </c>
      <c r="DI157" t="str" cm="1">
        <f t="array" ref="DI157">_xlfn.LET(_xlpm.Coup,IFERROR(IF(BY157="","",IF(K157="Coupler",_xlfn._xlws.FILTER(CCFCoupler,(CCName=SD!$C$8)*(CBSize=IF(A156=A157,W156&amp;W157,BX157&amp;W157))),"")),"N/A"),IF(_xlpm.Coup=0,"",_xlpm.Coup))</f>
        <v/>
      </c>
      <c r="DJ157" t="str" cm="1">
        <f t="array" ref="DJ157">_xlfn.LET(_xlpm.Coup3,IFERROR(IF(CG157="","",IF(K158="Coupler",_xlfn._xlws.FILTER(CCFCoupler,(CCName=SD!$C$8)*(CBSize=IF(A157=A158,W157&amp;W158,""))),"")),"N/A"),IF(_xlpm.Coup3=0,"",_xlpm.Coup3))</f>
        <v/>
      </c>
      <c r="DK157" t="str" cm="1">
        <f t="array" ref="DK157">_xlfn.LET(_xlpm.Coup2,IFERROR(IF(A157&lt;&gt;A158,"",IF(DF157="No Lap","",IF(K158="Coupler",_xlfn._xlws.FILTER(CCFCoupler,(CCName=SD!$C$8)*(CBSize=IF(A156=A157,W157&amp;W158,W157&amp;W157))),""))),"N/A"),IF(_xlpm.Coup2=0,"",_xlpm.Coup2))</f>
        <v/>
      </c>
      <c r="DM157" t="str">
        <f>IF(AM157="Spiral","",IF(SD!$C$31=SD!$Y$3,SD!$E$32*2,""))</f>
        <v/>
      </c>
      <c r="DO157" s="24">
        <f t="shared" si="76"/>
        <v>2.5</v>
      </c>
      <c r="DQ157" t="str">
        <f t="shared" si="77"/>
        <v>Lig</v>
      </c>
      <c r="DR157" t="str">
        <f>IF(AM157="Spiral",((Y157-(SD!$E$12*2))/12),"")</f>
        <v/>
      </c>
      <c r="DS157" t="str">
        <f t="shared" si="78"/>
        <v/>
      </c>
      <c r="DT157" t="str">
        <f t="shared" si="79"/>
        <v/>
      </c>
      <c r="DU157" t="str">
        <f t="shared" si="80"/>
        <v/>
      </c>
    </row>
    <row r="158" spans="1:125" x14ac:dyDescent="0.25">
      <c r="A158">
        <v>48</v>
      </c>
      <c r="B158" t="s">
        <v>676</v>
      </c>
      <c r="C158" s="15">
        <v>2429</v>
      </c>
      <c r="D158" s="15">
        <v>10000</v>
      </c>
      <c r="E158" t="str">
        <f>IF(B158=Level!$A$2,SD!$C$14,SD!$C$13)</f>
        <v>0-8</v>
      </c>
      <c r="F158" s="15" t="s">
        <v>787</v>
      </c>
      <c r="G158" t="s">
        <v>742</v>
      </c>
      <c r="H158" t="str">
        <f>RIGHT(VLOOKUP(B158,Level!A:C,3,FALSE),LEN(VLOOKUP(B158,Level!A:C,3,FALSE))-1)</f>
        <v>10-7</v>
      </c>
      <c r="I158" t="s">
        <v>743</v>
      </c>
      <c r="J158" t="str">
        <f>IF(AND(SD!$C$19=SD!$H$2,Grade!$G$1="Per level"),VLOOKUP(B158,Grade!$E$1:$F$200,2,FALSE),IF(AND(SD!$C$19=SD!$H$2,Grade!$G$1="Per Bar Size"),VLOOKUP(W158,Grade!$B$1:$C$12,2,0),SD!$C$19))</f>
        <v>A615 Grade 60</v>
      </c>
      <c r="K158" t="s">
        <v>67</v>
      </c>
      <c r="L158" t="str">
        <f>IFERROR(IF(A158&lt;&gt;A159,"",IF(DF158="No Lap","",IF(K159="Lap",U158,IF(K159="Coupler",_xlfn._xlws.FILTER(CCoupler,(CCName=SD!$C$8)*(CBSize=IF(A157=A158,W158&amp;W159,W158&amp;W158))*(CCMFM="Male")),"")))),"N/A")</f>
        <v>5-1</v>
      </c>
      <c r="M158" t="str">
        <f t="shared" si="54"/>
        <v/>
      </c>
      <c r="N158" t="s">
        <v>719</v>
      </c>
      <c r="O158" t="s">
        <v>720</v>
      </c>
      <c r="P158" t="s">
        <v>719</v>
      </c>
      <c r="Q158" t="str">
        <f>IF(AND(SD!$C$29=SD!$P$2,Grade!$O$1="Per level"),VLOOKUP(B158,Grade!$M$1:$N$200,2,FALSE),IF(AND(SD!$C$29=SD!$P$2,Grade!$O$1="Per Bar Size"),VLOOKUP(LEFT(N158,FIND("@",N158)-2),Grade!$J$1:$K$12,2,0),SD!$C$29))</f>
        <v>A615 Grade 60</v>
      </c>
      <c r="R158" t="s">
        <v>742</v>
      </c>
      <c r="S158" s="57">
        <v>158</v>
      </c>
      <c r="U158" t="str">
        <f>IF(Data!$J158="",IFERROR(INDEX(IF(SD!$C$11="Create",Lap!$A$3:$BF$14,IF(SD!$C$11="Per Uploaded File",Lap!$A$19:$BF$30,"")),MATCH(W158,Lap!$A$3:$A$14,0),MATCH(VALUE(D158),Lap!$A$3:$BF$3,0)+IF(IFERROR(FIND("Grade 60",J158),0)&gt;0,0,IF(IFERROR(FIND("Grade 80",J158),0),1,IF(IFERROR(FIND("Grade 75",J158),0),2,"")))),""),Data!J158)</f>
        <v>5-1</v>
      </c>
      <c r="W158" t="s">
        <v>176</v>
      </c>
      <c r="X158">
        <v>6</v>
      </c>
      <c r="Y158" t="str">
        <f t="shared" si="55"/>
        <v>30</v>
      </c>
      <c r="Z158">
        <f t="shared" si="56"/>
        <v>0</v>
      </c>
      <c r="AA158" s="24">
        <f t="shared" si="57"/>
        <v>15.666666666666666</v>
      </c>
      <c r="BB158" t="e" cm="1">
        <f t="array" ref="BB158">_xlfn.LET(_xlpm.PartF,(_xlfn.LET(_xlpm.grade, Q158,_xlpm.gradeRange, IF(_xlpm.grade=SD!$H$3, A615GR60, IF(_xlpm.grade=SD!$H$4, A615GR75, IF(_xlpm.grade=SD!$H$5, A615GR80, IF(_xlpm.grade=SD!$H$6, A615GR100, IF(_xlpm.grade=SD!$H$7, A706GR60, IF(_xlpm.grade=SD!$H$8, A706GR80)))))),_xlpm.matchValue, MATCH(1, (SD!$AW:$AW=AS158)*(SD!$AX:$AX=SD!$C$8), 0),INDEX(_xlpm.gradeRange, _xlpm.matchValue))),IF(AM158="Spiral",CONCATENATE("SP",_xlpm.PartF),_xlpm.PartF))</f>
        <v>#N/A</v>
      </c>
      <c r="BC158" cm="1">
        <f t="array" ref="BC158">_xlfn.LET(_xlpm.leftPart, LEFT(O158, FIND("@", O158) - 2),_xlpm.grade,Q158,_xlpm.gradeRange,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8" cm="1">
        <f t="array" ref="BD158">_xlfn.LET(_xlpm.leftPart, LEFT(P158, FIND("@", P158) - 2),_xlpm.grade, Q158,_xlpm.gradeRange,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8">
        <f t="shared" si="58"/>
        <v>2.5</v>
      </c>
      <c r="BF158">
        <f>IF(SD!$C$32=SD!$I$2,BE158,IF(SD!$C$32=SD!$I$3,DO158,IF(SD!$C$32=SD!$I$5,BA158,IF(SD!$C$32=SD!$I$6,(LEFT(SD!$C$35,FIND("-",SD!$C$35)-1)+RIGHT(SD!$C$35,LEN(SD!$C$35)-FIND("-",SD!$C$35))/12),IF(SD!$C$32=SD!$I$4,(AU158-(BG158+BH158)))))))</f>
        <v>0</v>
      </c>
      <c r="BG158">
        <f>IF(SD!$C$33=SD!$I$2,BE158,IF(SD!$C$33=SD!$I$3,DO158,IF(SD!$C$33=SD!$I$5,BA158,IF(SD!$C$33=SD!$I$6,(LEFT(SD!$C$35,FIND("-",SD!$C$35)-1)+RIGHT(SD!$C$35,LEN(SD!$C$35)-FIND("-",SD!$C$35))/12),IF(SD!$C$33=SD!$I$4,(AU158-(BF158+BH158)))))))</f>
        <v>-1</v>
      </c>
      <c r="BH158">
        <f>IF(SD!$C$34=SD!$I$2,BE158,IF(SD!$C$34=SD!$I$3,DO158,IF(SD!$C$34=SD!$I$5,BA158,IF(SD!$C$34=SD!$I$6,(LEFT(SD!$C$35,FIND("-",SD!$C$35)-1)+RIGHT(SD!$C$35,LEN(SD!$C$35)-FIND("-",SD!$C$35))/12),IF(SD!$C$34=SD!$I$4,(AU158-(BF158+BG158)))))))</f>
        <v>1</v>
      </c>
      <c r="BJ158">
        <f>IF(AM158="Spiral","1",MAX(ROUNDUP(IF(SD!$C$32="",AT158,BF158/(LEFT(RIGHT(N158,LEN(N158)-FIND("@",N158)),LEN(RIGHT(N158,LEN(N158)-FIND("@",N158)))-1)/12)+1),0),0))</f>
        <v>1</v>
      </c>
      <c r="BK158">
        <f>MAX(ROUNDUP(IF(SD!$C$33="","",BG158/(LEFT(RIGHT(O158,LEN(O158)-FIND("@",O158)),LEN(RIGHT(O158,LEN(O158)-FIND("@",O158)))-1)/12)+1),0),0)</f>
        <v>0</v>
      </c>
      <c r="BL158">
        <f>MAX(ROUNDUP(IF(SD!$C$34="","",BH158/(LEFT(RIGHT(P158,LEN(P158)-FIND("@",P158)),LEN(RIGHT(P158,LEN(P158)-FIND("@",P158)))-1)/12)+1),0),0)</f>
        <v>3</v>
      </c>
      <c r="BN158" t="e">
        <f t="shared" si="59"/>
        <v>#N/A</v>
      </c>
      <c r="BO158" t="e">
        <f t="shared" si="60"/>
        <v>#N/A</v>
      </c>
      <c r="BP158" t="e">
        <f t="shared" si="61"/>
        <v>#N/A</v>
      </c>
      <c r="BQ158" s="24" t="e">
        <f>IF(AM158=TRUE,(((Y158-(SD!$E$12*2))*3.14159265359)+BN158+BO158+BP158)/12+AL158,SUM(AF158:AG158,BN158,BO158,BP158,AO158,AQ158)/12)</f>
        <v>#N/A</v>
      </c>
      <c r="BR158" t="e">
        <f t="shared" si="62"/>
        <v>#N/A</v>
      </c>
      <c r="BS158" t="e">
        <f t="shared" si="63"/>
        <v>#N/A</v>
      </c>
      <c r="BT158" t="e">
        <f t="shared" si="64"/>
        <v>#N/A</v>
      </c>
      <c r="BU158" s="24" t="e">
        <f>IF(AM158=TRUE,(((Y158-(SD!$E$12*2))*3.14159265359)+BR158+BS158+BT158)/12+AL158,SUM(AF158:AG158,BR158,BS158,BT158,AO158,AQ158)/12)</f>
        <v>#N/A</v>
      </c>
      <c r="BW158" t="str">
        <f>IFERROR(LEFT(Data!L158,FIND(" -",Data!L158)-1),"")</f>
        <v/>
      </c>
      <c r="BX158" t="str">
        <f>IFERROR(IF(SD!$C$40=SD!$U$2,W158,IF(SD!$C$40=SD!$U$3,RIGHT(Data!L158,LEN(Data!L158)-(FIND("-",Data!L158)+1)),SD!$C$40)),"")</f>
        <v>#10</v>
      </c>
      <c r="BY158" t="str" cm="1">
        <f t="array" ref="BY158">IFERROR(_xlfn.LET(_xlpm.GRR,IF(AND(SD!$C$19=SD!$H$2,Grade!$G$1="Per level"),VLOOKUP(B158,Grade!$E$1:$F$200,2,FALSE),IF(AND(SD!$C$19=SD!$H$2,Grade!$G$1="Per Bar Size"),VLOOKUP(BX158,Grade!$B$1:$C$12,2,0),SD!$C$19)),_xlpm.is_equal, A157=A158,_xlpm.grade_range, IF(_xlpm.GRR=SD!$H$3, A615GR60,IF(_xlpm.GRR=SD!$H$4, A615GR75,IF(_xlpm.GRR=SD!$H$5, A615GR80,IF(_xlpm.GRR=SD!H162, A615GR100,IF(_xlpm.GRR=SD!$H$7, A706GR60,IF(_xlpm.GRR=SD!$H$8, A706GR80)))))),_xlpm.match_result, MATCH(1, (BSize=BX158)*(BCName=SD!$C$8), 0),_xlpm.final_result, INDEX(_xlpm.grade_range, _xlpm.match_result),IF(_xlpm.is_equal, "", _xlpm.final_result)),"")</f>
        <v/>
      </c>
      <c r="BZ158" t="str">
        <f>IF(A157=A158,"",IF(SD!$C$41="Match Vertical Bars ",X158,IF(SD!$C$41=SD!$V$3,BW158,SD!$C$41)))</f>
        <v/>
      </c>
      <c r="CA158" t="str" cm="1">
        <f t="array" ref="CA158">IF(A157=A158,"",IF(SD!$C$44="No T-Head",IF(SD!$C$42=SD!$Q$3,VLOOKUP(BX158,S90Range,3,FALSE),LEFT(SD!$C$42,FIND("-",SD!$C$42)-1)+(RIGHT(SD!$C$42,LEN(SD!$C$42)-FIND("-",SD!$C$42))/12)),IF(SD!$C$44="T-Head",_xlfn._xlws.FILTER(THead,(TCName=SD!$C$8)*(TSize=BX158)),IF(SD!$C$44="Level Wise",_xlfn.LET(_xlpm.result,_xlfn.XLOOKUP(B158,VDLevel,VDLevelStatus,"No"),IF(_xlpm.result="Yes",_xlfn._xlws.FILTER(THead,(TCName=SD!$C$8)*(TSize=BX158)),IF(SD!$C$42=SD!$Q$3,VLOOKUP(BX158,S90Range,3,FALSE),LEFT(SD!$C$42,FIND("-",SD!$C$42)-1)+(RIGHT(SD!$C$42,LEN(SD!$C$42)-FIND("-", SD!$C$42))/12)))),IF(SD!$C$44="BarSize Wise",_xlfn.LET(_xlpm.result,_xlfn.XLOOKUP(BX158,VDBarSize,VDBarSizeStatus,"No"),IF(_xlpm.result="Yes",_xlfn._xlws.FILTER(THead,(TCName=SD!$C$8)*(TSize=BX158)),IF(SD!$C$42=SD!$Q$3,VLOOKUP(BX158,S90Range,3,FALSE),LEFT(SD!$C$42,FIND("-",SD!$C$42)-1)+(RIGHT(SD!$C$42,LEN(SD!$C$42)-FIND("-",SD!$C$42))/12)))), "")))))</f>
        <v/>
      </c>
      <c r="CB158" t="str" cm="1">
        <f t="array" ref="CB158">_xlfn.LET(_xlpm.GRR,IF(AND(SD!$C$19=SD!$H$2,Grade!$G$1="Per level"),VLOOKUP(B158,Grade!$E$1:$F$200,2,FALSE),IF(AND(SD!$C$19=SD!$H$2,Grade!$G$1="Per Bar Size"),VLOOKUP(BX158,Grade!$B$1:$C$12,2,0),SD!$C$19)),_xlpm.is_coupler, K158="Coupler",_xlpm.condition1, SD!$C$43=SD!$W$2,_xlpm.data_j2_empty, Data!$J158="",_xlpm.lookup_table, IF(SD!$C$11="Create", Lap!$A$3:$BF$14, IF(SD!$C$11="Per Uploaded File", Lap!$A$19:$BF$30, "")),_xlpm.row_match, MATCH(BX158, Lap!$A$3:$A$14, 0),_xlpm.grade_offset, IF(IFERROR(FIND("Grade 60",_xlpm.GRR), 0) &gt; 0, 0, IF(IFERROR(FIND("Grade 80",_xlpm.GRR), 0), 1, IF(IFERROR(FIND("Grade 75",_xlpm.GRR), 0), 2, ""))),_xlpm.col_match, MATCH(VALUE(D158), Lap!$A$3:$BF$3, 0) + _xlpm.grade_offset,_xlpm.index_result, IFERROR(INDEX(_xlpm.lookup_table, _xlpm.row_match, _xlpm.col_match), Data!$J158),_xlpm.result_if_condition1, IF(_xlpm.data_j2_empty, _xlpm.index_result, Data!$J158),IF(_xlpm.is_coupler, 0, IF(_xlpm.condition1, _xlpm.result_if_condition1, SD!$C$43)))</f>
        <v>5-1</v>
      </c>
      <c r="CC158" s="24">
        <f t="shared" si="65"/>
        <v>5.083333333333333</v>
      </c>
      <c r="CD158">
        <f t="shared" si="66"/>
        <v>5.75</v>
      </c>
      <c r="CE158" t="str" cm="1">
        <f t="array" ref="CE158">IF(BY158="","",_xlfn._xlws.FILTER(SAC,(CName=SD!$C$8)*(EName="Vert Dowels")))</f>
        <v/>
      </c>
      <c r="CF158" t="str" cm="1">
        <f t="array" ref="CF158">IFERROR(IF(BY158="","",IF(K158="Coupler",_xlfn._xlws.FILTER(CCoupler,(CCName=SD!$C$8)*(CBSize=IF(A157=A158,W157&amp;W158,BX158&amp;W158))*(CCMFM="Male")),"")),"N/A")</f>
        <v/>
      </c>
      <c r="CG158" t="str">
        <f t="shared" si="67"/>
        <v/>
      </c>
      <c r="CH158" t="str">
        <f t="shared" si="68"/>
        <v/>
      </c>
      <c r="CI158" t="str">
        <f>_xlfn.LET(_xlpm.u3_value, U159,_xlpm.hyphen_pos,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K159="Coupler",_xlpm.coupler_value, IF(_xlpm.is_coupler, 0, _xlpm.calculated_value),_xlpm.final_value, _xlpm.calculated_value + SD!$E$13 + _xlpm.coupler_value,IF(CG158="", "", _xlpm.final_value))</f>
        <v/>
      </c>
      <c r="CJ158" t="str" cm="1">
        <f t="array" ref="CJ158">IF(CG158="","",_xlfn._xlws.FILTER(SAC,(CName=SD!$C$8)*(EName="Loose Dowels")))</f>
        <v/>
      </c>
      <c r="CK158" t="str" cm="1">
        <f t="array" ref="CK158">IFERROR(IF(CG158="","",IF(K159="Coupler",_xlfn._xlws.FILTER(CCoupler,(CCName=SD!$C$8)*(CBSize=IF(A158=A159,W158&amp;W159,""))*(CCMFM="Male")),"")),"N/A")</f>
        <v/>
      </c>
      <c r="CL158" t="str">
        <f>IFERROR(IF(AM158="Spiral","",IF(A157=A158,"",IF(SD!$C$37=0,"",SD!$C$37))),"")</f>
        <v/>
      </c>
      <c r="CN158">
        <f>IF(AM158="Spiral","",IFERROR(IF(SD!$C$36=0,"",SD!$C$36),""))</f>
        <v>5</v>
      </c>
      <c r="CP158" t="str">
        <f>IFERROR(IF(SD!$C$42=SD!$Q$3,'Take-off'!CA158,""),"")</f>
        <v/>
      </c>
      <c r="CR158">
        <f>IFERROR(IF(SD!$C$22=SD!$U$2,W158,SD!$C$22),"")</f>
        <v>0</v>
      </c>
      <c r="CS158" t="str" cm="1">
        <f t="array" ref="CS158">_xlfn.LET(_xlpm.GR,IF(AND(SD!$C$19=SD!$H$2,Grade!$G$1="Per level"),VLOOKUP(B158,Grade!$E$1:$F$200,2,FALSE),IF(AND(SD!$C$19=SD!$H$2,Grade!$G$1="Per Bar Size"),VLOOKUP(CR158,Grade!$B$1:$C$12,2,0),SD!$C$19)),IF(SD!$C$20=SD!$R$4,IF(A159=A158,"",INDEX(IF(_xlpm.GR=SD!$H$3,A615GR60,IF(_xlpm.GR=SD!$H$4,A615GR75,IF(_xlpm.GR=SD!$H$5,A615GR80,IF(_xlpm.GR=SD!H162,A615GR100,IF(_xlpm.GR=SD!$H$7,A706GR60,IF(_xlpm.GR=SD!$H$8,A706GR80)))))), MATCH(1, (BSize=CR158)*(BCName=SD!$C$8), 0))),""))</f>
        <v/>
      </c>
      <c r="CT158" t="str">
        <f>IF(A159=A158,"",IF(SD!$C$23="Match Vertical Bars ",X158,SD!$C$23))</f>
        <v/>
      </c>
      <c r="CU158" t="str" cm="1">
        <f t="array" ref="CU158">IF(A159=A158,"",IF(SD!$C$20="Top dowels",IF(SD!$E$25="No T-Head",IF(SD!$C$24=SD!$Q$3,VLOOKUP(CR158,S90Range,3,FALSE),LEFT(SD!$C$24,FIND("-",SD!$C$24)-1)+(RIGHT(SD!$C$24,LEN(SD!$C$24)-FIND("-",SD!$C$24))/12)),IF(SD!$E$25="T-Head",_xlfn._xlws.FILTER(THead,(TCName=SD!$C$8)*(TSize=CR158)),IF(SD!$E$25="Level Wise",_xlfn.LET(_xlpm.result,_xlfn.XLOOKUP(B158,TDLevel,TDLevelStatus,"No"),IF(_xlpm.result="Yes",_xlfn._xlws.FILTER(THead,(TCName=SD!$C$8)*(TSize=CR158)),IF(SD!$C$24=SD!$Q$3,VLOOKUP(CR158,S90Range,3,FALSE),LEFT(SD!$C$24,FIND("-",SD!$C$24)-1)+(RIGHT(SD!$C$24,LEN(SD!$C$24)-FIND("-", SD!$C$24))/12)))),IF(SD!$E$25="BarSize Wise",_xlfn.LET(_xlpm.result,_xlfn.XLOOKUP(CR158,TDBarSize,TDBarSizeStatus,"No"),IF(_xlpm.result="Yes",_xlfn._xlws.FILTER(THead,(TCName=SD!$C$8)*(TSize=CR158)),IF(SD!$C$24=SD!$Q$3,VLOOKUP(CR158,S90Range,3,FALSE),LEFT(SD!$C$24,FIND("-",SD!$C$24)-1)+(RIGHT(SD!$C$24,LEN(SD!$C$24)-FIND("-",SD!$C$24))/12)))), "")))),""))</f>
        <v/>
      </c>
      <c r="CV158" t="str">
        <f>_xlfn.LET(_xlpm.GRR,IF(AND(SD!$C$19=SD!$H$2,Grade!$G$1="Per level"),VLOOKUP(B158,Grade!$E$1:$F$200,2,FALSE),IF(AND(SD!$C$19=SD!$H$2,Grade!$G$1="Per Bar Size"),VLOOKUP(CR158,Grade!$B$1:$C$12,2,0),SD!$C$19)),IF(SD!$C$25=SD!$W$2,IF(Data!$J158="",IFERROR(INDEX(IF(SD!$C$11="Create",Lap!$A$3:$BF$14,IF(SD!$C$11="Per Uploaded File",Lap!$A$19:$BF$30,"")),MATCH(CR158,Lap!$A$3:$A$14,0),MATCH(VALUE(D158),Lap!$A$3:$BF$3,0)+IF(IFERROR(FIND("Grade 60",_xlpm.GRR),0)&gt;0,0,IF(IFERROR(FIND("Grade 80",_xlpm.GRR),0),1,IF(IFERROR(FIND("Grade 75",_xlpm.GRR),0),2,"")))),""),Data!J158),SD!$C$43))</f>
        <v>Match Lap</v>
      </c>
      <c r="CW158">
        <f t="shared" si="69"/>
        <v>0</v>
      </c>
      <c r="CX158">
        <f t="shared" si="70"/>
        <v>0</v>
      </c>
      <c r="CY158" t="str">
        <f t="shared" si="71"/>
        <v/>
      </c>
      <c r="DA158" t="str">
        <f t="shared" si="72"/>
        <v/>
      </c>
      <c r="DB158" t="str">
        <f t="shared" si="73"/>
        <v/>
      </c>
      <c r="DC158" s="24" t="str">
        <f t="shared" si="74"/>
        <v/>
      </c>
      <c r="DD158">
        <f t="shared" si="75"/>
        <v>10.583333333333334</v>
      </c>
      <c r="DE158" t="s">
        <v>785</v>
      </c>
      <c r="DF158" t="s">
        <v>67</v>
      </c>
      <c r="DG158" t="str">
        <f>VLOOKUP(W158,'Level Wise PSI'!$F$2:$G$12,2,FALSE)</f>
        <v>Double Lift</v>
      </c>
      <c r="DI158" t="str" cm="1">
        <f t="array" ref="DI158">_xlfn.LET(_xlpm.Coup,IFERROR(IF(BY158="","",IF(K158="Coupler",_xlfn._xlws.FILTER(CCFCoupler,(CCName=SD!$C$8)*(CBSize=IF(A157=A158,W157&amp;W158,BX158&amp;W158))),"")),"N/A"),IF(_xlpm.Coup=0,"",_xlpm.Coup))</f>
        <v/>
      </c>
      <c r="DJ158" t="str" cm="1">
        <f t="array" ref="DJ158">_xlfn.LET(_xlpm.Coup3,IFERROR(IF(CG158="","",IF(K159="Coupler",_xlfn._xlws.FILTER(CCFCoupler,(CCName=SD!$C$8)*(CBSize=IF(A158=A159,W158&amp;W159,""))),"")),"N/A"),IF(_xlpm.Coup3=0,"",_xlpm.Coup3))</f>
        <v/>
      </c>
      <c r="DK158" t="str" cm="1">
        <f t="array" ref="DK158">_xlfn.LET(_xlpm.Coup2,IFERROR(IF(A158&lt;&gt;A159,"",IF(DF158="No Lap","",IF(K159="Coupler",_xlfn._xlws.FILTER(CCFCoupler,(CCName=SD!$C$8)*(CBSize=IF(A157=A158,W158&amp;W159,W158&amp;W158))),""))),"N/A"),IF(_xlpm.Coup2=0,"",_xlpm.Coup2))</f>
        <v/>
      </c>
      <c r="DM158" t="str">
        <f>IF(AM158="Spiral","",IF(SD!$C$31=SD!$Y$3,SD!$E$32*2,""))</f>
        <v/>
      </c>
      <c r="DO158" s="24">
        <f t="shared" si="76"/>
        <v>2.5</v>
      </c>
      <c r="DQ158" t="str">
        <f t="shared" si="77"/>
        <v>Lig</v>
      </c>
      <c r="DR158" t="str">
        <f>IF(AM158="Spiral",((Y158-(SD!$E$12*2))/12),"")</f>
        <v/>
      </c>
      <c r="DS158" t="str">
        <f t="shared" si="78"/>
        <v/>
      </c>
      <c r="DT158" t="str">
        <f t="shared" si="79"/>
        <v/>
      </c>
      <c r="DU158" t="str">
        <f t="shared" si="80"/>
        <v/>
      </c>
    </row>
    <row r="159" spans="1:125" x14ac:dyDescent="0.25">
      <c r="A159">
        <v>48</v>
      </c>
      <c r="B159" t="s">
        <v>678</v>
      </c>
      <c r="C159" s="15">
        <v>2429</v>
      </c>
      <c r="D159" s="15">
        <v>10000</v>
      </c>
      <c r="E159" t="str">
        <f>IF(B159=Level!$A$2,SD!$C$14,SD!$C$13)</f>
        <v>0-8</v>
      </c>
      <c r="F159" s="15" t="s">
        <v>787</v>
      </c>
      <c r="G159" t="s">
        <v>742</v>
      </c>
      <c r="H159" t="str">
        <f>RIGHT(VLOOKUP(B159,Level!A:C,3,FALSE),LEN(VLOOKUP(B159,Level!A:C,3,FALSE))-1)</f>
        <v>10-7</v>
      </c>
      <c r="I159" t="s">
        <v>743</v>
      </c>
      <c r="J159" t="str">
        <f>IF(AND(SD!$C$19=SD!$H$2,Grade!$G$1="Per level"),VLOOKUP(B159,Grade!$E$1:$F$200,2,FALSE),IF(AND(SD!$C$19=SD!$H$2,Grade!$G$1="Per Bar Size"),VLOOKUP(W159,Grade!$B$1:$C$12,2,0),SD!$C$19))</f>
        <v>A615 Grade 60</v>
      </c>
      <c r="K159" t="s">
        <v>67</v>
      </c>
      <c r="L159" t="str">
        <f>IFERROR(IF(A159&lt;&gt;A160,"",IF(DF159="No Lap","",IF(K160="Lap",U159,IF(K160="Coupler",_xlfn._xlws.FILTER(CCoupler,(CCName=SD!$C$8)*(CBSize=IF(A158=A159,W159&amp;W160,W159&amp;W159))*(CCMFM="Male")),"")))),"N/A")</f>
        <v>5-1</v>
      </c>
      <c r="M159" t="str">
        <f t="shared" si="54"/>
        <v/>
      </c>
      <c r="N159" t="s">
        <v>719</v>
      </c>
      <c r="O159" t="s">
        <v>720</v>
      </c>
      <c r="P159" t="s">
        <v>719</v>
      </c>
      <c r="Q159" t="str">
        <f>IF(AND(SD!$C$29=SD!$P$2,Grade!$O$1="Per level"),VLOOKUP(B159,Grade!$M$1:$N$200,2,FALSE),IF(AND(SD!$C$29=SD!$P$2,Grade!$O$1="Per Bar Size"),VLOOKUP(LEFT(N159,FIND("@",N159)-2),Grade!$J$1:$K$12,2,0),SD!$C$29))</f>
        <v>A615 Grade 60</v>
      </c>
      <c r="R159" t="s">
        <v>742</v>
      </c>
      <c r="S159" s="57">
        <v>159</v>
      </c>
      <c r="U159" t="str">
        <f>IF(Data!$J159="",IFERROR(INDEX(IF(SD!$C$11="Create",Lap!$A$3:$BF$14,IF(SD!$C$11="Per Uploaded File",Lap!$A$19:$BF$30,"")),MATCH(W159,Lap!$A$3:$A$14,0),MATCH(VALUE(D159),Lap!$A$3:$BF$3,0)+IF(IFERROR(FIND("Grade 60",J159),0)&gt;0,0,IF(IFERROR(FIND("Grade 80",J159),0),1,IF(IFERROR(FIND("Grade 75",J159),0),2,"")))),""),Data!J159)</f>
        <v>5-1</v>
      </c>
      <c r="W159" t="s">
        <v>176</v>
      </c>
      <c r="X159">
        <v>6</v>
      </c>
      <c r="Y159" t="str">
        <f t="shared" si="55"/>
        <v>30</v>
      </c>
      <c r="Z159">
        <f t="shared" si="56"/>
        <v>0</v>
      </c>
      <c r="AA159" s="24">
        <f t="shared" si="57"/>
        <v>15.666666666666666</v>
      </c>
      <c r="BB159" t="e" cm="1">
        <f t="array" ref="BB159">_xlfn.LET(_xlpm.PartF,(_xlfn.LET(_xlpm.grade, Q159,_xlpm.gradeRange, IF(_xlpm.grade=SD!$H$3, A615GR60, IF(_xlpm.grade=SD!$H$4, A615GR75, IF(_xlpm.grade=SD!$H$5, A615GR80, IF(_xlpm.grade=SD!$H$6, A615GR100, IF(_xlpm.grade=SD!$H$7, A706GR60, IF(_xlpm.grade=SD!$H$8, A706GR80)))))),_xlpm.matchValue, MATCH(1, (SD!$AW:$AW=AS159)*(SD!$AX:$AX=SD!$C$8), 0),INDEX(_xlpm.gradeRange, _xlpm.matchValue))),IF(AM159="Spiral",CONCATENATE("SP",_xlpm.PartF),_xlpm.PartF))</f>
        <v>#N/A</v>
      </c>
      <c r="BC159" cm="1">
        <f t="array" ref="BC159">_xlfn.LET(_xlpm.leftPart, LEFT(O159, FIND("@", O159) - 2),_xlpm.grade,Q159,_xlpm.gradeRange,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59" cm="1">
        <f t="array" ref="BD159">_xlfn.LET(_xlpm.leftPart, LEFT(P159, FIND("@", P159) - 2),_xlpm.grade, Q159,_xlpm.gradeRange,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59">
        <f t="shared" si="58"/>
        <v>2.5</v>
      </c>
      <c r="BF159">
        <f>IF(SD!$C$32=SD!$I$2,BE159,IF(SD!$C$32=SD!$I$3,DO159,IF(SD!$C$32=SD!$I$5,BA159,IF(SD!$C$32=SD!$I$6,(LEFT(SD!$C$35,FIND("-",SD!$C$35)-1)+RIGHT(SD!$C$35,LEN(SD!$C$35)-FIND("-",SD!$C$35))/12),IF(SD!$C$32=SD!$I$4,(AU159-(BG159+BH159)))))))</f>
        <v>0</v>
      </c>
      <c r="BG159">
        <f>IF(SD!$C$33=SD!$I$2,BE159,IF(SD!$C$33=SD!$I$3,DO159,IF(SD!$C$33=SD!$I$5,BA159,IF(SD!$C$33=SD!$I$6,(LEFT(SD!$C$35,FIND("-",SD!$C$35)-1)+RIGHT(SD!$C$35,LEN(SD!$C$35)-FIND("-",SD!$C$35))/12),IF(SD!$C$33=SD!$I$4,(AU159-(BF159+BH159)))))))</f>
        <v>-1</v>
      </c>
      <c r="BH159">
        <f>IF(SD!$C$34=SD!$I$2,BE159,IF(SD!$C$34=SD!$I$3,DO159,IF(SD!$C$34=SD!$I$5,BA159,IF(SD!$C$34=SD!$I$6,(LEFT(SD!$C$35,FIND("-",SD!$C$35)-1)+RIGHT(SD!$C$35,LEN(SD!$C$35)-FIND("-",SD!$C$35))/12),IF(SD!$C$34=SD!$I$4,(AU159-(BF159+BG159)))))))</f>
        <v>1</v>
      </c>
      <c r="BJ159">
        <f>IF(AM159="Spiral","1",MAX(ROUNDUP(IF(SD!$C$32="",AT159,BF159/(LEFT(RIGHT(N159,LEN(N159)-FIND("@",N159)),LEN(RIGHT(N159,LEN(N159)-FIND("@",N159)))-1)/12)+1),0),0))</f>
        <v>1</v>
      </c>
      <c r="BK159">
        <f>MAX(ROUNDUP(IF(SD!$C$33="","",BG159/(LEFT(RIGHT(O159,LEN(O159)-FIND("@",O159)),LEN(RIGHT(O159,LEN(O159)-FIND("@",O159)))-1)/12)+1),0),0)</f>
        <v>0</v>
      </c>
      <c r="BL159">
        <f>MAX(ROUNDUP(IF(SD!$C$34="","",BH159/(LEFT(RIGHT(P159,LEN(P159)-FIND("@",P159)),LEN(RIGHT(P159,LEN(P159)-FIND("@",P159)))-1)/12)+1),0),0)</f>
        <v>3</v>
      </c>
      <c r="BN159" t="e">
        <f t="shared" si="59"/>
        <v>#N/A</v>
      </c>
      <c r="BO159" t="e">
        <f t="shared" si="60"/>
        <v>#N/A</v>
      </c>
      <c r="BP159" t="e">
        <f t="shared" si="61"/>
        <v>#N/A</v>
      </c>
      <c r="BQ159" s="24" t="e">
        <f>IF(AM159=TRUE,(((Y159-(SD!$E$12*2))*3.14159265359)+BN159+BO159+BP159)/12+AL159,SUM(AF159:AG159,BN159,BO159,BP159,AO159,AQ159)/12)</f>
        <v>#N/A</v>
      </c>
      <c r="BR159" t="e">
        <f t="shared" si="62"/>
        <v>#N/A</v>
      </c>
      <c r="BS159" t="e">
        <f t="shared" si="63"/>
        <v>#N/A</v>
      </c>
      <c r="BT159" t="e">
        <f t="shared" si="64"/>
        <v>#N/A</v>
      </c>
      <c r="BU159" s="24" t="e">
        <f>IF(AM159=TRUE,(((Y159-(SD!$E$12*2))*3.14159265359)+BR159+BS159+BT159)/12+AL159,SUM(AF159:AG159,BR159,BS159,BT159,AO159,AQ159)/12)</f>
        <v>#N/A</v>
      </c>
      <c r="BW159" t="str">
        <f>IFERROR(LEFT(Data!L159,FIND(" -",Data!L159)-1),"")</f>
        <v/>
      </c>
      <c r="BX159" t="str">
        <f>IFERROR(IF(SD!$C$40=SD!$U$2,W159,IF(SD!$C$40=SD!$U$3,RIGHT(Data!L159,LEN(Data!L159)-(FIND("-",Data!L159)+1)),SD!$C$40)),"")</f>
        <v>#10</v>
      </c>
      <c r="BY159" t="str" cm="1">
        <f t="array" ref="BY159">IFERROR(_xlfn.LET(_xlpm.GRR,IF(AND(SD!$C$19=SD!$H$2,Grade!$G$1="Per level"),VLOOKUP(B159,Grade!$E$1:$F$200,2,FALSE),IF(AND(SD!$C$19=SD!$H$2,Grade!$G$1="Per Bar Size"),VLOOKUP(BX159,Grade!$B$1:$C$12,2,0),SD!$C$19)),_xlpm.is_equal, A158=A159,_xlpm.grade_range, IF(_xlpm.GRR=SD!$H$3, A615GR60,IF(_xlpm.GRR=SD!$H$4, A615GR75,IF(_xlpm.GRR=SD!$H$5, A615GR80,IF(_xlpm.GRR=SD!H163, A615GR100,IF(_xlpm.GRR=SD!$H$7, A706GR60,IF(_xlpm.GRR=SD!$H$8, A706GR80)))))),_xlpm.match_result, MATCH(1, (BSize=BX159)*(BCName=SD!$C$8), 0),_xlpm.final_result, INDEX(_xlpm.grade_range, _xlpm.match_result),IF(_xlpm.is_equal, "", _xlpm.final_result)),"")</f>
        <v/>
      </c>
      <c r="BZ159" t="str">
        <f>IF(A158=A159,"",IF(SD!$C$41="Match Vertical Bars ",X159,IF(SD!$C$41=SD!$V$3,BW159,SD!$C$41)))</f>
        <v/>
      </c>
      <c r="CA159" t="str" cm="1">
        <f t="array" ref="CA159">IF(A158=A159,"",IF(SD!$C$44="No T-Head",IF(SD!$C$42=SD!$Q$3,VLOOKUP(BX159,S90Range,3,FALSE),LEFT(SD!$C$42,FIND("-",SD!$C$42)-1)+(RIGHT(SD!$C$42,LEN(SD!$C$42)-FIND("-",SD!$C$42))/12)),IF(SD!$C$44="T-Head",_xlfn._xlws.FILTER(THead,(TCName=SD!$C$8)*(TSize=BX159)),IF(SD!$C$44="Level Wise",_xlfn.LET(_xlpm.result,_xlfn.XLOOKUP(B159,VDLevel,VDLevelStatus,"No"),IF(_xlpm.result="Yes",_xlfn._xlws.FILTER(THead,(TCName=SD!$C$8)*(TSize=BX159)),IF(SD!$C$42=SD!$Q$3,VLOOKUP(BX159,S90Range,3,FALSE),LEFT(SD!$C$42,FIND("-",SD!$C$42)-1)+(RIGHT(SD!$C$42,LEN(SD!$C$42)-FIND("-", SD!$C$42))/12)))),IF(SD!$C$44="BarSize Wise",_xlfn.LET(_xlpm.result,_xlfn.XLOOKUP(BX159,VDBarSize,VDBarSizeStatus,"No"),IF(_xlpm.result="Yes",_xlfn._xlws.FILTER(THead,(TCName=SD!$C$8)*(TSize=BX159)),IF(SD!$C$42=SD!$Q$3,VLOOKUP(BX159,S90Range,3,FALSE),LEFT(SD!$C$42,FIND("-",SD!$C$42)-1)+(RIGHT(SD!$C$42,LEN(SD!$C$42)-FIND("-",SD!$C$42))/12)))), "")))))</f>
        <v/>
      </c>
      <c r="CB159" t="str" cm="1">
        <f t="array" ref="CB159">_xlfn.LET(_xlpm.GRR,IF(AND(SD!$C$19=SD!$H$2,Grade!$G$1="Per level"),VLOOKUP(B159,Grade!$E$1:$F$200,2,FALSE),IF(AND(SD!$C$19=SD!$H$2,Grade!$G$1="Per Bar Size"),VLOOKUP(BX159,Grade!$B$1:$C$12,2,0),SD!$C$19)),_xlpm.is_coupler, K159="Coupler",_xlpm.condition1, SD!$C$43=SD!$W$2,_xlpm.data_j2_empty, Data!$J159="",_xlpm.lookup_table, IF(SD!$C$11="Create", Lap!$A$3:$BF$14, IF(SD!$C$11="Per Uploaded File", Lap!$A$19:$BF$30, "")),_xlpm.row_match, MATCH(BX159, Lap!$A$3:$A$14, 0),_xlpm.grade_offset, IF(IFERROR(FIND("Grade 60",_xlpm.GRR), 0) &gt; 0, 0, IF(IFERROR(FIND("Grade 80",_xlpm.GRR), 0), 1, IF(IFERROR(FIND("Grade 75",_xlpm.GRR), 0), 2, ""))),_xlpm.col_match, MATCH(VALUE(D159), Lap!$A$3:$BF$3, 0) + _xlpm.grade_offset,_xlpm.index_result, IFERROR(INDEX(_xlpm.lookup_table, _xlpm.row_match, _xlpm.col_match), Data!$J159),_xlpm.result_if_condition1, IF(_xlpm.data_j2_empty, _xlpm.index_result, Data!$J159),IF(_xlpm.is_coupler, 0, IF(_xlpm.condition1, _xlpm.result_if_condition1, SD!$C$43)))</f>
        <v>5-1</v>
      </c>
      <c r="CC159" s="24">
        <f t="shared" si="65"/>
        <v>5.083333333333333</v>
      </c>
      <c r="CD159">
        <f t="shared" si="66"/>
        <v>5.75</v>
      </c>
      <c r="CE159" t="str" cm="1">
        <f t="array" ref="CE159">IF(BY159="","",_xlfn._xlws.FILTER(SAC,(CName=SD!$C$8)*(EName="Vert Dowels")))</f>
        <v/>
      </c>
      <c r="CF159" t="str" cm="1">
        <f t="array" ref="CF159">IFERROR(IF(BY159="","",IF(K159="Coupler",_xlfn._xlws.FILTER(CCoupler,(CCName=SD!$C$8)*(CBSize=IF(A158=A159,W158&amp;W159,BX159&amp;W159))*(CCMFM="Male")),"")),"N/A")</f>
        <v/>
      </c>
      <c r="CG159" t="str">
        <f t="shared" si="67"/>
        <v/>
      </c>
      <c r="CH159" t="str">
        <f t="shared" si="68"/>
        <v/>
      </c>
      <c r="CI159" t="str">
        <f>_xlfn.LET(_xlpm.u3_value, U160,_xlpm.hyphen_pos,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K160="Coupler",_xlpm.coupler_value, IF(_xlpm.is_coupler, 0, _xlpm.calculated_value),_xlpm.final_value, _xlpm.calculated_value + SD!$E$13 + _xlpm.coupler_value,IF(CG159="", "", _xlpm.final_value))</f>
        <v/>
      </c>
      <c r="CJ159" t="str" cm="1">
        <f t="array" ref="CJ159">IF(CG159="","",_xlfn._xlws.FILTER(SAC,(CName=SD!$C$8)*(EName="Loose Dowels")))</f>
        <v/>
      </c>
      <c r="CK159" t="str" cm="1">
        <f t="array" ref="CK159">IFERROR(IF(CG159="","",IF(K160="Coupler",_xlfn._xlws.FILTER(CCoupler,(CCName=SD!$C$8)*(CBSize=IF(A159=A160,W159&amp;W160,""))*(CCMFM="Male")),"")),"N/A")</f>
        <v/>
      </c>
      <c r="CL159" t="str">
        <f>IFERROR(IF(AM159="Spiral","",IF(A158=A159,"",IF(SD!$C$37=0,"",SD!$C$37))),"")</f>
        <v/>
      </c>
      <c r="CN159">
        <f>IF(AM159="Spiral","",IFERROR(IF(SD!$C$36=0,"",SD!$C$36),""))</f>
        <v>5</v>
      </c>
      <c r="CP159" t="str">
        <f>IFERROR(IF(SD!$C$42=SD!$Q$3,'Take-off'!CA159,""),"")</f>
        <v/>
      </c>
      <c r="CR159">
        <f>IFERROR(IF(SD!$C$22=SD!$U$2,W159,SD!$C$22),"")</f>
        <v>0</v>
      </c>
      <c r="CS159" t="str" cm="1">
        <f t="array" ref="CS159">_xlfn.LET(_xlpm.GR,IF(AND(SD!$C$19=SD!$H$2,Grade!$G$1="Per level"),VLOOKUP(B159,Grade!$E$1:$F$200,2,FALSE),IF(AND(SD!$C$19=SD!$H$2,Grade!$G$1="Per Bar Size"),VLOOKUP(CR159,Grade!$B$1:$C$12,2,0),SD!$C$19)),IF(SD!$C$20=SD!$R$4,IF(A160=A159,"",INDEX(IF(_xlpm.GR=SD!$H$3,A615GR60,IF(_xlpm.GR=SD!$H$4,A615GR75,IF(_xlpm.GR=SD!$H$5,A615GR80,IF(_xlpm.GR=SD!H163,A615GR100,IF(_xlpm.GR=SD!$H$7,A706GR60,IF(_xlpm.GR=SD!$H$8,A706GR80)))))), MATCH(1, (BSize=CR159)*(BCName=SD!$C$8), 0))),""))</f>
        <v/>
      </c>
      <c r="CT159" t="str">
        <f>IF(A160=A159,"",IF(SD!$C$23="Match Vertical Bars ",X159,SD!$C$23))</f>
        <v/>
      </c>
      <c r="CU159" t="str" cm="1">
        <f t="array" ref="CU159">IF(A160=A159,"",IF(SD!$C$20="Top dowels",IF(SD!$E$25="No T-Head",IF(SD!$C$24=SD!$Q$3,VLOOKUP(CR159,S90Range,3,FALSE),LEFT(SD!$C$24,FIND("-",SD!$C$24)-1)+(RIGHT(SD!$C$24,LEN(SD!$C$24)-FIND("-",SD!$C$24))/12)),IF(SD!$E$25="T-Head",_xlfn._xlws.FILTER(THead,(TCName=SD!$C$8)*(TSize=CR159)),IF(SD!$E$25="Level Wise",_xlfn.LET(_xlpm.result,_xlfn.XLOOKUP(B159,TDLevel,TDLevelStatus,"No"),IF(_xlpm.result="Yes",_xlfn._xlws.FILTER(THead,(TCName=SD!$C$8)*(TSize=CR159)),IF(SD!$C$24=SD!$Q$3,VLOOKUP(CR159,S90Range,3,FALSE),LEFT(SD!$C$24,FIND("-",SD!$C$24)-1)+(RIGHT(SD!$C$24,LEN(SD!$C$24)-FIND("-", SD!$C$24))/12)))),IF(SD!$E$25="BarSize Wise",_xlfn.LET(_xlpm.result,_xlfn.XLOOKUP(CR159,TDBarSize,TDBarSizeStatus,"No"),IF(_xlpm.result="Yes",_xlfn._xlws.FILTER(THead,(TCName=SD!$C$8)*(TSize=CR159)),IF(SD!$C$24=SD!$Q$3,VLOOKUP(CR159,S90Range,3,FALSE),LEFT(SD!$C$24,FIND("-",SD!$C$24)-1)+(RIGHT(SD!$C$24,LEN(SD!$C$24)-FIND("-",SD!$C$24))/12)))), "")))),""))</f>
        <v/>
      </c>
      <c r="CV159" t="str">
        <f>_xlfn.LET(_xlpm.GRR,IF(AND(SD!$C$19=SD!$H$2,Grade!$G$1="Per level"),VLOOKUP(B159,Grade!$E$1:$F$200,2,FALSE),IF(AND(SD!$C$19=SD!$H$2,Grade!$G$1="Per Bar Size"),VLOOKUP(CR159,Grade!$B$1:$C$12,2,0),SD!$C$19)),IF(SD!$C$25=SD!$W$2,IF(Data!$J159="",IFERROR(INDEX(IF(SD!$C$11="Create",Lap!$A$3:$BF$14,IF(SD!$C$11="Per Uploaded File",Lap!$A$19:$BF$30,"")),MATCH(CR159,Lap!$A$3:$A$14,0),MATCH(VALUE(D159),Lap!$A$3:$BF$3,0)+IF(IFERROR(FIND("Grade 60",_xlpm.GRR),0)&gt;0,0,IF(IFERROR(FIND("Grade 80",_xlpm.GRR),0),1,IF(IFERROR(FIND("Grade 75",_xlpm.GRR),0),2,"")))),""),Data!J159),SD!$C$43))</f>
        <v>Match Lap</v>
      </c>
      <c r="CW159">
        <f t="shared" si="69"/>
        <v>0</v>
      </c>
      <c r="CX159">
        <f t="shared" si="70"/>
        <v>0</v>
      </c>
      <c r="CY159" t="str">
        <f t="shared" si="71"/>
        <v/>
      </c>
      <c r="DA159" t="str">
        <f t="shared" si="72"/>
        <v/>
      </c>
      <c r="DB159" t="str">
        <f t="shared" si="73"/>
        <v/>
      </c>
      <c r="DC159" s="24" t="str">
        <f t="shared" si="74"/>
        <v/>
      </c>
      <c r="DD159">
        <f t="shared" si="75"/>
        <v>10.583333333333334</v>
      </c>
      <c r="DE159" t="s">
        <v>785</v>
      </c>
      <c r="DF159" t="s">
        <v>67</v>
      </c>
      <c r="DG159" t="str">
        <f>VLOOKUP(W159,'Level Wise PSI'!$F$2:$G$12,2,FALSE)</f>
        <v>Double Lift</v>
      </c>
      <c r="DI159" t="str" cm="1">
        <f t="array" ref="DI159">_xlfn.LET(_xlpm.Coup,IFERROR(IF(BY159="","",IF(K159="Coupler",_xlfn._xlws.FILTER(CCFCoupler,(CCName=SD!$C$8)*(CBSize=IF(A158=A159,W158&amp;W159,BX159&amp;W159))),"")),"N/A"),IF(_xlpm.Coup=0,"",_xlpm.Coup))</f>
        <v/>
      </c>
      <c r="DJ159" t="str" cm="1">
        <f t="array" ref="DJ159">_xlfn.LET(_xlpm.Coup3,IFERROR(IF(CG159="","",IF(K160="Coupler",_xlfn._xlws.FILTER(CCFCoupler,(CCName=SD!$C$8)*(CBSize=IF(A159=A160,W159&amp;W160,""))),"")),"N/A"),IF(_xlpm.Coup3=0,"",_xlpm.Coup3))</f>
        <v/>
      </c>
      <c r="DK159" t="str" cm="1">
        <f t="array" ref="DK159">_xlfn.LET(_xlpm.Coup2,IFERROR(IF(A159&lt;&gt;A160,"",IF(DF159="No Lap","",IF(K160="Coupler",_xlfn._xlws.FILTER(CCFCoupler,(CCName=SD!$C$8)*(CBSize=IF(A158=A159,W159&amp;W160,W159&amp;W159))),""))),"N/A"),IF(_xlpm.Coup2=0,"",_xlpm.Coup2))</f>
        <v/>
      </c>
      <c r="DM159" t="str">
        <f>IF(AM159="Spiral","",IF(SD!$C$31=SD!$Y$3,SD!$E$32*2,""))</f>
        <v/>
      </c>
      <c r="DO159" s="24">
        <f t="shared" si="76"/>
        <v>2.5</v>
      </c>
      <c r="DQ159" t="str">
        <f t="shared" si="77"/>
        <v>Lig</v>
      </c>
      <c r="DR159" t="str">
        <f>IF(AM159="Spiral",((Y159-(SD!$E$12*2))/12),"")</f>
        <v/>
      </c>
      <c r="DS159" t="str">
        <f t="shared" si="78"/>
        <v/>
      </c>
      <c r="DT159" t="str">
        <f t="shared" si="79"/>
        <v/>
      </c>
      <c r="DU159" t="str">
        <f t="shared" si="80"/>
        <v/>
      </c>
    </row>
    <row r="160" spans="1:125" x14ac:dyDescent="0.25">
      <c r="A160">
        <v>48</v>
      </c>
      <c r="B160" t="s">
        <v>680</v>
      </c>
      <c r="C160" s="15">
        <v>2429</v>
      </c>
      <c r="D160" s="15">
        <v>10000</v>
      </c>
      <c r="E160" t="str">
        <f>IF(B160=Level!$A$2,SD!$C$14,SD!$C$13)</f>
        <v>0-8</v>
      </c>
      <c r="F160" s="15" t="s">
        <v>787</v>
      </c>
      <c r="G160" t="s">
        <v>742</v>
      </c>
      <c r="H160" t="str">
        <f>RIGHT(VLOOKUP(B160,Level!A:C,3,FALSE),LEN(VLOOKUP(B160,Level!A:C,3,FALSE))-1)</f>
        <v>10-7</v>
      </c>
      <c r="I160" t="s">
        <v>743</v>
      </c>
      <c r="J160" t="str">
        <f>IF(AND(SD!$C$19=SD!$H$2,Grade!$G$1="Per level"),VLOOKUP(B160,Grade!$E$1:$F$200,2,FALSE),IF(AND(SD!$C$19=SD!$H$2,Grade!$G$1="Per Bar Size"),VLOOKUP(W160,Grade!$B$1:$C$12,2,0),SD!$C$19))</f>
        <v>A615 Grade 60</v>
      </c>
      <c r="K160" t="s">
        <v>67</v>
      </c>
      <c r="L160" t="str">
        <f>IFERROR(IF(A160&lt;&gt;A161,"",IF(DF160="No Lap","",IF(K161="Lap",U160,IF(K161="Coupler",_xlfn._xlws.FILTER(CCoupler,(CCName=SD!$C$8)*(CBSize=IF(A159=A160,W160&amp;W161,W160&amp;W160))*(CCMFM="Male")),"")))),"N/A")</f>
        <v>5-1</v>
      </c>
      <c r="M160" t="str">
        <f t="shared" si="54"/>
        <v/>
      </c>
      <c r="N160" t="s">
        <v>719</v>
      </c>
      <c r="O160" t="s">
        <v>720</v>
      </c>
      <c r="P160" t="s">
        <v>719</v>
      </c>
      <c r="Q160" t="str">
        <f>IF(AND(SD!$C$29=SD!$P$2,Grade!$O$1="Per level"),VLOOKUP(B160,Grade!$M$1:$N$200,2,FALSE),IF(AND(SD!$C$29=SD!$P$2,Grade!$O$1="Per Bar Size"),VLOOKUP(LEFT(N160,FIND("@",N160)-2),Grade!$J$1:$K$12,2,0),SD!$C$29))</f>
        <v>A615 Grade 60</v>
      </c>
      <c r="R160" t="s">
        <v>742</v>
      </c>
      <c r="S160" s="57">
        <v>160</v>
      </c>
      <c r="U160" t="str">
        <f>IF(Data!$J160="",IFERROR(INDEX(IF(SD!$C$11="Create",Lap!$A$3:$BF$14,IF(SD!$C$11="Per Uploaded File",Lap!$A$19:$BF$30,"")),MATCH(W160,Lap!$A$3:$A$14,0),MATCH(VALUE(D160),Lap!$A$3:$BF$3,0)+IF(IFERROR(FIND("Grade 60",J160),0)&gt;0,0,IF(IFERROR(FIND("Grade 80",J160),0),1,IF(IFERROR(FIND("Grade 75",J160),0),2,"")))),""),Data!J160)</f>
        <v>5-1</v>
      </c>
      <c r="W160" t="s">
        <v>176</v>
      </c>
      <c r="X160">
        <v>6</v>
      </c>
      <c r="Y160" t="str">
        <f t="shared" si="55"/>
        <v>30</v>
      </c>
      <c r="Z160">
        <f t="shared" si="56"/>
        <v>0</v>
      </c>
      <c r="AA160" s="24">
        <f t="shared" si="57"/>
        <v>15.666666666666666</v>
      </c>
      <c r="BB160" t="e" cm="1">
        <f t="array" ref="BB160">_xlfn.LET(_xlpm.PartF,(_xlfn.LET(_xlpm.grade, Q160,_xlpm.gradeRange, IF(_xlpm.grade=SD!$H$3, A615GR60, IF(_xlpm.grade=SD!$H$4, A615GR75, IF(_xlpm.grade=SD!$H$5, A615GR80, IF(_xlpm.grade=SD!$H$6, A615GR100, IF(_xlpm.grade=SD!$H$7, A706GR60, IF(_xlpm.grade=SD!$H$8, A706GR80)))))),_xlpm.matchValue, MATCH(1, (SD!$AW:$AW=AS160)*(SD!$AX:$AX=SD!$C$8), 0),INDEX(_xlpm.gradeRange, _xlpm.matchValue))),IF(AM160="Spiral",CONCATENATE("SP",_xlpm.PartF),_xlpm.PartF))</f>
        <v>#N/A</v>
      </c>
      <c r="BC160" cm="1">
        <f t="array" ref="BC160">_xlfn.LET(_xlpm.leftPart, LEFT(O160, FIND("@", O160) - 2),_xlpm.grade,Q160,_xlpm.gradeRange,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0" cm="1">
        <f t="array" ref="BD160">_xlfn.LET(_xlpm.leftPart, LEFT(P160, FIND("@", P160) - 2),_xlpm.grade, Q160,_xlpm.gradeRange,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0">
        <f t="shared" si="58"/>
        <v>2.5</v>
      </c>
      <c r="BF160">
        <f>IF(SD!$C$32=SD!$I$2,BE160,IF(SD!$C$32=SD!$I$3,DO160,IF(SD!$C$32=SD!$I$5,BA160,IF(SD!$C$32=SD!$I$6,(LEFT(SD!$C$35,FIND("-",SD!$C$35)-1)+RIGHT(SD!$C$35,LEN(SD!$C$35)-FIND("-",SD!$C$35))/12),IF(SD!$C$32=SD!$I$4,(AU160-(BG160+BH160)))))))</f>
        <v>0</v>
      </c>
      <c r="BG160">
        <f>IF(SD!$C$33=SD!$I$2,BE160,IF(SD!$C$33=SD!$I$3,DO160,IF(SD!$C$33=SD!$I$5,BA160,IF(SD!$C$33=SD!$I$6,(LEFT(SD!$C$35,FIND("-",SD!$C$35)-1)+RIGHT(SD!$C$35,LEN(SD!$C$35)-FIND("-",SD!$C$35))/12),IF(SD!$C$33=SD!$I$4,(AU160-(BF160+BH160)))))))</f>
        <v>-1</v>
      </c>
      <c r="BH160">
        <f>IF(SD!$C$34=SD!$I$2,BE160,IF(SD!$C$34=SD!$I$3,DO160,IF(SD!$C$34=SD!$I$5,BA160,IF(SD!$C$34=SD!$I$6,(LEFT(SD!$C$35,FIND("-",SD!$C$35)-1)+RIGHT(SD!$C$35,LEN(SD!$C$35)-FIND("-",SD!$C$35))/12),IF(SD!$C$34=SD!$I$4,(AU160-(BF160+BG160)))))))</f>
        <v>1</v>
      </c>
      <c r="BJ160">
        <f>IF(AM160="Spiral","1",MAX(ROUNDUP(IF(SD!$C$32="",AT160,BF160/(LEFT(RIGHT(N160,LEN(N160)-FIND("@",N160)),LEN(RIGHT(N160,LEN(N160)-FIND("@",N160)))-1)/12)+1),0),0))</f>
        <v>1</v>
      </c>
      <c r="BK160">
        <f>MAX(ROUNDUP(IF(SD!$C$33="","",BG160/(LEFT(RIGHT(O160,LEN(O160)-FIND("@",O160)),LEN(RIGHT(O160,LEN(O160)-FIND("@",O160)))-1)/12)+1),0),0)</f>
        <v>0</v>
      </c>
      <c r="BL160">
        <f>MAX(ROUNDUP(IF(SD!$C$34="","",BH160/(LEFT(RIGHT(P160,LEN(P160)-FIND("@",P160)),LEN(RIGHT(P160,LEN(P160)-FIND("@",P160)))-1)/12)+1),0),0)</f>
        <v>3</v>
      </c>
      <c r="BN160" t="e">
        <f t="shared" si="59"/>
        <v>#N/A</v>
      </c>
      <c r="BO160" t="e">
        <f t="shared" si="60"/>
        <v>#N/A</v>
      </c>
      <c r="BP160" t="e">
        <f t="shared" si="61"/>
        <v>#N/A</v>
      </c>
      <c r="BQ160" s="24" t="e">
        <f>IF(AM160=TRUE,(((Y160-(SD!$E$12*2))*3.14159265359)+BN160+BO160+BP160)/12+AL160,SUM(AF160:AG160,BN160,BO160,BP160,AO160,AQ160)/12)</f>
        <v>#N/A</v>
      </c>
      <c r="BR160" t="e">
        <f t="shared" si="62"/>
        <v>#N/A</v>
      </c>
      <c r="BS160" t="e">
        <f t="shared" si="63"/>
        <v>#N/A</v>
      </c>
      <c r="BT160" t="e">
        <f t="shared" si="64"/>
        <v>#N/A</v>
      </c>
      <c r="BU160" s="24" t="e">
        <f>IF(AM160=TRUE,(((Y160-(SD!$E$12*2))*3.14159265359)+BR160+BS160+BT160)/12+AL160,SUM(AF160:AG160,BR160,BS160,BT160,AO160,AQ160)/12)</f>
        <v>#N/A</v>
      </c>
      <c r="BW160" t="str">
        <f>IFERROR(LEFT(Data!L160,FIND(" -",Data!L160)-1),"")</f>
        <v/>
      </c>
      <c r="BX160" t="str">
        <f>IFERROR(IF(SD!$C$40=SD!$U$2,W160,IF(SD!$C$40=SD!$U$3,RIGHT(Data!L160,LEN(Data!L160)-(FIND("-",Data!L160)+1)),SD!$C$40)),"")</f>
        <v>#10</v>
      </c>
      <c r="BY160" t="str" cm="1">
        <f t="array" ref="BY160">IFERROR(_xlfn.LET(_xlpm.GRR,IF(AND(SD!$C$19=SD!$H$2,Grade!$G$1="Per level"),VLOOKUP(B160,Grade!$E$1:$F$200,2,FALSE),IF(AND(SD!$C$19=SD!$H$2,Grade!$G$1="Per Bar Size"),VLOOKUP(BX160,Grade!$B$1:$C$12,2,0),SD!$C$19)),_xlpm.is_equal, A159=A160,_xlpm.grade_range, IF(_xlpm.GRR=SD!$H$3, A615GR60,IF(_xlpm.GRR=SD!$H$4, A615GR75,IF(_xlpm.GRR=SD!$H$5, A615GR80,IF(_xlpm.GRR=SD!H164, A615GR100,IF(_xlpm.GRR=SD!$H$7, A706GR60,IF(_xlpm.GRR=SD!$H$8, A706GR80)))))),_xlpm.match_result, MATCH(1, (BSize=BX160)*(BCName=SD!$C$8), 0),_xlpm.final_result, INDEX(_xlpm.grade_range, _xlpm.match_result),IF(_xlpm.is_equal, "", _xlpm.final_result)),"")</f>
        <v/>
      </c>
      <c r="BZ160" t="str">
        <f>IF(A159=A160,"",IF(SD!$C$41="Match Vertical Bars ",X160,IF(SD!$C$41=SD!$V$3,BW160,SD!$C$41)))</f>
        <v/>
      </c>
      <c r="CA160" t="str" cm="1">
        <f t="array" ref="CA160">IF(A159=A160,"",IF(SD!$C$44="No T-Head",IF(SD!$C$42=SD!$Q$3,VLOOKUP(BX160,S90Range,3,FALSE),LEFT(SD!$C$42,FIND("-",SD!$C$42)-1)+(RIGHT(SD!$C$42,LEN(SD!$C$42)-FIND("-",SD!$C$42))/12)),IF(SD!$C$44="T-Head",_xlfn._xlws.FILTER(THead,(TCName=SD!$C$8)*(TSize=BX160)),IF(SD!$C$44="Level Wise",_xlfn.LET(_xlpm.result,_xlfn.XLOOKUP(B160,VDLevel,VDLevelStatus,"No"),IF(_xlpm.result="Yes",_xlfn._xlws.FILTER(THead,(TCName=SD!$C$8)*(TSize=BX160)),IF(SD!$C$42=SD!$Q$3,VLOOKUP(BX160,S90Range,3,FALSE),LEFT(SD!$C$42,FIND("-",SD!$C$42)-1)+(RIGHT(SD!$C$42,LEN(SD!$C$42)-FIND("-", SD!$C$42))/12)))),IF(SD!$C$44="BarSize Wise",_xlfn.LET(_xlpm.result,_xlfn.XLOOKUP(BX160,VDBarSize,VDBarSizeStatus,"No"),IF(_xlpm.result="Yes",_xlfn._xlws.FILTER(THead,(TCName=SD!$C$8)*(TSize=BX160)),IF(SD!$C$42=SD!$Q$3,VLOOKUP(BX160,S90Range,3,FALSE),LEFT(SD!$C$42,FIND("-",SD!$C$42)-1)+(RIGHT(SD!$C$42,LEN(SD!$C$42)-FIND("-",SD!$C$42))/12)))), "")))))</f>
        <v/>
      </c>
      <c r="CB160" t="str" cm="1">
        <f t="array" ref="CB160">_xlfn.LET(_xlpm.GRR,IF(AND(SD!$C$19=SD!$H$2,Grade!$G$1="Per level"),VLOOKUP(B160,Grade!$E$1:$F$200,2,FALSE),IF(AND(SD!$C$19=SD!$H$2,Grade!$G$1="Per Bar Size"),VLOOKUP(BX160,Grade!$B$1:$C$12,2,0),SD!$C$19)),_xlpm.is_coupler, K160="Coupler",_xlpm.condition1, SD!$C$43=SD!$W$2,_xlpm.data_j2_empty, Data!$J160="",_xlpm.lookup_table, IF(SD!$C$11="Create", Lap!$A$3:$BF$14, IF(SD!$C$11="Per Uploaded File", Lap!$A$19:$BF$30, "")),_xlpm.row_match, MATCH(BX160, Lap!$A$3:$A$14, 0),_xlpm.grade_offset, IF(IFERROR(FIND("Grade 60",_xlpm.GRR), 0) &gt; 0, 0, IF(IFERROR(FIND("Grade 80",_xlpm.GRR), 0), 1, IF(IFERROR(FIND("Grade 75",_xlpm.GRR), 0), 2, ""))),_xlpm.col_match, MATCH(VALUE(D160), Lap!$A$3:$BF$3, 0) + _xlpm.grade_offset,_xlpm.index_result, IFERROR(INDEX(_xlpm.lookup_table, _xlpm.row_match, _xlpm.col_match), Data!$J160),_xlpm.result_if_condition1, IF(_xlpm.data_j2_empty, _xlpm.index_result, Data!$J160),IF(_xlpm.is_coupler, 0, IF(_xlpm.condition1, _xlpm.result_if_condition1, SD!$C$43)))</f>
        <v>5-1</v>
      </c>
      <c r="CC160" s="24">
        <f t="shared" si="65"/>
        <v>5.083333333333333</v>
      </c>
      <c r="CD160">
        <f t="shared" si="66"/>
        <v>5.75</v>
      </c>
      <c r="CE160" t="str" cm="1">
        <f t="array" ref="CE160">IF(BY160="","",_xlfn._xlws.FILTER(SAC,(CName=SD!$C$8)*(EName="Vert Dowels")))</f>
        <v/>
      </c>
      <c r="CF160" t="str" cm="1">
        <f t="array" ref="CF160">IFERROR(IF(BY160="","",IF(K160="Coupler",_xlfn._xlws.FILTER(CCoupler,(CCName=SD!$C$8)*(CBSize=IF(A159=A160,W159&amp;W160,BX160&amp;W160))*(CCMFM="Male")),"")),"N/A")</f>
        <v/>
      </c>
      <c r="CG160" t="str">
        <f t="shared" si="67"/>
        <v/>
      </c>
      <c r="CH160" t="str">
        <f t="shared" si="68"/>
        <v/>
      </c>
      <c r="CI160" t="str">
        <f>_xlfn.LET(_xlpm.u3_value, U161,_xlpm.hyphen_pos,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K161="Coupler",_xlpm.coupler_value, IF(_xlpm.is_coupler, 0, _xlpm.calculated_value),_xlpm.final_value, _xlpm.calculated_value + SD!$E$13 + _xlpm.coupler_value,IF(CG160="", "", _xlpm.final_value))</f>
        <v/>
      </c>
      <c r="CJ160" t="str" cm="1">
        <f t="array" ref="CJ160">IF(CG160="","",_xlfn._xlws.FILTER(SAC,(CName=SD!$C$8)*(EName="Loose Dowels")))</f>
        <v/>
      </c>
      <c r="CK160" t="str" cm="1">
        <f t="array" ref="CK160">IFERROR(IF(CG160="","",IF(K161="Coupler",_xlfn._xlws.FILTER(CCoupler,(CCName=SD!$C$8)*(CBSize=IF(A160=A161,W160&amp;W161,""))*(CCMFM="Male")),"")),"N/A")</f>
        <v/>
      </c>
      <c r="CL160" t="str">
        <f>IFERROR(IF(AM160="Spiral","",IF(A159=A160,"",IF(SD!$C$37=0,"",SD!$C$37))),"")</f>
        <v/>
      </c>
      <c r="CN160">
        <f>IF(AM160="Spiral","",IFERROR(IF(SD!$C$36=0,"",SD!$C$36),""))</f>
        <v>5</v>
      </c>
      <c r="CP160" t="str">
        <f>IFERROR(IF(SD!$C$42=SD!$Q$3,'Take-off'!CA160,""),"")</f>
        <v/>
      </c>
      <c r="CR160">
        <f>IFERROR(IF(SD!$C$22=SD!$U$2,W160,SD!$C$22),"")</f>
        <v>0</v>
      </c>
      <c r="CS160" t="str" cm="1">
        <f t="array" ref="CS160">_xlfn.LET(_xlpm.GR,IF(AND(SD!$C$19=SD!$H$2,Grade!$G$1="Per level"),VLOOKUP(B160,Grade!$E$1:$F$200,2,FALSE),IF(AND(SD!$C$19=SD!$H$2,Grade!$G$1="Per Bar Size"),VLOOKUP(CR160,Grade!$B$1:$C$12,2,0),SD!$C$19)),IF(SD!$C$20=SD!$R$4,IF(A161=A160,"",INDEX(IF(_xlpm.GR=SD!$H$3,A615GR60,IF(_xlpm.GR=SD!$H$4,A615GR75,IF(_xlpm.GR=SD!$H$5,A615GR80,IF(_xlpm.GR=SD!H164,A615GR100,IF(_xlpm.GR=SD!$H$7,A706GR60,IF(_xlpm.GR=SD!$H$8,A706GR80)))))), MATCH(1, (BSize=CR160)*(BCName=SD!$C$8), 0))),""))</f>
        <v/>
      </c>
      <c r="CT160" t="str">
        <f>IF(A161=A160,"",IF(SD!$C$23="Match Vertical Bars ",X160,SD!$C$23))</f>
        <v/>
      </c>
      <c r="CU160" t="str" cm="1">
        <f t="array" ref="CU160">IF(A161=A160,"",IF(SD!$C$20="Top dowels",IF(SD!$E$25="No T-Head",IF(SD!$C$24=SD!$Q$3,VLOOKUP(CR160,S90Range,3,FALSE),LEFT(SD!$C$24,FIND("-",SD!$C$24)-1)+(RIGHT(SD!$C$24,LEN(SD!$C$24)-FIND("-",SD!$C$24))/12)),IF(SD!$E$25="T-Head",_xlfn._xlws.FILTER(THead,(TCName=SD!$C$8)*(TSize=CR160)),IF(SD!$E$25="Level Wise",_xlfn.LET(_xlpm.result,_xlfn.XLOOKUP(B160,TDLevel,TDLevelStatus,"No"),IF(_xlpm.result="Yes",_xlfn._xlws.FILTER(THead,(TCName=SD!$C$8)*(TSize=CR160)),IF(SD!$C$24=SD!$Q$3,VLOOKUP(CR160,S90Range,3,FALSE),LEFT(SD!$C$24,FIND("-",SD!$C$24)-1)+(RIGHT(SD!$C$24,LEN(SD!$C$24)-FIND("-", SD!$C$24))/12)))),IF(SD!$E$25="BarSize Wise",_xlfn.LET(_xlpm.result,_xlfn.XLOOKUP(CR160,TDBarSize,TDBarSizeStatus,"No"),IF(_xlpm.result="Yes",_xlfn._xlws.FILTER(THead,(TCName=SD!$C$8)*(TSize=CR160)),IF(SD!$C$24=SD!$Q$3,VLOOKUP(CR160,S90Range,3,FALSE),LEFT(SD!$C$24,FIND("-",SD!$C$24)-1)+(RIGHT(SD!$C$24,LEN(SD!$C$24)-FIND("-",SD!$C$24))/12)))), "")))),""))</f>
        <v/>
      </c>
      <c r="CV160" t="str">
        <f>_xlfn.LET(_xlpm.GRR,IF(AND(SD!$C$19=SD!$H$2,Grade!$G$1="Per level"),VLOOKUP(B160,Grade!$E$1:$F$200,2,FALSE),IF(AND(SD!$C$19=SD!$H$2,Grade!$G$1="Per Bar Size"),VLOOKUP(CR160,Grade!$B$1:$C$12,2,0),SD!$C$19)),IF(SD!$C$25=SD!$W$2,IF(Data!$J160="",IFERROR(INDEX(IF(SD!$C$11="Create",Lap!$A$3:$BF$14,IF(SD!$C$11="Per Uploaded File",Lap!$A$19:$BF$30,"")),MATCH(CR160,Lap!$A$3:$A$14,0),MATCH(VALUE(D160),Lap!$A$3:$BF$3,0)+IF(IFERROR(FIND("Grade 60",_xlpm.GRR),0)&gt;0,0,IF(IFERROR(FIND("Grade 80",_xlpm.GRR),0),1,IF(IFERROR(FIND("Grade 75",_xlpm.GRR),0),2,"")))),""),Data!J160),SD!$C$43))</f>
        <v>Match Lap</v>
      </c>
      <c r="CW160">
        <f t="shared" si="69"/>
        <v>0</v>
      </c>
      <c r="CX160">
        <f t="shared" si="70"/>
        <v>0</v>
      </c>
      <c r="CY160" t="str">
        <f t="shared" si="71"/>
        <v/>
      </c>
      <c r="DA160" t="str">
        <f t="shared" si="72"/>
        <v/>
      </c>
      <c r="DB160" t="str">
        <f t="shared" si="73"/>
        <v/>
      </c>
      <c r="DC160" s="24" t="str">
        <f t="shared" si="74"/>
        <v/>
      </c>
      <c r="DD160">
        <f t="shared" si="75"/>
        <v>10.583333333333334</v>
      </c>
      <c r="DE160" t="s">
        <v>785</v>
      </c>
      <c r="DF160" t="s">
        <v>67</v>
      </c>
      <c r="DG160" t="str">
        <f>VLOOKUP(W160,'Level Wise PSI'!$F$2:$G$12,2,FALSE)</f>
        <v>Double Lift</v>
      </c>
      <c r="DI160" t="str" cm="1">
        <f t="array" ref="DI160">_xlfn.LET(_xlpm.Coup,IFERROR(IF(BY160="","",IF(K160="Coupler",_xlfn._xlws.FILTER(CCFCoupler,(CCName=SD!$C$8)*(CBSize=IF(A159=A160,W159&amp;W160,BX160&amp;W160))),"")),"N/A"),IF(_xlpm.Coup=0,"",_xlpm.Coup))</f>
        <v/>
      </c>
      <c r="DJ160" t="str" cm="1">
        <f t="array" ref="DJ160">_xlfn.LET(_xlpm.Coup3,IFERROR(IF(CG160="","",IF(K161="Coupler",_xlfn._xlws.FILTER(CCFCoupler,(CCName=SD!$C$8)*(CBSize=IF(A160=A161,W160&amp;W161,""))),"")),"N/A"),IF(_xlpm.Coup3=0,"",_xlpm.Coup3))</f>
        <v/>
      </c>
      <c r="DK160" t="str" cm="1">
        <f t="array" ref="DK160">_xlfn.LET(_xlpm.Coup2,IFERROR(IF(A160&lt;&gt;A161,"",IF(DF160="No Lap","",IF(K161="Coupler",_xlfn._xlws.FILTER(CCFCoupler,(CCName=SD!$C$8)*(CBSize=IF(A159=A160,W160&amp;W161,W160&amp;W160))),""))),"N/A"),IF(_xlpm.Coup2=0,"",_xlpm.Coup2))</f>
        <v/>
      </c>
      <c r="DM160" t="str">
        <f>IF(AM160="Spiral","",IF(SD!$C$31=SD!$Y$3,SD!$E$32*2,""))</f>
        <v/>
      </c>
      <c r="DO160" s="24">
        <f t="shared" si="76"/>
        <v>2.5</v>
      </c>
      <c r="DQ160" t="str">
        <f t="shared" si="77"/>
        <v>Lig</v>
      </c>
      <c r="DR160" t="str">
        <f>IF(AM160="Spiral",((Y160-(SD!$E$12*2))/12),"")</f>
        <v/>
      </c>
      <c r="DS160" t="str">
        <f t="shared" si="78"/>
        <v/>
      </c>
      <c r="DT160" t="str">
        <f t="shared" si="79"/>
        <v/>
      </c>
      <c r="DU160" t="str">
        <f t="shared" si="80"/>
        <v/>
      </c>
    </row>
    <row r="161" spans="1:125" x14ac:dyDescent="0.25">
      <c r="A161">
        <v>48</v>
      </c>
      <c r="B161" t="s">
        <v>682</v>
      </c>
      <c r="C161" s="15">
        <v>2429</v>
      </c>
      <c r="D161" s="15">
        <v>10000</v>
      </c>
      <c r="E161" t="str">
        <f>IF(B161=Level!$A$2,SD!$C$14,SD!$C$13)</f>
        <v>0-8</v>
      </c>
      <c r="F161" s="15" t="s">
        <v>787</v>
      </c>
      <c r="G161" t="s">
        <v>742</v>
      </c>
      <c r="H161" t="str">
        <f>RIGHT(VLOOKUP(B161,Level!A:C,3,FALSE),LEN(VLOOKUP(B161,Level!A:C,3,FALSE))-1)</f>
        <v>10-7</v>
      </c>
      <c r="I161" t="s">
        <v>743</v>
      </c>
      <c r="J161" t="str">
        <f>IF(AND(SD!$C$19=SD!$H$2,Grade!$G$1="Per level"),VLOOKUP(B161,Grade!$E$1:$F$200,2,FALSE),IF(AND(SD!$C$19=SD!$H$2,Grade!$G$1="Per Bar Size"),VLOOKUP(W161,Grade!$B$1:$C$12,2,0),SD!$C$19))</f>
        <v>A615 Grade 60</v>
      </c>
      <c r="K161" t="s">
        <v>67</v>
      </c>
      <c r="L161" t="str">
        <f>IFERROR(IF(A161&lt;&gt;A162,"",IF(DF161="No Lap","",IF(K162="Lap",U161,IF(K162="Coupler",_xlfn._xlws.FILTER(CCoupler,(CCName=SD!$C$8)*(CBSize=IF(A160=A161,W161&amp;W162,W161&amp;W161))*(CCMFM="Male")),"")))),"N/A")</f>
        <v>5-1</v>
      </c>
      <c r="M161" t="str">
        <f t="shared" si="54"/>
        <v/>
      </c>
      <c r="N161" t="s">
        <v>719</v>
      </c>
      <c r="O161" t="s">
        <v>720</v>
      </c>
      <c r="P161" t="s">
        <v>719</v>
      </c>
      <c r="Q161" t="str">
        <f>IF(AND(SD!$C$29=SD!$P$2,Grade!$O$1="Per level"),VLOOKUP(B161,Grade!$M$1:$N$200,2,FALSE),IF(AND(SD!$C$29=SD!$P$2,Grade!$O$1="Per Bar Size"),VLOOKUP(LEFT(N161,FIND("@",N161)-2),Grade!$J$1:$K$12,2,0),SD!$C$29))</f>
        <v>A615 Grade 60</v>
      </c>
      <c r="R161" t="s">
        <v>742</v>
      </c>
      <c r="S161" s="57">
        <v>161</v>
      </c>
      <c r="U161" t="str">
        <f>IF(Data!$J161="",IFERROR(INDEX(IF(SD!$C$11="Create",Lap!$A$3:$BF$14,IF(SD!$C$11="Per Uploaded File",Lap!$A$19:$BF$30,"")),MATCH(W161,Lap!$A$3:$A$14,0),MATCH(VALUE(D161),Lap!$A$3:$BF$3,0)+IF(IFERROR(FIND("Grade 60",J161),0)&gt;0,0,IF(IFERROR(FIND("Grade 80",J161),0),1,IF(IFERROR(FIND("Grade 75",J161),0),2,"")))),""),Data!J161)</f>
        <v>5-1</v>
      </c>
      <c r="W161" t="s">
        <v>176</v>
      </c>
      <c r="X161">
        <v>6</v>
      </c>
      <c r="Y161" t="str">
        <f t="shared" si="55"/>
        <v>30</v>
      </c>
      <c r="Z161">
        <f t="shared" si="56"/>
        <v>0</v>
      </c>
      <c r="AA161" s="24">
        <f t="shared" si="57"/>
        <v>15.666666666666666</v>
      </c>
      <c r="BB161" t="e" cm="1">
        <f t="array" ref="BB161">_xlfn.LET(_xlpm.PartF,(_xlfn.LET(_xlpm.grade, Q161,_xlpm.gradeRange, IF(_xlpm.grade=SD!$H$3, A615GR60, IF(_xlpm.grade=SD!$H$4, A615GR75, IF(_xlpm.grade=SD!$H$5, A615GR80, IF(_xlpm.grade=SD!$H$6, A615GR100, IF(_xlpm.grade=SD!$H$7, A706GR60, IF(_xlpm.grade=SD!$H$8, A706GR80)))))),_xlpm.matchValue, MATCH(1, (SD!$AW:$AW=AS161)*(SD!$AX:$AX=SD!$C$8), 0),INDEX(_xlpm.gradeRange, _xlpm.matchValue))),IF(AM161="Spiral",CONCATENATE("SP",_xlpm.PartF),_xlpm.PartF))</f>
        <v>#N/A</v>
      </c>
      <c r="BC161" cm="1">
        <f t="array" ref="BC161">_xlfn.LET(_xlpm.leftPart, LEFT(O161, FIND("@", O161) - 2),_xlpm.grade,Q161,_xlpm.gradeRange,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1" cm="1">
        <f t="array" ref="BD161">_xlfn.LET(_xlpm.leftPart, LEFT(P161, FIND("@", P161) - 2),_xlpm.grade, Q161,_xlpm.gradeRange,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1">
        <f t="shared" si="58"/>
        <v>2.5</v>
      </c>
      <c r="BF161">
        <f>IF(SD!$C$32=SD!$I$2,BE161,IF(SD!$C$32=SD!$I$3,DO161,IF(SD!$C$32=SD!$I$5,BA161,IF(SD!$C$32=SD!$I$6,(LEFT(SD!$C$35,FIND("-",SD!$C$35)-1)+RIGHT(SD!$C$35,LEN(SD!$C$35)-FIND("-",SD!$C$35))/12),IF(SD!$C$32=SD!$I$4,(AU161-(BG161+BH161)))))))</f>
        <v>0</v>
      </c>
      <c r="BG161">
        <f>IF(SD!$C$33=SD!$I$2,BE161,IF(SD!$C$33=SD!$I$3,DO161,IF(SD!$C$33=SD!$I$5,BA161,IF(SD!$C$33=SD!$I$6,(LEFT(SD!$C$35,FIND("-",SD!$C$35)-1)+RIGHT(SD!$C$35,LEN(SD!$C$35)-FIND("-",SD!$C$35))/12),IF(SD!$C$33=SD!$I$4,(AU161-(BF161+BH161)))))))</f>
        <v>-1</v>
      </c>
      <c r="BH161">
        <f>IF(SD!$C$34=SD!$I$2,BE161,IF(SD!$C$34=SD!$I$3,DO161,IF(SD!$C$34=SD!$I$5,BA161,IF(SD!$C$34=SD!$I$6,(LEFT(SD!$C$35,FIND("-",SD!$C$35)-1)+RIGHT(SD!$C$35,LEN(SD!$C$35)-FIND("-",SD!$C$35))/12),IF(SD!$C$34=SD!$I$4,(AU161-(BF161+BG161)))))))</f>
        <v>1</v>
      </c>
      <c r="BJ161">
        <f>IF(AM161="Spiral","1",MAX(ROUNDUP(IF(SD!$C$32="",AT161,BF161/(LEFT(RIGHT(N161,LEN(N161)-FIND("@",N161)),LEN(RIGHT(N161,LEN(N161)-FIND("@",N161)))-1)/12)+1),0),0))</f>
        <v>1</v>
      </c>
      <c r="BK161">
        <f>MAX(ROUNDUP(IF(SD!$C$33="","",BG161/(LEFT(RIGHT(O161,LEN(O161)-FIND("@",O161)),LEN(RIGHT(O161,LEN(O161)-FIND("@",O161)))-1)/12)+1),0),0)</f>
        <v>0</v>
      </c>
      <c r="BL161">
        <f>MAX(ROUNDUP(IF(SD!$C$34="","",BH161/(LEFT(RIGHT(P161,LEN(P161)-FIND("@",P161)),LEN(RIGHT(P161,LEN(P161)-FIND("@",P161)))-1)/12)+1),0),0)</f>
        <v>3</v>
      </c>
      <c r="BN161" t="e">
        <f t="shared" si="59"/>
        <v>#N/A</v>
      </c>
      <c r="BO161" t="e">
        <f t="shared" si="60"/>
        <v>#N/A</v>
      </c>
      <c r="BP161" t="e">
        <f t="shared" si="61"/>
        <v>#N/A</v>
      </c>
      <c r="BQ161" s="24" t="e">
        <f>IF(AM161=TRUE,(((Y161-(SD!$E$12*2))*3.14159265359)+BN161+BO161+BP161)/12+AL161,SUM(AF161:AG161,BN161,BO161,BP161,AO161,AQ161)/12)</f>
        <v>#N/A</v>
      </c>
      <c r="BR161" t="e">
        <f t="shared" si="62"/>
        <v>#N/A</v>
      </c>
      <c r="BS161" t="e">
        <f t="shared" si="63"/>
        <v>#N/A</v>
      </c>
      <c r="BT161" t="e">
        <f t="shared" si="64"/>
        <v>#N/A</v>
      </c>
      <c r="BU161" s="24" t="e">
        <f>IF(AM161=TRUE,(((Y161-(SD!$E$12*2))*3.14159265359)+BR161+BS161+BT161)/12+AL161,SUM(AF161:AG161,BR161,BS161,BT161,AO161,AQ161)/12)</f>
        <v>#N/A</v>
      </c>
      <c r="BW161" t="str">
        <f>IFERROR(LEFT(Data!L161,FIND(" -",Data!L161)-1),"")</f>
        <v/>
      </c>
      <c r="BX161" t="str">
        <f>IFERROR(IF(SD!$C$40=SD!$U$2,W161,IF(SD!$C$40=SD!$U$3,RIGHT(Data!L161,LEN(Data!L161)-(FIND("-",Data!L161)+1)),SD!$C$40)),"")</f>
        <v>#10</v>
      </c>
      <c r="BY161" t="str" cm="1">
        <f t="array" ref="BY161">IFERROR(_xlfn.LET(_xlpm.GRR,IF(AND(SD!$C$19=SD!$H$2,Grade!$G$1="Per level"),VLOOKUP(B161,Grade!$E$1:$F$200,2,FALSE),IF(AND(SD!$C$19=SD!$H$2,Grade!$G$1="Per Bar Size"),VLOOKUP(BX161,Grade!$B$1:$C$12,2,0),SD!$C$19)),_xlpm.is_equal, A160=A161,_xlpm.grade_range, IF(_xlpm.GRR=SD!$H$3, A615GR60,IF(_xlpm.GRR=SD!$H$4, A615GR75,IF(_xlpm.GRR=SD!$H$5, A615GR80,IF(_xlpm.GRR=SD!H165, A615GR100,IF(_xlpm.GRR=SD!$H$7, A706GR60,IF(_xlpm.GRR=SD!$H$8, A706GR80)))))),_xlpm.match_result, MATCH(1, (BSize=BX161)*(BCName=SD!$C$8), 0),_xlpm.final_result, INDEX(_xlpm.grade_range, _xlpm.match_result),IF(_xlpm.is_equal, "", _xlpm.final_result)),"")</f>
        <v/>
      </c>
      <c r="BZ161" t="str">
        <f>IF(A160=A161,"",IF(SD!$C$41="Match Vertical Bars ",X161,IF(SD!$C$41=SD!$V$3,BW161,SD!$C$41)))</f>
        <v/>
      </c>
      <c r="CA161" t="str" cm="1">
        <f t="array" ref="CA161">IF(A160=A161,"",IF(SD!$C$44="No T-Head",IF(SD!$C$42=SD!$Q$3,VLOOKUP(BX161,S90Range,3,FALSE),LEFT(SD!$C$42,FIND("-",SD!$C$42)-1)+(RIGHT(SD!$C$42,LEN(SD!$C$42)-FIND("-",SD!$C$42))/12)),IF(SD!$C$44="T-Head",_xlfn._xlws.FILTER(THead,(TCName=SD!$C$8)*(TSize=BX161)),IF(SD!$C$44="Level Wise",_xlfn.LET(_xlpm.result,_xlfn.XLOOKUP(B161,VDLevel,VDLevelStatus,"No"),IF(_xlpm.result="Yes",_xlfn._xlws.FILTER(THead,(TCName=SD!$C$8)*(TSize=BX161)),IF(SD!$C$42=SD!$Q$3,VLOOKUP(BX161,S90Range,3,FALSE),LEFT(SD!$C$42,FIND("-",SD!$C$42)-1)+(RIGHT(SD!$C$42,LEN(SD!$C$42)-FIND("-", SD!$C$42))/12)))),IF(SD!$C$44="BarSize Wise",_xlfn.LET(_xlpm.result,_xlfn.XLOOKUP(BX161,VDBarSize,VDBarSizeStatus,"No"),IF(_xlpm.result="Yes",_xlfn._xlws.FILTER(THead,(TCName=SD!$C$8)*(TSize=BX161)),IF(SD!$C$42=SD!$Q$3,VLOOKUP(BX161,S90Range,3,FALSE),LEFT(SD!$C$42,FIND("-",SD!$C$42)-1)+(RIGHT(SD!$C$42,LEN(SD!$C$42)-FIND("-",SD!$C$42))/12)))), "")))))</f>
        <v/>
      </c>
      <c r="CB161" t="str" cm="1">
        <f t="array" ref="CB161">_xlfn.LET(_xlpm.GRR,IF(AND(SD!$C$19=SD!$H$2,Grade!$G$1="Per level"),VLOOKUP(B161,Grade!$E$1:$F$200,2,FALSE),IF(AND(SD!$C$19=SD!$H$2,Grade!$G$1="Per Bar Size"),VLOOKUP(BX161,Grade!$B$1:$C$12,2,0),SD!$C$19)),_xlpm.is_coupler, K161="Coupler",_xlpm.condition1, SD!$C$43=SD!$W$2,_xlpm.data_j2_empty, Data!$J161="",_xlpm.lookup_table, IF(SD!$C$11="Create", Lap!$A$3:$BF$14, IF(SD!$C$11="Per Uploaded File", Lap!$A$19:$BF$30, "")),_xlpm.row_match, MATCH(BX161, Lap!$A$3:$A$14, 0),_xlpm.grade_offset, IF(IFERROR(FIND("Grade 60",_xlpm.GRR), 0) &gt; 0, 0, IF(IFERROR(FIND("Grade 80",_xlpm.GRR), 0), 1, IF(IFERROR(FIND("Grade 75",_xlpm.GRR), 0), 2, ""))),_xlpm.col_match, MATCH(VALUE(D161), Lap!$A$3:$BF$3, 0) + _xlpm.grade_offset,_xlpm.index_result, IFERROR(INDEX(_xlpm.lookup_table, _xlpm.row_match, _xlpm.col_match), Data!$J161),_xlpm.result_if_condition1, IF(_xlpm.data_j2_empty, _xlpm.index_result, Data!$J161),IF(_xlpm.is_coupler, 0, IF(_xlpm.condition1, _xlpm.result_if_condition1, SD!$C$43)))</f>
        <v>5-1</v>
      </c>
      <c r="CC161" s="24">
        <f t="shared" si="65"/>
        <v>5.083333333333333</v>
      </c>
      <c r="CD161">
        <f t="shared" si="66"/>
        <v>5.75</v>
      </c>
      <c r="CE161" t="str" cm="1">
        <f t="array" ref="CE161">IF(BY161="","",_xlfn._xlws.FILTER(SAC,(CName=SD!$C$8)*(EName="Vert Dowels")))</f>
        <v/>
      </c>
      <c r="CF161" t="str" cm="1">
        <f t="array" ref="CF161">IFERROR(IF(BY161="","",IF(K161="Coupler",_xlfn._xlws.FILTER(CCoupler,(CCName=SD!$C$8)*(CBSize=IF(A160=A161,W160&amp;W161,BX161&amp;W161))*(CCMFM="Male")),"")),"N/A")</f>
        <v/>
      </c>
      <c r="CG161" t="str">
        <f t="shared" si="67"/>
        <v/>
      </c>
      <c r="CH161" t="str">
        <f t="shared" si="68"/>
        <v/>
      </c>
      <c r="CI161" t="str">
        <f>_xlfn.LET(_xlpm.u3_value, U162,_xlpm.hyphen_pos,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K162="Coupler",_xlpm.coupler_value, IF(_xlpm.is_coupler, 0, _xlpm.calculated_value),_xlpm.final_value, _xlpm.calculated_value + SD!$E$13 + _xlpm.coupler_value,IF(CG161="", "", _xlpm.final_value))</f>
        <v/>
      </c>
      <c r="CJ161" t="str" cm="1">
        <f t="array" ref="CJ161">IF(CG161="","",_xlfn._xlws.FILTER(SAC,(CName=SD!$C$8)*(EName="Loose Dowels")))</f>
        <v/>
      </c>
      <c r="CK161" t="str" cm="1">
        <f t="array" ref="CK161">IFERROR(IF(CG161="","",IF(K162="Coupler",_xlfn._xlws.FILTER(CCoupler,(CCName=SD!$C$8)*(CBSize=IF(A161=A162,W161&amp;W162,""))*(CCMFM="Male")),"")),"N/A")</f>
        <v/>
      </c>
      <c r="CL161" t="str">
        <f>IFERROR(IF(AM161="Spiral","",IF(A160=A161,"",IF(SD!$C$37=0,"",SD!$C$37))),"")</f>
        <v/>
      </c>
      <c r="CN161">
        <f>IF(AM161="Spiral","",IFERROR(IF(SD!$C$36=0,"",SD!$C$36),""))</f>
        <v>5</v>
      </c>
      <c r="CP161" t="str">
        <f>IFERROR(IF(SD!$C$42=SD!$Q$3,'Take-off'!CA161,""),"")</f>
        <v/>
      </c>
      <c r="CR161">
        <f>IFERROR(IF(SD!$C$22=SD!$U$2,W161,SD!$C$22),"")</f>
        <v>0</v>
      </c>
      <c r="CS161" t="str" cm="1">
        <f t="array" ref="CS161">_xlfn.LET(_xlpm.GR,IF(AND(SD!$C$19=SD!$H$2,Grade!$G$1="Per level"),VLOOKUP(B161,Grade!$E$1:$F$200,2,FALSE),IF(AND(SD!$C$19=SD!$H$2,Grade!$G$1="Per Bar Size"),VLOOKUP(CR161,Grade!$B$1:$C$12,2,0),SD!$C$19)),IF(SD!$C$20=SD!$R$4,IF(A162=A161,"",INDEX(IF(_xlpm.GR=SD!$H$3,A615GR60,IF(_xlpm.GR=SD!$H$4,A615GR75,IF(_xlpm.GR=SD!$H$5,A615GR80,IF(_xlpm.GR=SD!H165,A615GR100,IF(_xlpm.GR=SD!$H$7,A706GR60,IF(_xlpm.GR=SD!$H$8,A706GR80)))))), MATCH(1, (BSize=CR161)*(BCName=SD!$C$8), 0))),""))</f>
        <v/>
      </c>
      <c r="CT161" t="str">
        <f>IF(A162=A161,"",IF(SD!$C$23="Match Vertical Bars ",X161,SD!$C$23))</f>
        <v/>
      </c>
      <c r="CU161" t="str" cm="1">
        <f t="array" ref="CU161">IF(A162=A161,"",IF(SD!$C$20="Top dowels",IF(SD!$E$25="No T-Head",IF(SD!$C$24=SD!$Q$3,VLOOKUP(CR161,S90Range,3,FALSE),LEFT(SD!$C$24,FIND("-",SD!$C$24)-1)+(RIGHT(SD!$C$24,LEN(SD!$C$24)-FIND("-",SD!$C$24))/12)),IF(SD!$E$25="T-Head",_xlfn._xlws.FILTER(THead,(TCName=SD!$C$8)*(TSize=CR161)),IF(SD!$E$25="Level Wise",_xlfn.LET(_xlpm.result,_xlfn.XLOOKUP(B161,TDLevel,TDLevelStatus,"No"),IF(_xlpm.result="Yes",_xlfn._xlws.FILTER(THead,(TCName=SD!$C$8)*(TSize=CR161)),IF(SD!$C$24=SD!$Q$3,VLOOKUP(CR161,S90Range,3,FALSE),LEFT(SD!$C$24,FIND("-",SD!$C$24)-1)+(RIGHT(SD!$C$24,LEN(SD!$C$24)-FIND("-", SD!$C$24))/12)))),IF(SD!$E$25="BarSize Wise",_xlfn.LET(_xlpm.result,_xlfn.XLOOKUP(CR161,TDBarSize,TDBarSizeStatus,"No"),IF(_xlpm.result="Yes",_xlfn._xlws.FILTER(THead,(TCName=SD!$C$8)*(TSize=CR161)),IF(SD!$C$24=SD!$Q$3,VLOOKUP(CR161,S90Range,3,FALSE),LEFT(SD!$C$24,FIND("-",SD!$C$24)-1)+(RIGHT(SD!$C$24,LEN(SD!$C$24)-FIND("-",SD!$C$24))/12)))), "")))),""))</f>
        <v/>
      </c>
      <c r="CV161" t="str">
        <f>_xlfn.LET(_xlpm.GRR,IF(AND(SD!$C$19=SD!$H$2,Grade!$G$1="Per level"),VLOOKUP(B161,Grade!$E$1:$F$200,2,FALSE),IF(AND(SD!$C$19=SD!$H$2,Grade!$G$1="Per Bar Size"),VLOOKUP(CR161,Grade!$B$1:$C$12,2,0),SD!$C$19)),IF(SD!$C$25=SD!$W$2,IF(Data!$J161="",IFERROR(INDEX(IF(SD!$C$11="Create",Lap!$A$3:$BF$14,IF(SD!$C$11="Per Uploaded File",Lap!$A$19:$BF$30,"")),MATCH(CR161,Lap!$A$3:$A$14,0),MATCH(VALUE(D161),Lap!$A$3:$BF$3,0)+IF(IFERROR(FIND("Grade 60",_xlpm.GRR),0)&gt;0,0,IF(IFERROR(FIND("Grade 80",_xlpm.GRR),0),1,IF(IFERROR(FIND("Grade 75",_xlpm.GRR),0),2,"")))),""),Data!J161),SD!$C$43))</f>
        <v>Match Lap</v>
      </c>
      <c r="CW161">
        <f t="shared" si="69"/>
        <v>0</v>
      </c>
      <c r="CX161">
        <f t="shared" si="70"/>
        <v>0</v>
      </c>
      <c r="CY161" t="str">
        <f t="shared" si="71"/>
        <v/>
      </c>
      <c r="DA161" t="str">
        <f t="shared" si="72"/>
        <v/>
      </c>
      <c r="DB161" t="str">
        <f t="shared" si="73"/>
        <v/>
      </c>
      <c r="DC161" s="24" t="str">
        <f t="shared" si="74"/>
        <v/>
      </c>
      <c r="DD161">
        <f t="shared" si="75"/>
        <v>10.583333333333334</v>
      </c>
      <c r="DE161" t="s">
        <v>785</v>
      </c>
      <c r="DF161" t="s">
        <v>67</v>
      </c>
      <c r="DG161" t="str">
        <f>VLOOKUP(W161,'Level Wise PSI'!$F$2:$G$12,2,FALSE)</f>
        <v>Double Lift</v>
      </c>
      <c r="DI161" t="str" cm="1">
        <f t="array" ref="DI161">_xlfn.LET(_xlpm.Coup,IFERROR(IF(BY161="","",IF(K161="Coupler",_xlfn._xlws.FILTER(CCFCoupler,(CCName=SD!$C$8)*(CBSize=IF(A160=A161,W160&amp;W161,BX161&amp;W161))),"")),"N/A"),IF(_xlpm.Coup=0,"",_xlpm.Coup))</f>
        <v/>
      </c>
      <c r="DJ161" t="str" cm="1">
        <f t="array" ref="DJ161">_xlfn.LET(_xlpm.Coup3,IFERROR(IF(CG161="","",IF(K162="Coupler",_xlfn._xlws.FILTER(CCFCoupler,(CCName=SD!$C$8)*(CBSize=IF(A161=A162,W161&amp;W162,""))),"")),"N/A"),IF(_xlpm.Coup3=0,"",_xlpm.Coup3))</f>
        <v/>
      </c>
      <c r="DK161" t="str" cm="1">
        <f t="array" ref="DK161">_xlfn.LET(_xlpm.Coup2,IFERROR(IF(A161&lt;&gt;A162,"",IF(DF161="No Lap","",IF(K162="Coupler",_xlfn._xlws.FILTER(CCFCoupler,(CCName=SD!$C$8)*(CBSize=IF(A160=A161,W161&amp;W162,W161&amp;W161))),""))),"N/A"),IF(_xlpm.Coup2=0,"",_xlpm.Coup2))</f>
        <v/>
      </c>
      <c r="DM161" t="str">
        <f>IF(AM161="Spiral","",IF(SD!$C$31=SD!$Y$3,SD!$E$32*2,""))</f>
        <v/>
      </c>
      <c r="DO161" s="24">
        <f t="shared" si="76"/>
        <v>2.5</v>
      </c>
      <c r="DQ161" t="str">
        <f t="shared" si="77"/>
        <v>Lig</v>
      </c>
      <c r="DR161" t="str">
        <f>IF(AM161="Spiral",((Y161-(SD!$E$12*2))/12),"")</f>
        <v/>
      </c>
      <c r="DS161" t="str">
        <f t="shared" si="78"/>
        <v/>
      </c>
      <c r="DT161" t="str">
        <f t="shared" si="79"/>
        <v/>
      </c>
      <c r="DU161" t="str">
        <f t="shared" si="80"/>
        <v/>
      </c>
    </row>
    <row r="162" spans="1:125" x14ac:dyDescent="0.25">
      <c r="A162">
        <v>48</v>
      </c>
      <c r="B162" t="s">
        <v>684</v>
      </c>
      <c r="C162" s="15">
        <v>2429</v>
      </c>
      <c r="D162" s="15">
        <v>10000</v>
      </c>
      <c r="E162" t="str">
        <f>IF(B162=Level!$A$2,SD!$C$14,SD!$C$13)</f>
        <v>0-8</v>
      </c>
      <c r="F162" s="15" t="s">
        <v>787</v>
      </c>
      <c r="G162" t="s">
        <v>742</v>
      </c>
      <c r="H162" t="str">
        <f>RIGHT(VLOOKUP(B162,Level!A:C,3,FALSE),LEN(VLOOKUP(B162,Level!A:C,3,FALSE))-1)</f>
        <v>10-7</v>
      </c>
      <c r="I162" t="s">
        <v>743</v>
      </c>
      <c r="J162" t="str">
        <f>IF(AND(SD!$C$19=SD!$H$2,Grade!$G$1="Per level"),VLOOKUP(B162,Grade!$E$1:$F$200,2,FALSE),IF(AND(SD!$C$19=SD!$H$2,Grade!$G$1="Per Bar Size"),VLOOKUP(W162,Grade!$B$1:$C$12,2,0),SD!$C$19))</f>
        <v>A615 Grade 60</v>
      </c>
      <c r="K162" t="s">
        <v>67</v>
      </c>
      <c r="L162" t="str">
        <f>IFERROR(IF(A162&lt;&gt;A163,"",IF(DF162="No Lap","",IF(K163="Lap",U162,IF(K163="Coupler",_xlfn._xlws.FILTER(CCoupler,(CCName=SD!$C$8)*(CBSize=IF(A161=A162,W162&amp;W163,W162&amp;W162))*(CCMFM="Male")),"")))),"N/A")</f>
        <v>5-1</v>
      </c>
      <c r="M162" t="str">
        <f t="shared" si="54"/>
        <v/>
      </c>
      <c r="N162" t="s">
        <v>719</v>
      </c>
      <c r="O162" t="s">
        <v>720</v>
      </c>
      <c r="P162" t="s">
        <v>719</v>
      </c>
      <c r="Q162" t="str">
        <f>IF(AND(SD!$C$29=SD!$P$2,Grade!$O$1="Per level"),VLOOKUP(B162,Grade!$M$1:$N$200,2,FALSE),IF(AND(SD!$C$29=SD!$P$2,Grade!$O$1="Per Bar Size"),VLOOKUP(LEFT(N162,FIND("@",N162)-2),Grade!$J$1:$K$12,2,0),SD!$C$29))</f>
        <v>A615 Grade 60</v>
      </c>
      <c r="R162" t="s">
        <v>742</v>
      </c>
      <c r="S162" s="57">
        <v>162</v>
      </c>
      <c r="U162" t="str">
        <f>IF(Data!$J162="",IFERROR(INDEX(IF(SD!$C$11="Create",Lap!$A$3:$BF$14,IF(SD!$C$11="Per Uploaded File",Lap!$A$19:$BF$30,"")),MATCH(W162,Lap!$A$3:$A$14,0),MATCH(VALUE(D162),Lap!$A$3:$BF$3,0)+IF(IFERROR(FIND("Grade 60",J162),0)&gt;0,0,IF(IFERROR(FIND("Grade 80",J162),0),1,IF(IFERROR(FIND("Grade 75",J162),0),2,"")))),""),Data!J162)</f>
        <v>5-1</v>
      </c>
      <c r="W162" t="s">
        <v>176</v>
      </c>
      <c r="X162">
        <v>6</v>
      </c>
      <c r="Y162" t="str">
        <f t="shared" si="55"/>
        <v>30</v>
      </c>
      <c r="Z162">
        <f t="shared" si="56"/>
        <v>0</v>
      </c>
      <c r="AA162" s="24">
        <f t="shared" si="57"/>
        <v>15.666666666666666</v>
      </c>
      <c r="BB162" t="e" cm="1">
        <f t="array" ref="BB162">_xlfn.LET(_xlpm.PartF,(_xlfn.LET(_xlpm.grade, Q162,_xlpm.gradeRange, IF(_xlpm.grade=SD!$H$3, A615GR60, IF(_xlpm.grade=SD!$H$4, A615GR75, IF(_xlpm.grade=SD!$H$5, A615GR80, IF(_xlpm.grade=SD!$H$6, A615GR100, IF(_xlpm.grade=SD!$H$7, A706GR60, IF(_xlpm.grade=SD!$H$8, A706GR80)))))),_xlpm.matchValue, MATCH(1, (SD!$AW:$AW=AS162)*(SD!$AX:$AX=SD!$C$8), 0),INDEX(_xlpm.gradeRange, _xlpm.matchValue))),IF(AM162="Spiral",CONCATENATE("SP",_xlpm.PartF),_xlpm.PartF))</f>
        <v>#N/A</v>
      </c>
      <c r="BC162" cm="1">
        <f t="array" ref="BC162">_xlfn.LET(_xlpm.leftPart, LEFT(O162, FIND("@", O162) - 2),_xlpm.grade,Q162,_xlpm.gradeRange,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2" cm="1">
        <f t="array" ref="BD162">_xlfn.LET(_xlpm.leftPart, LEFT(P162, FIND("@", P162) - 2),_xlpm.grade, Q162,_xlpm.gradeRange,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2">
        <f t="shared" si="58"/>
        <v>2.5</v>
      </c>
      <c r="BF162">
        <f>IF(SD!$C$32=SD!$I$2,BE162,IF(SD!$C$32=SD!$I$3,DO162,IF(SD!$C$32=SD!$I$5,BA162,IF(SD!$C$32=SD!$I$6,(LEFT(SD!$C$35,FIND("-",SD!$C$35)-1)+RIGHT(SD!$C$35,LEN(SD!$C$35)-FIND("-",SD!$C$35))/12),IF(SD!$C$32=SD!$I$4,(AU162-(BG162+BH162)))))))</f>
        <v>0</v>
      </c>
      <c r="BG162">
        <f>IF(SD!$C$33=SD!$I$2,BE162,IF(SD!$C$33=SD!$I$3,DO162,IF(SD!$C$33=SD!$I$5,BA162,IF(SD!$C$33=SD!$I$6,(LEFT(SD!$C$35,FIND("-",SD!$C$35)-1)+RIGHT(SD!$C$35,LEN(SD!$C$35)-FIND("-",SD!$C$35))/12),IF(SD!$C$33=SD!$I$4,(AU162-(BF162+BH162)))))))</f>
        <v>-1</v>
      </c>
      <c r="BH162">
        <f>IF(SD!$C$34=SD!$I$2,BE162,IF(SD!$C$34=SD!$I$3,DO162,IF(SD!$C$34=SD!$I$5,BA162,IF(SD!$C$34=SD!$I$6,(LEFT(SD!$C$35,FIND("-",SD!$C$35)-1)+RIGHT(SD!$C$35,LEN(SD!$C$35)-FIND("-",SD!$C$35))/12),IF(SD!$C$34=SD!$I$4,(AU162-(BF162+BG162)))))))</f>
        <v>1</v>
      </c>
      <c r="BJ162">
        <f>IF(AM162="Spiral","1",MAX(ROUNDUP(IF(SD!$C$32="",AT162,BF162/(LEFT(RIGHT(N162,LEN(N162)-FIND("@",N162)),LEN(RIGHT(N162,LEN(N162)-FIND("@",N162)))-1)/12)+1),0),0))</f>
        <v>1</v>
      </c>
      <c r="BK162">
        <f>MAX(ROUNDUP(IF(SD!$C$33="","",BG162/(LEFT(RIGHT(O162,LEN(O162)-FIND("@",O162)),LEN(RIGHT(O162,LEN(O162)-FIND("@",O162)))-1)/12)+1),0),0)</f>
        <v>0</v>
      </c>
      <c r="BL162">
        <f>MAX(ROUNDUP(IF(SD!$C$34="","",BH162/(LEFT(RIGHT(P162,LEN(P162)-FIND("@",P162)),LEN(RIGHT(P162,LEN(P162)-FIND("@",P162)))-1)/12)+1),0),0)</f>
        <v>3</v>
      </c>
      <c r="BN162" t="e">
        <f t="shared" si="59"/>
        <v>#N/A</v>
      </c>
      <c r="BO162" t="e">
        <f t="shared" si="60"/>
        <v>#N/A</v>
      </c>
      <c r="BP162" t="e">
        <f t="shared" si="61"/>
        <v>#N/A</v>
      </c>
      <c r="BQ162" s="24" t="e">
        <f>IF(AM162=TRUE,(((Y162-(SD!$E$12*2))*3.14159265359)+BN162+BO162+BP162)/12+AL162,SUM(AF162:AG162,BN162,BO162,BP162,AO162,AQ162)/12)</f>
        <v>#N/A</v>
      </c>
      <c r="BR162" t="e">
        <f t="shared" si="62"/>
        <v>#N/A</v>
      </c>
      <c r="BS162" t="e">
        <f t="shared" si="63"/>
        <v>#N/A</v>
      </c>
      <c r="BT162" t="e">
        <f t="shared" si="64"/>
        <v>#N/A</v>
      </c>
      <c r="BU162" s="24" t="e">
        <f>IF(AM162=TRUE,(((Y162-(SD!$E$12*2))*3.14159265359)+BR162+BS162+BT162)/12+AL162,SUM(AF162:AG162,BR162,BS162,BT162,AO162,AQ162)/12)</f>
        <v>#N/A</v>
      </c>
      <c r="BW162" t="str">
        <f>IFERROR(LEFT(Data!L162,FIND(" -",Data!L162)-1),"")</f>
        <v/>
      </c>
      <c r="BX162" t="str">
        <f>IFERROR(IF(SD!$C$40=SD!$U$2,W162,IF(SD!$C$40=SD!$U$3,RIGHT(Data!L162,LEN(Data!L162)-(FIND("-",Data!L162)+1)),SD!$C$40)),"")</f>
        <v>#10</v>
      </c>
      <c r="BY162" t="str" cm="1">
        <f t="array" ref="BY162">IFERROR(_xlfn.LET(_xlpm.GRR,IF(AND(SD!$C$19=SD!$H$2,Grade!$G$1="Per level"),VLOOKUP(B162,Grade!$E$1:$F$200,2,FALSE),IF(AND(SD!$C$19=SD!$H$2,Grade!$G$1="Per Bar Size"),VLOOKUP(BX162,Grade!$B$1:$C$12,2,0),SD!$C$19)),_xlpm.is_equal, A161=A162,_xlpm.grade_range, IF(_xlpm.GRR=SD!$H$3, A615GR60,IF(_xlpm.GRR=SD!$H$4, A615GR75,IF(_xlpm.GRR=SD!$H$5, A615GR80,IF(_xlpm.GRR=SD!H166, A615GR100,IF(_xlpm.GRR=SD!$H$7, A706GR60,IF(_xlpm.GRR=SD!$H$8, A706GR80)))))),_xlpm.match_result, MATCH(1, (BSize=BX162)*(BCName=SD!$C$8), 0),_xlpm.final_result, INDEX(_xlpm.grade_range, _xlpm.match_result),IF(_xlpm.is_equal, "", _xlpm.final_result)),"")</f>
        <v/>
      </c>
      <c r="BZ162" t="str">
        <f>IF(A161=A162,"",IF(SD!$C$41="Match Vertical Bars ",X162,IF(SD!$C$41=SD!$V$3,BW162,SD!$C$41)))</f>
        <v/>
      </c>
      <c r="CA162" t="str" cm="1">
        <f t="array" ref="CA162">IF(A161=A162,"",IF(SD!$C$44="No T-Head",IF(SD!$C$42=SD!$Q$3,VLOOKUP(BX162,S90Range,3,FALSE),LEFT(SD!$C$42,FIND("-",SD!$C$42)-1)+(RIGHT(SD!$C$42,LEN(SD!$C$42)-FIND("-",SD!$C$42))/12)),IF(SD!$C$44="T-Head",_xlfn._xlws.FILTER(THead,(TCName=SD!$C$8)*(TSize=BX162)),IF(SD!$C$44="Level Wise",_xlfn.LET(_xlpm.result,_xlfn.XLOOKUP(B162,VDLevel,VDLevelStatus,"No"),IF(_xlpm.result="Yes",_xlfn._xlws.FILTER(THead,(TCName=SD!$C$8)*(TSize=BX162)),IF(SD!$C$42=SD!$Q$3,VLOOKUP(BX162,S90Range,3,FALSE),LEFT(SD!$C$42,FIND("-",SD!$C$42)-1)+(RIGHT(SD!$C$42,LEN(SD!$C$42)-FIND("-", SD!$C$42))/12)))),IF(SD!$C$44="BarSize Wise",_xlfn.LET(_xlpm.result,_xlfn.XLOOKUP(BX162,VDBarSize,VDBarSizeStatus,"No"),IF(_xlpm.result="Yes",_xlfn._xlws.FILTER(THead,(TCName=SD!$C$8)*(TSize=BX162)),IF(SD!$C$42=SD!$Q$3,VLOOKUP(BX162,S90Range,3,FALSE),LEFT(SD!$C$42,FIND("-",SD!$C$42)-1)+(RIGHT(SD!$C$42,LEN(SD!$C$42)-FIND("-",SD!$C$42))/12)))), "")))))</f>
        <v/>
      </c>
      <c r="CB162" t="str" cm="1">
        <f t="array" ref="CB162">_xlfn.LET(_xlpm.GRR,IF(AND(SD!$C$19=SD!$H$2,Grade!$G$1="Per level"),VLOOKUP(B162,Grade!$E$1:$F$200,2,FALSE),IF(AND(SD!$C$19=SD!$H$2,Grade!$G$1="Per Bar Size"),VLOOKUP(BX162,Grade!$B$1:$C$12,2,0),SD!$C$19)),_xlpm.is_coupler, K162="Coupler",_xlpm.condition1, SD!$C$43=SD!$W$2,_xlpm.data_j2_empty, Data!$J162="",_xlpm.lookup_table, IF(SD!$C$11="Create", Lap!$A$3:$BF$14, IF(SD!$C$11="Per Uploaded File", Lap!$A$19:$BF$30, "")),_xlpm.row_match, MATCH(BX162, Lap!$A$3:$A$14, 0),_xlpm.grade_offset, IF(IFERROR(FIND("Grade 60",_xlpm.GRR), 0) &gt; 0, 0, IF(IFERROR(FIND("Grade 80",_xlpm.GRR), 0), 1, IF(IFERROR(FIND("Grade 75",_xlpm.GRR), 0), 2, ""))),_xlpm.col_match, MATCH(VALUE(D162), Lap!$A$3:$BF$3, 0) + _xlpm.grade_offset,_xlpm.index_result, IFERROR(INDEX(_xlpm.lookup_table, _xlpm.row_match, _xlpm.col_match), Data!$J162),_xlpm.result_if_condition1, IF(_xlpm.data_j2_empty, _xlpm.index_result, Data!$J162),IF(_xlpm.is_coupler, 0, IF(_xlpm.condition1, _xlpm.result_if_condition1, SD!$C$43)))</f>
        <v>5-1</v>
      </c>
      <c r="CC162" s="24">
        <f t="shared" si="65"/>
        <v>5.083333333333333</v>
      </c>
      <c r="CD162">
        <f t="shared" si="66"/>
        <v>5.75</v>
      </c>
      <c r="CE162" t="str" cm="1">
        <f t="array" ref="CE162">IF(BY162="","",_xlfn._xlws.FILTER(SAC,(CName=SD!$C$8)*(EName="Vert Dowels")))</f>
        <v/>
      </c>
      <c r="CF162" t="str" cm="1">
        <f t="array" ref="CF162">IFERROR(IF(BY162="","",IF(K162="Coupler",_xlfn._xlws.FILTER(CCoupler,(CCName=SD!$C$8)*(CBSize=IF(A161=A162,W161&amp;W162,BX162&amp;W162))*(CCMFM="Male")),"")),"N/A")</f>
        <v/>
      </c>
      <c r="CG162" t="str">
        <f t="shared" si="67"/>
        <v/>
      </c>
      <c r="CH162" t="str">
        <f t="shared" si="68"/>
        <v/>
      </c>
      <c r="CI162" t="str">
        <f>_xlfn.LET(_xlpm.u3_value, U163,_xlpm.hyphen_pos,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K163="Coupler",_xlpm.coupler_value, IF(_xlpm.is_coupler, 0, _xlpm.calculated_value),_xlpm.final_value, _xlpm.calculated_value + SD!$E$13 + _xlpm.coupler_value,IF(CG162="", "", _xlpm.final_value))</f>
        <v/>
      </c>
      <c r="CJ162" t="str" cm="1">
        <f t="array" ref="CJ162">IF(CG162="","",_xlfn._xlws.FILTER(SAC,(CName=SD!$C$8)*(EName="Loose Dowels")))</f>
        <v/>
      </c>
      <c r="CK162" t="str" cm="1">
        <f t="array" ref="CK162">IFERROR(IF(CG162="","",IF(K163="Coupler",_xlfn._xlws.FILTER(CCoupler,(CCName=SD!$C$8)*(CBSize=IF(A162=A163,W162&amp;W163,""))*(CCMFM="Male")),"")),"N/A")</f>
        <v/>
      </c>
      <c r="CL162" t="str">
        <f>IFERROR(IF(AM162="Spiral","",IF(A161=A162,"",IF(SD!$C$37=0,"",SD!$C$37))),"")</f>
        <v/>
      </c>
      <c r="CN162">
        <f>IF(AM162="Spiral","",IFERROR(IF(SD!$C$36=0,"",SD!$C$36),""))</f>
        <v>5</v>
      </c>
      <c r="CP162" t="str">
        <f>IFERROR(IF(SD!$C$42=SD!$Q$3,'Take-off'!CA162,""),"")</f>
        <v/>
      </c>
      <c r="CR162">
        <f>IFERROR(IF(SD!$C$22=SD!$U$2,W162,SD!$C$22),"")</f>
        <v>0</v>
      </c>
      <c r="CS162" t="str" cm="1">
        <f t="array" ref="CS162">_xlfn.LET(_xlpm.GR,IF(AND(SD!$C$19=SD!$H$2,Grade!$G$1="Per level"),VLOOKUP(B162,Grade!$E$1:$F$200,2,FALSE),IF(AND(SD!$C$19=SD!$H$2,Grade!$G$1="Per Bar Size"),VLOOKUP(CR162,Grade!$B$1:$C$12,2,0),SD!$C$19)),IF(SD!$C$20=SD!$R$4,IF(A163=A162,"",INDEX(IF(_xlpm.GR=SD!$H$3,A615GR60,IF(_xlpm.GR=SD!$H$4,A615GR75,IF(_xlpm.GR=SD!$H$5,A615GR80,IF(_xlpm.GR=SD!H166,A615GR100,IF(_xlpm.GR=SD!$H$7,A706GR60,IF(_xlpm.GR=SD!$H$8,A706GR80)))))), MATCH(1, (BSize=CR162)*(BCName=SD!$C$8), 0))),""))</f>
        <v/>
      </c>
      <c r="CT162" t="str">
        <f>IF(A163=A162,"",IF(SD!$C$23="Match Vertical Bars ",X162,SD!$C$23))</f>
        <v/>
      </c>
      <c r="CU162" t="str" cm="1">
        <f t="array" ref="CU162">IF(A163=A162,"",IF(SD!$C$20="Top dowels",IF(SD!$E$25="No T-Head",IF(SD!$C$24=SD!$Q$3,VLOOKUP(CR162,S90Range,3,FALSE),LEFT(SD!$C$24,FIND("-",SD!$C$24)-1)+(RIGHT(SD!$C$24,LEN(SD!$C$24)-FIND("-",SD!$C$24))/12)),IF(SD!$E$25="T-Head",_xlfn._xlws.FILTER(THead,(TCName=SD!$C$8)*(TSize=CR162)),IF(SD!$E$25="Level Wise",_xlfn.LET(_xlpm.result,_xlfn.XLOOKUP(B162,TDLevel,TDLevelStatus,"No"),IF(_xlpm.result="Yes",_xlfn._xlws.FILTER(THead,(TCName=SD!$C$8)*(TSize=CR162)),IF(SD!$C$24=SD!$Q$3,VLOOKUP(CR162,S90Range,3,FALSE),LEFT(SD!$C$24,FIND("-",SD!$C$24)-1)+(RIGHT(SD!$C$24,LEN(SD!$C$24)-FIND("-", SD!$C$24))/12)))),IF(SD!$E$25="BarSize Wise",_xlfn.LET(_xlpm.result,_xlfn.XLOOKUP(CR162,TDBarSize,TDBarSizeStatus,"No"),IF(_xlpm.result="Yes",_xlfn._xlws.FILTER(THead,(TCName=SD!$C$8)*(TSize=CR162)),IF(SD!$C$24=SD!$Q$3,VLOOKUP(CR162,S90Range,3,FALSE),LEFT(SD!$C$24,FIND("-",SD!$C$24)-1)+(RIGHT(SD!$C$24,LEN(SD!$C$24)-FIND("-",SD!$C$24))/12)))), "")))),""))</f>
        <v/>
      </c>
      <c r="CV162" t="str">
        <f>_xlfn.LET(_xlpm.GRR,IF(AND(SD!$C$19=SD!$H$2,Grade!$G$1="Per level"),VLOOKUP(B162,Grade!$E$1:$F$200,2,FALSE),IF(AND(SD!$C$19=SD!$H$2,Grade!$G$1="Per Bar Size"),VLOOKUP(CR162,Grade!$B$1:$C$12,2,0),SD!$C$19)),IF(SD!$C$25=SD!$W$2,IF(Data!$J162="",IFERROR(INDEX(IF(SD!$C$11="Create",Lap!$A$3:$BF$14,IF(SD!$C$11="Per Uploaded File",Lap!$A$19:$BF$30,"")),MATCH(CR162,Lap!$A$3:$A$14,0),MATCH(VALUE(D162),Lap!$A$3:$BF$3,0)+IF(IFERROR(FIND("Grade 60",_xlpm.GRR),0)&gt;0,0,IF(IFERROR(FIND("Grade 80",_xlpm.GRR),0),1,IF(IFERROR(FIND("Grade 75",_xlpm.GRR),0),2,"")))),""),Data!J162),SD!$C$43))</f>
        <v>Match Lap</v>
      </c>
      <c r="CW162">
        <f t="shared" si="69"/>
        <v>0</v>
      </c>
      <c r="CX162">
        <f t="shared" si="70"/>
        <v>0</v>
      </c>
      <c r="CY162" t="str">
        <f t="shared" si="71"/>
        <v/>
      </c>
      <c r="DA162" t="str">
        <f t="shared" si="72"/>
        <v/>
      </c>
      <c r="DB162" t="str">
        <f t="shared" si="73"/>
        <v/>
      </c>
      <c r="DC162" s="24" t="str">
        <f t="shared" si="74"/>
        <v/>
      </c>
      <c r="DD162">
        <f t="shared" si="75"/>
        <v>10.583333333333334</v>
      </c>
      <c r="DE162" t="s">
        <v>785</v>
      </c>
      <c r="DF162" t="s">
        <v>67</v>
      </c>
      <c r="DG162" t="str">
        <f>VLOOKUP(W162,'Level Wise PSI'!$F$2:$G$12,2,FALSE)</f>
        <v>Double Lift</v>
      </c>
      <c r="DI162" t="str" cm="1">
        <f t="array" ref="DI162">_xlfn.LET(_xlpm.Coup,IFERROR(IF(BY162="","",IF(K162="Coupler",_xlfn._xlws.FILTER(CCFCoupler,(CCName=SD!$C$8)*(CBSize=IF(A161=A162,W161&amp;W162,BX162&amp;W162))),"")),"N/A"),IF(_xlpm.Coup=0,"",_xlpm.Coup))</f>
        <v/>
      </c>
      <c r="DJ162" t="str" cm="1">
        <f t="array" ref="DJ162">_xlfn.LET(_xlpm.Coup3,IFERROR(IF(CG162="","",IF(K163="Coupler",_xlfn._xlws.FILTER(CCFCoupler,(CCName=SD!$C$8)*(CBSize=IF(A162=A163,W162&amp;W163,""))),"")),"N/A"),IF(_xlpm.Coup3=0,"",_xlpm.Coup3))</f>
        <v/>
      </c>
      <c r="DK162" t="str" cm="1">
        <f t="array" ref="DK162">_xlfn.LET(_xlpm.Coup2,IFERROR(IF(A162&lt;&gt;A163,"",IF(DF162="No Lap","",IF(K163="Coupler",_xlfn._xlws.FILTER(CCFCoupler,(CCName=SD!$C$8)*(CBSize=IF(A161=A162,W162&amp;W163,W162&amp;W162))),""))),"N/A"),IF(_xlpm.Coup2=0,"",_xlpm.Coup2))</f>
        <v/>
      </c>
      <c r="DM162" t="str">
        <f>IF(AM162="Spiral","",IF(SD!$C$31=SD!$Y$3,SD!$E$32*2,""))</f>
        <v/>
      </c>
      <c r="DO162" s="24">
        <f t="shared" si="76"/>
        <v>2.5</v>
      </c>
      <c r="DQ162" t="str">
        <f t="shared" si="77"/>
        <v>Lig</v>
      </c>
      <c r="DR162" t="str">
        <f>IF(AM162="Spiral",((Y162-(SD!$E$12*2))/12),"")</f>
        <v/>
      </c>
      <c r="DS162" t="str">
        <f t="shared" si="78"/>
        <v/>
      </c>
      <c r="DT162" t="str">
        <f t="shared" si="79"/>
        <v/>
      </c>
      <c r="DU162" t="str">
        <f t="shared" si="80"/>
        <v/>
      </c>
    </row>
    <row r="163" spans="1:125" x14ac:dyDescent="0.25">
      <c r="A163">
        <v>48</v>
      </c>
      <c r="B163" t="s">
        <v>686</v>
      </c>
      <c r="C163" s="15">
        <v>2429</v>
      </c>
      <c r="D163" s="15">
        <v>10000</v>
      </c>
      <c r="E163" t="str">
        <f>IF(B163=Level!$A$2,SD!$C$14,SD!$C$13)</f>
        <v>0-8</v>
      </c>
      <c r="F163" s="15" t="s">
        <v>787</v>
      </c>
      <c r="G163" t="s">
        <v>742</v>
      </c>
      <c r="H163" t="str">
        <f>RIGHT(VLOOKUP(B163,Level!A:C,3,FALSE),LEN(VLOOKUP(B163,Level!A:C,3,FALSE))-1)</f>
        <v>10-7</v>
      </c>
      <c r="I163" t="s">
        <v>743</v>
      </c>
      <c r="J163" t="str">
        <f>IF(AND(SD!$C$19=SD!$H$2,Grade!$G$1="Per level"),VLOOKUP(B163,Grade!$E$1:$F$200,2,FALSE),IF(AND(SD!$C$19=SD!$H$2,Grade!$G$1="Per Bar Size"),VLOOKUP(W163,Grade!$B$1:$C$12,2,0),SD!$C$19))</f>
        <v>A615 Grade 60</v>
      </c>
      <c r="K163" t="s">
        <v>67</v>
      </c>
      <c r="L163" t="str">
        <f>IFERROR(IF(A163&lt;&gt;A164,"",IF(DF163="No Lap","",IF(K164="Lap",U163,IF(K164="Coupler",_xlfn._xlws.FILTER(CCoupler,(CCName=SD!$C$8)*(CBSize=IF(A162=A163,W163&amp;W164,W163&amp;W163))*(CCMFM="Male")),"")))),"N/A")</f>
        <v>5-1</v>
      </c>
      <c r="M163" t="str">
        <f t="shared" si="54"/>
        <v/>
      </c>
      <c r="N163" t="s">
        <v>719</v>
      </c>
      <c r="O163" t="s">
        <v>720</v>
      </c>
      <c r="P163" t="s">
        <v>719</v>
      </c>
      <c r="Q163" t="str">
        <f>IF(AND(SD!$C$29=SD!$P$2,Grade!$O$1="Per level"),VLOOKUP(B163,Grade!$M$1:$N$200,2,FALSE),IF(AND(SD!$C$29=SD!$P$2,Grade!$O$1="Per Bar Size"),VLOOKUP(LEFT(N163,FIND("@",N163)-2),Grade!$J$1:$K$12,2,0),SD!$C$29))</f>
        <v>A615 Grade 60</v>
      </c>
      <c r="R163" t="s">
        <v>742</v>
      </c>
      <c r="S163" s="57">
        <v>163</v>
      </c>
      <c r="U163" t="str">
        <f>IF(Data!$J163="",IFERROR(INDEX(IF(SD!$C$11="Create",Lap!$A$3:$BF$14,IF(SD!$C$11="Per Uploaded File",Lap!$A$19:$BF$30,"")),MATCH(W163,Lap!$A$3:$A$14,0),MATCH(VALUE(D163),Lap!$A$3:$BF$3,0)+IF(IFERROR(FIND("Grade 60",J163),0)&gt;0,0,IF(IFERROR(FIND("Grade 80",J163),0),1,IF(IFERROR(FIND("Grade 75",J163),0),2,"")))),""),Data!J163)</f>
        <v>5-1</v>
      </c>
      <c r="W163" t="s">
        <v>176</v>
      </c>
      <c r="X163">
        <v>6</v>
      </c>
      <c r="Y163" t="str">
        <f t="shared" si="55"/>
        <v>30</v>
      </c>
      <c r="Z163">
        <f t="shared" si="56"/>
        <v>0</v>
      </c>
      <c r="AA163" s="24">
        <f t="shared" si="57"/>
        <v>15.666666666666666</v>
      </c>
      <c r="BB163" t="e" cm="1">
        <f t="array" ref="BB163">_xlfn.LET(_xlpm.PartF,(_xlfn.LET(_xlpm.grade, Q163,_xlpm.gradeRange, IF(_xlpm.grade=SD!$H$3, A615GR60, IF(_xlpm.grade=SD!$H$4, A615GR75, IF(_xlpm.grade=SD!$H$5, A615GR80, IF(_xlpm.grade=SD!$H$6, A615GR100, IF(_xlpm.grade=SD!$H$7, A706GR60, IF(_xlpm.grade=SD!$H$8, A706GR80)))))),_xlpm.matchValue, MATCH(1, (SD!$AW:$AW=AS163)*(SD!$AX:$AX=SD!$C$8), 0),INDEX(_xlpm.gradeRange, _xlpm.matchValue))),IF(AM163="Spiral",CONCATENATE("SP",_xlpm.PartF),_xlpm.PartF))</f>
        <v>#N/A</v>
      </c>
      <c r="BC163" cm="1">
        <f t="array" ref="BC163">_xlfn.LET(_xlpm.leftPart, LEFT(O163, FIND("@", O163) - 2),_xlpm.grade,Q163,_xlpm.gradeRange,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3" cm="1">
        <f t="array" ref="BD163">_xlfn.LET(_xlpm.leftPart, LEFT(P163, FIND("@", P163) - 2),_xlpm.grade, Q163,_xlpm.gradeRange,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3">
        <f t="shared" si="58"/>
        <v>2.5</v>
      </c>
      <c r="BF163">
        <f>IF(SD!$C$32=SD!$I$2,BE163,IF(SD!$C$32=SD!$I$3,DO163,IF(SD!$C$32=SD!$I$5,BA163,IF(SD!$C$32=SD!$I$6,(LEFT(SD!$C$35,FIND("-",SD!$C$35)-1)+RIGHT(SD!$C$35,LEN(SD!$C$35)-FIND("-",SD!$C$35))/12),IF(SD!$C$32=SD!$I$4,(AU163-(BG163+BH163)))))))</f>
        <v>0</v>
      </c>
      <c r="BG163">
        <f>IF(SD!$C$33=SD!$I$2,BE163,IF(SD!$C$33=SD!$I$3,DO163,IF(SD!$C$33=SD!$I$5,BA163,IF(SD!$C$33=SD!$I$6,(LEFT(SD!$C$35,FIND("-",SD!$C$35)-1)+RIGHT(SD!$C$35,LEN(SD!$C$35)-FIND("-",SD!$C$35))/12),IF(SD!$C$33=SD!$I$4,(AU163-(BF163+BH163)))))))</f>
        <v>-1</v>
      </c>
      <c r="BH163">
        <f>IF(SD!$C$34=SD!$I$2,BE163,IF(SD!$C$34=SD!$I$3,DO163,IF(SD!$C$34=SD!$I$5,BA163,IF(SD!$C$34=SD!$I$6,(LEFT(SD!$C$35,FIND("-",SD!$C$35)-1)+RIGHT(SD!$C$35,LEN(SD!$C$35)-FIND("-",SD!$C$35))/12),IF(SD!$C$34=SD!$I$4,(AU163-(BF163+BG163)))))))</f>
        <v>1</v>
      </c>
      <c r="BJ163">
        <f>IF(AM163="Spiral","1",MAX(ROUNDUP(IF(SD!$C$32="",AT163,BF163/(LEFT(RIGHT(N163,LEN(N163)-FIND("@",N163)),LEN(RIGHT(N163,LEN(N163)-FIND("@",N163)))-1)/12)+1),0),0))</f>
        <v>1</v>
      </c>
      <c r="BK163">
        <f>MAX(ROUNDUP(IF(SD!$C$33="","",BG163/(LEFT(RIGHT(O163,LEN(O163)-FIND("@",O163)),LEN(RIGHT(O163,LEN(O163)-FIND("@",O163)))-1)/12)+1),0),0)</f>
        <v>0</v>
      </c>
      <c r="BL163">
        <f>MAX(ROUNDUP(IF(SD!$C$34="","",BH163/(LEFT(RIGHT(P163,LEN(P163)-FIND("@",P163)),LEN(RIGHT(P163,LEN(P163)-FIND("@",P163)))-1)/12)+1),0),0)</f>
        <v>3</v>
      </c>
      <c r="BN163" t="e">
        <f t="shared" si="59"/>
        <v>#N/A</v>
      </c>
      <c r="BO163" t="e">
        <f t="shared" si="60"/>
        <v>#N/A</v>
      </c>
      <c r="BP163" t="e">
        <f t="shared" si="61"/>
        <v>#N/A</v>
      </c>
      <c r="BQ163" s="24" t="e">
        <f>IF(AM163=TRUE,(((Y163-(SD!$E$12*2))*3.14159265359)+BN163+BO163+BP163)/12+AL163,SUM(AF163:AG163,BN163,BO163,BP163,AO163,AQ163)/12)</f>
        <v>#N/A</v>
      </c>
      <c r="BR163" t="e">
        <f t="shared" si="62"/>
        <v>#N/A</v>
      </c>
      <c r="BS163" t="e">
        <f t="shared" si="63"/>
        <v>#N/A</v>
      </c>
      <c r="BT163" t="e">
        <f t="shared" si="64"/>
        <v>#N/A</v>
      </c>
      <c r="BU163" s="24" t="e">
        <f>IF(AM163=TRUE,(((Y163-(SD!$E$12*2))*3.14159265359)+BR163+BS163+BT163)/12+AL163,SUM(AF163:AG163,BR163,BS163,BT163,AO163,AQ163)/12)</f>
        <v>#N/A</v>
      </c>
      <c r="BW163" t="str">
        <f>IFERROR(LEFT(Data!L163,FIND(" -",Data!L163)-1),"")</f>
        <v/>
      </c>
      <c r="BX163" t="str">
        <f>IFERROR(IF(SD!$C$40=SD!$U$2,W163,IF(SD!$C$40=SD!$U$3,RIGHT(Data!L163,LEN(Data!L163)-(FIND("-",Data!L163)+1)),SD!$C$40)),"")</f>
        <v>#10</v>
      </c>
      <c r="BY163" t="str" cm="1">
        <f t="array" ref="BY163">IFERROR(_xlfn.LET(_xlpm.GRR,IF(AND(SD!$C$19=SD!$H$2,Grade!$G$1="Per level"),VLOOKUP(B163,Grade!$E$1:$F$200,2,FALSE),IF(AND(SD!$C$19=SD!$H$2,Grade!$G$1="Per Bar Size"),VLOOKUP(BX163,Grade!$B$1:$C$12,2,0),SD!$C$19)),_xlpm.is_equal, A162=A163,_xlpm.grade_range, IF(_xlpm.GRR=SD!$H$3, A615GR60,IF(_xlpm.GRR=SD!$H$4, A615GR75,IF(_xlpm.GRR=SD!$H$5, A615GR80,IF(_xlpm.GRR=SD!H167, A615GR100,IF(_xlpm.GRR=SD!$H$7, A706GR60,IF(_xlpm.GRR=SD!$H$8, A706GR80)))))),_xlpm.match_result, MATCH(1, (BSize=BX163)*(BCName=SD!$C$8), 0),_xlpm.final_result, INDEX(_xlpm.grade_range, _xlpm.match_result),IF(_xlpm.is_equal, "", _xlpm.final_result)),"")</f>
        <v/>
      </c>
      <c r="BZ163" t="str">
        <f>IF(A162=A163,"",IF(SD!$C$41="Match Vertical Bars ",X163,IF(SD!$C$41=SD!$V$3,BW163,SD!$C$41)))</f>
        <v/>
      </c>
      <c r="CA163" t="str" cm="1">
        <f t="array" ref="CA163">IF(A162=A163,"",IF(SD!$C$44="No T-Head",IF(SD!$C$42=SD!$Q$3,VLOOKUP(BX163,S90Range,3,FALSE),LEFT(SD!$C$42,FIND("-",SD!$C$42)-1)+(RIGHT(SD!$C$42,LEN(SD!$C$42)-FIND("-",SD!$C$42))/12)),IF(SD!$C$44="T-Head",_xlfn._xlws.FILTER(THead,(TCName=SD!$C$8)*(TSize=BX163)),IF(SD!$C$44="Level Wise",_xlfn.LET(_xlpm.result,_xlfn.XLOOKUP(B163,VDLevel,VDLevelStatus,"No"),IF(_xlpm.result="Yes",_xlfn._xlws.FILTER(THead,(TCName=SD!$C$8)*(TSize=BX163)),IF(SD!$C$42=SD!$Q$3,VLOOKUP(BX163,S90Range,3,FALSE),LEFT(SD!$C$42,FIND("-",SD!$C$42)-1)+(RIGHT(SD!$C$42,LEN(SD!$C$42)-FIND("-", SD!$C$42))/12)))),IF(SD!$C$44="BarSize Wise",_xlfn.LET(_xlpm.result,_xlfn.XLOOKUP(BX163,VDBarSize,VDBarSizeStatus,"No"),IF(_xlpm.result="Yes",_xlfn._xlws.FILTER(THead,(TCName=SD!$C$8)*(TSize=BX163)),IF(SD!$C$42=SD!$Q$3,VLOOKUP(BX163,S90Range,3,FALSE),LEFT(SD!$C$42,FIND("-",SD!$C$42)-1)+(RIGHT(SD!$C$42,LEN(SD!$C$42)-FIND("-",SD!$C$42))/12)))), "")))))</f>
        <v/>
      </c>
      <c r="CB163" t="str" cm="1">
        <f t="array" ref="CB163">_xlfn.LET(_xlpm.GRR,IF(AND(SD!$C$19=SD!$H$2,Grade!$G$1="Per level"),VLOOKUP(B163,Grade!$E$1:$F$200,2,FALSE),IF(AND(SD!$C$19=SD!$H$2,Grade!$G$1="Per Bar Size"),VLOOKUP(BX163,Grade!$B$1:$C$12,2,0),SD!$C$19)),_xlpm.is_coupler, K163="Coupler",_xlpm.condition1, SD!$C$43=SD!$W$2,_xlpm.data_j2_empty, Data!$J163="",_xlpm.lookup_table, IF(SD!$C$11="Create", Lap!$A$3:$BF$14, IF(SD!$C$11="Per Uploaded File", Lap!$A$19:$BF$30, "")),_xlpm.row_match, MATCH(BX163, Lap!$A$3:$A$14, 0),_xlpm.grade_offset, IF(IFERROR(FIND("Grade 60",_xlpm.GRR), 0) &gt; 0, 0, IF(IFERROR(FIND("Grade 80",_xlpm.GRR), 0), 1, IF(IFERROR(FIND("Grade 75",_xlpm.GRR), 0), 2, ""))),_xlpm.col_match, MATCH(VALUE(D163), Lap!$A$3:$BF$3, 0) + _xlpm.grade_offset,_xlpm.index_result, IFERROR(INDEX(_xlpm.lookup_table, _xlpm.row_match, _xlpm.col_match), Data!$J163),_xlpm.result_if_condition1, IF(_xlpm.data_j2_empty, _xlpm.index_result, Data!$J163),IF(_xlpm.is_coupler, 0, IF(_xlpm.condition1, _xlpm.result_if_condition1, SD!$C$43)))</f>
        <v>5-1</v>
      </c>
      <c r="CC163" s="24">
        <f t="shared" si="65"/>
        <v>5.083333333333333</v>
      </c>
      <c r="CD163">
        <f t="shared" si="66"/>
        <v>5.75</v>
      </c>
      <c r="CE163" t="str" cm="1">
        <f t="array" ref="CE163">IF(BY163="","",_xlfn._xlws.FILTER(SAC,(CName=SD!$C$8)*(EName="Vert Dowels")))</f>
        <v/>
      </c>
      <c r="CF163" t="str" cm="1">
        <f t="array" ref="CF163">IFERROR(IF(BY163="","",IF(K163="Coupler",_xlfn._xlws.FILTER(CCoupler,(CCName=SD!$C$8)*(CBSize=IF(A162=A163,W162&amp;W163,BX163&amp;W163))*(CCMFM="Male")),"")),"N/A")</f>
        <v/>
      </c>
      <c r="CG163" t="str">
        <f t="shared" si="67"/>
        <v/>
      </c>
      <c r="CH163" t="str">
        <f t="shared" si="68"/>
        <v/>
      </c>
      <c r="CI163" t="str">
        <f>_xlfn.LET(_xlpm.u3_value, U164,_xlpm.hyphen_pos,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K164="Coupler",_xlpm.coupler_value, IF(_xlpm.is_coupler, 0, _xlpm.calculated_value),_xlpm.final_value, _xlpm.calculated_value + SD!$E$13 + _xlpm.coupler_value,IF(CG163="", "", _xlpm.final_value))</f>
        <v/>
      </c>
      <c r="CJ163" t="str" cm="1">
        <f t="array" ref="CJ163">IF(CG163="","",_xlfn._xlws.FILTER(SAC,(CName=SD!$C$8)*(EName="Loose Dowels")))</f>
        <v/>
      </c>
      <c r="CK163" t="str" cm="1">
        <f t="array" ref="CK163">IFERROR(IF(CG163="","",IF(K164="Coupler",_xlfn._xlws.FILTER(CCoupler,(CCName=SD!$C$8)*(CBSize=IF(A163=A164,W163&amp;W164,""))*(CCMFM="Male")),"")),"N/A")</f>
        <v/>
      </c>
      <c r="CL163" t="str">
        <f>IFERROR(IF(AM163="Spiral","",IF(A162=A163,"",IF(SD!$C$37=0,"",SD!$C$37))),"")</f>
        <v/>
      </c>
      <c r="CN163">
        <f>IF(AM163="Spiral","",IFERROR(IF(SD!$C$36=0,"",SD!$C$36),""))</f>
        <v>5</v>
      </c>
      <c r="CP163" t="str">
        <f>IFERROR(IF(SD!$C$42=SD!$Q$3,'Take-off'!CA163,""),"")</f>
        <v/>
      </c>
      <c r="CR163">
        <f>IFERROR(IF(SD!$C$22=SD!$U$2,W163,SD!$C$22),"")</f>
        <v>0</v>
      </c>
      <c r="CS163" t="str" cm="1">
        <f t="array" ref="CS163">_xlfn.LET(_xlpm.GR,IF(AND(SD!$C$19=SD!$H$2,Grade!$G$1="Per level"),VLOOKUP(B163,Grade!$E$1:$F$200,2,FALSE),IF(AND(SD!$C$19=SD!$H$2,Grade!$G$1="Per Bar Size"),VLOOKUP(CR163,Grade!$B$1:$C$12,2,0),SD!$C$19)),IF(SD!$C$20=SD!$R$4,IF(A164=A163,"",INDEX(IF(_xlpm.GR=SD!$H$3,A615GR60,IF(_xlpm.GR=SD!$H$4,A615GR75,IF(_xlpm.GR=SD!$H$5,A615GR80,IF(_xlpm.GR=SD!H167,A615GR100,IF(_xlpm.GR=SD!$H$7,A706GR60,IF(_xlpm.GR=SD!$H$8,A706GR80)))))), MATCH(1, (BSize=CR163)*(BCName=SD!$C$8), 0))),""))</f>
        <v/>
      </c>
      <c r="CT163" t="str">
        <f>IF(A164=A163,"",IF(SD!$C$23="Match Vertical Bars ",X163,SD!$C$23))</f>
        <v/>
      </c>
      <c r="CU163" t="str" cm="1">
        <f t="array" ref="CU163">IF(A164=A163,"",IF(SD!$C$20="Top dowels",IF(SD!$E$25="No T-Head",IF(SD!$C$24=SD!$Q$3,VLOOKUP(CR163,S90Range,3,FALSE),LEFT(SD!$C$24,FIND("-",SD!$C$24)-1)+(RIGHT(SD!$C$24,LEN(SD!$C$24)-FIND("-",SD!$C$24))/12)),IF(SD!$E$25="T-Head",_xlfn._xlws.FILTER(THead,(TCName=SD!$C$8)*(TSize=CR163)),IF(SD!$E$25="Level Wise",_xlfn.LET(_xlpm.result,_xlfn.XLOOKUP(B163,TDLevel,TDLevelStatus,"No"),IF(_xlpm.result="Yes",_xlfn._xlws.FILTER(THead,(TCName=SD!$C$8)*(TSize=CR163)),IF(SD!$C$24=SD!$Q$3,VLOOKUP(CR163,S90Range,3,FALSE),LEFT(SD!$C$24,FIND("-",SD!$C$24)-1)+(RIGHT(SD!$C$24,LEN(SD!$C$24)-FIND("-", SD!$C$24))/12)))),IF(SD!$E$25="BarSize Wise",_xlfn.LET(_xlpm.result,_xlfn.XLOOKUP(CR163,TDBarSize,TDBarSizeStatus,"No"),IF(_xlpm.result="Yes",_xlfn._xlws.FILTER(THead,(TCName=SD!$C$8)*(TSize=CR163)),IF(SD!$C$24=SD!$Q$3,VLOOKUP(CR163,S90Range,3,FALSE),LEFT(SD!$C$24,FIND("-",SD!$C$24)-1)+(RIGHT(SD!$C$24,LEN(SD!$C$24)-FIND("-",SD!$C$24))/12)))), "")))),""))</f>
        <v/>
      </c>
      <c r="CV163" t="str">
        <f>_xlfn.LET(_xlpm.GRR,IF(AND(SD!$C$19=SD!$H$2,Grade!$G$1="Per level"),VLOOKUP(B163,Grade!$E$1:$F$200,2,FALSE),IF(AND(SD!$C$19=SD!$H$2,Grade!$G$1="Per Bar Size"),VLOOKUP(CR163,Grade!$B$1:$C$12,2,0),SD!$C$19)),IF(SD!$C$25=SD!$W$2,IF(Data!$J163="",IFERROR(INDEX(IF(SD!$C$11="Create",Lap!$A$3:$BF$14,IF(SD!$C$11="Per Uploaded File",Lap!$A$19:$BF$30,"")),MATCH(CR163,Lap!$A$3:$A$14,0),MATCH(VALUE(D163),Lap!$A$3:$BF$3,0)+IF(IFERROR(FIND("Grade 60",_xlpm.GRR),0)&gt;0,0,IF(IFERROR(FIND("Grade 80",_xlpm.GRR),0),1,IF(IFERROR(FIND("Grade 75",_xlpm.GRR),0),2,"")))),""),Data!J163),SD!$C$43))</f>
        <v>Match Lap</v>
      </c>
      <c r="CW163">
        <f t="shared" si="69"/>
        <v>0</v>
      </c>
      <c r="CX163">
        <f t="shared" si="70"/>
        <v>0</v>
      </c>
      <c r="CY163" t="str">
        <f t="shared" si="71"/>
        <v/>
      </c>
      <c r="DA163" t="str">
        <f t="shared" si="72"/>
        <v/>
      </c>
      <c r="DB163" t="str">
        <f t="shared" si="73"/>
        <v/>
      </c>
      <c r="DC163" s="24" t="str">
        <f t="shared" si="74"/>
        <v/>
      </c>
      <c r="DD163">
        <f t="shared" si="75"/>
        <v>10.583333333333334</v>
      </c>
      <c r="DE163" t="s">
        <v>785</v>
      </c>
      <c r="DF163" t="s">
        <v>67</v>
      </c>
      <c r="DG163" t="str">
        <f>VLOOKUP(W163,'Level Wise PSI'!$F$2:$G$12,2,FALSE)</f>
        <v>Double Lift</v>
      </c>
      <c r="DI163" t="str" cm="1">
        <f t="array" ref="DI163">_xlfn.LET(_xlpm.Coup,IFERROR(IF(BY163="","",IF(K163="Coupler",_xlfn._xlws.FILTER(CCFCoupler,(CCName=SD!$C$8)*(CBSize=IF(A162=A163,W162&amp;W163,BX163&amp;W163))),"")),"N/A"),IF(_xlpm.Coup=0,"",_xlpm.Coup))</f>
        <v/>
      </c>
      <c r="DJ163" t="str" cm="1">
        <f t="array" ref="DJ163">_xlfn.LET(_xlpm.Coup3,IFERROR(IF(CG163="","",IF(K164="Coupler",_xlfn._xlws.FILTER(CCFCoupler,(CCName=SD!$C$8)*(CBSize=IF(A163=A164,W163&amp;W164,""))),"")),"N/A"),IF(_xlpm.Coup3=0,"",_xlpm.Coup3))</f>
        <v/>
      </c>
      <c r="DK163" t="str" cm="1">
        <f t="array" ref="DK163">_xlfn.LET(_xlpm.Coup2,IFERROR(IF(A163&lt;&gt;A164,"",IF(DF163="No Lap","",IF(K164="Coupler",_xlfn._xlws.FILTER(CCFCoupler,(CCName=SD!$C$8)*(CBSize=IF(A162=A163,W163&amp;W164,W163&amp;W163))),""))),"N/A"),IF(_xlpm.Coup2=0,"",_xlpm.Coup2))</f>
        <v/>
      </c>
      <c r="DM163" t="str">
        <f>IF(AM163="Spiral","",IF(SD!$C$31=SD!$Y$3,SD!$E$32*2,""))</f>
        <v/>
      </c>
      <c r="DO163" s="24">
        <f t="shared" si="76"/>
        <v>2.5</v>
      </c>
      <c r="DQ163" t="str">
        <f t="shared" si="77"/>
        <v>Lig</v>
      </c>
      <c r="DR163" t="str">
        <f>IF(AM163="Spiral",((Y163-(SD!$E$12*2))/12),"")</f>
        <v/>
      </c>
      <c r="DS163" t="str">
        <f t="shared" si="78"/>
        <v/>
      </c>
      <c r="DT163" t="str">
        <f t="shared" si="79"/>
        <v/>
      </c>
      <c r="DU163" t="str">
        <f t="shared" si="80"/>
        <v/>
      </c>
    </row>
    <row r="164" spans="1:125" x14ac:dyDescent="0.25">
      <c r="A164">
        <v>48</v>
      </c>
      <c r="B164" t="s">
        <v>688</v>
      </c>
      <c r="C164" s="15">
        <v>2429</v>
      </c>
      <c r="D164" s="15">
        <v>10000</v>
      </c>
      <c r="E164" t="str">
        <f>IF(B164=Level!$A$2,SD!$C$14,SD!$C$13)</f>
        <v>0-8</v>
      </c>
      <c r="F164" s="15" t="s">
        <v>787</v>
      </c>
      <c r="G164" t="s">
        <v>742</v>
      </c>
      <c r="H164" t="str">
        <f>RIGHT(VLOOKUP(B164,Level!A:C,3,FALSE),LEN(VLOOKUP(B164,Level!A:C,3,FALSE))-1)</f>
        <v>10-7</v>
      </c>
      <c r="I164" t="s">
        <v>744</v>
      </c>
      <c r="J164" t="str">
        <f>IF(AND(SD!$C$19=SD!$H$2,Grade!$G$1="Per level"),VLOOKUP(B164,Grade!$E$1:$F$200,2,FALSE),IF(AND(SD!$C$19=SD!$H$2,Grade!$G$1="Per Bar Size"),VLOOKUP(W164,Grade!$B$1:$C$12,2,0),SD!$C$19))</f>
        <v>A615 Grade 60</v>
      </c>
      <c r="K164" t="s">
        <v>67</v>
      </c>
      <c r="L164" t="str">
        <f>IFERROR(IF(A164&lt;&gt;A165,"",IF(DF164="No Lap","",IF(K165="Lap",U164,IF(K165="Coupler",_xlfn._xlws.FILTER(CCoupler,(CCName=SD!$C$8)*(CBSize=IF(A163=A164,W164&amp;W165,W164&amp;W164))*(CCMFM="Male")),"")))),"N/A")</f>
        <v/>
      </c>
      <c r="M164" t="str">
        <f t="shared" si="54"/>
        <v/>
      </c>
      <c r="N164" t="s">
        <v>719</v>
      </c>
      <c r="O164" t="s">
        <v>720</v>
      </c>
      <c r="P164" t="s">
        <v>719</v>
      </c>
      <c r="Q164" t="str">
        <f>IF(AND(SD!$C$29=SD!$P$2,Grade!$O$1="Per level"),VLOOKUP(B164,Grade!$M$1:$N$200,2,FALSE),IF(AND(SD!$C$29=SD!$P$2,Grade!$O$1="Per Bar Size"),VLOOKUP(LEFT(N164,FIND("@",N164)-2),Grade!$J$1:$K$12,2,0),SD!$C$29))</f>
        <v>A615 Grade 60</v>
      </c>
      <c r="R164" t="s">
        <v>742</v>
      </c>
      <c r="S164" s="57">
        <v>164</v>
      </c>
      <c r="U164" t="str">
        <f>IF(Data!$J164="",IFERROR(INDEX(IF(SD!$C$11="Create",Lap!$A$3:$BF$14,IF(SD!$C$11="Per Uploaded File",Lap!$A$19:$BF$30,"")),MATCH(W164,Lap!$A$3:$A$14,0),MATCH(VALUE(D164),Lap!$A$3:$BF$3,0)+IF(IFERROR(FIND("Grade 60",J164),0)&gt;0,0,IF(IFERROR(FIND("Grade 80",J164),0),1,IF(IFERROR(FIND("Grade 75",J164),0),2,"")))),""),Data!J164)</f>
        <v>4-0</v>
      </c>
      <c r="W164" t="s">
        <v>151</v>
      </c>
      <c r="X164">
        <v>10</v>
      </c>
      <c r="Y164" t="str">
        <f t="shared" si="55"/>
        <v>30</v>
      </c>
      <c r="Z164">
        <f t="shared" si="56"/>
        <v>0</v>
      </c>
      <c r="AA164" s="24">
        <f t="shared" si="57"/>
        <v>10.583333333333334</v>
      </c>
      <c r="BB164" t="e" cm="1">
        <f t="array" ref="BB164">_xlfn.LET(_xlpm.PartF,(_xlfn.LET(_xlpm.grade, Q164,_xlpm.gradeRange, IF(_xlpm.grade=SD!$H$3, A615GR60, IF(_xlpm.grade=SD!$H$4, A615GR75, IF(_xlpm.grade=SD!$H$5, A615GR80, IF(_xlpm.grade=SD!$H$6, A615GR100, IF(_xlpm.grade=SD!$H$7, A706GR60, IF(_xlpm.grade=SD!$H$8, A706GR80)))))),_xlpm.matchValue, MATCH(1, (SD!$AW:$AW=AS164)*(SD!$AX:$AX=SD!$C$8), 0),INDEX(_xlpm.gradeRange, _xlpm.matchValue))),IF(AM164="Spiral",CONCATENATE("SP",_xlpm.PartF),_xlpm.PartF))</f>
        <v>#N/A</v>
      </c>
      <c r="BC164" cm="1">
        <f t="array" ref="BC164">_xlfn.LET(_xlpm.leftPart, LEFT(O164, FIND("@", O164) - 2),_xlpm.grade,Q164,_xlpm.gradeRange,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4" cm="1">
        <f t="array" ref="BD164">_xlfn.LET(_xlpm.leftPart, LEFT(P164, FIND("@", P164) - 2),_xlpm.grade, Q164,_xlpm.gradeRange,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4">
        <f t="shared" si="58"/>
        <v>2.5</v>
      </c>
      <c r="BF164">
        <f>IF(SD!$C$32=SD!$I$2,BE164,IF(SD!$C$32=SD!$I$3,DO164,IF(SD!$C$32=SD!$I$5,BA164,IF(SD!$C$32=SD!$I$6,(LEFT(SD!$C$35,FIND("-",SD!$C$35)-1)+RIGHT(SD!$C$35,LEN(SD!$C$35)-FIND("-",SD!$C$35))/12),IF(SD!$C$32=SD!$I$4,(AU164-(BG164+BH164)))))))</f>
        <v>0</v>
      </c>
      <c r="BG164">
        <f>IF(SD!$C$33=SD!$I$2,BE164,IF(SD!$C$33=SD!$I$3,DO164,IF(SD!$C$33=SD!$I$5,BA164,IF(SD!$C$33=SD!$I$6,(LEFT(SD!$C$35,FIND("-",SD!$C$35)-1)+RIGHT(SD!$C$35,LEN(SD!$C$35)-FIND("-",SD!$C$35))/12),IF(SD!$C$33=SD!$I$4,(AU164-(BF164+BH164)))))))</f>
        <v>-1</v>
      </c>
      <c r="BH164">
        <f>IF(SD!$C$34=SD!$I$2,BE164,IF(SD!$C$34=SD!$I$3,DO164,IF(SD!$C$34=SD!$I$5,BA164,IF(SD!$C$34=SD!$I$6,(LEFT(SD!$C$35,FIND("-",SD!$C$35)-1)+RIGHT(SD!$C$35,LEN(SD!$C$35)-FIND("-",SD!$C$35))/12),IF(SD!$C$34=SD!$I$4,(AU164-(BF164+BG164)))))))</f>
        <v>1</v>
      </c>
      <c r="BJ164">
        <f>IF(AM164="Spiral","1",MAX(ROUNDUP(IF(SD!$C$32="",AT164,BF164/(LEFT(RIGHT(N164,LEN(N164)-FIND("@",N164)),LEN(RIGHT(N164,LEN(N164)-FIND("@",N164)))-1)/12)+1),0),0))</f>
        <v>1</v>
      </c>
      <c r="BK164">
        <f>MAX(ROUNDUP(IF(SD!$C$33="","",BG164/(LEFT(RIGHT(O164,LEN(O164)-FIND("@",O164)),LEN(RIGHT(O164,LEN(O164)-FIND("@",O164)))-1)/12)+1),0),0)</f>
        <v>0</v>
      </c>
      <c r="BL164">
        <f>MAX(ROUNDUP(IF(SD!$C$34="","",BH164/(LEFT(RIGHT(P164,LEN(P164)-FIND("@",P164)),LEN(RIGHT(P164,LEN(P164)-FIND("@",P164)))-1)/12)+1),0),0)</f>
        <v>3</v>
      </c>
      <c r="BN164" t="e">
        <f t="shared" si="59"/>
        <v>#N/A</v>
      </c>
      <c r="BO164" t="e">
        <f t="shared" si="60"/>
        <v>#N/A</v>
      </c>
      <c r="BP164" t="e">
        <f t="shared" si="61"/>
        <v>#N/A</v>
      </c>
      <c r="BQ164" s="24" t="e">
        <f>IF(AM164=TRUE,(((Y164-(SD!$E$12*2))*3.14159265359)+BN164+BO164+BP164)/12+AL164,SUM(AF164:AG164,BN164,BO164,BP164,AO164,AQ164)/12)</f>
        <v>#N/A</v>
      </c>
      <c r="BR164" t="e">
        <f t="shared" si="62"/>
        <v>#N/A</v>
      </c>
      <c r="BS164" t="e">
        <f t="shared" si="63"/>
        <v>#N/A</v>
      </c>
      <c r="BT164" t="e">
        <f t="shared" si="64"/>
        <v>#N/A</v>
      </c>
      <c r="BU164" s="24" t="e">
        <f>IF(AM164=TRUE,(((Y164-(SD!$E$12*2))*3.14159265359)+BR164+BS164+BT164)/12+AL164,SUM(AF164:AG164,BR164,BS164,BT164,AO164,AQ164)/12)</f>
        <v>#N/A</v>
      </c>
      <c r="BW164" t="str">
        <f>IFERROR(LEFT(Data!L164,FIND(" -",Data!L164)-1),"")</f>
        <v/>
      </c>
      <c r="BX164" t="str">
        <f>IFERROR(IF(SD!$C$40=SD!$U$2,W164,IF(SD!$C$40=SD!$U$3,RIGHT(Data!L164,LEN(Data!L164)-(FIND("-",Data!L164)+1)),SD!$C$40)),"")</f>
        <v>#8</v>
      </c>
      <c r="BY164" t="str" cm="1">
        <f t="array" ref="BY164">IFERROR(_xlfn.LET(_xlpm.GRR,IF(AND(SD!$C$19=SD!$H$2,Grade!$G$1="Per level"),VLOOKUP(B164,Grade!$E$1:$F$200,2,FALSE),IF(AND(SD!$C$19=SD!$H$2,Grade!$G$1="Per Bar Size"),VLOOKUP(BX164,Grade!$B$1:$C$12,2,0),SD!$C$19)),_xlpm.is_equal, A163=A164,_xlpm.grade_range, IF(_xlpm.GRR=SD!$H$3, A615GR60,IF(_xlpm.GRR=SD!$H$4, A615GR75,IF(_xlpm.GRR=SD!$H$5, A615GR80,IF(_xlpm.GRR=SD!H168, A615GR100,IF(_xlpm.GRR=SD!$H$7, A706GR60,IF(_xlpm.GRR=SD!$H$8, A706GR80)))))),_xlpm.match_result, MATCH(1, (BSize=BX164)*(BCName=SD!$C$8), 0),_xlpm.final_result, INDEX(_xlpm.grade_range, _xlpm.match_result),IF(_xlpm.is_equal, "", _xlpm.final_result)),"")</f>
        <v/>
      </c>
      <c r="BZ164" t="str">
        <f>IF(A163=A164,"",IF(SD!$C$41="Match Vertical Bars ",X164,IF(SD!$C$41=SD!$V$3,BW164,SD!$C$41)))</f>
        <v/>
      </c>
      <c r="CA164" t="str" cm="1">
        <f t="array" ref="CA164">IF(A163=A164,"",IF(SD!$C$44="No T-Head",IF(SD!$C$42=SD!$Q$3,VLOOKUP(BX164,S90Range,3,FALSE),LEFT(SD!$C$42,FIND("-",SD!$C$42)-1)+(RIGHT(SD!$C$42,LEN(SD!$C$42)-FIND("-",SD!$C$42))/12)),IF(SD!$C$44="T-Head",_xlfn._xlws.FILTER(THead,(TCName=SD!$C$8)*(TSize=BX164)),IF(SD!$C$44="Level Wise",_xlfn.LET(_xlpm.result,_xlfn.XLOOKUP(B164,VDLevel,VDLevelStatus,"No"),IF(_xlpm.result="Yes",_xlfn._xlws.FILTER(THead,(TCName=SD!$C$8)*(TSize=BX164)),IF(SD!$C$42=SD!$Q$3,VLOOKUP(BX164,S90Range,3,FALSE),LEFT(SD!$C$42,FIND("-",SD!$C$42)-1)+(RIGHT(SD!$C$42,LEN(SD!$C$42)-FIND("-", SD!$C$42))/12)))),IF(SD!$C$44="BarSize Wise",_xlfn.LET(_xlpm.result,_xlfn.XLOOKUP(BX164,VDBarSize,VDBarSizeStatus,"No"),IF(_xlpm.result="Yes",_xlfn._xlws.FILTER(THead,(TCName=SD!$C$8)*(TSize=BX164)),IF(SD!$C$42=SD!$Q$3,VLOOKUP(BX164,S90Range,3,FALSE),LEFT(SD!$C$42,FIND("-",SD!$C$42)-1)+(RIGHT(SD!$C$42,LEN(SD!$C$42)-FIND("-",SD!$C$42))/12)))), "")))))</f>
        <v/>
      </c>
      <c r="CB164" t="str" cm="1">
        <f t="array" ref="CB164">_xlfn.LET(_xlpm.GRR,IF(AND(SD!$C$19=SD!$H$2,Grade!$G$1="Per level"),VLOOKUP(B164,Grade!$E$1:$F$200,2,FALSE),IF(AND(SD!$C$19=SD!$H$2,Grade!$G$1="Per Bar Size"),VLOOKUP(BX164,Grade!$B$1:$C$12,2,0),SD!$C$19)),_xlpm.is_coupler, K164="Coupler",_xlpm.condition1, SD!$C$43=SD!$W$2,_xlpm.data_j2_empty, Data!$J164="",_xlpm.lookup_table, IF(SD!$C$11="Create", Lap!$A$3:$BF$14, IF(SD!$C$11="Per Uploaded File", Lap!$A$19:$BF$30, "")),_xlpm.row_match, MATCH(BX164, Lap!$A$3:$A$14, 0),_xlpm.grade_offset, IF(IFERROR(FIND("Grade 60",_xlpm.GRR), 0) &gt; 0, 0, IF(IFERROR(FIND("Grade 80",_xlpm.GRR), 0), 1, IF(IFERROR(FIND("Grade 75",_xlpm.GRR), 0), 2, ""))),_xlpm.col_match, MATCH(VALUE(D164), Lap!$A$3:$BF$3, 0) + _xlpm.grade_offset,_xlpm.index_result, IFERROR(INDEX(_xlpm.lookup_table, _xlpm.row_match, _xlpm.col_match), Data!$J164),_xlpm.result_if_condition1, IF(_xlpm.data_j2_empty, _xlpm.index_result, Data!$J164),IF(_xlpm.is_coupler, 0, IF(_xlpm.condition1, _xlpm.result_if_condition1, SD!$C$43)))</f>
        <v>4-0</v>
      </c>
      <c r="CC164" s="24">
        <f t="shared" si="65"/>
        <v>4</v>
      </c>
      <c r="CD164">
        <f t="shared" si="66"/>
        <v>4.666666666666667</v>
      </c>
      <c r="CE164" t="str" cm="1">
        <f t="array" ref="CE164">IF(BY164="","",_xlfn._xlws.FILTER(SAC,(CName=SD!$C$8)*(EName="Vert Dowels")))</f>
        <v/>
      </c>
      <c r="CF164" t="str" cm="1">
        <f t="array" ref="CF164">IFERROR(IF(BY164="","",IF(K164="Coupler",_xlfn._xlws.FILTER(CCoupler,(CCName=SD!$C$8)*(CBSize=IF(A163=A164,W163&amp;W164,BX164&amp;W164))*(CCMFM="Male")),"")),"N/A")</f>
        <v/>
      </c>
      <c r="CG164" t="str">
        <f t="shared" si="67"/>
        <v/>
      </c>
      <c r="CH164" t="str">
        <f t="shared" si="68"/>
        <v/>
      </c>
      <c r="CI164" t="str">
        <f>_xlfn.LET(_xlpm.u3_value, U165,_xlpm.hyphen_pos,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K165="Coupler",_xlpm.coupler_value, IF(_xlpm.is_coupler, 0, _xlpm.calculated_value),_xlpm.final_value, _xlpm.calculated_value + SD!$E$13 + _xlpm.coupler_value,IF(CG164="", "", _xlpm.final_value))</f>
        <v/>
      </c>
      <c r="CJ164" t="str" cm="1">
        <f t="array" ref="CJ164">IF(CG164="","",_xlfn._xlws.FILTER(SAC,(CName=SD!$C$8)*(EName="Loose Dowels")))</f>
        <v/>
      </c>
      <c r="CK164" t="str" cm="1">
        <f t="array" ref="CK164">IFERROR(IF(CG164="","",IF(K165="Coupler",_xlfn._xlws.FILTER(CCoupler,(CCName=SD!$C$8)*(CBSize=IF(A164=A165,W164&amp;W165,""))*(CCMFM="Male")),"")),"N/A")</f>
        <v/>
      </c>
      <c r="CL164" t="str">
        <f>IFERROR(IF(AM164="Spiral","",IF(A163=A164,"",IF(SD!$C$37=0,"",SD!$C$37))),"")</f>
        <v/>
      </c>
      <c r="CN164">
        <f>IF(AM164="Spiral","",IFERROR(IF(SD!$C$36=0,"",SD!$C$36),""))</f>
        <v>5</v>
      </c>
      <c r="CP164" t="str">
        <f>IFERROR(IF(SD!$C$42=SD!$Q$3,'Take-off'!CA164,""),"")</f>
        <v/>
      </c>
      <c r="CR164">
        <f>IFERROR(IF(SD!$C$22=SD!$U$2,W164,SD!$C$22),"")</f>
        <v>0</v>
      </c>
      <c r="CS164" t="str" cm="1">
        <f t="array" ref="CS164">_xlfn.LET(_xlpm.GR,IF(AND(SD!$C$19=SD!$H$2,Grade!$G$1="Per level"),VLOOKUP(B164,Grade!$E$1:$F$200,2,FALSE),IF(AND(SD!$C$19=SD!$H$2,Grade!$G$1="Per Bar Size"),VLOOKUP(CR164,Grade!$B$1:$C$12,2,0),SD!$C$19)),IF(SD!$C$20=SD!$R$4,IF(A165=A164,"",INDEX(IF(_xlpm.GR=SD!$H$3,A615GR60,IF(_xlpm.GR=SD!$H$4,A615GR75,IF(_xlpm.GR=SD!$H$5,A615GR80,IF(_xlpm.GR=SD!H168,A615GR100,IF(_xlpm.GR=SD!$H$7,A706GR60,IF(_xlpm.GR=SD!$H$8,A706GR80)))))), MATCH(1, (BSize=CR164)*(BCName=SD!$C$8), 0))),""))</f>
        <v/>
      </c>
      <c r="CT164">
        <f>IF(A165=A164,"",IF(SD!$C$23="Match Vertical Bars ",X164,SD!$C$23))</f>
        <v>0</v>
      </c>
      <c r="CU164" t="str" cm="1">
        <f t="array" ref="CU164">IF(A165=A164,"",IF(SD!$C$20="Top dowels",IF(SD!$E$25="No T-Head",IF(SD!$C$24=SD!$Q$3,VLOOKUP(CR164,S90Range,3,FALSE),LEFT(SD!$C$24,FIND("-",SD!$C$24)-1)+(RIGHT(SD!$C$24,LEN(SD!$C$24)-FIND("-",SD!$C$24))/12)),IF(SD!$E$25="T-Head",_xlfn._xlws.FILTER(THead,(TCName=SD!$C$8)*(TSize=CR164)),IF(SD!$E$25="Level Wise",_xlfn.LET(_xlpm.result,_xlfn.XLOOKUP(B164,TDLevel,TDLevelStatus,"No"),IF(_xlpm.result="Yes",_xlfn._xlws.FILTER(THead,(TCName=SD!$C$8)*(TSize=CR164)),IF(SD!$C$24=SD!$Q$3,VLOOKUP(CR164,S90Range,3,FALSE),LEFT(SD!$C$24,FIND("-",SD!$C$24)-1)+(RIGHT(SD!$C$24,LEN(SD!$C$24)-FIND("-", SD!$C$24))/12)))),IF(SD!$E$25="BarSize Wise",_xlfn.LET(_xlpm.result,_xlfn.XLOOKUP(CR164,TDBarSize,TDBarSizeStatus,"No"),IF(_xlpm.result="Yes",_xlfn._xlws.FILTER(THead,(TCName=SD!$C$8)*(TSize=CR164)),IF(SD!$C$24=SD!$Q$3,VLOOKUP(CR164,S90Range,3,FALSE),LEFT(SD!$C$24,FIND("-",SD!$C$24)-1)+(RIGHT(SD!$C$24,LEN(SD!$C$24)-FIND("-",SD!$C$24))/12)))), "")))),""))</f>
        <v/>
      </c>
      <c r="CV164" t="str">
        <f>_xlfn.LET(_xlpm.GRR,IF(AND(SD!$C$19=SD!$H$2,Grade!$G$1="Per level"),VLOOKUP(B164,Grade!$E$1:$F$200,2,FALSE),IF(AND(SD!$C$19=SD!$H$2,Grade!$G$1="Per Bar Size"),VLOOKUP(CR164,Grade!$B$1:$C$12,2,0),SD!$C$19)),IF(SD!$C$25=SD!$W$2,IF(Data!$J164="",IFERROR(INDEX(IF(SD!$C$11="Create",Lap!$A$3:$BF$14,IF(SD!$C$11="Per Uploaded File",Lap!$A$19:$BF$30,"")),MATCH(CR164,Lap!$A$3:$A$14,0),MATCH(VALUE(D164),Lap!$A$3:$BF$3,0)+IF(IFERROR(FIND("Grade 60",_xlpm.GRR),0)&gt;0,0,IF(IFERROR(FIND("Grade 80",_xlpm.GRR),0),1,IF(IFERROR(FIND("Grade 75",_xlpm.GRR),0),2,"")))),""),Data!J164),SD!$C$43))</f>
        <v>Match Lap</v>
      </c>
      <c r="CW164">
        <f t="shared" si="69"/>
        <v>0</v>
      </c>
      <c r="CX164">
        <f t="shared" si="70"/>
        <v>0</v>
      </c>
      <c r="CY164" t="str">
        <f t="shared" si="71"/>
        <v/>
      </c>
      <c r="DA164" t="str">
        <f t="shared" si="72"/>
        <v/>
      </c>
      <c r="DB164" t="str">
        <f t="shared" si="73"/>
        <v/>
      </c>
      <c r="DC164" s="24" t="str">
        <f t="shared" si="74"/>
        <v/>
      </c>
      <c r="DD164">
        <f t="shared" si="75"/>
        <v>10.583333333333334</v>
      </c>
      <c r="DE164" t="s">
        <v>785</v>
      </c>
      <c r="DF164" t="s">
        <v>67</v>
      </c>
      <c r="DG164" t="str">
        <f>VLOOKUP(W164,'Level Wise PSI'!$F$2:$G$12,2,FALSE)</f>
        <v>Double Lift</v>
      </c>
      <c r="DI164" t="str" cm="1">
        <f t="array" ref="DI164">_xlfn.LET(_xlpm.Coup,IFERROR(IF(BY164="","",IF(K164="Coupler",_xlfn._xlws.FILTER(CCFCoupler,(CCName=SD!$C$8)*(CBSize=IF(A163=A164,W163&amp;W164,BX164&amp;W164))),"")),"N/A"),IF(_xlpm.Coup=0,"",_xlpm.Coup))</f>
        <v/>
      </c>
      <c r="DJ164" t="str" cm="1">
        <f t="array" ref="DJ164">_xlfn.LET(_xlpm.Coup3,IFERROR(IF(CG164="","",IF(K165="Coupler",_xlfn._xlws.FILTER(CCFCoupler,(CCName=SD!$C$8)*(CBSize=IF(A164=A165,W164&amp;W165,""))),"")),"N/A"),IF(_xlpm.Coup3=0,"",_xlpm.Coup3))</f>
        <v/>
      </c>
      <c r="DK164" t="str" cm="1">
        <f t="array" ref="DK164">_xlfn.LET(_xlpm.Coup2,IFERROR(IF(A164&lt;&gt;A165,"",IF(DF164="No Lap","",IF(K165="Coupler",_xlfn._xlws.FILTER(CCFCoupler,(CCName=SD!$C$8)*(CBSize=IF(A163=A164,W164&amp;W165,W164&amp;W164))),""))),"N/A"),IF(_xlpm.Coup2=0,"",_xlpm.Coup2))</f>
        <v/>
      </c>
      <c r="DM164" t="str">
        <f>IF(AM164="Spiral","",IF(SD!$C$31=SD!$Y$3,SD!$E$32*2,""))</f>
        <v/>
      </c>
      <c r="DO164" s="24">
        <f t="shared" si="76"/>
        <v>2.5</v>
      </c>
      <c r="DQ164" t="str">
        <f t="shared" si="77"/>
        <v>Lig</v>
      </c>
      <c r="DR164" t="str">
        <f>IF(AM164="Spiral",((Y164-(SD!$E$12*2))/12),"")</f>
        <v/>
      </c>
      <c r="DS164" t="str">
        <f t="shared" si="78"/>
        <v/>
      </c>
      <c r="DT164" t="str">
        <f t="shared" si="79"/>
        <v/>
      </c>
      <c r="DU164" t="str">
        <f t="shared" si="80"/>
        <v/>
      </c>
    </row>
    <row r="165" spans="1:125" x14ac:dyDescent="0.25">
      <c r="A165">
        <v>49</v>
      </c>
      <c r="B165" t="s">
        <v>664</v>
      </c>
      <c r="C165" s="15">
        <v>2429</v>
      </c>
      <c r="D165" s="15">
        <v>10000</v>
      </c>
      <c r="E165" s="15" t="s">
        <v>708</v>
      </c>
      <c r="F165" s="15" t="s">
        <v>787</v>
      </c>
      <c r="G165" t="s">
        <v>755</v>
      </c>
      <c r="H165" s="15" t="s">
        <v>788</v>
      </c>
      <c r="I165" t="s">
        <v>723</v>
      </c>
      <c r="J165" t="str">
        <f>IF(AND(SD!$C$19=SD!$H$2,Grade!$G$1="Per level"),VLOOKUP(B165,Grade!$E$1:$F$200,2,FALSE),IF(AND(SD!$C$19=SD!$H$2,Grade!$G$1="Per Bar Size"),VLOOKUP(W165,Grade!$B$1:$C$12,2,0),SD!$C$19))</f>
        <v>A615 Grade 60</v>
      </c>
      <c r="K165" t="s">
        <v>67</v>
      </c>
      <c r="L165" t="str">
        <f>IFERROR(IF(A165&lt;&gt;A166,"",IF(DF165="No Lap","",IF(K166="Lap",U165,IF(K166="Coupler",_xlfn._xlws.FILTER(CCoupler,(CCName=SD!$C$8)*(CBSize=IF(A164=A165,W165&amp;W166,W165&amp;W165))*(CCMFM="Male")),"")))),"N/A")</f>
        <v/>
      </c>
      <c r="M165" t="str">
        <f t="shared" si="54"/>
        <v/>
      </c>
      <c r="N165" t="s">
        <v>719</v>
      </c>
      <c r="O165" t="s">
        <v>720</v>
      </c>
      <c r="P165" t="s">
        <v>719</v>
      </c>
      <c r="Q165" t="str">
        <f>IF(AND(SD!$C$29=SD!$P$2,Grade!$O$1="Per level"),VLOOKUP(B165,Grade!$M$1:$N$200,2,FALSE),IF(AND(SD!$C$29=SD!$P$2,Grade!$O$1="Per Bar Size"),VLOOKUP(LEFT(N165,FIND("@",N165)-2),Grade!$J$1:$K$12,2,0),SD!$C$29))</f>
        <v>A615 Grade 60</v>
      </c>
      <c r="R165" t="s">
        <v>725</v>
      </c>
      <c r="S165" s="57">
        <v>165</v>
      </c>
      <c r="U165" t="str">
        <f>IF(Data!$J165="",IFERROR(INDEX(IF(SD!$C$11="Create",Lap!$A$3:$BF$14,IF(SD!$C$11="Per Uploaded File",Lap!$A$19:$BF$30,"")),MATCH(W165,Lap!$A$3:$A$14,0),MATCH(VALUE(D165),Lap!$A$3:$BF$3,0)+IF(IFERROR(FIND("Grade 60",J165),0)&gt;0,0,IF(IFERROR(FIND("Grade 80",J165),0),1,IF(IFERROR(FIND("Grade 75",J165),0),2,"")))),""),Data!J165)</f>
        <v>3-6</v>
      </c>
      <c r="W165" t="s">
        <v>139</v>
      </c>
      <c r="X165">
        <v>6</v>
      </c>
      <c r="Y165" t="str">
        <f t="shared" si="55"/>
        <v xml:space="preserve">16 </v>
      </c>
      <c r="Z165" t="str">
        <f t="shared" si="56"/>
        <v xml:space="preserve"> 24</v>
      </c>
      <c r="AA165" s="24">
        <f t="shared" si="57"/>
        <v>19.583333333333332</v>
      </c>
      <c r="BB165" t="e" cm="1">
        <f t="array" ref="BB165">_xlfn.LET(_xlpm.PartF,(_xlfn.LET(_xlpm.grade, Q165,_xlpm.gradeRange, IF(_xlpm.grade=SD!$H$3, A615GR60, IF(_xlpm.grade=SD!$H$4, A615GR75, IF(_xlpm.grade=SD!$H$5, A615GR80, IF(_xlpm.grade=SD!$H$6, A615GR100, IF(_xlpm.grade=SD!$H$7, A706GR60, IF(_xlpm.grade=SD!$H$8, A706GR80)))))),_xlpm.matchValue, MATCH(1, (SD!$AW:$AW=AS165)*(SD!$AX:$AX=SD!$C$8), 0),INDEX(_xlpm.gradeRange, _xlpm.matchValue))),IF(AM165="Spiral",CONCATENATE("SP",_xlpm.PartF),_xlpm.PartF))</f>
        <v>#N/A</v>
      </c>
      <c r="BC165" cm="1">
        <f t="array" ref="BC165">_xlfn.LET(_xlpm.leftPart, LEFT(O165, FIND("@", O165) - 2),_xlpm.grade,Q165,_xlpm.gradeRange,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5" cm="1">
        <f t="array" ref="BD165">_xlfn.LET(_xlpm.leftPart, LEFT(P165, FIND("@", P165) - 2),_xlpm.grade, Q165,_xlpm.gradeRange,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5">
        <f t="shared" si="58"/>
        <v>2</v>
      </c>
      <c r="BF165">
        <f>IF(SD!$C$32=SD!$I$2,BE165,IF(SD!$C$32=SD!$I$3,DO165,IF(SD!$C$32=SD!$I$5,BA165,IF(SD!$C$32=SD!$I$6,(LEFT(SD!$C$35,FIND("-",SD!$C$35)-1)+RIGHT(SD!$C$35,LEN(SD!$C$35)-FIND("-",SD!$C$35))/12),IF(SD!$C$32=SD!$I$4,(AU165-(BG165+BH165)))))))</f>
        <v>0</v>
      </c>
      <c r="BG165">
        <f>IF(SD!$C$33=SD!$I$2,BE165,IF(SD!$C$33=SD!$I$3,DO165,IF(SD!$C$33=SD!$I$5,BA165,IF(SD!$C$33=SD!$I$6,(LEFT(SD!$C$35,FIND("-",SD!$C$35)-1)+RIGHT(SD!$C$35,LEN(SD!$C$35)-FIND("-",SD!$C$35))/12),IF(SD!$C$33=SD!$I$4,(AU165-(BF165+BH165)))))))</f>
        <v>-1</v>
      </c>
      <c r="BH165">
        <f>IF(SD!$C$34=SD!$I$2,BE165,IF(SD!$C$34=SD!$I$3,DO165,IF(SD!$C$34=SD!$I$5,BA165,IF(SD!$C$34=SD!$I$6,(LEFT(SD!$C$35,FIND("-",SD!$C$35)-1)+RIGHT(SD!$C$35,LEN(SD!$C$35)-FIND("-",SD!$C$35))/12),IF(SD!$C$34=SD!$I$4,(AU165-(BF165+BG165)))))))</f>
        <v>1</v>
      </c>
      <c r="BJ165">
        <f>IF(AM165="Spiral","1",MAX(ROUNDUP(IF(SD!$C$32="",AT165,BF165/(LEFT(RIGHT(N165,LEN(N165)-FIND("@",N165)),LEN(RIGHT(N165,LEN(N165)-FIND("@",N165)))-1)/12)+1),0),0))</f>
        <v>1</v>
      </c>
      <c r="BK165">
        <f>MAX(ROUNDUP(IF(SD!$C$33="","",BG165/(LEFT(RIGHT(O165,LEN(O165)-FIND("@",O165)),LEN(RIGHT(O165,LEN(O165)-FIND("@",O165)))-1)/12)+1),0),0)</f>
        <v>0</v>
      </c>
      <c r="BL165">
        <f>MAX(ROUNDUP(IF(SD!$C$34="","",BH165/(LEFT(RIGHT(P165,LEN(P165)-FIND("@",P165)),LEN(RIGHT(P165,LEN(P165)-FIND("@",P165)))-1)/12)+1),0),0)</f>
        <v>3</v>
      </c>
      <c r="BN165" t="e">
        <f t="shared" si="59"/>
        <v>#N/A</v>
      </c>
      <c r="BO165" t="e">
        <f t="shared" si="60"/>
        <v>#N/A</v>
      </c>
      <c r="BP165" t="e">
        <f t="shared" si="61"/>
        <v>#N/A</v>
      </c>
      <c r="BQ165" s="24" t="e">
        <f>IF(AM165=TRUE,(((Y165-(SD!$E$12*2))*3.14159265359)+BN165+BO165+BP165)/12+AL165,SUM(AF165:AG165,BN165,BO165,BP165,AO165,AQ165)/12)</f>
        <v>#N/A</v>
      </c>
      <c r="BR165" t="e">
        <f t="shared" si="62"/>
        <v>#N/A</v>
      </c>
      <c r="BS165" t="e">
        <f t="shared" si="63"/>
        <v>#N/A</v>
      </c>
      <c r="BT165" t="e">
        <f t="shared" si="64"/>
        <v>#N/A</v>
      </c>
      <c r="BU165" s="24" t="e">
        <f>IF(AM165=TRUE,(((Y165-(SD!$E$12*2))*3.14159265359)+BR165+BS165+BT165)/12+AL165,SUM(AF165:AG165,BR165,BS165,BT165,AO165,AQ165)/12)</f>
        <v>#N/A</v>
      </c>
      <c r="BW165" t="str">
        <f>IFERROR(LEFT(Data!L165,FIND(" -",Data!L165)-1),"")</f>
        <v/>
      </c>
      <c r="BX165" t="str">
        <f>IFERROR(IF(SD!$C$40=SD!$U$2,W165,IF(SD!$C$40=SD!$U$3,RIGHT(Data!L165,LEN(Data!L165)-(FIND("-",Data!L165)+1)),SD!$C$40)),"")</f>
        <v>#7</v>
      </c>
      <c r="BY165" cm="1">
        <f t="array" ref="BY165">IFERROR(_xlfn.LET(_xlpm.GRR,IF(AND(SD!$C$19=SD!$H$2,Grade!$G$1="Per level"),VLOOKUP(B165,Grade!$E$1:$F$200,2,FALSE),IF(AND(SD!$C$19=SD!$H$2,Grade!$G$1="Per Bar Size"),VLOOKUP(BX165,Grade!$B$1:$C$12,2,0),SD!$C$19)),_xlpm.is_equal, A164=A165,_xlpm.grade_range, IF(_xlpm.GRR=SD!$H$3, A615GR60,IF(_xlpm.GRR=SD!$H$4, A615GR75,IF(_xlpm.GRR=SD!$H$5, A615GR80,IF(_xlpm.GRR=SD!H169, A615GR100,IF(_xlpm.GRR=SD!$H$7, A706GR60,IF(_xlpm.GRR=SD!$H$8, A706GR80)))))),_xlpm.match_result, MATCH(1, (BSize=BX165)*(BCName=SD!$C$8), 0),_xlpm.final_result, INDEX(_xlpm.grade_range, _xlpm.match_result),IF(_xlpm.is_equal, "", _xlpm.final_result)),"")</f>
        <v>7</v>
      </c>
      <c r="BZ165">
        <f>IF(A164=A165,"",IF(SD!$C$41="Match Vertical Bars ",X165,IF(SD!$C$41=SD!$V$3,BW165,SD!$C$41)))</f>
        <v>6</v>
      </c>
      <c r="CA165" cm="1">
        <f t="array" ref="CA165">IF(A164=A165,"",IF(SD!$C$44="No T-Head",IF(SD!$C$42=SD!$Q$3,VLOOKUP(BX165,S90Range,3,FALSE),LEFT(SD!$C$42,FIND("-",SD!$C$42)-1)+(RIGHT(SD!$C$42,LEN(SD!$C$42)-FIND("-",SD!$C$42))/12)),IF(SD!$C$44="T-Head",_xlfn._xlws.FILTER(THead,(TCName=SD!$C$8)*(TSize=BX165)),IF(SD!$C$44="Level Wise",_xlfn.LET(_xlpm.result,_xlfn.XLOOKUP(B165,VDLevel,VDLevelStatus,"No"),IF(_xlpm.result="Yes",_xlfn._xlws.FILTER(THead,(TCName=SD!$C$8)*(TSize=BX165)),IF(SD!$C$42=SD!$Q$3,VLOOKUP(BX165,S90Range,3,FALSE),LEFT(SD!$C$42,FIND("-",SD!$C$42)-1)+(RIGHT(SD!$C$42,LEN(SD!$C$42)-FIND("-", SD!$C$42))/12)))),IF(SD!$C$44="BarSize Wise",_xlfn.LET(_xlpm.result,_xlfn.XLOOKUP(BX165,VDBarSize,VDBarSizeStatus,"No"),IF(_xlpm.result="Yes",_xlfn._xlws.FILTER(THead,(TCName=SD!$C$8)*(TSize=BX165)),IF(SD!$C$42=SD!$Q$3,VLOOKUP(BX165,S90Range,3,FALSE),LEFT(SD!$C$42,FIND("-",SD!$C$42)-1)+(RIGHT(SD!$C$42,LEN(SD!$C$42)-FIND("-",SD!$C$42))/12)))), "")))))</f>
        <v>1.1666666666666667</v>
      </c>
      <c r="CB165" t="str" cm="1">
        <f t="array" ref="CB165">_xlfn.LET(_xlpm.GRR,IF(AND(SD!$C$19=SD!$H$2,Grade!$G$1="Per level"),VLOOKUP(B165,Grade!$E$1:$F$200,2,FALSE),IF(AND(SD!$C$19=SD!$H$2,Grade!$G$1="Per Bar Size"),VLOOKUP(BX165,Grade!$B$1:$C$12,2,0),SD!$C$19)),_xlpm.is_coupler, K165="Coupler",_xlpm.condition1, SD!$C$43=SD!$W$2,_xlpm.data_j2_empty, Data!$J165="",_xlpm.lookup_table, IF(SD!$C$11="Create", Lap!$A$3:$BF$14, IF(SD!$C$11="Per Uploaded File", Lap!$A$19:$BF$30, "")),_xlpm.row_match, MATCH(BX165, Lap!$A$3:$A$14, 0),_xlpm.grade_offset, IF(IFERROR(FIND("Grade 60",_xlpm.GRR), 0) &gt; 0, 0, IF(IFERROR(FIND("Grade 80",_xlpm.GRR), 0), 1, IF(IFERROR(FIND("Grade 75",_xlpm.GRR), 0), 2, ""))),_xlpm.col_match, MATCH(VALUE(D165), Lap!$A$3:$BF$3, 0) + _xlpm.grade_offset,_xlpm.index_result, IFERROR(INDEX(_xlpm.lookup_table, _xlpm.row_match, _xlpm.col_match), Data!$J165),_xlpm.result_if_condition1, IF(_xlpm.data_j2_empty, _xlpm.index_result, Data!$J165),IF(_xlpm.is_coupler, 0, IF(_xlpm.condition1, _xlpm.result_if_condition1, SD!$C$43)))</f>
        <v>3-6</v>
      </c>
      <c r="CC165" s="24">
        <f t="shared" si="65"/>
        <v>3.5</v>
      </c>
      <c r="CD165">
        <f t="shared" si="66"/>
        <v>9.6666666666666679</v>
      </c>
      <c r="CE165" t="str" cm="1">
        <f t="array" ref="CE165">IF(BY165="","",_xlfn._xlws.FILTER(SAC,(CName=SD!$C$8)*(EName="Vert Dowels")))</f>
        <v>2200 CD</v>
      </c>
      <c r="CF165" t="str" cm="1">
        <f t="array" ref="CF165">IFERROR(IF(BY165="","",IF(K165="Coupler",_xlfn._xlws.FILTER(CCoupler,(CCName=SD!$C$8)*(CBSize=IF(A164=A165,W164&amp;W165,BX165&amp;W165))*(CCMFM="Male")),"")),"N/A")</f>
        <v/>
      </c>
      <c r="CG165" t="str">
        <f t="shared" si="67"/>
        <v/>
      </c>
      <c r="CH165" t="str">
        <f t="shared" si="68"/>
        <v/>
      </c>
      <c r="CI165" t="str">
        <f>_xlfn.LET(_xlpm.u3_value, U166,_xlpm.hyphen_pos,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K166="Coupler",_xlpm.coupler_value, IF(_xlpm.is_coupler, 0, _xlpm.calculated_value),_xlpm.final_value, _xlpm.calculated_value + SD!$E$13 + _xlpm.coupler_value,IF(CG165="", "", _xlpm.final_value))</f>
        <v/>
      </c>
      <c r="CJ165" t="str" cm="1">
        <f t="array" ref="CJ165">IF(CG165="","",_xlfn._xlws.FILTER(SAC,(CName=SD!$C$8)*(EName="Loose Dowels")))</f>
        <v/>
      </c>
      <c r="CK165" t="str" cm="1">
        <f t="array" ref="CK165">IFERROR(IF(CG165="","",IF(K166="Coupler",_xlfn._xlws.FILTER(CCoupler,(CCName=SD!$C$8)*(CBSize=IF(A165=A166,W165&amp;W166,""))*(CCMFM="Male")),"")),"N/A")</f>
        <v/>
      </c>
      <c r="CL165">
        <f>IFERROR(IF(AM165="Spiral","",IF(A164=A165,"",IF(SD!$C$37=0,"",SD!$C$37))),"")</f>
        <v>3</v>
      </c>
      <c r="CN165">
        <f>IF(AM165="Spiral","",IFERROR(IF(SD!$C$36=0,"",SD!$C$36),""))</f>
        <v>5</v>
      </c>
      <c r="CP165">
        <f>IFERROR(IF(SD!$C$42=SD!$Q$3,'Take-off'!CA165,""),"")</f>
        <v>1.1666666666666667</v>
      </c>
      <c r="CR165">
        <f>IFERROR(IF(SD!$C$22=SD!$U$2,W165,SD!$C$22),"")</f>
        <v>0</v>
      </c>
      <c r="CS165" t="str" cm="1">
        <f t="array" ref="CS165">_xlfn.LET(_xlpm.GR,IF(AND(SD!$C$19=SD!$H$2,Grade!$G$1="Per level"),VLOOKUP(B165,Grade!$E$1:$F$200,2,FALSE),IF(AND(SD!$C$19=SD!$H$2,Grade!$G$1="Per Bar Size"),VLOOKUP(CR165,Grade!$B$1:$C$12,2,0),SD!$C$19)),IF(SD!$C$20=SD!$R$4,IF(A166=A165,"",INDEX(IF(_xlpm.GR=SD!$H$3,A615GR60,IF(_xlpm.GR=SD!$H$4,A615GR75,IF(_xlpm.GR=SD!$H$5,A615GR80,IF(_xlpm.GR=SD!H169,A615GR100,IF(_xlpm.GR=SD!$H$7,A706GR60,IF(_xlpm.GR=SD!$H$8,A706GR80)))))), MATCH(1, (BSize=CR165)*(BCName=SD!$C$8), 0))),""))</f>
        <v/>
      </c>
      <c r="CT165">
        <f>IF(A166=A165,"",IF(SD!$C$23="Match Vertical Bars ",X165,SD!$C$23))</f>
        <v>0</v>
      </c>
      <c r="CU165" t="str" cm="1">
        <f t="array" ref="CU165">IF(A166=A165,"",IF(SD!$C$20="Top dowels",IF(SD!$E$25="No T-Head",IF(SD!$C$24=SD!$Q$3,VLOOKUP(CR165,S90Range,3,FALSE),LEFT(SD!$C$24,FIND("-",SD!$C$24)-1)+(RIGHT(SD!$C$24,LEN(SD!$C$24)-FIND("-",SD!$C$24))/12)),IF(SD!$E$25="T-Head",_xlfn._xlws.FILTER(THead,(TCName=SD!$C$8)*(TSize=CR165)),IF(SD!$E$25="Level Wise",_xlfn.LET(_xlpm.result,_xlfn.XLOOKUP(B165,TDLevel,TDLevelStatus,"No"),IF(_xlpm.result="Yes",_xlfn._xlws.FILTER(THead,(TCName=SD!$C$8)*(TSize=CR165)),IF(SD!$C$24=SD!$Q$3,VLOOKUP(CR165,S90Range,3,FALSE),LEFT(SD!$C$24,FIND("-",SD!$C$24)-1)+(RIGHT(SD!$C$24,LEN(SD!$C$24)-FIND("-", SD!$C$24))/12)))),IF(SD!$E$25="BarSize Wise",_xlfn.LET(_xlpm.result,_xlfn.XLOOKUP(CR165,TDBarSize,TDBarSizeStatus,"No"),IF(_xlpm.result="Yes",_xlfn._xlws.FILTER(THead,(TCName=SD!$C$8)*(TSize=CR165)),IF(SD!$C$24=SD!$Q$3,VLOOKUP(CR165,S90Range,3,FALSE),LEFT(SD!$C$24,FIND("-",SD!$C$24)-1)+(RIGHT(SD!$C$24,LEN(SD!$C$24)-FIND("-",SD!$C$24))/12)))), "")))),""))</f>
        <v/>
      </c>
      <c r="CV165" t="str">
        <f>_xlfn.LET(_xlpm.GRR,IF(AND(SD!$C$19=SD!$H$2,Grade!$G$1="Per level"),VLOOKUP(B165,Grade!$E$1:$F$200,2,FALSE),IF(AND(SD!$C$19=SD!$H$2,Grade!$G$1="Per Bar Size"),VLOOKUP(CR165,Grade!$B$1:$C$12,2,0),SD!$C$19)),IF(SD!$C$25=SD!$W$2,IF(Data!$J165="",IFERROR(INDEX(IF(SD!$C$11="Create",Lap!$A$3:$BF$14,IF(SD!$C$11="Per Uploaded File",Lap!$A$19:$BF$30,"")),MATCH(CR165,Lap!$A$3:$A$14,0),MATCH(VALUE(D165),Lap!$A$3:$BF$3,0)+IF(IFERROR(FIND("Grade 60",_xlpm.GRR),0)&gt;0,0,IF(IFERROR(FIND("Grade 80",_xlpm.GRR),0),1,IF(IFERROR(FIND("Grade 75",_xlpm.GRR),0),2,"")))),""),Data!J165),SD!$C$43))</f>
        <v>Match Lap</v>
      </c>
      <c r="CW165">
        <f t="shared" si="69"/>
        <v>0</v>
      </c>
      <c r="CX165">
        <f t="shared" si="70"/>
        <v>0</v>
      </c>
      <c r="CY165" t="str">
        <f t="shared" si="71"/>
        <v/>
      </c>
      <c r="DA165">
        <f t="shared" si="72"/>
        <v>49</v>
      </c>
      <c r="DB165" t="str">
        <f t="shared" si="73"/>
        <v>19-7</v>
      </c>
      <c r="DC165" s="24">
        <f t="shared" si="74"/>
        <v>19.583333333333332</v>
      </c>
      <c r="DD165">
        <f t="shared" si="75"/>
        <v>19.583333333333332</v>
      </c>
      <c r="DE165" t="s">
        <v>755</v>
      </c>
      <c r="DF165" t="s">
        <v>67</v>
      </c>
      <c r="DG165" t="str">
        <f>VLOOKUP(W165,'Level Wise PSI'!$F$2:$G$12,2,FALSE)</f>
        <v>Double Lift</v>
      </c>
      <c r="DI165" t="str" cm="1">
        <f t="array" ref="DI165">_xlfn.LET(_xlpm.Coup,IFERROR(IF(BY165="","",IF(K165="Coupler",_xlfn._xlws.FILTER(CCFCoupler,(CCName=SD!$C$8)*(CBSize=IF(A164=A165,W164&amp;W165,BX165&amp;W165))),"")),"N/A"),IF(_xlpm.Coup=0,"",_xlpm.Coup))</f>
        <v/>
      </c>
      <c r="DJ165" t="str" cm="1">
        <f t="array" ref="DJ165">_xlfn.LET(_xlpm.Coup3,IFERROR(IF(CG165="","",IF(K166="Coupler",_xlfn._xlws.FILTER(CCFCoupler,(CCName=SD!$C$8)*(CBSize=IF(A165=A166,W165&amp;W166,""))),"")),"N/A"),IF(_xlpm.Coup3=0,"",_xlpm.Coup3))</f>
        <v/>
      </c>
      <c r="DK165" t="str" cm="1">
        <f t="array" ref="DK165">_xlfn.LET(_xlpm.Coup2,IFERROR(IF(A165&lt;&gt;A166,"",IF(DF165="No Lap","",IF(K166="Coupler",_xlfn._xlws.FILTER(CCFCoupler,(CCName=SD!$C$8)*(CBSize=IF(A164=A165,W165&amp;W166,W165&amp;W165))),""))),"N/A"),IF(_xlpm.Coup2=0,"",_xlpm.Coup2))</f>
        <v/>
      </c>
      <c r="DM165" t="str">
        <f>IF(AM165="Spiral","",IF(SD!$C$31=SD!$Y$3,SD!$E$32*2,""))</f>
        <v/>
      </c>
      <c r="DO165" s="24">
        <f t="shared" si="76"/>
        <v>2</v>
      </c>
      <c r="DQ165" t="str">
        <f t="shared" si="77"/>
        <v>Lig</v>
      </c>
      <c r="DR165" t="str">
        <f>IF(AM165="Spiral",((Y165-(SD!$E$12*2))/12),"")</f>
        <v/>
      </c>
      <c r="DS165" t="str">
        <f t="shared" si="78"/>
        <v/>
      </c>
      <c r="DT165" t="str">
        <f t="shared" si="79"/>
        <v/>
      </c>
      <c r="DU165" t="str">
        <f t="shared" si="80"/>
        <v/>
      </c>
    </row>
    <row r="166" spans="1:125" x14ac:dyDescent="0.25">
      <c r="A166">
        <v>5</v>
      </c>
      <c r="B166" t="s">
        <v>664</v>
      </c>
      <c r="C166" s="15">
        <v>2429</v>
      </c>
      <c r="D166" s="15">
        <v>10000</v>
      </c>
      <c r="E166" t="str">
        <f>IF(B166=Level!$A$2,SD!$C$14,SD!$C$13)</f>
        <v>3-0</v>
      </c>
      <c r="F166" s="15" t="s">
        <v>787</v>
      </c>
      <c r="G166" t="s">
        <v>717</v>
      </c>
      <c r="H166" s="15" t="s">
        <v>788</v>
      </c>
      <c r="I166" t="s">
        <v>718</v>
      </c>
      <c r="J166" t="str">
        <f>IF(AND(SD!$C$19=SD!$H$2,Grade!$G$1="Per level"),VLOOKUP(B166,Grade!$E$1:$F$200,2,FALSE),IF(AND(SD!$C$19=SD!$H$2,Grade!$G$1="Per Bar Size"),VLOOKUP(W166,Grade!$B$1:$C$12,2,0),SD!$C$19))</f>
        <v>A615 Grade 60</v>
      </c>
      <c r="K166" t="s">
        <v>67</v>
      </c>
      <c r="L166" t="str">
        <f>IFERROR(IF(A166&lt;&gt;A167,"",IF(DF166="No Lap","",IF(K167="Lap",U166,IF(K167="Coupler",_xlfn._xlws.FILTER(CCoupler,(CCName=SD!$C$8)*(CBSize=IF(A165=A166,W166&amp;W167,W166&amp;W166))*(CCMFM="Male")),"")))),"N/A")</f>
        <v/>
      </c>
      <c r="M166" t="str">
        <f t="shared" si="54"/>
        <v/>
      </c>
      <c r="N166" t="s">
        <v>719</v>
      </c>
      <c r="O166" t="s">
        <v>720</v>
      </c>
      <c r="P166" t="s">
        <v>719</v>
      </c>
      <c r="Q166" t="str">
        <f>IF(AND(SD!$C$29=SD!$P$2,Grade!$O$1="Per level"),VLOOKUP(B166,Grade!$M$1:$N$200,2,FALSE),IF(AND(SD!$C$29=SD!$P$2,Grade!$O$1="Per Bar Size"),VLOOKUP(LEFT(N166,FIND("@",N166)-2),Grade!$J$1:$K$12,2,0),SD!$C$29))</f>
        <v>A615 Grade 60</v>
      </c>
      <c r="R166" t="s">
        <v>721</v>
      </c>
      <c r="S166" s="57">
        <v>166</v>
      </c>
      <c r="U166" t="str">
        <f>IF(Data!$J166="",IFERROR(INDEX(IF(SD!$C$11="Create",Lap!$A$3:$BF$14,IF(SD!$C$11="Per Uploaded File",Lap!$A$19:$BF$30,"")),MATCH(W166,Lap!$A$3:$A$14,0),MATCH(VALUE(D166),Lap!$A$3:$BF$3,0)+IF(IFERROR(FIND("Grade 60",J166),0)&gt;0,0,IF(IFERROR(FIND("Grade 80",J166),0),1,IF(IFERROR(FIND("Grade 75",J166),0),2,"")))),""),Data!J166)</f>
        <v>3-6</v>
      </c>
      <c r="W166" t="s">
        <v>139</v>
      </c>
      <c r="X166">
        <v>14</v>
      </c>
      <c r="Y166" t="str">
        <f t="shared" si="55"/>
        <v xml:space="preserve">12 </v>
      </c>
      <c r="Z166" t="str">
        <f t="shared" si="56"/>
        <v xml:space="preserve"> 56</v>
      </c>
      <c r="AA166" s="24">
        <f t="shared" si="57"/>
        <v>19.583333333333332</v>
      </c>
      <c r="BB166" t="e" cm="1">
        <f t="array" ref="BB166">_xlfn.LET(_xlpm.PartF,(_xlfn.LET(_xlpm.grade, Q166,_xlpm.gradeRange, IF(_xlpm.grade=SD!$H$3, A615GR60, IF(_xlpm.grade=SD!$H$4, A615GR75, IF(_xlpm.grade=SD!$H$5, A615GR80, IF(_xlpm.grade=SD!$H$6, A615GR100, IF(_xlpm.grade=SD!$H$7, A706GR60, IF(_xlpm.grade=SD!$H$8, A706GR80)))))),_xlpm.matchValue, MATCH(1, (SD!$AW:$AW=AS166)*(SD!$AX:$AX=SD!$C$8), 0),INDEX(_xlpm.gradeRange, _xlpm.matchValue))),IF(AM166="Spiral",CONCATENATE("SP",_xlpm.PartF),_xlpm.PartF))</f>
        <v>#N/A</v>
      </c>
      <c r="BC166" cm="1">
        <f t="array" ref="BC166">_xlfn.LET(_xlpm.leftPart, LEFT(O166, FIND("@", O166) - 2),_xlpm.grade,Q166,_xlpm.gradeRange,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6" cm="1">
        <f t="array" ref="BD166">_xlfn.LET(_xlpm.leftPart, LEFT(P166, FIND("@", P166) - 2),_xlpm.grade, Q166,_xlpm.gradeRange,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6">
        <f t="shared" si="58"/>
        <v>4.666666666666667</v>
      </c>
      <c r="BF166">
        <f>IF(SD!$C$32=SD!$I$2,BE166,IF(SD!$C$32=SD!$I$3,DO166,IF(SD!$C$32=SD!$I$5,BA166,IF(SD!$C$32=SD!$I$6,(LEFT(SD!$C$35,FIND("-",SD!$C$35)-1)+RIGHT(SD!$C$35,LEN(SD!$C$35)-FIND("-",SD!$C$35))/12),IF(SD!$C$32=SD!$I$4,(AU166-(BG166+BH166)))))))</f>
        <v>0</v>
      </c>
      <c r="BG166">
        <f>IF(SD!$C$33=SD!$I$2,BE166,IF(SD!$C$33=SD!$I$3,DO166,IF(SD!$C$33=SD!$I$5,BA166,IF(SD!$C$33=SD!$I$6,(LEFT(SD!$C$35,FIND("-",SD!$C$35)-1)+RIGHT(SD!$C$35,LEN(SD!$C$35)-FIND("-",SD!$C$35))/12),IF(SD!$C$33=SD!$I$4,(AU166-(BF166+BH166)))))))</f>
        <v>-1</v>
      </c>
      <c r="BH166">
        <f>IF(SD!$C$34=SD!$I$2,BE166,IF(SD!$C$34=SD!$I$3,DO166,IF(SD!$C$34=SD!$I$5,BA166,IF(SD!$C$34=SD!$I$6,(LEFT(SD!$C$35,FIND("-",SD!$C$35)-1)+RIGHT(SD!$C$35,LEN(SD!$C$35)-FIND("-",SD!$C$35))/12),IF(SD!$C$34=SD!$I$4,(AU166-(BF166+BG166)))))))</f>
        <v>1</v>
      </c>
      <c r="BJ166">
        <f>IF(AM166="Spiral","1",MAX(ROUNDUP(IF(SD!$C$32="",AT166,BF166/(LEFT(RIGHT(N166,LEN(N166)-FIND("@",N166)),LEN(RIGHT(N166,LEN(N166)-FIND("@",N166)))-1)/12)+1),0),0))</f>
        <v>1</v>
      </c>
      <c r="BK166">
        <f>MAX(ROUNDUP(IF(SD!$C$33="","",BG166/(LEFT(RIGHT(O166,LEN(O166)-FIND("@",O166)),LEN(RIGHT(O166,LEN(O166)-FIND("@",O166)))-1)/12)+1),0),0)</f>
        <v>0</v>
      </c>
      <c r="BL166">
        <f>MAX(ROUNDUP(IF(SD!$C$34="","",BH166/(LEFT(RIGHT(P166,LEN(P166)-FIND("@",P166)),LEN(RIGHT(P166,LEN(P166)-FIND("@",P166)))-1)/12)+1),0),0)</f>
        <v>3</v>
      </c>
      <c r="BN166" t="e">
        <f t="shared" si="59"/>
        <v>#N/A</v>
      </c>
      <c r="BO166" t="e">
        <f t="shared" si="60"/>
        <v>#N/A</v>
      </c>
      <c r="BP166" t="e">
        <f t="shared" si="61"/>
        <v>#N/A</v>
      </c>
      <c r="BQ166" s="24" t="e">
        <f>IF(AM166=TRUE,(((Y166-(SD!$E$12*2))*3.14159265359)+BN166+BO166+BP166)/12+AL166,SUM(AF166:AG166,BN166,BO166,BP166,AO166,AQ166)/12)</f>
        <v>#N/A</v>
      </c>
      <c r="BR166" t="e">
        <f t="shared" si="62"/>
        <v>#N/A</v>
      </c>
      <c r="BS166" t="e">
        <f t="shared" si="63"/>
        <v>#N/A</v>
      </c>
      <c r="BT166" t="e">
        <f t="shared" si="64"/>
        <v>#N/A</v>
      </c>
      <c r="BU166" s="24" t="e">
        <f>IF(AM166=TRUE,(((Y166-(SD!$E$12*2))*3.14159265359)+BR166+BS166+BT166)/12+AL166,SUM(AF166:AG166,BR166,BS166,BT166,AO166,AQ166)/12)</f>
        <v>#N/A</v>
      </c>
      <c r="BW166" t="str">
        <f>IFERROR(LEFT(Data!L166,FIND(" -",Data!L166)-1),"")</f>
        <v/>
      </c>
      <c r="BX166" t="str">
        <f>IFERROR(IF(SD!$C$40=SD!$U$2,W166,IF(SD!$C$40=SD!$U$3,RIGHT(Data!L166,LEN(Data!L166)-(FIND("-",Data!L166)+1)),SD!$C$40)),"")</f>
        <v>#7</v>
      </c>
      <c r="BY166" cm="1">
        <f t="array" ref="BY166">IFERROR(_xlfn.LET(_xlpm.GRR,IF(AND(SD!$C$19=SD!$H$2,Grade!$G$1="Per level"),VLOOKUP(B166,Grade!$E$1:$F$200,2,FALSE),IF(AND(SD!$C$19=SD!$H$2,Grade!$G$1="Per Bar Size"),VLOOKUP(BX166,Grade!$B$1:$C$12,2,0),SD!$C$19)),_xlpm.is_equal, A165=A166,_xlpm.grade_range, IF(_xlpm.GRR=SD!$H$3, A615GR60,IF(_xlpm.GRR=SD!$H$4, A615GR75,IF(_xlpm.GRR=SD!$H$5, A615GR80,IF(_xlpm.GRR=SD!H170, A615GR100,IF(_xlpm.GRR=SD!$H$7, A706GR60,IF(_xlpm.GRR=SD!$H$8, A706GR80)))))),_xlpm.match_result, MATCH(1, (BSize=BX166)*(BCName=SD!$C$8), 0),_xlpm.final_result, INDEX(_xlpm.grade_range, _xlpm.match_result),IF(_xlpm.is_equal, "", _xlpm.final_result)),"")</f>
        <v>7</v>
      </c>
      <c r="BZ166">
        <f>IF(A165=A166,"",IF(SD!$C$41="Match Vertical Bars ",X166,IF(SD!$C$41=SD!$V$3,BW166,SD!$C$41)))</f>
        <v>14</v>
      </c>
      <c r="CA166" cm="1">
        <f t="array" ref="CA166">IF(A165=A166,"",IF(SD!$C$44="No T-Head",IF(SD!$C$42=SD!$Q$3,VLOOKUP(BX166,S90Range,3,FALSE),LEFT(SD!$C$42,FIND("-",SD!$C$42)-1)+(RIGHT(SD!$C$42,LEN(SD!$C$42)-FIND("-",SD!$C$42))/12)),IF(SD!$C$44="T-Head",_xlfn._xlws.FILTER(THead,(TCName=SD!$C$8)*(TSize=BX166)),IF(SD!$C$44="Level Wise",_xlfn.LET(_xlpm.result,_xlfn.XLOOKUP(B166,VDLevel,VDLevelStatus,"No"),IF(_xlpm.result="Yes",_xlfn._xlws.FILTER(THead,(TCName=SD!$C$8)*(TSize=BX166)),IF(SD!$C$42=SD!$Q$3,VLOOKUP(BX166,S90Range,3,FALSE),LEFT(SD!$C$42,FIND("-",SD!$C$42)-1)+(RIGHT(SD!$C$42,LEN(SD!$C$42)-FIND("-", SD!$C$42))/12)))),IF(SD!$C$44="BarSize Wise",_xlfn.LET(_xlpm.result,_xlfn.XLOOKUP(BX166,VDBarSize,VDBarSizeStatus,"No"),IF(_xlpm.result="Yes",_xlfn._xlws.FILTER(THead,(TCName=SD!$C$8)*(TSize=BX166)),IF(SD!$C$42=SD!$Q$3,VLOOKUP(BX166,S90Range,3,FALSE),LEFT(SD!$C$42,FIND("-",SD!$C$42)-1)+(RIGHT(SD!$C$42,LEN(SD!$C$42)-FIND("-",SD!$C$42))/12)))), "")))))</f>
        <v>1.1666666666666667</v>
      </c>
      <c r="CB166" t="str" cm="1">
        <f t="array" ref="CB166">_xlfn.LET(_xlpm.GRR,IF(AND(SD!$C$19=SD!$H$2,Grade!$G$1="Per level"),VLOOKUP(B166,Grade!$E$1:$F$200,2,FALSE),IF(AND(SD!$C$19=SD!$H$2,Grade!$G$1="Per Bar Size"),VLOOKUP(BX166,Grade!$B$1:$C$12,2,0),SD!$C$19)),_xlpm.is_coupler, K166="Coupler",_xlpm.condition1, SD!$C$43=SD!$W$2,_xlpm.data_j2_empty, Data!$J166="",_xlpm.lookup_table, IF(SD!$C$11="Create", Lap!$A$3:$BF$14, IF(SD!$C$11="Per Uploaded File", Lap!$A$19:$BF$30, "")),_xlpm.row_match, MATCH(BX166, Lap!$A$3:$A$14, 0),_xlpm.grade_offset, IF(IFERROR(FIND("Grade 60",_xlpm.GRR), 0) &gt; 0, 0, IF(IFERROR(FIND("Grade 80",_xlpm.GRR), 0), 1, IF(IFERROR(FIND("Grade 75",_xlpm.GRR), 0), 2, ""))),_xlpm.col_match, MATCH(VALUE(D166), Lap!$A$3:$BF$3, 0) + _xlpm.grade_offset,_xlpm.index_result, IFERROR(INDEX(_xlpm.lookup_table, _xlpm.row_match, _xlpm.col_match), Data!$J166),_xlpm.result_if_condition1, IF(_xlpm.data_j2_empty, _xlpm.index_result, Data!$J166),IF(_xlpm.is_coupler, 0, IF(_xlpm.condition1, _xlpm.result_if_condition1, SD!$C$43)))</f>
        <v>3-6</v>
      </c>
      <c r="CC166" s="24">
        <f t="shared" si="65"/>
        <v>3.5</v>
      </c>
      <c r="CD166">
        <f t="shared" si="66"/>
        <v>7.666666666666667</v>
      </c>
      <c r="CE166" t="str" cm="1">
        <f t="array" ref="CE166">IF(BY166="","",_xlfn._xlws.FILTER(SAC,(CName=SD!$C$8)*(EName="Vert Dowels")))</f>
        <v>2200 CD</v>
      </c>
      <c r="CF166" t="str" cm="1">
        <f t="array" ref="CF166">IFERROR(IF(BY166="","",IF(K166="Coupler",_xlfn._xlws.FILTER(CCoupler,(CCName=SD!$C$8)*(CBSize=IF(A165=A166,W165&amp;W166,BX166&amp;W166))*(CCMFM="Male")),"")),"N/A")</f>
        <v/>
      </c>
      <c r="CG166" t="str">
        <f t="shared" si="67"/>
        <v/>
      </c>
      <c r="CH166" t="str">
        <f t="shared" si="68"/>
        <v/>
      </c>
      <c r="CI166" t="str">
        <f>_xlfn.LET(_xlpm.u3_value, U167,_xlpm.hyphen_pos,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K167="Coupler",_xlpm.coupler_value, IF(_xlpm.is_coupler, 0, _xlpm.calculated_value),_xlpm.final_value, _xlpm.calculated_value + SD!$E$13 + _xlpm.coupler_value,IF(CG166="", "", _xlpm.final_value))</f>
        <v/>
      </c>
      <c r="CJ166" t="str" cm="1">
        <f t="array" ref="CJ166">IF(CG166="","",_xlfn._xlws.FILTER(SAC,(CName=SD!$C$8)*(EName="Loose Dowels")))</f>
        <v/>
      </c>
      <c r="CK166" t="str" cm="1">
        <f t="array" ref="CK166">IFERROR(IF(CG166="","",IF(K167="Coupler",_xlfn._xlws.FILTER(CCoupler,(CCName=SD!$C$8)*(CBSize=IF(A166=A167,W166&amp;W167,""))*(CCMFM="Male")),"")),"N/A")</f>
        <v/>
      </c>
      <c r="CL166">
        <f>IFERROR(IF(AM166="Spiral","",IF(A165=A166,"",IF(SD!$C$37=0,"",SD!$C$37))),"")</f>
        <v>3</v>
      </c>
      <c r="CN166">
        <f>IF(AM166="Spiral","",IFERROR(IF(SD!$C$36=0,"",SD!$C$36),""))</f>
        <v>5</v>
      </c>
      <c r="CP166">
        <f>IFERROR(IF(SD!$C$42=SD!$Q$3,'Take-off'!CA166,""),"")</f>
        <v>1.1666666666666667</v>
      </c>
      <c r="CR166">
        <f>IFERROR(IF(SD!$C$22=SD!$U$2,W166,SD!$C$22),"")</f>
        <v>0</v>
      </c>
      <c r="CS166" t="str" cm="1">
        <f t="array" ref="CS166">_xlfn.LET(_xlpm.GR,IF(AND(SD!$C$19=SD!$H$2,Grade!$G$1="Per level"),VLOOKUP(B166,Grade!$E$1:$F$200,2,FALSE),IF(AND(SD!$C$19=SD!$H$2,Grade!$G$1="Per Bar Size"),VLOOKUP(CR166,Grade!$B$1:$C$12,2,0),SD!$C$19)),IF(SD!$C$20=SD!$R$4,IF(A167=A166,"",INDEX(IF(_xlpm.GR=SD!$H$3,A615GR60,IF(_xlpm.GR=SD!$H$4,A615GR75,IF(_xlpm.GR=SD!$H$5,A615GR80,IF(_xlpm.GR=SD!H170,A615GR100,IF(_xlpm.GR=SD!$H$7,A706GR60,IF(_xlpm.GR=SD!$H$8,A706GR80)))))), MATCH(1, (BSize=CR166)*(BCName=SD!$C$8), 0))),""))</f>
        <v/>
      </c>
      <c r="CT166">
        <f>IF(A167=A166,"",IF(SD!$C$23="Match Vertical Bars ",X166,SD!$C$23))</f>
        <v>0</v>
      </c>
      <c r="CU166" t="str" cm="1">
        <f t="array" ref="CU166">IF(A167=A166,"",IF(SD!$C$20="Top dowels",IF(SD!$E$25="No T-Head",IF(SD!$C$24=SD!$Q$3,VLOOKUP(CR166,S90Range,3,FALSE),LEFT(SD!$C$24,FIND("-",SD!$C$24)-1)+(RIGHT(SD!$C$24,LEN(SD!$C$24)-FIND("-",SD!$C$24))/12)),IF(SD!$E$25="T-Head",_xlfn._xlws.FILTER(THead,(TCName=SD!$C$8)*(TSize=CR166)),IF(SD!$E$25="Level Wise",_xlfn.LET(_xlpm.result,_xlfn.XLOOKUP(B166,TDLevel,TDLevelStatus,"No"),IF(_xlpm.result="Yes",_xlfn._xlws.FILTER(THead,(TCName=SD!$C$8)*(TSize=CR166)),IF(SD!$C$24=SD!$Q$3,VLOOKUP(CR166,S90Range,3,FALSE),LEFT(SD!$C$24,FIND("-",SD!$C$24)-1)+(RIGHT(SD!$C$24,LEN(SD!$C$24)-FIND("-", SD!$C$24))/12)))),IF(SD!$E$25="BarSize Wise",_xlfn.LET(_xlpm.result,_xlfn.XLOOKUP(CR166,TDBarSize,TDBarSizeStatus,"No"),IF(_xlpm.result="Yes",_xlfn._xlws.FILTER(THead,(TCName=SD!$C$8)*(TSize=CR166)),IF(SD!$C$24=SD!$Q$3,VLOOKUP(CR166,S90Range,3,FALSE),LEFT(SD!$C$24,FIND("-",SD!$C$24)-1)+(RIGHT(SD!$C$24,LEN(SD!$C$24)-FIND("-",SD!$C$24))/12)))), "")))),""))</f>
        <v/>
      </c>
      <c r="CV166" t="str">
        <f>_xlfn.LET(_xlpm.GRR,IF(AND(SD!$C$19=SD!$H$2,Grade!$G$1="Per level"),VLOOKUP(B166,Grade!$E$1:$F$200,2,FALSE),IF(AND(SD!$C$19=SD!$H$2,Grade!$G$1="Per Bar Size"),VLOOKUP(CR166,Grade!$B$1:$C$12,2,0),SD!$C$19)),IF(SD!$C$25=SD!$W$2,IF(Data!$J166="",IFERROR(INDEX(IF(SD!$C$11="Create",Lap!$A$3:$BF$14,IF(SD!$C$11="Per Uploaded File",Lap!$A$19:$BF$30,"")),MATCH(CR166,Lap!$A$3:$A$14,0),MATCH(VALUE(D166),Lap!$A$3:$BF$3,0)+IF(IFERROR(FIND("Grade 60",_xlpm.GRR),0)&gt;0,0,IF(IFERROR(FIND("Grade 80",_xlpm.GRR),0),1,IF(IFERROR(FIND("Grade 75",_xlpm.GRR),0),2,"")))),""),Data!J166),SD!$C$43))</f>
        <v>Match Lap</v>
      </c>
      <c r="CW166">
        <f t="shared" si="69"/>
        <v>0</v>
      </c>
      <c r="CX166">
        <f t="shared" si="70"/>
        <v>0</v>
      </c>
      <c r="CY166" t="str">
        <f t="shared" si="71"/>
        <v/>
      </c>
      <c r="DA166">
        <f t="shared" si="72"/>
        <v>5</v>
      </c>
      <c r="DB166" t="str">
        <f t="shared" si="73"/>
        <v>19-7</v>
      </c>
      <c r="DC166" s="24">
        <f t="shared" si="74"/>
        <v>19.583333333333332</v>
      </c>
      <c r="DD166">
        <f t="shared" si="75"/>
        <v>19.583333333333332</v>
      </c>
      <c r="DE166" t="s">
        <v>717</v>
      </c>
      <c r="DF166" t="s">
        <v>67</v>
      </c>
      <c r="DG166" t="str">
        <f>VLOOKUP(W166,'Level Wise PSI'!$F$2:$G$12,2,FALSE)</f>
        <v>Double Lift</v>
      </c>
      <c r="DI166" t="str" cm="1">
        <f t="array" ref="DI166">_xlfn.LET(_xlpm.Coup,IFERROR(IF(BY166="","",IF(K166="Coupler",_xlfn._xlws.FILTER(CCFCoupler,(CCName=SD!$C$8)*(CBSize=IF(A165=A166,W165&amp;W166,BX166&amp;W166))),"")),"N/A"),IF(_xlpm.Coup=0,"",_xlpm.Coup))</f>
        <v/>
      </c>
      <c r="DJ166" t="str" cm="1">
        <f t="array" ref="DJ166">_xlfn.LET(_xlpm.Coup3,IFERROR(IF(CG166="","",IF(K167="Coupler",_xlfn._xlws.FILTER(CCFCoupler,(CCName=SD!$C$8)*(CBSize=IF(A166=A167,W166&amp;W167,""))),"")),"N/A"),IF(_xlpm.Coup3=0,"",_xlpm.Coup3))</f>
        <v/>
      </c>
      <c r="DK166" t="str" cm="1">
        <f t="array" ref="DK166">_xlfn.LET(_xlpm.Coup2,IFERROR(IF(A166&lt;&gt;A167,"",IF(DF166="No Lap","",IF(K167="Coupler",_xlfn._xlws.FILTER(CCFCoupler,(CCName=SD!$C$8)*(CBSize=IF(A165=A166,W166&amp;W167,W166&amp;W166))),""))),"N/A"),IF(_xlpm.Coup2=0,"",_xlpm.Coup2))</f>
        <v/>
      </c>
      <c r="DM166" t="str">
        <f>IF(AM166="Spiral","",IF(SD!$C$31=SD!$Y$3,SD!$E$32*2,""))</f>
        <v/>
      </c>
      <c r="DO166" s="24">
        <f t="shared" si="76"/>
        <v>4.666666666666667</v>
      </c>
      <c r="DQ166" t="str">
        <f t="shared" si="77"/>
        <v>Lig</v>
      </c>
      <c r="DR166" t="str">
        <f>IF(AM166="Spiral",((Y166-(SD!$E$12*2))/12),"")</f>
        <v/>
      </c>
      <c r="DS166" t="str">
        <f t="shared" si="78"/>
        <v/>
      </c>
      <c r="DT166" t="str">
        <f t="shared" si="79"/>
        <v/>
      </c>
      <c r="DU166" t="str">
        <f t="shared" si="80"/>
        <v/>
      </c>
    </row>
    <row r="167" spans="1:125" x14ac:dyDescent="0.25">
      <c r="A167">
        <v>50</v>
      </c>
      <c r="B167" t="s">
        <v>664</v>
      </c>
      <c r="C167" s="15">
        <v>2429</v>
      </c>
      <c r="D167" s="15">
        <v>10000</v>
      </c>
      <c r="E167" s="15" t="s">
        <v>702</v>
      </c>
      <c r="F167" s="15" t="s">
        <v>787</v>
      </c>
      <c r="G167" t="s">
        <v>733</v>
      </c>
      <c r="H167" s="15" t="s">
        <v>790</v>
      </c>
      <c r="I167" t="s">
        <v>723</v>
      </c>
      <c r="J167" t="str">
        <f>IF(AND(SD!$C$19=SD!$H$2,Grade!$G$1="Per level"),VLOOKUP(B167,Grade!$E$1:$F$200,2,FALSE),IF(AND(SD!$C$19=SD!$H$2,Grade!$G$1="Per Bar Size"),VLOOKUP(W167,Grade!$B$1:$C$12,2,0),SD!$C$19))</f>
        <v>A615 Grade 60</v>
      </c>
      <c r="K167" t="s">
        <v>67</v>
      </c>
      <c r="L167" t="str">
        <f>IFERROR(IF(A167&lt;&gt;A168,"",IF(DF167="No Lap","",IF(K168="Lap",U167,IF(K168="Coupler",_xlfn._xlws.FILTER(CCoupler,(CCName=SD!$C$8)*(CBSize=IF(A166=A167,W167&amp;W168,W167&amp;W167))*(CCMFM="Male")),"")))),"N/A")</f>
        <v/>
      </c>
      <c r="M167" t="str">
        <f t="shared" si="54"/>
        <v/>
      </c>
      <c r="N167" t="s">
        <v>719</v>
      </c>
      <c r="O167" t="s">
        <v>720</v>
      </c>
      <c r="P167" t="s">
        <v>719</v>
      </c>
      <c r="Q167" t="str">
        <f>IF(AND(SD!$C$29=SD!$P$2,Grade!$O$1="Per level"),VLOOKUP(B167,Grade!$M$1:$N$200,2,FALSE),IF(AND(SD!$C$29=SD!$P$2,Grade!$O$1="Per Bar Size"),VLOOKUP(LEFT(N167,FIND("@",N167)-2),Grade!$J$1:$K$12,2,0),SD!$C$29))</f>
        <v>A615 Grade 60</v>
      </c>
      <c r="R167" t="s">
        <v>725</v>
      </c>
      <c r="S167" s="57">
        <v>167</v>
      </c>
      <c r="U167" t="str">
        <f>IF(Data!$J167="",IFERROR(INDEX(IF(SD!$C$11="Create",Lap!$A$3:$BF$14,IF(SD!$C$11="Per Uploaded File",Lap!$A$19:$BF$30,"")),MATCH(W167,Lap!$A$3:$A$14,0),MATCH(VALUE(D167),Lap!$A$3:$BF$3,0)+IF(IFERROR(FIND("Grade 60",J167),0)&gt;0,0,IF(IFERROR(FIND("Grade 80",J167),0),1,IF(IFERROR(FIND("Grade 75",J167),0),2,"")))),""),Data!J167)</f>
        <v>3-6</v>
      </c>
      <c r="W167" t="s">
        <v>139</v>
      </c>
      <c r="X167">
        <v>6</v>
      </c>
      <c r="Y167" t="str">
        <f t="shared" si="55"/>
        <v xml:space="preserve">14 </v>
      </c>
      <c r="Z167" t="str">
        <f t="shared" si="56"/>
        <v xml:space="preserve"> 24</v>
      </c>
      <c r="AA167" s="24">
        <f t="shared" si="57"/>
        <v>12.25</v>
      </c>
      <c r="BB167" t="e" cm="1">
        <f t="array" ref="BB167">_xlfn.LET(_xlpm.PartF,(_xlfn.LET(_xlpm.grade, Q167,_xlpm.gradeRange, IF(_xlpm.grade=SD!$H$3, A615GR60, IF(_xlpm.grade=SD!$H$4, A615GR75, IF(_xlpm.grade=SD!$H$5, A615GR80, IF(_xlpm.grade=SD!$H$6, A615GR100, IF(_xlpm.grade=SD!$H$7, A706GR60, IF(_xlpm.grade=SD!$H$8, A706GR80)))))),_xlpm.matchValue, MATCH(1, (SD!$AW:$AW=AS167)*(SD!$AX:$AX=SD!$C$8), 0),INDEX(_xlpm.gradeRange, _xlpm.matchValue))),IF(AM167="Spiral",CONCATENATE("SP",_xlpm.PartF),_xlpm.PartF))</f>
        <v>#N/A</v>
      </c>
      <c r="BC167" cm="1">
        <f t="array" ref="BC167">_xlfn.LET(_xlpm.leftPart, LEFT(O167, FIND("@", O167) - 2),_xlpm.grade,Q167,_xlpm.gradeRange,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7" cm="1">
        <f t="array" ref="BD167">_xlfn.LET(_xlpm.leftPart, LEFT(P167, FIND("@", P167) - 2),_xlpm.grade, Q167,_xlpm.gradeRange,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7">
        <f t="shared" si="58"/>
        <v>2</v>
      </c>
      <c r="BF167">
        <f>IF(SD!$C$32=SD!$I$2,BE167,IF(SD!$C$32=SD!$I$3,DO167,IF(SD!$C$32=SD!$I$5,BA167,IF(SD!$C$32=SD!$I$6,(LEFT(SD!$C$35,FIND("-",SD!$C$35)-1)+RIGHT(SD!$C$35,LEN(SD!$C$35)-FIND("-",SD!$C$35))/12),IF(SD!$C$32=SD!$I$4,(AU167-(BG167+BH167)))))))</f>
        <v>0</v>
      </c>
      <c r="BG167">
        <f>IF(SD!$C$33=SD!$I$2,BE167,IF(SD!$C$33=SD!$I$3,DO167,IF(SD!$C$33=SD!$I$5,BA167,IF(SD!$C$33=SD!$I$6,(LEFT(SD!$C$35,FIND("-",SD!$C$35)-1)+RIGHT(SD!$C$35,LEN(SD!$C$35)-FIND("-",SD!$C$35))/12),IF(SD!$C$33=SD!$I$4,(AU167-(BF167+BH167)))))))</f>
        <v>-1</v>
      </c>
      <c r="BH167">
        <f>IF(SD!$C$34=SD!$I$2,BE167,IF(SD!$C$34=SD!$I$3,DO167,IF(SD!$C$34=SD!$I$5,BA167,IF(SD!$C$34=SD!$I$6,(LEFT(SD!$C$35,FIND("-",SD!$C$35)-1)+RIGHT(SD!$C$35,LEN(SD!$C$35)-FIND("-",SD!$C$35))/12),IF(SD!$C$34=SD!$I$4,(AU167-(BF167+BG167)))))))</f>
        <v>1</v>
      </c>
      <c r="BJ167">
        <f>IF(AM167="Spiral","1",MAX(ROUNDUP(IF(SD!$C$32="",AT167,BF167/(LEFT(RIGHT(N167,LEN(N167)-FIND("@",N167)),LEN(RIGHT(N167,LEN(N167)-FIND("@",N167)))-1)/12)+1),0),0))</f>
        <v>1</v>
      </c>
      <c r="BK167">
        <f>MAX(ROUNDUP(IF(SD!$C$33="","",BG167/(LEFT(RIGHT(O167,LEN(O167)-FIND("@",O167)),LEN(RIGHT(O167,LEN(O167)-FIND("@",O167)))-1)/12)+1),0),0)</f>
        <v>0</v>
      </c>
      <c r="BL167">
        <f>MAX(ROUNDUP(IF(SD!$C$34="","",BH167/(LEFT(RIGHT(P167,LEN(P167)-FIND("@",P167)),LEN(RIGHT(P167,LEN(P167)-FIND("@",P167)))-1)/12)+1),0),0)</f>
        <v>3</v>
      </c>
      <c r="BN167" t="e">
        <f t="shared" si="59"/>
        <v>#N/A</v>
      </c>
      <c r="BO167" t="e">
        <f t="shared" si="60"/>
        <v>#N/A</v>
      </c>
      <c r="BP167" t="e">
        <f t="shared" si="61"/>
        <v>#N/A</v>
      </c>
      <c r="BQ167" s="24" t="e">
        <f>IF(AM167=TRUE,(((Y167-(SD!$E$12*2))*3.14159265359)+BN167+BO167+BP167)/12+AL167,SUM(AF167:AG167,BN167,BO167,BP167,AO167,AQ167)/12)</f>
        <v>#N/A</v>
      </c>
      <c r="BR167" t="e">
        <f t="shared" si="62"/>
        <v>#N/A</v>
      </c>
      <c r="BS167" t="e">
        <f t="shared" si="63"/>
        <v>#N/A</v>
      </c>
      <c r="BT167" t="e">
        <f t="shared" si="64"/>
        <v>#N/A</v>
      </c>
      <c r="BU167" s="24" t="e">
        <f>IF(AM167=TRUE,(((Y167-(SD!$E$12*2))*3.14159265359)+BR167+BS167+BT167)/12+AL167,SUM(AF167:AG167,BR167,BS167,BT167,AO167,AQ167)/12)</f>
        <v>#N/A</v>
      </c>
      <c r="BW167" t="str">
        <f>IFERROR(LEFT(Data!L167,FIND(" -",Data!L167)-1),"")</f>
        <v/>
      </c>
      <c r="BX167" t="str">
        <f>IFERROR(IF(SD!$C$40=SD!$U$2,W167,IF(SD!$C$40=SD!$U$3,RIGHT(Data!L167,LEN(Data!L167)-(FIND("-",Data!L167)+1)),SD!$C$40)),"")</f>
        <v>#7</v>
      </c>
      <c r="BY167" cm="1">
        <f t="array" ref="BY167">IFERROR(_xlfn.LET(_xlpm.GRR,IF(AND(SD!$C$19=SD!$H$2,Grade!$G$1="Per level"),VLOOKUP(B167,Grade!$E$1:$F$200,2,FALSE),IF(AND(SD!$C$19=SD!$H$2,Grade!$G$1="Per Bar Size"),VLOOKUP(BX167,Grade!$B$1:$C$12,2,0),SD!$C$19)),_xlpm.is_equal, A166=A167,_xlpm.grade_range, IF(_xlpm.GRR=SD!$H$3, A615GR60,IF(_xlpm.GRR=SD!$H$4, A615GR75,IF(_xlpm.GRR=SD!$H$5, A615GR80,IF(_xlpm.GRR=SD!H171, A615GR100,IF(_xlpm.GRR=SD!$H$7, A706GR60,IF(_xlpm.GRR=SD!$H$8, A706GR80)))))),_xlpm.match_result, MATCH(1, (BSize=BX167)*(BCName=SD!$C$8), 0),_xlpm.final_result, INDEX(_xlpm.grade_range, _xlpm.match_result),IF(_xlpm.is_equal, "", _xlpm.final_result)),"")</f>
        <v>7</v>
      </c>
      <c r="BZ167">
        <f>IF(A166=A167,"",IF(SD!$C$41="Match Vertical Bars ",X167,IF(SD!$C$41=SD!$V$3,BW167,SD!$C$41)))</f>
        <v>6</v>
      </c>
      <c r="CA167" cm="1">
        <f t="array" ref="CA167">IF(A166=A167,"",IF(SD!$C$44="No T-Head",IF(SD!$C$42=SD!$Q$3,VLOOKUP(BX167,S90Range,3,FALSE),LEFT(SD!$C$42,FIND("-",SD!$C$42)-1)+(RIGHT(SD!$C$42,LEN(SD!$C$42)-FIND("-",SD!$C$42))/12)),IF(SD!$C$44="T-Head",_xlfn._xlws.FILTER(THead,(TCName=SD!$C$8)*(TSize=BX167)),IF(SD!$C$44="Level Wise",_xlfn.LET(_xlpm.result,_xlfn.XLOOKUP(B167,VDLevel,VDLevelStatus,"No"),IF(_xlpm.result="Yes",_xlfn._xlws.FILTER(THead,(TCName=SD!$C$8)*(TSize=BX167)),IF(SD!$C$42=SD!$Q$3,VLOOKUP(BX167,S90Range,3,FALSE),LEFT(SD!$C$42,FIND("-",SD!$C$42)-1)+(RIGHT(SD!$C$42,LEN(SD!$C$42)-FIND("-", SD!$C$42))/12)))),IF(SD!$C$44="BarSize Wise",_xlfn.LET(_xlpm.result,_xlfn.XLOOKUP(BX167,VDBarSize,VDBarSizeStatus,"No"),IF(_xlpm.result="Yes",_xlfn._xlws.FILTER(THead,(TCName=SD!$C$8)*(TSize=BX167)),IF(SD!$C$42=SD!$Q$3,VLOOKUP(BX167,S90Range,3,FALSE),LEFT(SD!$C$42,FIND("-",SD!$C$42)-1)+(RIGHT(SD!$C$42,LEN(SD!$C$42)-FIND("-",SD!$C$42))/12)))), "")))))</f>
        <v>1.1666666666666667</v>
      </c>
      <c r="CB167" t="str" cm="1">
        <f t="array" ref="CB167">_xlfn.LET(_xlpm.GRR,IF(AND(SD!$C$19=SD!$H$2,Grade!$G$1="Per level"),VLOOKUP(B167,Grade!$E$1:$F$200,2,FALSE),IF(AND(SD!$C$19=SD!$H$2,Grade!$G$1="Per Bar Size"),VLOOKUP(BX167,Grade!$B$1:$C$12,2,0),SD!$C$19)),_xlpm.is_coupler, K167="Coupler",_xlpm.condition1, SD!$C$43=SD!$W$2,_xlpm.data_j2_empty, Data!$J167="",_xlpm.lookup_table, IF(SD!$C$11="Create", Lap!$A$3:$BF$14, IF(SD!$C$11="Per Uploaded File", Lap!$A$19:$BF$30, "")),_xlpm.row_match, MATCH(BX167, Lap!$A$3:$A$14, 0),_xlpm.grade_offset, IF(IFERROR(FIND("Grade 60",_xlpm.GRR), 0) &gt; 0, 0, IF(IFERROR(FIND("Grade 80",_xlpm.GRR), 0), 1, IF(IFERROR(FIND("Grade 75",_xlpm.GRR), 0), 2, ""))),_xlpm.col_match, MATCH(VALUE(D167), Lap!$A$3:$BF$3, 0) + _xlpm.grade_offset,_xlpm.index_result, IFERROR(INDEX(_xlpm.lookup_table, _xlpm.row_match, _xlpm.col_match), Data!$J167),_xlpm.result_if_condition1, IF(_xlpm.data_j2_empty, _xlpm.index_result, Data!$J167),IF(_xlpm.is_coupler, 0, IF(_xlpm.condition1, _xlpm.result_if_condition1, SD!$C$43)))</f>
        <v>3-6</v>
      </c>
      <c r="CC167" s="24">
        <f t="shared" si="65"/>
        <v>3.5</v>
      </c>
      <c r="CD167">
        <f t="shared" si="66"/>
        <v>8.6666666666666679</v>
      </c>
      <c r="CE167" t="str" cm="1">
        <f t="array" ref="CE167">IF(BY167="","",_xlfn._xlws.FILTER(SAC,(CName=SD!$C$8)*(EName="Vert Dowels")))</f>
        <v>2200 CD</v>
      </c>
      <c r="CF167" t="str" cm="1">
        <f t="array" ref="CF167">IFERROR(IF(BY167="","",IF(K167="Coupler",_xlfn._xlws.FILTER(CCoupler,(CCName=SD!$C$8)*(CBSize=IF(A166=A167,W166&amp;W167,BX167&amp;W167))*(CCMFM="Male")),"")),"N/A")</f>
        <v/>
      </c>
      <c r="CG167" t="str">
        <f t="shared" si="67"/>
        <v/>
      </c>
      <c r="CH167" t="str">
        <f t="shared" si="68"/>
        <v/>
      </c>
      <c r="CI167" t="str">
        <f>_xlfn.LET(_xlpm.u3_value, U168,_xlpm.hyphen_pos,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K168="Coupler",_xlpm.coupler_value, IF(_xlpm.is_coupler, 0, _xlpm.calculated_value),_xlpm.final_value, _xlpm.calculated_value + SD!$E$13 + _xlpm.coupler_value,IF(CG167="", "", _xlpm.final_value))</f>
        <v/>
      </c>
      <c r="CJ167" t="str" cm="1">
        <f t="array" ref="CJ167">IF(CG167="","",_xlfn._xlws.FILTER(SAC,(CName=SD!$C$8)*(EName="Loose Dowels")))</f>
        <v/>
      </c>
      <c r="CK167" t="str" cm="1">
        <f t="array" ref="CK167">IFERROR(IF(CG167="","",IF(K168="Coupler",_xlfn._xlws.FILTER(CCoupler,(CCName=SD!$C$8)*(CBSize=IF(A167=A168,W167&amp;W168,""))*(CCMFM="Male")),"")),"N/A")</f>
        <v/>
      </c>
      <c r="CL167">
        <f>IFERROR(IF(AM167="Spiral","",IF(A166=A167,"",IF(SD!$C$37=0,"",SD!$C$37))),"")</f>
        <v>3</v>
      </c>
      <c r="CN167">
        <f>IF(AM167="Spiral","",IFERROR(IF(SD!$C$36=0,"",SD!$C$36),""))</f>
        <v>5</v>
      </c>
      <c r="CP167">
        <f>IFERROR(IF(SD!$C$42=SD!$Q$3,'Take-off'!CA167,""),"")</f>
        <v>1.1666666666666667</v>
      </c>
      <c r="CR167">
        <f>IFERROR(IF(SD!$C$22=SD!$U$2,W167,SD!$C$22),"")</f>
        <v>0</v>
      </c>
      <c r="CS167" t="str" cm="1">
        <f t="array" ref="CS167">_xlfn.LET(_xlpm.GR,IF(AND(SD!$C$19=SD!$H$2,Grade!$G$1="Per level"),VLOOKUP(B167,Grade!$E$1:$F$200,2,FALSE),IF(AND(SD!$C$19=SD!$H$2,Grade!$G$1="Per Bar Size"),VLOOKUP(CR167,Grade!$B$1:$C$12,2,0),SD!$C$19)),IF(SD!$C$20=SD!$R$4,IF(A168=A167,"",INDEX(IF(_xlpm.GR=SD!$H$3,A615GR60,IF(_xlpm.GR=SD!$H$4,A615GR75,IF(_xlpm.GR=SD!$H$5,A615GR80,IF(_xlpm.GR=SD!H171,A615GR100,IF(_xlpm.GR=SD!$H$7,A706GR60,IF(_xlpm.GR=SD!$H$8,A706GR80)))))), MATCH(1, (BSize=CR167)*(BCName=SD!$C$8), 0))),""))</f>
        <v/>
      </c>
      <c r="CT167">
        <f>IF(A168=A167,"",IF(SD!$C$23="Match Vertical Bars ",X167,SD!$C$23))</f>
        <v>0</v>
      </c>
      <c r="CU167" t="str" cm="1">
        <f t="array" ref="CU167">IF(A168=A167,"",IF(SD!$C$20="Top dowels",IF(SD!$E$25="No T-Head",IF(SD!$C$24=SD!$Q$3,VLOOKUP(CR167,S90Range,3,FALSE),LEFT(SD!$C$24,FIND("-",SD!$C$24)-1)+(RIGHT(SD!$C$24,LEN(SD!$C$24)-FIND("-",SD!$C$24))/12)),IF(SD!$E$25="T-Head",_xlfn._xlws.FILTER(THead,(TCName=SD!$C$8)*(TSize=CR167)),IF(SD!$E$25="Level Wise",_xlfn.LET(_xlpm.result,_xlfn.XLOOKUP(B167,TDLevel,TDLevelStatus,"No"),IF(_xlpm.result="Yes",_xlfn._xlws.FILTER(THead,(TCName=SD!$C$8)*(TSize=CR167)),IF(SD!$C$24=SD!$Q$3,VLOOKUP(CR167,S90Range,3,FALSE),LEFT(SD!$C$24,FIND("-",SD!$C$24)-1)+(RIGHT(SD!$C$24,LEN(SD!$C$24)-FIND("-", SD!$C$24))/12)))),IF(SD!$E$25="BarSize Wise",_xlfn.LET(_xlpm.result,_xlfn.XLOOKUP(CR167,TDBarSize,TDBarSizeStatus,"No"),IF(_xlpm.result="Yes",_xlfn._xlws.FILTER(THead,(TCName=SD!$C$8)*(TSize=CR167)),IF(SD!$C$24=SD!$Q$3,VLOOKUP(CR167,S90Range,3,FALSE),LEFT(SD!$C$24,FIND("-",SD!$C$24)-1)+(RIGHT(SD!$C$24,LEN(SD!$C$24)-FIND("-",SD!$C$24))/12)))), "")))),""))</f>
        <v/>
      </c>
      <c r="CV167" t="str">
        <f>_xlfn.LET(_xlpm.GRR,IF(AND(SD!$C$19=SD!$H$2,Grade!$G$1="Per level"),VLOOKUP(B167,Grade!$E$1:$F$200,2,FALSE),IF(AND(SD!$C$19=SD!$H$2,Grade!$G$1="Per Bar Size"),VLOOKUP(CR167,Grade!$B$1:$C$12,2,0),SD!$C$19)),IF(SD!$C$25=SD!$W$2,IF(Data!$J167="",IFERROR(INDEX(IF(SD!$C$11="Create",Lap!$A$3:$BF$14,IF(SD!$C$11="Per Uploaded File",Lap!$A$19:$BF$30,"")),MATCH(CR167,Lap!$A$3:$A$14,0),MATCH(VALUE(D167),Lap!$A$3:$BF$3,0)+IF(IFERROR(FIND("Grade 60",_xlpm.GRR),0)&gt;0,0,IF(IFERROR(FIND("Grade 80",_xlpm.GRR),0),1,IF(IFERROR(FIND("Grade 75",_xlpm.GRR),0),2,"")))),""),Data!J167),SD!$C$43))</f>
        <v>Match Lap</v>
      </c>
      <c r="CW167">
        <f t="shared" si="69"/>
        <v>0</v>
      </c>
      <c r="CX167">
        <f t="shared" si="70"/>
        <v>0</v>
      </c>
      <c r="CY167" t="str">
        <f t="shared" si="71"/>
        <v/>
      </c>
      <c r="DA167">
        <f t="shared" si="72"/>
        <v>50</v>
      </c>
      <c r="DB167" t="str">
        <f t="shared" si="73"/>
        <v>12-3</v>
      </c>
      <c r="DC167" s="24">
        <f t="shared" si="74"/>
        <v>12.25</v>
      </c>
      <c r="DD167">
        <f t="shared" si="75"/>
        <v>12.25</v>
      </c>
      <c r="DE167" t="s">
        <v>733</v>
      </c>
      <c r="DF167" t="s">
        <v>67</v>
      </c>
      <c r="DG167" t="str">
        <f>VLOOKUP(W167,'Level Wise PSI'!$F$2:$G$12,2,FALSE)</f>
        <v>Double Lift</v>
      </c>
      <c r="DI167" t="str" cm="1">
        <f t="array" ref="DI167">_xlfn.LET(_xlpm.Coup,IFERROR(IF(BY167="","",IF(K167="Coupler",_xlfn._xlws.FILTER(CCFCoupler,(CCName=SD!$C$8)*(CBSize=IF(A166=A167,W166&amp;W167,BX167&amp;W167))),"")),"N/A"),IF(_xlpm.Coup=0,"",_xlpm.Coup))</f>
        <v/>
      </c>
      <c r="DJ167" t="str" cm="1">
        <f t="array" ref="DJ167">_xlfn.LET(_xlpm.Coup3,IFERROR(IF(CG167="","",IF(K168="Coupler",_xlfn._xlws.FILTER(CCFCoupler,(CCName=SD!$C$8)*(CBSize=IF(A167=A168,W167&amp;W168,""))),"")),"N/A"),IF(_xlpm.Coup3=0,"",_xlpm.Coup3))</f>
        <v/>
      </c>
      <c r="DK167" t="str" cm="1">
        <f t="array" ref="DK167">_xlfn.LET(_xlpm.Coup2,IFERROR(IF(A167&lt;&gt;A168,"",IF(DF167="No Lap","",IF(K168="Coupler",_xlfn._xlws.FILTER(CCFCoupler,(CCName=SD!$C$8)*(CBSize=IF(A166=A167,W167&amp;W168,W167&amp;W167))),""))),"N/A"),IF(_xlpm.Coup2=0,"",_xlpm.Coup2))</f>
        <v/>
      </c>
      <c r="DM167" t="str">
        <f>IF(AM167="Spiral","",IF(SD!$C$31=SD!$Y$3,SD!$E$32*2,""))</f>
        <v/>
      </c>
      <c r="DO167" s="24">
        <f t="shared" si="76"/>
        <v>2</v>
      </c>
      <c r="DQ167" t="str">
        <f t="shared" si="77"/>
        <v>Lig</v>
      </c>
      <c r="DR167" t="str">
        <f>IF(AM167="Spiral",((Y167-(SD!$E$12*2))/12),"")</f>
        <v/>
      </c>
      <c r="DS167" t="str">
        <f t="shared" si="78"/>
        <v/>
      </c>
      <c r="DT167" t="str">
        <f t="shared" si="79"/>
        <v/>
      </c>
      <c r="DU167" t="str">
        <f t="shared" si="80"/>
        <v/>
      </c>
    </row>
    <row r="168" spans="1:125" x14ac:dyDescent="0.25">
      <c r="A168">
        <v>51</v>
      </c>
      <c r="B168" t="s">
        <v>664</v>
      </c>
      <c r="C168" s="15">
        <v>2429</v>
      </c>
      <c r="D168" s="15">
        <v>10000</v>
      </c>
      <c r="E168" t="str">
        <f>IF(B168=Level!$A$2,SD!$C$14,SD!$C$13)</f>
        <v>3-0</v>
      </c>
      <c r="F168" s="15" t="s">
        <v>787</v>
      </c>
      <c r="G168" t="s">
        <v>733</v>
      </c>
      <c r="H168" s="15" t="s">
        <v>788</v>
      </c>
      <c r="I168" t="s">
        <v>723</v>
      </c>
      <c r="J168" t="str">
        <f>IF(AND(SD!$C$19=SD!$H$2,Grade!$G$1="Per level"),VLOOKUP(B168,Grade!$E$1:$F$200,2,FALSE),IF(AND(SD!$C$19=SD!$H$2,Grade!$G$1="Per Bar Size"),VLOOKUP(W168,Grade!$B$1:$C$12,2,0),SD!$C$19))</f>
        <v>A615 Grade 60</v>
      </c>
      <c r="K168" t="s">
        <v>67</v>
      </c>
      <c r="L168" t="str">
        <f>IFERROR(IF(A168&lt;&gt;A169,"",IF(DF168="No Lap","",IF(K169="Lap",U168,IF(K169="Coupler",_xlfn._xlws.FILTER(CCoupler,(CCName=SD!$C$8)*(CBSize=IF(A167=A168,W168&amp;W169,W168&amp;W168))*(CCMFM="Male")),"")))),"N/A")</f>
        <v/>
      </c>
      <c r="M168" t="str">
        <f t="shared" si="54"/>
        <v/>
      </c>
      <c r="N168" t="s">
        <v>719</v>
      </c>
      <c r="O168" t="s">
        <v>720</v>
      </c>
      <c r="P168" t="s">
        <v>719</v>
      </c>
      <c r="Q168" t="str">
        <f>IF(AND(SD!$C$29=SD!$P$2,Grade!$O$1="Per level"),VLOOKUP(B168,Grade!$M$1:$N$200,2,FALSE),IF(AND(SD!$C$29=SD!$P$2,Grade!$O$1="Per Bar Size"),VLOOKUP(LEFT(N168,FIND("@",N168)-2),Grade!$J$1:$K$12,2,0),SD!$C$29))</f>
        <v>A615 Grade 60</v>
      </c>
      <c r="R168" t="s">
        <v>725</v>
      </c>
      <c r="S168" s="57">
        <v>168</v>
      </c>
      <c r="U168" t="str">
        <f>IF(Data!$J168="",IFERROR(INDEX(IF(SD!$C$11="Create",Lap!$A$3:$BF$14,IF(SD!$C$11="Per Uploaded File",Lap!$A$19:$BF$30,"")),MATCH(W168,Lap!$A$3:$A$14,0),MATCH(VALUE(D168),Lap!$A$3:$BF$3,0)+IF(IFERROR(FIND("Grade 60",J168),0)&gt;0,0,IF(IFERROR(FIND("Grade 80",J168),0),1,IF(IFERROR(FIND("Grade 75",J168),0),2,"")))),""),Data!J168)</f>
        <v>3-6</v>
      </c>
      <c r="W168" t="s">
        <v>139</v>
      </c>
      <c r="X168">
        <v>6</v>
      </c>
      <c r="Y168" t="str">
        <f t="shared" si="55"/>
        <v xml:space="preserve">14 </v>
      </c>
      <c r="Z168" t="str">
        <f t="shared" si="56"/>
        <v xml:space="preserve"> 24</v>
      </c>
      <c r="AA168" s="24">
        <f t="shared" si="57"/>
        <v>19.583333333333332</v>
      </c>
      <c r="BB168" t="e" cm="1">
        <f t="array" ref="BB168">_xlfn.LET(_xlpm.PartF,(_xlfn.LET(_xlpm.grade, Q168,_xlpm.gradeRange, IF(_xlpm.grade=SD!$H$3, A615GR60, IF(_xlpm.grade=SD!$H$4, A615GR75, IF(_xlpm.grade=SD!$H$5, A615GR80, IF(_xlpm.grade=SD!$H$6, A615GR100, IF(_xlpm.grade=SD!$H$7, A706GR60, IF(_xlpm.grade=SD!$H$8, A706GR80)))))),_xlpm.matchValue, MATCH(1, (SD!$AW:$AW=AS168)*(SD!$AX:$AX=SD!$C$8), 0),INDEX(_xlpm.gradeRange, _xlpm.matchValue))),IF(AM168="Spiral",CONCATENATE("SP",_xlpm.PartF),_xlpm.PartF))</f>
        <v>#N/A</v>
      </c>
      <c r="BC168" cm="1">
        <f t="array" ref="BC168">_xlfn.LET(_xlpm.leftPart, LEFT(O168, FIND("@", O168) - 2),_xlpm.grade,Q168,_xlpm.gradeRange,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8" cm="1">
        <f t="array" ref="BD168">_xlfn.LET(_xlpm.leftPart, LEFT(P168, FIND("@", P168) - 2),_xlpm.grade, Q168,_xlpm.gradeRange,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8">
        <f t="shared" si="58"/>
        <v>2</v>
      </c>
      <c r="BF168">
        <f>IF(SD!$C$32=SD!$I$2,BE168,IF(SD!$C$32=SD!$I$3,DO168,IF(SD!$C$32=SD!$I$5,BA168,IF(SD!$C$32=SD!$I$6,(LEFT(SD!$C$35,FIND("-",SD!$C$35)-1)+RIGHT(SD!$C$35,LEN(SD!$C$35)-FIND("-",SD!$C$35))/12),IF(SD!$C$32=SD!$I$4,(AU168-(BG168+BH168)))))))</f>
        <v>0</v>
      </c>
      <c r="BG168">
        <f>IF(SD!$C$33=SD!$I$2,BE168,IF(SD!$C$33=SD!$I$3,DO168,IF(SD!$C$33=SD!$I$5,BA168,IF(SD!$C$33=SD!$I$6,(LEFT(SD!$C$35,FIND("-",SD!$C$35)-1)+RIGHT(SD!$C$35,LEN(SD!$C$35)-FIND("-",SD!$C$35))/12),IF(SD!$C$33=SD!$I$4,(AU168-(BF168+BH168)))))))</f>
        <v>-1</v>
      </c>
      <c r="BH168">
        <f>IF(SD!$C$34=SD!$I$2,BE168,IF(SD!$C$34=SD!$I$3,DO168,IF(SD!$C$34=SD!$I$5,BA168,IF(SD!$C$34=SD!$I$6,(LEFT(SD!$C$35,FIND("-",SD!$C$35)-1)+RIGHT(SD!$C$35,LEN(SD!$C$35)-FIND("-",SD!$C$35))/12),IF(SD!$C$34=SD!$I$4,(AU168-(BF168+BG168)))))))</f>
        <v>1</v>
      </c>
      <c r="BJ168">
        <f>IF(AM168="Spiral","1",MAX(ROUNDUP(IF(SD!$C$32="",AT168,BF168/(LEFT(RIGHT(N168,LEN(N168)-FIND("@",N168)),LEN(RIGHT(N168,LEN(N168)-FIND("@",N168)))-1)/12)+1),0),0))</f>
        <v>1</v>
      </c>
      <c r="BK168">
        <f>MAX(ROUNDUP(IF(SD!$C$33="","",BG168/(LEFT(RIGHT(O168,LEN(O168)-FIND("@",O168)),LEN(RIGHT(O168,LEN(O168)-FIND("@",O168)))-1)/12)+1),0),0)</f>
        <v>0</v>
      </c>
      <c r="BL168">
        <f>MAX(ROUNDUP(IF(SD!$C$34="","",BH168/(LEFT(RIGHT(P168,LEN(P168)-FIND("@",P168)),LEN(RIGHT(P168,LEN(P168)-FIND("@",P168)))-1)/12)+1),0),0)</f>
        <v>3</v>
      </c>
      <c r="BN168" t="e">
        <f t="shared" si="59"/>
        <v>#N/A</v>
      </c>
      <c r="BO168" t="e">
        <f t="shared" si="60"/>
        <v>#N/A</v>
      </c>
      <c r="BP168" t="e">
        <f t="shared" si="61"/>
        <v>#N/A</v>
      </c>
      <c r="BQ168" s="24" t="e">
        <f>IF(AM168=TRUE,(((Y168-(SD!$E$12*2))*3.14159265359)+BN168+BO168+BP168)/12+AL168,SUM(AF168:AG168,BN168,BO168,BP168,AO168,AQ168)/12)</f>
        <v>#N/A</v>
      </c>
      <c r="BR168" t="e">
        <f t="shared" si="62"/>
        <v>#N/A</v>
      </c>
      <c r="BS168" t="e">
        <f t="shared" si="63"/>
        <v>#N/A</v>
      </c>
      <c r="BT168" t="e">
        <f t="shared" si="64"/>
        <v>#N/A</v>
      </c>
      <c r="BU168" s="24" t="e">
        <f>IF(AM168=TRUE,(((Y168-(SD!$E$12*2))*3.14159265359)+BR168+BS168+BT168)/12+AL168,SUM(AF168:AG168,BR168,BS168,BT168,AO168,AQ168)/12)</f>
        <v>#N/A</v>
      </c>
      <c r="BW168" t="str">
        <f>IFERROR(LEFT(Data!L168,FIND(" -",Data!L168)-1),"")</f>
        <v/>
      </c>
      <c r="BX168" t="str">
        <f>IFERROR(IF(SD!$C$40=SD!$U$2,W168,IF(SD!$C$40=SD!$U$3,RIGHT(Data!L168,LEN(Data!L168)-(FIND("-",Data!L168)+1)),SD!$C$40)),"")</f>
        <v>#7</v>
      </c>
      <c r="BY168" cm="1">
        <f t="array" ref="BY168">IFERROR(_xlfn.LET(_xlpm.GRR,IF(AND(SD!$C$19=SD!$H$2,Grade!$G$1="Per level"),VLOOKUP(B168,Grade!$E$1:$F$200,2,FALSE),IF(AND(SD!$C$19=SD!$H$2,Grade!$G$1="Per Bar Size"),VLOOKUP(BX168,Grade!$B$1:$C$12,2,0),SD!$C$19)),_xlpm.is_equal, A167=A168,_xlpm.grade_range, IF(_xlpm.GRR=SD!$H$3, A615GR60,IF(_xlpm.GRR=SD!$H$4, A615GR75,IF(_xlpm.GRR=SD!$H$5, A615GR80,IF(_xlpm.GRR=SD!H172, A615GR100,IF(_xlpm.GRR=SD!$H$7, A706GR60,IF(_xlpm.GRR=SD!$H$8, A706GR80)))))),_xlpm.match_result, MATCH(1, (BSize=BX168)*(BCName=SD!$C$8), 0),_xlpm.final_result, INDEX(_xlpm.grade_range, _xlpm.match_result),IF(_xlpm.is_equal, "", _xlpm.final_result)),"")</f>
        <v>7</v>
      </c>
      <c r="BZ168">
        <f>IF(A167=A168,"",IF(SD!$C$41="Match Vertical Bars ",X168,IF(SD!$C$41=SD!$V$3,BW168,SD!$C$41)))</f>
        <v>6</v>
      </c>
      <c r="CA168" cm="1">
        <f t="array" ref="CA168">IF(A167=A168,"",IF(SD!$C$44="No T-Head",IF(SD!$C$42=SD!$Q$3,VLOOKUP(BX168,S90Range,3,FALSE),LEFT(SD!$C$42,FIND("-",SD!$C$42)-1)+(RIGHT(SD!$C$42,LEN(SD!$C$42)-FIND("-",SD!$C$42))/12)),IF(SD!$C$44="T-Head",_xlfn._xlws.FILTER(THead,(TCName=SD!$C$8)*(TSize=BX168)),IF(SD!$C$44="Level Wise",_xlfn.LET(_xlpm.result,_xlfn.XLOOKUP(B168,VDLevel,VDLevelStatus,"No"),IF(_xlpm.result="Yes",_xlfn._xlws.FILTER(THead,(TCName=SD!$C$8)*(TSize=BX168)),IF(SD!$C$42=SD!$Q$3,VLOOKUP(BX168,S90Range,3,FALSE),LEFT(SD!$C$42,FIND("-",SD!$C$42)-1)+(RIGHT(SD!$C$42,LEN(SD!$C$42)-FIND("-", SD!$C$42))/12)))),IF(SD!$C$44="BarSize Wise",_xlfn.LET(_xlpm.result,_xlfn.XLOOKUP(BX168,VDBarSize,VDBarSizeStatus,"No"),IF(_xlpm.result="Yes",_xlfn._xlws.FILTER(THead,(TCName=SD!$C$8)*(TSize=BX168)),IF(SD!$C$42=SD!$Q$3,VLOOKUP(BX168,S90Range,3,FALSE),LEFT(SD!$C$42,FIND("-",SD!$C$42)-1)+(RIGHT(SD!$C$42,LEN(SD!$C$42)-FIND("-",SD!$C$42))/12)))), "")))))</f>
        <v>1.1666666666666667</v>
      </c>
      <c r="CB168" t="str" cm="1">
        <f t="array" ref="CB168">_xlfn.LET(_xlpm.GRR,IF(AND(SD!$C$19=SD!$H$2,Grade!$G$1="Per level"),VLOOKUP(B168,Grade!$E$1:$F$200,2,FALSE),IF(AND(SD!$C$19=SD!$H$2,Grade!$G$1="Per Bar Size"),VLOOKUP(BX168,Grade!$B$1:$C$12,2,0),SD!$C$19)),_xlpm.is_coupler, K168="Coupler",_xlpm.condition1, SD!$C$43=SD!$W$2,_xlpm.data_j2_empty, Data!$J168="",_xlpm.lookup_table, IF(SD!$C$11="Create", Lap!$A$3:$BF$14, IF(SD!$C$11="Per Uploaded File", Lap!$A$19:$BF$30, "")),_xlpm.row_match, MATCH(BX168, Lap!$A$3:$A$14, 0),_xlpm.grade_offset, IF(IFERROR(FIND("Grade 60",_xlpm.GRR), 0) &gt; 0, 0, IF(IFERROR(FIND("Grade 80",_xlpm.GRR), 0), 1, IF(IFERROR(FIND("Grade 75",_xlpm.GRR), 0), 2, ""))),_xlpm.col_match, MATCH(VALUE(D168), Lap!$A$3:$BF$3, 0) + _xlpm.grade_offset,_xlpm.index_result, IFERROR(INDEX(_xlpm.lookup_table, _xlpm.row_match, _xlpm.col_match), Data!$J168),_xlpm.result_if_condition1, IF(_xlpm.data_j2_empty, _xlpm.index_result, Data!$J168),IF(_xlpm.is_coupler, 0, IF(_xlpm.condition1, _xlpm.result_if_condition1, SD!$C$43)))</f>
        <v>3-6</v>
      </c>
      <c r="CC168" s="24">
        <f t="shared" si="65"/>
        <v>3.5</v>
      </c>
      <c r="CD168">
        <f t="shared" si="66"/>
        <v>7.666666666666667</v>
      </c>
      <c r="CE168" t="str" cm="1">
        <f t="array" ref="CE168">IF(BY168="","",_xlfn._xlws.FILTER(SAC,(CName=SD!$C$8)*(EName="Vert Dowels")))</f>
        <v>2200 CD</v>
      </c>
      <c r="CF168" t="str" cm="1">
        <f t="array" ref="CF168">IFERROR(IF(BY168="","",IF(K168="Coupler",_xlfn._xlws.FILTER(CCoupler,(CCName=SD!$C$8)*(CBSize=IF(A167=A168,W167&amp;W168,BX168&amp;W168))*(CCMFM="Male")),"")),"N/A")</f>
        <v/>
      </c>
      <c r="CG168" t="str">
        <f t="shared" si="67"/>
        <v/>
      </c>
      <c r="CH168" t="str">
        <f t="shared" si="68"/>
        <v/>
      </c>
      <c r="CI168" t="str">
        <f>_xlfn.LET(_xlpm.u3_value, U169,_xlpm.hyphen_pos,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K169="Coupler",_xlpm.coupler_value, IF(_xlpm.is_coupler, 0, _xlpm.calculated_value),_xlpm.final_value, _xlpm.calculated_value + SD!$E$13 + _xlpm.coupler_value,IF(CG168="", "", _xlpm.final_value))</f>
        <v/>
      </c>
      <c r="CJ168" t="str" cm="1">
        <f t="array" ref="CJ168">IF(CG168="","",_xlfn._xlws.FILTER(SAC,(CName=SD!$C$8)*(EName="Loose Dowels")))</f>
        <v/>
      </c>
      <c r="CK168" t="str" cm="1">
        <f t="array" ref="CK168">IFERROR(IF(CG168="","",IF(K169="Coupler",_xlfn._xlws.FILTER(CCoupler,(CCName=SD!$C$8)*(CBSize=IF(A168=A169,W168&amp;W169,""))*(CCMFM="Male")),"")),"N/A")</f>
        <v/>
      </c>
      <c r="CL168">
        <f>IFERROR(IF(AM168="Spiral","",IF(A167=A168,"",IF(SD!$C$37=0,"",SD!$C$37))),"")</f>
        <v>3</v>
      </c>
      <c r="CN168">
        <f>IF(AM168="Spiral","",IFERROR(IF(SD!$C$36=0,"",SD!$C$36),""))</f>
        <v>5</v>
      </c>
      <c r="CP168">
        <f>IFERROR(IF(SD!$C$42=SD!$Q$3,'Take-off'!CA168,""),"")</f>
        <v>1.1666666666666667</v>
      </c>
      <c r="CR168">
        <f>IFERROR(IF(SD!$C$22=SD!$U$2,W168,SD!$C$22),"")</f>
        <v>0</v>
      </c>
      <c r="CS168" t="str" cm="1">
        <f t="array" ref="CS168">_xlfn.LET(_xlpm.GR,IF(AND(SD!$C$19=SD!$H$2,Grade!$G$1="Per level"),VLOOKUP(B168,Grade!$E$1:$F$200,2,FALSE),IF(AND(SD!$C$19=SD!$H$2,Grade!$G$1="Per Bar Size"),VLOOKUP(CR168,Grade!$B$1:$C$12,2,0),SD!$C$19)),IF(SD!$C$20=SD!$R$4,IF(A169=A168,"",INDEX(IF(_xlpm.GR=SD!$H$3,A615GR60,IF(_xlpm.GR=SD!$H$4,A615GR75,IF(_xlpm.GR=SD!$H$5,A615GR80,IF(_xlpm.GR=SD!H172,A615GR100,IF(_xlpm.GR=SD!$H$7,A706GR60,IF(_xlpm.GR=SD!$H$8,A706GR80)))))), MATCH(1, (BSize=CR168)*(BCName=SD!$C$8), 0))),""))</f>
        <v/>
      </c>
      <c r="CT168">
        <f>IF(A169=A168,"",IF(SD!$C$23="Match Vertical Bars ",X168,SD!$C$23))</f>
        <v>0</v>
      </c>
      <c r="CU168" t="str" cm="1">
        <f t="array" ref="CU168">IF(A169=A168,"",IF(SD!$C$20="Top dowels",IF(SD!$E$25="No T-Head",IF(SD!$C$24=SD!$Q$3,VLOOKUP(CR168,S90Range,3,FALSE),LEFT(SD!$C$24,FIND("-",SD!$C$24)-1)+(RIGHT(SD!$C$24,LEN(SD!$C$24)-FIND("-",SD!$C$24))/12)),IF(SD!$E$25="T-Head",_xlfn._xlws.FILTER(THead,(TCName=SD!$C$8)*(TSize=CR168)),IF(SD!$E$25="Level Wise",_xlfn.LET(_xlpm.result,_xlfn.XLOOKUP(B168,TDLevel,TDLevelStatus,"No"),IF(_xlpm.result="Yes",_xlfn._xlws.FILTER(THead,(TCName=SD!$C$8)*(TSize=CR168)),IF(SD!$C$24=SD!$Q$3,VLOOKUP(CR168,S90Range,3,FALSE),LEFT(SD!$C$24,FIND("-",SD!$C$24)-1)+(RIGHT(SD!$C$24,LEN(SD!$C$24)-FIND("-", SD!$C$24))/12)))),IF(SD!$E$25="BarSize Wise",_xlfn.LET(_xlpm.result,_xlfn.XLOOKUP(CR168,TDBarSize,TDBarSizeStatus,"No"),IF(_xlpm.result="Yes",_xlfn._xlws.FILTER(THead,(TCName=SD!$C$8)*(TSize=CR168)),IF(SD!$C$24=SD!$Q$3,VLOOKUP(CR168,S90Range,3,FALSE),LEFT(SD!$C$24,FIND("-",SD!$C$24)-1)+(RIGHT(SD!$C$24,LEN(SD!$C$24)-FIND("-",SD!$C$24))/12)))), "")))),""))</f>
        <v/>
      </c>
      <c r="CV168" t="str">
        <f>_xlfn.LET(_xlpm.GRR,IF(AND(SD!$C$19=SD!$H$2,Grade!$G$1="Per level"),VLOOKUP(B168,Grade!$E$1:$F$200,2,FALSE),IF(AND(SD!$C$19=SD!$H$2,Grade!$G$1="Per Bar Size"),VLOOKUP(CR168,Grade!$B$1:$C$12,2,0),SD!$C$19)),IF(SD!$C$25=SD!$W$2,IF(Data!$J168="",IFERROR(INDEX(IF(SD!$C$11="Create",Lap!$A$3:$BF$14,IF(SD!$C$11="Per Uploaded File",Lap!$A$19:$BF$30,"")),MATCH(CR168,Lap!$A$3:$A$14,0),MATCH(VALUE(D168),Lap!$A$3:$BF$3,0)+IF(IFERROR(FIND("Grade 60",_xlpm.GRR),0)&gt;0,0,IF(IFERROR(FIND("Grade 80",_xlpm.GRR),0),1,IF(IFERROR(FIND("Grade 75",_xlpm.GRR),0),2,"")))),""),Data!J168),SD!$C$43))</f>
        <v>Match Lap</v>
      </c>
      <c r="CW168">
        <f t="shared" si="69"/>
        <v>0</v>
      </c>
      <c r="CX168">
        <f t="shared" si="70"/>
        <v>0</v>
      </c>
      <c r="CY168" t="str">
        <f t="shared" si="71"/>
        <v/>
      </c>
      <c r="DA168">
        <f t="shared" si="72"/>
        <v>51</v>
      </c>
      <c r="DB168" t="str">
        <f t="shared" si="73"/>
        <v>19-7</v>
      </c>
      <c r="DC168" s="24">
        <f t="shared" si="74"/>
        <v>19.583333333333332</v>
      </c>
      <c r="DD168">
        <f t="shared" si="75"/>
        <v>19.583333333333332</v>
      </c>
      <c r="DE168" t="s">
        <v>733</v>
      </c>
      <c r="DF168" t="s">
        <v>67</v>
      </c>
      <c r="DG168" t="str">
        <f>VLOOKUP(W168,'Level Wise PSI'!$F$2:$G$12,2,FALSE)</f>
        <v>Double Lift</v>
      </c>
      <c r="DI168" t="str" cm="1">
        <f t="array" ref="DI168">_xlfn.LET(_xlpm.Coup,IFERROR(IF(BY168="","",IF(K168="Coupler",_xlfn._xlws.FILTER(CCFCoupler,(CCName=SD!$C$8)*(CBSize=IF(A167=A168,W167&amp;W168,BX168&amp;W168))),"")),"N/A"),IF(_xlpm.Coup=0,"",_xlpm.Coup))</f>
        <v/>
      </c>
      <c r="DJ168" t="str" cm="1">
        <f t="array" ref="DJ168">_xlfn.LET(_xlpm.Coup3,IFERROR(IF(CG168="","",IF(K169="Coupler",_xlfn._xlws.FILTER(CCFCoupler,(CCName=SD!$C$8)*(CBSize=IF(A168=A169,W168&amp;W169,""))),"")),"N/A"),IF(_xlpm.Coup3=0,"",_xlpm.Coup3))</f>
        <v/>
      </c>
      <c r="DK168" t="str" cm="1">
        <f t="array" ref="DK168">_xlfn.LET(_xlpm.Coup2,IFERROR(IF(A168&lt;&gt;A169,"",IF(DF168="No Lap","",IF(K169="Coupler",_xlfn._xlws.FILTER(CCFCoupler,(CCName=SD!$C$8)*(CBSize=IF(A167=A168,W168&amp;W169,W168&amp;W168))),""))),"N/A"),IF(_xlpm.Coup2=0,"",_xlpm.Coup2))</f>
        <v/>
      </c>
      <c r="DM168" t="str">
        <f>IF(AM168="Spiral","",IF(SD!$C$31=SD!$Y$3,SD!$E$32*2,""))</f>
        <v/>
      </c>
      <c r="DO168" s="24">
        <f t="shared" si="76"/>
        <v>2</v>
      </c>
      <c r="DQ168" t="str">
        <f t="shared" si="77"/>
        <v>Lig</v>
      </c>
      <c r="DR168" t="str">
        <f>IF(AM168="Spiral",((Y168-(SD!$E$12*2))/12),"")</f>
        <v/>
      </c>
      <c r="DS168" t="str">
        <f t="shared" si="78"/>
        <v/>
      </c>
      <c r="DT168" t="str">
        <f t="shared" si="79"/>
        <v/>
      </c>
      <c r="DU168" t="str">
        <f t="shared" si="80"/>
        <v/>
      </c>
    </row>
    <row r="169" spans="1:125" x14ac:dyDescent="0.25">
      <c r="A169">
        <v>52</v>
      </c>
      <c r="B169" t="s">
        <v>664</v>
      </c>
      <c r="C169" s="15">
        <v>2429</v>
      </c>
      <c r="D169" s="15">
        <v>10000</v>
      </c>
      <c r="E169" t="str">
        <f>IF(B169=Level!$A$2,SD!$C$14,SD!$C$13)</f>
        <v>3-0</v>
      </c>
      <c r="F169" s="15" t="s">
        <v>787</v>
      </c>
      <c r="G169" t="s">
        <v>756</v>
      </c>
      <c r="H169" s="15" t="s">
        <v>789</v>
      </c>
      <c r="I169" t="s">
        <v>735</v>
      </c>
      <c r="J169" t="str">
        <f>IF(AND(SD!$C$19=SD!$H$2,Grade!$G$1="Per level"),VLOOKUP(B169,Grade!$E$1:$F$200,2,FALSE),IF(AND(SD!$C$19=SD!$H$2,Grade!$G$1="Per Bar Size"),VLOOKUP(W169,Grade!$B$1:$C$12,2,0),SD!$C$19))</f>
        <v>A615 Grade 60</v>
      </c>
      <c r="K169" t="s">
        <v>67</v>
      </c>
      <c r="L169" t="str">
        <f>IFERROR(IF(A169&lt;&gt;A170,"",IF(DF169="No Lap","",IF(K170="Lap",U169,IF(K170="Coupler",_xlfn._xlws.FILTER(CCoupler,(CCName=SD!$C$8)*(CBSize=IF(A168=A169,W169&amp;W170,W169&amp;W169))*(CCMFM="Male")),"")))),"N/A")</f>
        <v/>
      </c>
      <c r="M169" t="str">
        <f t="shared" si="54"/>
        <v/>
      </c>
      <c r="N169" t="s">
        <v>719</v>
      </c>
      <c r="O169" t="s">
        <v>720</v>
      </c>
      <c r="P169" t="s">
        <v>719</v>
      </c>
      <c r="Q169" t="str">
        <f>IF(AND(SD!$C$29=SD!$P$2,Grade!$O$1="Per level"),VLOOKUP(B169,Grade!$M$1:$N$200,2,FALSE),IF(AND(SD!$C$29=SD!$P$2,Grade!$O$1="Per Bar Size"),VLOOKUP(LEFT(N169,FIND("@",N169)-2),Grade!$J$1:$K$12,2,0),SD!$C$29))</f>
        <v>A615 Grade 60</v>
      </c>
      <c r="R169" t="s">
        <v>756</v>
      </c>
      <c r="S169" s="57">
        <v>169</v>
      </c>
      <c r="U169" t="str">
        <f>IF(Data!$J169="",IFERROR(INDEX(IF(SD!$C$11="Create",Lap!$A$3:$BF$14,IF(SD!$C$11="Per Uploaded File",Lap!$A$19:$BF$30,"")),MATCH(W169,Lap!$A$3:$A$14,0),MATCH(VALUE(D169),Lap!$A$3:$BF$3,0)+IF(IFERROR(FIND("Grade 60",J169),0)&gt;0,0,IF(IFERROR(FIND("Grade 80",J169),0),1,IF(IFERROR(FIND("Grade 75",J169),0),2,"")))),""),Data!J169)</f>
        <v>3-6</v>
      </c>
      <c r="W169" t="s">
        <v>139</v>
      </c>
      <c r="X169">
        <v>8</v>
      </c>
      <c r="Y169" t="str">
        <f t="shared" si="55"/>
        <v>24</v>
      </c>
      <c r="Z169">
        <f t="shared" si="56"/>
        <v>0</v>
      </c>
      <c r="AA169" s="24">
        <f t="shared" si="57"/>
        <v>21.583333333333332</v>
      </c>
      <c r="BB169" t="e" cm="1">
        <f t="array" ref="BB169">_xlfn.LET(_xlpm.PartF,(_xlfn.LET(_xlpm.grade, Q169,_xlpm.gradeRange, IF(_xlpm.grade=SD!$H$3, A615GR60, IF(_xlpm.grade=SD!$H$4, A615GR75, IF(_xlpm.grade=SD!$H$5, A615GR80, IF(_xlpm.grade=SD!$H$6, A615GR100, IF(_xlpm.grade=SD!$H$7, A706GR60, IF(_xlpm.grade=SD!$H$8, A706GR80)))))),_xlpm.matchValue, MATCH(1, (SD!$AW:$AW=AS169)*(SD!$AX:$AX=SD!$C$8), 0),INDEX(_xlpm.gradeRange, _xlpm.matchValue))),IF(AM169="Spiral",CONCATENATE("SP",_xlpm.PartF),_xlpm.PartF))</f>
        <v>#N/A</v>
      </c>
      <c r="BC169" cm="1">
        <f t="array" ref="BC169">_xlfn.LET(_xlpm.leftPart, LEFT(O169, FIND("@", O169) - 2),_xlpm.grade,Q169,_xlpm.gradeRange,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69" cm="1">
        <f t="array" ref="BD169">_xlfn.LET(_xlpm.leftPart, LEFT(P169, FIND("@", P169) - 2),_xlpm.grade, Q169,_xlpm.gradeRange,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69">
        <f t="shared" si="58"/>
        <v>2</v>
      </c>
      <c r="BF169">
        <f>IF(SD!$C$32=SD!$I$2,BE169,IF(SD!$C$32=SD!$I$3,DO169,IF(SD!$C$32=SD!$I$5,BA169,IF(SD!$C$32=SD!$I$6,(LEFT(SD!$C$35,FIND("-",SD!$C$35)-1)+RIGHT(SD!$C$35,LEN(SD!$C$35)-FIND("-",SD!$C$35))/12),IF(SD!$C$32=SD!$I$4,(AU169-(BG169+BH169)))))))</f>
        <v>0</v>
      </c>
      <c r="BG169">
        <f>IF(SD!$C$33=SD!$I$2,BE169,IF(SD!$C$33=SD!$I$3,DO169,IF(SD!$C$33=SD!$I$5,BA169,IF(SD!$C$33=SD!$I$6,(LEFT(SD!$C$35,FIND("-",SD!$C$35)-1)+RIGHT(SD!$C$35,LEN(SD!$C$35)-FIND("-",SD!$C$35))/12),IF(SD!$C$33=SD!$I$4,(AU169-(BF169+BH169)))))))</f>
        <v>-1</v>
      </c>
      <c r="BH169">
        <f>IF(SD!$C$34=SD!$I$2,BE169,IF(SD!$C$34=SD!$I$3,DO169,IF(SD!$C$34=SD!$I$5,BA169,IF(SD!$C$34=SD!$I$6,(LEFT(SD!$C$35,FIND("-",SD!$C$35)-1)+RIGHT(SD!$C$35,LEN(SD!$C$35)-FIND("-",SD!$C$35))/12),IF(SD!$C$34=SD!$I$4,(AU169-(BF169+BG169)))))))</f>
        <v>1</v>
      </c>
      <c r="BJ169">
        <f>IF(AM169="Spiral","1",MAX(ROUNDUP(IF(SD!$C$32="",AT169,BF169/(LEFT(RIGHT(N169,LEN(N169)-FIND("@",N169)),LEN(RIGHT(N169,LEN(N169)-FIND("@",N169)))-1)/12)+1),0),0))</f>
        <v>1</v>
      </c>
      <c r="BK169">
        <f>MAX(ROUNDUP(IF(SD!$C$33="","",BG169/(LEFT(RIGHT(O169,LEN(O169)-FIND("@",O169)),LEN(RIGHT(O169,LEN(O169)-FIND("@",O169)))-1)/12)+1),0),0)</f>
        <v>0</v>
      </c>
      <c r="BL169">
        <f>MAX(ROUNDUP(IF(SD!$C$34="","",BH169/(LEFT(RIGHT(P169,LEN(P169)-FIND("@",P169)),LEN(RIGHT(P169,LEN(P169)-FIND("@",P169)))-1)/12)+1),0),0)</f>
        <v>3</v>
      </c>
      <c r="BN169" t="e">
        <f t="shared" si="59"/>
        <v>#N/A</v>
      </c>
      <c r="BO169" t="e">
        <f t="shared" si="60"/>
        <v>#N/A</v>
      </c>
      <c r="BP169" t="e">
        <f t="shared" si="61"/>
        <v>#N/A</v>
      </c>
      <c r="BQ169" s="24" t="e">
        <f>IF(AM169=TRUE,(((Y169-(SD!$E$12*2))*3.14159265359)+BN169+BO169+BP169)/12+AL169,SUM(AF169:AG169,BN169,BO169,BP169,AO169,AQ169)/12)</f>
        <v>#N/A</v>
      </c>
      <c r="BR169" t="e">
        <f t="shared" si="62"/>
        <v>#N/A</v>
      </c>
      <c r="BS169" t="e">
        <f t="shared" si="63"/>
        <v>#N/A</v>
      </c>
      <c r="BT169" t="e">
        <f t="shared" si="64"/>
        <v>#N/A</v>
      </c>
      <c r="BU169" s="24" t="e">
        <f>IF(AM169=TRUE,(((Y169-(SD!$E$12*2))*3.14159265359)+BR169+BS169+BT169)/12+AL169,SUM(AF169:AG169,BR169,BS169,BT169,AO169,AQ169)/12)</f>
        <v>#N/A</v>
      </c>
      <c r="BW169" t="str">
        <f>IFERROR(LEFT(Data!L169,FIND(" -",Data!L169)-1),"")</f>
        <v/>
      </c>
      <c r="BX169" t="str">
        <f>IFERROR(IF(SD!$C$40=SD!$U$2,W169,IF(SD!$C$40=SD!$U$3,RIGHT(Data!L169,LEN(Data!L169)-(FIND("-",Data!L169)+1)),SD!$C$40)),"")</f>
        <v>#7</v>
      </c>
      <c r="BY169" cm="1">
        <f t="array" ref="BY169">IFERROR(_xlfn.LET(_xlpm.GRR,IF(AND(SD!$C$19=SD!$H$2,Grade!$G$1="Per level"),VLOOKUP(B169,Grade!$E$1:$F$200,2,FALSE),IF(AND(SD!$C$19=SD!$H$2,Grade!$G$1="Per Bar Size"),VLOOKUP(BX169,Grade!$B$1:$C$12,2,0),SD!$C$19)),_xlpm.is_equal, A168=A169,_xlpm.grade_range, IF(_xlpm.GRR=SD!$H$3, A615GR60,IF(_xlpm.GRR=SD!$H$4, A615GR75,IF(_xlpm.GRR=SD!$H$5, A615GR80,IF(_xlpm.GRR=SD!H173, A615GR100,IF(_xlpm.GRR=SD!$H$7, A706GR60,IF(_xlpm.GRR=SD!$H$8, A706GR80)))))),_xlpm.match_result, MATCH(1, (BSize=BX169)*(BCName=SD!$C$8), 0),_xlpm.final_result, INDEX(_xlpm.grade_range, _xlpm.match_result),IF(_xlpm.is_equal, "", _xlpm.final_result)),"")</f>
        <v>7</v>
      </c>
      <c r="BZ169">
        <f>IF(A168=A169,"",IF(SD!$C$41="Match Vertical Bars ",X169,IF(SD!$C$41=SD!$V$3,BW169,SD!$C$41)))</f>
        <v>8</v>
      </c>
      <c r="CA169" cm="1">
        <f t="array" ref="CA169">IF(A168=A169,"",IF(SD!$C$44="No T-Head",IF(SD!$C$42=SD!$Q$3,VLOOKUP(BX169,S90Range,3,FALSE),LEFT(SD!$C$42,FIND("-",SD!$C$42)-1)+(RIGHT(SD!$C$42,LEN(SD!$C$42)-FIND("-",SD!$C$42))/12)),IF(SD!$C$44="T-Head",_xlfn._xlws.FILTER(THead,(TCName=SD!$C$8)*(TSize=BX169)),IF(SD!$C$44="Level Wise",_xlfn.LET(_xlpm.result,_xlfn.XLOOKUP(B169,VDLevel,VDLevelStatus,"No"),IF(_xlpm.result="Yes",_xlfn._xlws.FILTER(THead,(TCName=SD!$C$8)*(TSize=BX169)),IF(SD!$C$42=SD!$Q$3,VLOOKUP(BX169,S90Range,3,FALSE),LEFT(SD!$C$42,FIND("-",SD!$C$42)-1)+(RIGHT(SD!$C$42,LEN(SD!$C$42)-FIND("-", SD!$C$42))/12)))),IF(SD!$C$44="BarSize Wise",_xlfn.LET(_xlpm.result,_xlfn.XLOOKUP(BX169,VDBarSize,VDBarSizeStatus,"No"),IF(_xlpm.result="Yes",_xlfn._xlws.FILTER(THead,(TCName=SD!$C$8)*(TSize=BX169)),IF(SD!$C$42=SD!$Q$3,VLOOKUP(BX169,S90Range,3,FALSE),LEFT(SD!$C$42,FIND("-",SD!$C$42)-1)+(RIGHT(SD!$C$42,LEN(SD!$C$42)-FIND("-",SD!$C$42))/12)))), "")))))</f>
        <v>1.1666666666666667</v>
      </c>
      <c r="CB169" t="str" cm="1">
        <f t="array" ref="CB169">_xlfn.LET(_xlpm.GRR,IF(AND(SD!$C$19=SD!$H$2,Grade!$G$1="Per level"),VLOOKUP(B169,Grade!$E$1:$F$200,2,FALSE),IF(AND(SD!$C$19=SD!$H$2,Grade!$G$1="Per Bar Size"),VLOOKUP(BX169,Grade!$B$1:$C$12,2,0),SD!$C$19)),_xlpm.is_coupler, K169="Coupler",_xlpm.condition1, SD!$C$43=SD!$W$2,_xlpm.data_j2_empty, Data!$J169="",_xlpm.lookup_table, IF(SD!$C$11="Create", Lap!$A$3:$BF$14, IF(SD!$C$11="Per Uploaded File", Lap!$A$19:$BF$30, "")),_xlpm.row_match, MATCH(BX169, Lap!$A$3:$A$14, 0),_xlpm.grade_offset, IF(IFERROR(FIND("Grade 60",_xlpm.GRR), 0) &gt; 0, 0, IF(IFERROR(FIND("Grade 80",_xlpm.GRR), 0), 1, IF(IFERROR(FIND("Grade 75",_xlpm.GRR), 0), 2, ""))),_xlpm.col_match, MATCH(VALUE(D169), Lap!$A$3:$BF$3, 0) + _xlpm.grade_offset,_xlpm.index_result, IFERROR(INDEX(_xlpm.lookup_table, _xlpm.row_match, _xlpm.col_match), Data!$J169),_xlpm.result_if_condition1, IF(_xlpm.data_j2_empty, _xlpm.index_result, Data!$J169),IF(_xlpm.is_coupler, 0, IF(_xlpm.condition1, _xlpm.result_if_condition1, SD!$C$43)))</f>
        <v>3-6</v>
      </c>
      <c r="CC169" s="24">
        <f t="shared" si="65"/>
        <v>3.5</v>
      </c>
      <c r="CD169">
        <f t="shared" si="66"/>
        <v>7.666666666666667</v>
      </c>
      <c r="CE169" t="str" cm="1">
        <f t="array" ref="CE169">IF(BY169="","",_xlfn._xlws.FILTER(SAC,(CName=SD!$C$8)*(EName="Vert Dowels")))</f>
        <v>2200 CD</v>
      </c>
      <c r="CF169" t="str" cm="1">
        <f t="array" ref="CF169">IFERROR(IF(BY169="","",IF(K169="Coupler",_xlfn._xlws.FILTER(CCoupler,(CCName=SD!$C$8)*(CBSize=IF(A168=A169,W168&amp;W169,BX169&amp;W169))*(CCMFM="Male")),"")),"N/A")</f>
        <v/>
      </c>
      <c r="CG169" t="str">
        <f t="shared" si="67"/>
        <v/>
      </c>
      <c r="CH169" t="str">
        <f t="shared" si="68"/>
        <v/>
      </c>
      <c r="CI169" t="str">
        <f>_xlfn.LET(_xlpm.u3_value, U170,_xlpm.hyphen_pos,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K170="Coupler",_xlpm.coupler_value, IF(_xlpm.is_coupler, 0, _xlpm.calculated_value),_xlpm.final_value, _xlpm.calculated_value + SD!$E$13 + _xlpm.coupler_value,IF(CG169="", "", _xlpm.final_value))</f>
        <v/>
      </c>
      <c r="CJ169" t="str" cm="1">
        <f t="array" ref="CJ169">IF(CG169="","",_xlfn._xlws.FILTER(SAC,(CName=SD!$C$8)*(EName="Loose Dowels")))</f>
        <v/>
      </c>
      <c r="CK169" t="str" cm="1">
        <f t="array" ref="CK169">IFERROR(IF(CG169="","",IF(K170="Coupler",_xlfn._xlws.FILTER(CCoupler,(CCName=SD!$C$8)*(CBSize=IF(A169=A170,W169&amp;W170,""))*(CCMFM="Male")),"")),"N/A")</f>
        <v/>
      </c>
      <c r="CL169">
        <f>IFERROR(IF(AM169="Spiral","",IF(A168=A169,"",IF(SD!$C$37=0,"",SD!$C$37))),"")</f>
        <v>3</v>
      </c>
      <c r="CN169">
        <f>IF(AM169="Spiral","",IFERROR(IF(SD!$C$36=0,"",SD!$C$36),""))</f>
        <v>5</v>
      </c>
      <c r="CP169">
        <f>IFERROR(IF(SD!$C$42=SD!$Q$3,'Take-off'!CA169,""),"")</f>
        <v>1.1666666666666667</v>
      </c>
      <c r="CR169">
        <f>IFERROR(IF(SD!$C$22=SD!$U$2,W169,SD!$C$22),"")</f>
        <v>0</v>
      </c>
      <c r="CS169" t="str" cm="1">
        <f t="array" ref="CS169">_xlfn.LET(_xlpm.GR,IF(AND(SD!$C$19=SD!$H$2,Grade!$G$1="Per level"),VLOOKUP(B169,Grade!$E$1:$F$200,2,FALSE),IF(AND(SD!$C$19=SD!$H$2,Grade!$G$1="Per Bar Size"),VLOOKUP(CR169,Grade!$B$1:$C$12,2,0),SD!$C$19)),IF(SD!$C$20=SD!$R$4,IF(A170=A169,"",INDEX(IF(_xlpm.GR=SD!$H$3,A615GR60,IF(_xlpm.GR=SD!$H$4,A615GR75,IF(_xlpm.GR=SD!$H$5,A615GR80,IF(_xlpm.GR=SD!H173,A615GR100,IF(_xlpm.GR=SD!$H$7,A706GR60,IF(_xlpm.GR=SD!$H$8,A706GR80)))))), MATCH(1, (BSize=CR169)*(BCName=SD!$C$8), 0))),""))</f>
        <v/>
      </c>
      <c r="CT169">
        <f>IF(A170=A169,"",IF(SD!$C$23="Match Vertical Bars ",X169,SD!$C$23))</f>
        <v>0</v>
      </c>
      <c r="CU169" t="str" cm="1">
        <f t="array" ref="CU169">IF(A170=A169,"",IF(SD!$C$20="Top dowels",IF(SD!$E$25="No T-Head",IF(SD!$C$24=SD!$Q$3,VLOOKUP(CR169,S90Range,3,FALSE),LEFT(SD!$C$24,FIND("-",SD!$C$24)-1)+(RIGHT(SD!$C$24,LEN(SD!$C$24)-FIND("-",SD!$C$24))/12)),IF(SD!$E$25="T-Head",_xlfn._xlws.FILTER(THead,(TCName=SD!$C$8)*(TSize=CR169)),IF(SD!$E$25="Level Wise",_xlfn.LET(_xlpm.result,_xlfn.XLOOKUP(B169,TDLevel,TDLevelStatus,"No"),IF(_xlpm.result="Yes",_xlfn._xlws.FILTER(THead,(TCName=SD!$C$8)*(TSize=CR169)),IF(SD!$C$24=SD!$Q$3,VLOOKUP(CR169,S90Range,3,FALSE),LEFT(SD!$C$24,FIND("-",SD!$C$24)-1)+(RIGHT(SD!$C$24,LEN(SD!$C$24)-FIND("-", SD!$C$24))/12)))),IF(SD!$E$25="BarSize Wise",_xlfn.LET(_xlpm.result,_xlfn.XLOOKUP(CR169,TDBarSize,TDBarSizeStatus,"No"),IF(_xlpm.result="Yes",_xlfn._xlws.FILTER(THead,(TCName=SD!$C$8)*(TSize=CR169)),IF(SD!$C$24=SD!$Q$3,VLOOKUP(CR169,S90Range,3,FALSE),LEFT(SD!$C$24,FIND("-",SD!$C$24)-1)+(RIGHT(SD!$C$24,LEN(SD!$C$24)-FIND("-",SD!$C$24))/12)))), "")))),""))</f>
        <v/>
      </c>
      <c r="CV169" t="str">
        <f>_xlfn.LET(_xlpm.GRR,IF(AND(SD!$C$19=SD!$H$2,Grade!$G$1="Per level"),VLOOKUP(B169,Grade!$E$1:$F$200,2,FALSE),IF(AND(SD!$C$19=SD!$H$2,Grade!$G$1="Per Bar Size"),VLOOKUP(CR169,Grade!$B$1:$C$12,2,0),SD!$C$19)),IF(SD!$C$25=SD!$W$2,IF(Data!$J169="",IFERROR(INDEX(IF(SD!$C$11="Create",Lap!$A$3:$BF$14,IF(SD!$C$11="Per Uploaded File",Lap!$A$19:$BF$30,"")),MATCH(CR169,Lap!$A$3:$A$14,0),MATCH(VALUE(D169),Lap!$A$3:$BF$3,0)+IF(IFERROR(FIND("Grade 60",_xlpm.GRR),0)&gt;0,0,IF(IFERROR(FIND("Grade 80",_xlpm.GRR),0),1,IF(IFERROR(FIND("Grade 75",_xlpm.GRR),0),2,"")))),""),Data!J169),SD!$C$43))</f>
        <v>Match Lap</v>
      </c>
      <c r="CW169">
        <f t="shared" si="69"/>
        <v>0</v>
      </c>
      <c r="CX169">
        <f t="shared" si="70"/>
        <v>0</v>
      </c>
      <c r="CY169" t="str">
        <f t="shared" si="71"/>
        <v/>
      </c>
      <c r="DA169">
        <f t="shared" si="72"/>
        <v>52</v>
      </c>
      <c r="DB169" t="str">
        <f t="shared" si="73"/>
        <v>21-7</v>
      </c>
      <c r="DC169" s="24">
        <f t="shared" si="74"/>
        <v>21.583333333333332</v>
      </c>
      <c r="DD169">
        <f t="shared" si="75"/>
        <v>21.583333333333332</v>
      </c>
      <c r="DE169" t="s">
        <v>756</v>
      </c>
      <c r="DF169" t="s">
        <v>67</v>
      </c>
      <c r="DG169" t="str">
        <f>VLOOKUP(W169,'Level Wise PSI'!$F$2:$G$12,2,FALSE)</f>
        <v>Double Lift</v>
      </c>
      <c r="DI169" t="str" cm="1">
        <f t="array" ref="DI169">_xlfn.LET(_xlpm.Coup,IFERROR(IF(BY169="","",IF(K169="Coupler",_xlfn._xlws.FILTER(CCFCoupler,(CCName=SD!$C$8)*(CBSize=IF(A168=A169,W168&amp;W169,BX169&amp;W169))),"")),"N/A"),IF(_xlpm.Coup=0,"",_xlpm.Coup))</f>
        <v/>
      </c>
      <c r="DJ169" t="str" cm="1">
        <f t="array" ref="DJ169">_xlfn.LET(_xlpm.Coup3,IFERROR(IF(CG169="","",IF(K170="Coupler",_xlfn._xlws.FILTER(CCFCoupler,(CCName=SD!$C$8)*(CBSize=IF(A169=A170,W169&amp;W170,""))),"")),"N/A"),IF(_xlpm.Coup3=0,"",_xlpm.Coup3))</f>
        <v/>
      </c>
      <c r="DK169" t="str" cm="1">
        <f t="array" ref="DK169">_xlfn.LET(_xlpm.Coup2,IFERROR(IF(A169&lt;&gt;A170,"",IF(DF169="No Lap","",IF(K170="Coupler",_xlfn._xlws.FILTER(CCFCoupler,(CCName=SD!$C$8)*(CBSize=IF(A168=A169,W169&amp;W170,W169&amp;W169))),""))),"N/A"),IF(_xlpm.Coup2=0,"",_xlpm.Coup2))</f>
        <v/>
      </c>
      <c r="DM169" t="str">
        <f>IF(AM169="Spiral","",IF(SD!$C$31=SD!$Y$3,SD!$E$32*2,""))</f>
        <v/>
      </c>
      <c r="DO169" s="24">
        <f t="shared" si="76"/>
        <v>2</v>
      </c>
      <c r="DQ169" t="str">
        <f t="shared" si="77"/>
        <v>Lig</v>
      </c>
      <c r="DR169" t="str">
        <f>IF(AM169="Spiral",((Y169-(SD!$E$12*2))/12),"")</f>
        <v/>
      </c>
      <c r="DS169" t="str">
        <f t="shared" si="78"/>
        <v/>
      </c>
      <c r="DT169" t="str">
        <f t="shared" si="79"/>
        <v/>
      </c>
      <c r="DU169" t="str">
        <f t="shared" si="80"/>
        <v/>
      </c>
    </row>
    <row r="170" spans="1:125" x14ac:dyDescent="0.25">
      <c r="A170">
        <v>53</v>
      </c>
      <c r="B170" t="s">
        <v>664</v>
      </c>
      <c r="C170" s="15">
        <v>2429</v>
      </c>
      <c r="D170" s="15">
        <v>10000</v>
      </c>
      <c r="E170" t="str">
        <f>IF(B170=Level!$A$2,SD!$C$14,SD!$C$13)</f>
        <v>3-0</v>
      </c>
      <c r="F170" s="15" t="s">
        <v>787</v>
      </c>
      <c r="G170" t="s">
        <v>756</v>
      </c>
      <c r="H170" s="15" t="s">
        <v>789</v>
      </c>
      <c r="I170" t="s">
        <v>735</v>
      </c>
      <c r="J170" t="str">
        <f>IF(AND(SD!$C$19=SD!$H$2,Grade!$G$1="Per level"),VLOOKUP(B170,Grade!$E$1:$F$200,2,FALSE),IF(AND(SD!$C$19=SD!$H$2,Grade!$G$1="Per Bar Size"),VLOOKUP(W170,Grade!$B$1:$C$12,2,0),SD!$C$19))</f>
        <v>A615 Grade 60</v>
      </c>
      <c r="K170" t="s">
        <v>67</v>
      </c>
      <c r="L170" t="str">
        <f>IFERROR(IF(A170&lt;&gt;A171,"",IF(DF170="No Lap","",IF(K171="Lap",U170,IF(K171="Coupler",_xlfn._xlws.FILTER(CCoupler,(CCName=SD!$C$8)*(CBSize=IF(A169=A170,W170&amp;W171,W170&amp;W170))*(CCMFM="Male")),"")))),"N/A")</f>
        <v/>
      </c>
      <c r="M170" t="str">
        <f t="shared" si="54"/>
        <v/>
      </c>
      <c r="N170" t="s">
        <v>719</v>
      </c>
      <c r="O170" t="s">
        <v>720</v>
      </c>
      <c r="P170" t="s">
        <v>719</v>
      </c>
      <c r="Q170" t="str">
        <f>IF(AND(SD!$C$29=SD!$P$2,Grade!$O$1="Per level"),VLOOKUP(B170,Grade!$M$1:$N$200,2,FALSE),IF(AND(SD!$C$29=SD!$P$2,Grade!$O$1="Per Bar Size"),VLOOKUP(LEFT(N170,FIND("@",N170)-2),Grade!$J$1:$K$12,2,0),SD!$C$29))</f>
        <v>A615 Grade 60</v>
      </c>
      <c r="R170" t="s">
        <v>756</v>
      </c>
      <c r="S170" s="57">
        <v>170</v>
      </c>
      <c r="U170" t="str">
        <f>IF(Data!$J170="",IFERROR(INDEX(IF(SD!$C$11="Create",Lap!$A$3:$BF$14,IF(SD!$C$11="Per Uploaded File",Lap!$A$19:$BF$30,"")),MATCH(W170,Lap!$A$3:$A$14,0),MATCH(VALUE(D170),Lap!$A$3:$BF$3,0)+IF(IFERROR(FIND("Grade 60",J170),0)&gt;0,0,IF(IFERROR(FIND("Grade 80",J170),0),1,IF(IFERROR(FIND("Grade 75",J170),0),2,"")))),""),Data!J170)</f>
        <v>3-6</v>
      </c>
      <c r="W170" t="s">
        <v>139</v>
      </c>
      <c r="X170">
        <v>8</v>
      </c>
      <c r="Y170" t="str">
        <f t="shared" si="55"/>
        <v>24</v>
      </c>
      <c r="Z170">
        <f t="shared" si="56"/>
        <v>0</v>
      </c>
      <c r="AA170" s="24">
        <f t="shared" si="57"/>
        <v>21.583333333333332</v>
      </c>
      <c r="BB170" t="e" cm="1">
        <f t="array" ref="BB170">_xlfn.LET(_xlpm.PartF,(_xlfn.LET(_xlpm.grade, Q170,_xlpm.gradeRange, IF(_xlpm.grade=SD!$H$3, A615GR60, IF(_xlpm.grade=SD!$H$4, A615GR75, IF(_xlpm.grade=SD!$H$5, A615GR80, IF(_xlpm.grade=SD!$H$6, A615GR100, IF(_xlpm.grade=SD!$H$7, A706GR60, IF(_xlpm.grade=SD!$H$8, A706GR80)))))),_xlpm.matchValue, MATCH(1, (SD!$AW:$AW=AS170)*(SD!$AX:$AX=SD!$C$8), 0),INDEX(_xlpm.gradeRange, _xlpm.matchValue))),IF(AM170="Spiral",CONCATENATE("SP",_xlpm.PartF),_xlpm.PartF))</f>
        <v>#N/A</v>
      </c>
      <c r="BC170" cm="1">
        <f t="array" ref="BC170">_xlfn.LET(_xlpm.leftPart, LEFT(O170, FIND("@", O170) - 2),_xlpm.grade,Q170,_xlpm.gradeRange,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0" cm="1">
        <f t="array" ref="BD170">_xlfn.LET(_xlpm.leftPart, LEFT(P170, FIND("@", P170) - 2),_xlpm.grade, Q170,_xlpm.gradeRange,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0">
        <f t="shared" si="58"/>
        <v>2</v>
      </c>
      <c r="BF170">
        <f>IF(SD!$C$32=SD!$I$2,BE170,IF(SD!$C$32=SD!$I$3,DO170,IF(SD!$C$32=SD!$I$5,BA170,IF(SD!$C$32=SD!$I$6,(LEFT(SD!$C$35,FIND("-",SD!$C$35)-1)+RIGHT(SD!$C$35,LEN(SD!$C$35)-FIND("-",SD!$C$35))/12),IF(SD!$C$32=SD!$I$4,(AU170-(BG170+BH170)))))))</f>
        <v>0</v>
      </c>
      <c r="BG170">
        <f>IF(SD!$C$33=SD!$I$2,BE170,IF(SD!$C$33=SD!$I$3,DO170,IF(SD!$C$33=SD!$I$5,BA170,IF(SD!$C$33=SD!$I$6,(LEFT(SD!$C$35,FIND("-",SD!$C$35)-1)+RIGHT(SD!$C$35,LEN(SD!$C$35)-FIND("-",SD!$C$35))/12),IF(SD!$C$33=SD!$I$4,(AU170-(BF170+BH170)))))))</f>
        <v>-1</v>
      </c>
      <c r="BH170">
        <f>IF(SD!$C$34=SD!$I$2,BE170,IF(SD!$C$34=SD!$I$3,DO170,IF(SD!$C$34=SD!$I$5,BA170,IF(SD!$C$34=SD!$I$6,(LEFT(SD!$C$35,FIND("-",SD!$C$35)-1)+RIGHT(SD!$C$35,LEN(SD!$C$35)-FIND("-",SD!$C$35))/12),IF(SD!$C$34=SD!$I$4,(AU170-(BF170+BG170)))))))</f>
        <v>1</v>
      </c>
      <c r="BJ170">
        <f>IF(AM170="Spiral","1",MAX(ROUNDUP(IF(SD!$C$32="",AT170,BF170/(LEFT(RIGHT(N170,LEN(N170)-FIND("@",N170)),LEN(RIGHT(N170,LEN(N170)-FIND("@",N170)))-1)/12)+1),0),0))</f>
        <v>1</v>
      </c>
      <c r="BK170">
        <f>MAX(ROUNDUP(IF(SD!$C$33="","",BG170/(LEFT(RIGHT(O170,LEN(O170)-FIND("@",O170)),LEN(RIGHT(O170,LEN(O170)-FIND("@",O170)))-1)/12)+1),0),0)</f>
        <v>0</v>
      </c>
      <c r="BL170">
        <f>MAX(ROUNDUP(IF(SD!$C$34="","",BH170/(LEFT(RIGHT(P170,LEN(P170)-FIND("@",P170)),LEN(RIGHT(P170,LEN(P170)-FIND("@",P170)))-1)/12)+1),0),0)</f>
        <v>3</v>
      </c>
      <c r="BN170" t="e">
        <f t="shared" si="59"/>
        <v>#N/A</v>
      </c>
      <c r="BO170" t="e">
        <f t="shared" si="60"/>
        <v>#N/A</v>
      </c>
      <c r="BP170" t="e">
        <f t="shared" si="61"/>
        <v>#N/A</v>
      </c>
      <c r="BQ170" s="24" t="e">
        <f>IF(AM170=TRUE,(((Y170-(SD!$E$12*2))*3.14159265359)+BN170+BO170+BP170)/12+AL170,SUM(AF170:AG170,BN170,BO170,BP170,AO170,AQ170)/12)</f>
        <v>#N/A</v>
      </c>
      <c r="BR170" t="e">
        <f t="shared" si="62"/>
        <v>#N/A</v>
      </c>
      <c r="BS170" t="e">
        <f t="shared" si="63"/>
        <v>#N/A</v>
      </c>
      <c r="BT170" t="e">
        <f t="shared" si="64"/>
        <v>#N/A</v>
      </c>
      <c r="BU170" s="24" t="e">
        <f>IF(AM170=TRUE,(((Y170-(SD!$E$12*2))*3.14159265359)+BR170+BS170+BT170)/12+AL170,SUM(AF170:AG170,BR170,BS170,BT170,AO170,AQ170)/12)</f>
        <v>#N/A</v>
      </c>
      <c r="BW170" t="str">
        <f>IFERROR(LEFT(Data!L170,FIND(" -",Data!L170)-1),"")</f>
        <v/>
      </c>
      <c r="BX170" t="str">
        <f>IFERROR(IF(SD!$C$40=SD!$U$2,W170,IF(SD!$C$40=SD!$U$3,RIGHT(Data!L170,LEN(Data!L170)-(FIND("-",Data!L170)+1)),SD!$C$40)),"")</f>
        <v>#7</v>
      </c>
      <c r="BY170" cm="1">
        <f t="array" ref="BY170">IFERROR(_xlfn.LET(_xlpm.GRR,IF(AND(SD!$C$19=SD!$H$2,Grade!$G$1="Per level"),VLOOKUP(B170,Grade!$E$1:$F$200,2,FALSE),IF(AND(SD!$C$19=SD!$H$2,Grade!$G$1="Per Bar Size"),VLOOKUP(BX170,Grade!$B$1:$C$12,2,0),SD!$C$19)),_xlpm.is_equal, A169=A170,_xlpm.grade_range, IF(_xlpm.GRR=SD!$H$3, A615GR60,IF(_xlpm.GRR=SD!$H$4, A615GR75,IF(_xlpm.GRR=SD!$H$5, A615GR80,IF(_xlpm.GRR=SD!H174, A615GR100,IF(_xlpm.GRR=SD!$H$7, A706GR60,IF(_xlpm.GRR=SD!$H$8, A706GR80)))))),_xlpm.match_result, MATCH(1, (BSize=BX170)*(BCName=SD!$C$8), 0),_xlpm.final_result, INDEX(_xlpm.grade_range, _xlpm.match_result),IF(_xlpm.is_equal, "", _xlpm.final_result)),"")</f>
        <v>7</v>
      </c>
      <c r="BZ170">
        <f>IF(A169=A170,"",IF(SD!$C$41="Match Vertical Bars ",X170,IF(SD!$C$41=SD!$V$3,BW170,SD!$C$41)))</f>
        <v>8</v>
      </c>
      <c r="CA170" cm="1">
        <f t="array" ref="CA170">IF(A169=A170,"",IF(SD!$C$44="No T-Head",IF(SD!$C$42=SD!$Q$3,VLOOKUP(BX170,S90Range,3,FALSE),LEFT(SD!$C$42,FIND("-",SD!$C$42)-1)+(RIGHT(SD!$C$42,LEN(SD!$C$42)-FIND("-",SD!$C$42))/12)),IF(SD!$C$44="T-Head",_xlfn._xlws.FILTER(THead,(TCName=SD!$C$8)*(TSize=BX170)),IF(SD!$C$44="Level Wise",_xlfn.LET(_xlpm.result,_xlfn.XLOOKUP(B170,VDLevel,VDLevelStatus,"No"),IF(_xlpm.result="Yes",_xlfn._xlws.FILTER(THead,(TCName=SD!$C$8)*(TSize=BX170)),IF(SD!$C$42=SD!$Q$3,VLOOKUP(BX170,S90Range,3,FALSE),LEFT(SD!$C$42,FIND("-",SD!$C$42)-1)+(RIGHT(SD!$C$42,LEN(SD!$C$42)-FIND("-", SD!$C$42))/12)))),IF(SD!$C$44="BarSize Wise",_xlfn.LET(_xlpm.result,_xlfn.XLOOKUP(BX170,VDBarSize,VDBarSizeStatus,"No"),IF(_xlpm.result="Yes",_xlfn._xlws.FILTER(THead,(TCName=SD!$C$8)*(TSize=BX170)),IF(SD!$C$42=SD!$Q$3,VLOOKUP(BX170,S90Range,3,FALSE),LEFT(SD!$C$42,FIND("-",SD!$C$42)-1)+(RIGHT(SD!$C$42,LEN(SD!$C$42)-FIND("-",SD!$C$42))/12)))), "")))))</f>
        <v>1.1666666666666667</v>
      </c>
      <c r="CB170" t="str" cm="1">
        <f t="array" ref="CB170">_xlfn.LET(_xlpm.GRR,IF(AND(SD!$C$19=SD!$H$2,Grade!$G$1="Per level"),VLOOKUP(B170,Grade!$E$1:$F$200,2,FALSE),IF(AND(SD!$C$19=SD!$H$2,Grade!$G$1="Per Bar Size"),VLOOKUP(BX170,Grade!$B$1:$C$12,2,0),SD!$C$19)),_xlpm.is_coupler, K170="Coupler",_xlpm.condition1, SD!$C$43=SD!$W$2,_xlpm.data_j2_empty, Data!$J170="",_xlpm.lookup_table, IF(SD!$C$11="Create", Lap!$A$3:$BF$14, IF(SD!$C$11="Per Uploaded File", Lap!$A$19:$BF$30, "")),_xlpm.row_match, MATCH(BX170, Lap!$A$3:$A$14, 0),_xlpm.grade_offset, IF(IFERROR(FIND("Grade 60",_xlpm.GRR), 0) &gt; 0, 0, IF(IFERROR(FIND("Grade 80",_xlpm.GRR), 0), 1, IF(IFERROR(FIND("Grade 75",_xlpm.GRR), 0), 2, ""))),_xlpm.col_match, MATCH(VALUE(D170), Lap!$A$3:$BF$3, 0) + _xlpm.grade_offset,_xlpm.index_result, IFERROR(INDEX(_xlpm.lookup_table, _xlpm.row_match, _xlpm.col_match), Data!$J170),_xlpm.result_if_condition1, IF(_xlpm.data_j2_empty, _xlpm.index_result, Data!$J170),IF(_xlpm.is_coupler, 0, IF(_xlpm.condition1, _xlpm.result_if_condition1, SD!$C$43)))</f>
        <v>3-6</v>
      </c>
      <c r="CC170" s="24">
        <f t="shared" si="65"/>
        <v>3.5</v>
      </c>
      <c r="CD170">
        <f t="shared" si="66"/>
        <v>7.666666666666667</v>
      </c>
      <c r="CE170" t="str" cm="1">
        <f t="array" ref="CE170">IF(BY170="","",_xlfn._xlws.FILTER(SAC,(CName=SD!$C$8)*(EName="Vert Dowels")))</f>
        <v>2200 CD</v>
      </c>
      <c r="CF170" t="str" cm="1">
        <f t="array" ref="CF170">IFERROR(IF(BY170="","",IF(K170="Coupler",_xlfn._xlws.FILTER(CCoupler,(CCName=SD!$C$8)*(CBSize=IF(A169=A170,W169&amp;W170,BX170&amp;W170))*(CCMFM="Male")),"")),"N/A")</f>
        <v/>
      </c>
      <c r="CG170" t="str">
        <f t="shared" si="67"/>
        <v/>
      </c>
      <c r="CH170" t="str">
        <f t="shared" si="68"/>
        <v/>
      </c>
      <c r="CI170" t="str">
        <f>_xlfn.LET(_xlpm.u3_value, U171,_xlpm.hyphen_pos,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K171="Coupler",_xlpm.coupler_value, IF(_xlpm.is_coupler, 0, _xlpm.calculated_value),_xlpm.final_value, _xlpm.calculated_value + SD!$E$13 + _xlpm.coupler_value,IF(CG170="", "", _xlpm.final_value))</f>
        <v/>
      </c>
      <c r="CJ170" t="str" cm="1">
        <f t="array" ref="CJ170">IF(CG170="","",_xlfn._xlws.FILTER(SAC,(CName=SD!$C$8)*(EName="Loose Dowels")))</f>
        <v/>
      </c>
      <c r="CK170" t="str" cm="1">
        <f t="array" ref="CK170">IFERROR(IF(CG170="","",IF(K171="Coupler",_xlfn._xlws.FILTER(CCoupler,(CCName=SD!$C$8)*(CBSize=IF(A170=A171,W170&amp;W171,""))*(CCMFM="Male")),"")),"N/A")</f>
        <v/>
      </c>
      <c r="CL170">
        <f>IFERROR(IF(AM170="Spiral","",IF(A169=A170,"",IF(SD!$C$37=0,"",SD!$C$37))),"")</f>
        <v>3</v>
      </c>
      <c r="CN170">
        <f>IF(AM170="Spiral","",IFERROR(IF(SD!$C$36=0,"",SD!$C$36),""))</f>
        <v>5</v>
      </c>
      <c r="CP170">
        <f>IFERROR(IF(SD!$C$42=SD!$Q$3,'Take-off'!CA170,""),"")</f>
        <v>1.1666666666666667</v>
      </c>
      <c r="CR170">
        <f>IFERROR(IF(SD!$C$22=SD!$U$2,W170,SD!$C$22),"")</f>
        <v>0</v>
      </c>
      <c r="CS170" t="str" cm="1">
        <f t="array" ref="CS170">_xlfn.LET(_xlpm.GR,IF(AND(SD!$C$19=SD!$H$2,Grade!$G$1="Per level"),VLOOKUP(B170,Grade!$E$1:$F$200,2,FALSE),IF(AND(SD!$C$19=SD!$H$2,Grade!$G$1="Per Bar Size"),VLOOKUP(CR170,Grade!$B$1:$C$12,2,0),SD!$C$19)),IF(SD!$C$20=SD!$R$4,IF(A171=A170,"",INDEX(IF(_xlpm.GR=SD!$H$3,A615GR60,IF(_xlpm.GR=SD!$H$4,A615GR75,IF(_xlpm.GR=SD!$H$5,A615GR80,IF(_xlpm.GR=SD!H174,A615GR100,IF(_xlpm.GR=SD!$H$7,A706GR60,IF(_xlpm.GR=SD!$H$8,A706GR80)))))), MATCH(1, (BSize=CR170)*(BCName=SD!$C$8), 0))),""))</f>
        <v/>
      </c>
      <c r="CT170">
        <f>IF(A171=A170,"",IF(SD!$C$23="Match Vertical Bars ",X170,SD!$C$23))</f>
        <v>0</v>
      </c>
      <c r="CU170" t="str" cm="1">
        <f t="array" ref="CU170">IF(A171=A170,"",IF(SD!$C$20="Top dowels",IF(SD!$E$25="No T-Head",IF(SD!$C$24=SD!$Q$3,VLOOKUP(CR170,S90Range,3,FALSE),LEFT(SD!$C$24,FIND("-",SD!$C$24)-1)+(RIGHT(SD!$C$24,LEN(SD!$C$24)-FIND("-",SD!$C$24))/12)),IF(SD!$E$25="T-Head",_xlfn._xlws.FILTER(THead,(TCName=SD!$C$8)*(TSize=CR170)),IF(SD!$E$25="Level Wise",_xlfn.LET(_xlpm.result,_xlfn.XLOOKUP(B170,TDLevel,TDLevelStatus,"No"),IF(_xlpm.result="Yes",_xlfn._xlws.FILTER(THead,(TCName=SD!$C$8)*(TSize=CR170)),IF(SD!$C$24=SD!$Q$3,VLOOKUP(CR170,S90Range,3,FALSE),LEFT(SD!$C$24,FIND("-",SD!$C$24)-1)+(RIGHT(SD!$C$24,LEN(SD!$C$24)-FIND("-", SD!$C$24))/12)))),IF(SD!$E$25="BarSize Wise",_xlfn.LET(_xlpm.result,_xlfn.XLOOKUP(CR170,TDBarSize,TDBarSizeStatus,"No"),IF(_xlpm.result="Yes",_xlfn._xlws.FILTER(THead,(TCName=SD!$C$8)*(TSize=CR170)),IF(SD!$C$24=SD!$Q$3,VLOOKUP(CR170,S90Range,3,FALSE),LEFT(SD!$C$24,FIND("-",SD!$C$24)-1)+(RIGHT(SD!$C$24,LEN(SD!$C$24)-FIND("-",SD!$C$24))/12)))), "")))),""))</f>
        <v/>
      </c>
      <c r="CV170" t="str">
        <f>_xlfn.LET(_xlpm.GRR,IF(AND(SD!$C$19=SD!$H$2,Grade!$G$1="Per level"),VLOOKUP(B170,Grade!$E$1:$F$200,2,FALSE),IF(AND(SD!$C$19=SD!$H$2,Grade!$G$1="Per Bar Size"),VLOOKUP(CR170,Grade!$B$1:$C$12,2,0),SD!$C$19)),IF(SD!$C$25=SD!$W$2,IF(Data!$J170="",IFERROR(INDEX(IF(SD!$C$11="Create",Lap!$A$3:$BF$14,IF(SD!$C$11="Per Uploaded File",Lap!$A$19:$BF$30,"")),MATCH(CR170,Lap!$A$3:$A$14,0),MATCH(VALUE(D170),Lap!$A$3:$BF$3,0)+IF(IFERROR(FIND("Grade 60",_xlpm.GRR),0)&gt;0,0,IF(IFERROR(FIND("Grade 80",_xlpm.GRR),0),1,IF(IFERROR(FIND("Grade 75",_xlpm.GRR),0),2,"")))),""),Data!J170),SD!$C$43))</f>
        <v>Match Lap</v>
      </c>
      <c r="CW170">
        <f t="shared" si="69"/>
        <v>0</v>
      </c>
      <c r="CX170">
        <f t="shared" si="70"/>
        <v>0</v>
      </c>
      <c r="CY170" t="str">
        <f t="shared" si="71"/>
        <v/>
      </c>
      <c r="DA170">
        <f t="shared" si="72"/>
        <v>53</v>
      </c>
      <c r="DB170" t="str">
        <f t="shared" si="73"/>
        <v>21-7</v>
      </c>
      <c r="DC170" s="24">
        <f t="shared" si="74"/>
        <v>21.583333333333332</v>
      </c>
      <c r="DD170">
        <f t="shared" si="75"/>
        <v>21.583333333333332</v>
      </c>
      <c r="DE170" t="s">
        <v>756</v>
      </c>
      <c r="DF170" t="s">
        <v>67</v>
      </c>
      <c r="DG170" t="str">
        <f>VLOOKUP(W170,'Level Wise PSI'!$F$2:$G$12,2,FALSE)</f>
        <v>Double Lift</v>
      </c>
      <c r="DI170" t="str" cm="1">
        <f t="array" ref="DI170">_xlfn.LET(_xlpm.Coup,IFERROR(IF(BY170="","",IF(K170="Coupler",_xlfn._xlws.FILTER(CCFCoupler,(CCName=SD!$C$8)*(CBSize=IF(A169=A170,W169&amp;W170,BX170&amp;W170))),"")),"N/A"),IF(_xlpm.Coup=0,"",_xlpm.Coup))</f>
        <v/>
      </c>
      <c r="DJ170" t="str" cm="1">
        <f t="array" ref="DJ170">_xlfn.LET(_xlpm.Coup3,IFERROR(IF(CG170="","",IF(K171="Coupler",_xlfn._xlws.FILTER(CCFCoupler,(CCName=SD!$C$8)*(CBSize=IF(A170=A171,W170&amp;W171,""))),"")),"N/A"),IF(_xlpm.Coup3=0,"",_xlpm.Coup3))</f>
        <v/>
      </c>
      <c r="DK170" t="str" cm="1">
        <f t="array" ref="DK170">_xlfn.LET(_xlpm.Coup2,IFERROR(IF(A170&lt;&gt;A171,"",IF(DF170="No Lap","",IF(K171="Coupler",_xlfn._xlws.FILTER(CCFCoupler,(CCName=SD!$C$8)*(CBSize=IF(A169=A170,W170&amp;W171,W170&amp;W170))),""))),"N/A"),IF(_xlpm.Coup2=0,"",_xlpm.Coup2))</f>
        <v/>
      </c>
      <c r="DM170" t="str">
        <f>IF(AM170="Spiral","",IF(SD!$C$31=SD!$Y$3,SD!$E$32*2,""))</f>
        <v/>
      </c>
      <c r="DO170" s="24">
        <f t="shared" si="76"/>
        <v>2</v>
      </c>
      <c r="DQ170" t="str">
        <f t="shared" si="77"/>
        <v>Lig</v>
      </c>
      <c r="DR170" t="str">
        <f>IF(AM170="Spiral",((Y170-(SD!$E$12*2))/12),"")</f>
        <v/>
      </c>
      <c r="DS170" t="str">
        <f t="shared" si="78"/>
        <v/>
      </c>
      <c r="DT170" t="str">
        <f t="shared" si="79"/>
        <v/>
      </c>
      <c r="DU170" t="str">
        <f t="shared" si="80"/>
        <v/>
      </c>
    </row>
    <row r="171" spans="1:125" x14ac:dyDescent="0.25">
      <c r="A171">
        <v>54</v>
      </c>
      <c r="B171" t="s">
        <v>664</v>
      </c>
      <c r="C171" s="15">
        <v>2429</v>
      </c>
      <c r="D171" s="15">
        <v>10000</v>
      </c>
      <c r="E171" t="str">
        <f>IF(B171=Level!$A$2,SD!$C$14,SD!$C$13)</f>
        <v>3-0</v>
      </c>
      <c r="F171" s="15" t="s">
        <v>787</v>
      </c>
      <c r="G171" t="s">
        <v>756</v>
      </c>
      <c r="H171" s="15" t="s">
        <v>789</v>
      </c>
      <c r="I171" t="s">
        <v>735</v>
      </c>
      <c r="J171" t="str">
        <f>IF(AND(SD!$C$19=SD!$H$2,Grade!$G$1="Per level"),VLOOKUP(B171,Grade!$E$1:$F$200,2,FALSE),IF(AND(SD!$C$19=SD!$H$2,Grade!$G$1="Per Bar Size"),VLOOKUP(W171,Grade!$B$1:$C$12,2,0),SD!$C$19))</f>
        <v>A615 Grade 60</v>
      </c>
      <c r="K171" t="s">
        <v>67</v>
      </c>
      <c r="L171" t="str">
        <f>IFERROR(IF(A171&lt;&gt;A172,"",IF(DF171="No Lap","",IF(K172="Lap",U171,IF(K172="Coupler",_xlfn._xlws.FILTER(CCoupler,(CCName=SD!$C$8)*(CBSize=IF(A170=A171,W171&amp;W172,W171&amp;W171))*(CCMFM="Male")),"")))),"N/A")</f>
        <v/>
      </c>
      <c r="M171" t="str">
        <f t="shared" si="54"/>
        <v/>
      </c>
      <c r="N171" t="s">
        <v>719</v>
      </c>
      <c r="O171" t="s">
        <v>720</v>
      </c>
      <c r="P171" t="s">
        <v>719</v>
      </c>
      <c r="Q171" t="str">
        <f>IF(AND(SD!$C$29=SD!$P$2,Grade!$O$1="Per level"),VLOOKUP(B171,Grade!$M$1:$N$200,2,FALSE),IF(AND(SD!$C$29=SD!$P$2,Grade!$O$1="Per Bar Size"),VLOOKUP(LEFT(N171,FIND("@",N171)-2),Grade!$J$1:$K$12,2,0),SD!$C$29))</f>
        <v>A615 Grade 60</v>
      </c>
      <c r="R171" t="s">
        <v>756</v>
      </c>
      <c r="S171" s="57">
        <v>171</v>
      </c>
      <c r="U171" t="str">
        <f>IF(Data!$J171="",IFERROR(INDEX(IF(SD!$C$11="Create",Lap!$A$3:$BF$14,IF(SD!$C$11="Per Uploaded File",Lap!$A$19:$BF$30,"")),MATCH(W171,Lap!$A$3:$A$14,0),MATCH(VALUE(D171),Lap!$A$3:$BF$3,0)+IF(IFERROR(FIND("Grade 60",J171),0)&gt;0,0,IF(IFERROR(FIND("Grade 80",J171),0),1,IF(IFERROR(FIND("Grade 75",J171),0),2,"")))),""),Data!J171)</f>
        <v>3-6</v>
      </c>
      <c r="W171" t="s">
        <v>139</v>
      </c>
      <c r="X171">
        <v>8</v>
      </c>
      <c r="Y171" t="str">
        <f t="shared" si="55"/>
        <v>24</v>
      </c>
      <c r="Z171">
        <f t="shared" si="56"/>
        <v>0</v>
      </c>
      <c r="AA171" s="24">
        <f t="shared" si="57"/>
        <v>21.583333333333332</v>
      </c>
      <c r="BB171" t="e" cm="1">
        <f t="array" ref="BB171">_xlfn.LET(_xlpm.PartF,(_xlfn.LET(_xlpm.grade, Q171,_xlpm.gradeRange, IF(_xlpm.grade=SD!$H$3, A615GR60, IF(_xlpm.grade=SD!$H$4, A615GR75, IF(_xlpm.grade=SD!$H$5, A615GR80, IF(_xlpm.grade=SD!$H$6, A615GR100, IF(_xlpm.grade=SD!$H$7, A706GR60, IF(_xlpm.grade=SD!$H$8, A706GR80)))))),_xlpm.matchValue, MATCH(1, (SD!$AW:$AW=AS171)*(SD!$AX:$AX=SD!$C$8), 0),INDEX(_xlpm.gradeRange, _xlpm.matchValue))),IF(AM171="Spiral",CONCATENATE("SP",_xlpm.PartF),_xlpm.PartF))</f>
        <v>#N/A</v>
      </c>
      <c r="BC171" cm="1">
        <f t="array" ref="BC171">_xlfn.LET(_xlpm.leftPart, LEFT(O171, FIND("@", O171) - 2),_xlpm.grade,Q171,_xlpm.gradeRange,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1" cm="1">
        <f t="array" ref="BD171">_xlfn.LET(_xlpm.leftPart, LEFT(P171, FIND("@", P171) - 2),_xlpm.grade, Q171,_xlpm.gradeRange,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1">
        <f t="shared" si="58"/>
        <v>2</v>
      </c>
      <c r="BF171">
        <f>IF(SD!$C$32=SD!$I$2,BE171,IF(SD!$C$32=SD!$I$3,DO171,IF(SD!$C$32=SD!$I$5,BA171,IF(SD!$C$32=SD!$I$6,(LEFT(SD!$C$35,FIND("-",SD!$C$35)-1)+RIGHT(SD!$C$35,LEN(SD!$C$35)-FIND("-",SD!$C$35))/12),IF(SD!$C$32=SD!$I$4,(AU171-(BG171+BH171)))))))</f>
        <v>0</v>
      </c>
      <c r="BG171">
        <f>IF(SD!$C$33=SD!$I$2,BE171,IF(SD!$C$33=SD!$I$3,DO171,IF(SD!$C$33=SD!$I$5,BA171,IF(SD!$C$33=SD!$I$6,(LEFT(SD!$C$35,FIND("-",SD!$C$35)-1)+RIGHT(SD!$C$35,LEN(SD!$C$35)-FIND("-",SD!$C$35))/12),IF(SD!$C$33=SD!$I$4,(AU171-(BF171+BH171)))))))</f>
        <v>-1</v>
      </c>
      <c r="BH171">
        <f>IF(SD!$C$34=SD!$I$2,BE171,IF(SD!$C$34=SD!$I$3,DO171,IF(SD!$C$34=SD!$I$5,BA171,IF(SD!$C$34=SD!$I$6,(LEFT(SD!$C$35,FIND("-",SD!$C$35)-1)+RIGHT(SD!$C$35,LEN(SD!$C$35)-FIND("-",SD!$C$35))/12),IF(SD!$C$34=SD!$I$4,(AU171-(BF171+BG171)))))))</f>
        <v>1</v>
      </c>
      <c r="BJ171">
        <f>IF(AM171="Spiral","1",MAX(ROUNDUP(IF(SD!$C$32="",AT171,BF171/(LEFT(RIGHT(N171,LEN(N171)-FIND("@",N171)),LEN(RIGHT(N171,LEN(N171)-FIND("@",N171)))-1)/12)+1),0),0))</f>
        <v>1</v>
      </c>
      <c r="BK171">
        <f>MAX(ROUNDUP(IF(SD!$C$33="","",BG171/(LEFT(RIGHT(O171,LEN(O171)-FIND("@",O171)),LEN(RIGHT(O171,LEN(O171)-FIND("@",O171)))-1)/12)+1),0),0)</f>
        <v>0</v>
      </c>
      <c r="BL171">
        <f>MAX(ROUNDUP(IF(SD!$C$34="","",BH171/(LEFT(RIGHT(P171,LEN(P171)-FIND("@",P171)),LEN(RIGHT(P171,LEN(P171)-FIND("@",P171)))-1)/12)+1),0),0)</f>
        <v>3</v>
      </c>
      <c r="BN171" t="e">
        <f t="shared" si="59"/>
        <v>#N/A</v>
      </c>
      <c r="BO171" t="e">
        <f t="shared" si="60"/>
        <v>#N/A</v>
      </c>
      <c r="BP171" t="e">
        <f t="shared" si="61"/>
        <v>#N/A</v>
      </c>
      <c r="BQ171" s="24" t="e">
        <f>IF(AM171=TRUE,(((Y171-(SD!$E$12*2))*3.14159265359)+BN171+BO171+BP171)/12+AL171,SUM(AF171:AG171,BN171,BO171,BP171,AO171,AQ171)/12)</f>
        <v>#N/A</v>
      </c>
      <c r="BR171" t="e">
        <f t="shared" si="62"/>
        <v>#N/A</v>
      </c>
      <c r="BS171" t="e">
        <f t="shared" si="63"/>
        <v>#N/A</v>
      </c>
      <c r="BT171" t="e">
        <f t="shared" si="64"/>
        <v>#N/A</v>
      </c>
      <c r="BU171" s="24" t="e">
        <f>IF(AM171=TRUE,(((Y171-(SD!$E$12*2))*3.14159265359)+BR171+BS171+BT171)/12+AL171,SUM(AF171:AG171,BR171,BS171,BT171,AO171,AQ171)/12)</f>
        <v>#N/A</v>
      </c>
      <c r="BW171" t="str">
        <f>IFERROR(LEFT(Data!L171,FIND(" -",Data!L171)-1),"")</f>
        <v/>
      </c>
      <c r="BX171" t="str">
        <f>IFERROR(IF(SD!$C$40=SD!$U$2,W171,IF(SD!$C$40=SD!$U$3,RIGHT(Data!L171,LEN(Data!L171)-(FIND("-",Data!L171)+1)),SD!$C$40)),"")</f>
        <v>#7</v>
      </c>
      <c r="BY171" cm="1">
        <f t="array" ref="BY171">IFERROR(_xlfn.LET(_xlpm.GRR,IF(AND(SD!$C$19=SD!$H$2,Grade!$G$1="Per level"),VLOOKUP(B171,Grade!$E$1:$F$200,2,FALSE),IF(AND(SD!$C$19=SD!$H$2,Grade!$G$1="Per Bar Size"),VLOOKUP(BX171,Grade!$B$1:$C$12,2,0),SD!$C$19)),_xlpm.is_equal, A170=A171,_xlpm.grade_range, IF(_xlpm.GRR=SD!$H$3, A615GR60,IF(_xlpm.GRR=SD!$H$4, A615GR75,IF(_xlpm.GRR=SD!$H$5, A615GR80,IF(_xlpm.GRR=SD!H175, A615GR100,IF(_xlpm.GRR=SD!$H$7, A706GR60,IF(_xlpm.GRR=SD!$H$8, A706GR80)))))),_xlpm.match_result, MATCH(1, (BSize=BX171)*(BCName=SD!$C$8), 0),_xlpm.final_result, INDEX(_xlpm.grade_range, _xlpm.match_result),IF(_xlpm.is_equal, "", _xlpm.final_result)),"")</f>
        <v>7</v>
      </c>
      <c r="BZ171">
        <f>IF(A170=A171,"",IF(SD!$C$41="Match Vertical Bars ",X171,IF(SD!$C$41=SD!$V$3,BW171,SD!$C$41)))</f>
        <v>8</v>
      </c>
      <c r="CA171" cm="1">
        <f t="array" ref="CA171">IF(A170=A171,"",IF(SD!$C$44="No T-Head",IF(SD!$C$42=SD!$Q$3,VLOOKUP(BX171,S90Range,3,FALSE),LEFT(SD!$C$42,FIND("-",SD!$C$42)-1)+(RIGHT(SD!$C$42,LEN(SD!$C$42)-FIND("-",SD!$C$42))/12)),IF(SD!$C$44="T-Head",_xlfn._xlws.FILTER(THead,(TCName=SD!$C$8)*(TSize=BX171)),IF(SD!$C$44="Level Wise",_xlfn.LET(_xlpm.result,_xlfn.XLOOKUP(B171,VDLevel,VDLevelStatus,"No"),IF(_xlpm.result="Yes",_xlfn._xlws.FILTER(THead,(TCName=SD!$C$8)*(TSize=BX171)),IF(SD!$C$42=SD!$Q$3,VLOOKUP(BX171,S90Range,3,FALSE),LEFT(SD!$C$42,FIND("-",SD!$C$42)-1)+(RIGHT(SD!$C$42,LEN(SD!$C$42)-FIND("-", SD!$C$42))/12)))),IF(SD!$C$44="BarSize Wise",_xlfn.LET(_xlpm.result,_xlfn.XLOOKUP(BX171,VDBarSize,VDBarSizeStatus,"No"),IF(_xlpm.result="Yes",_xlfn._xlws.FILTER(THead,(TCName=SD!$C$8)*(TSize=BX171)),IF(SD!$C$42=SD!$Q$3,VLOOKUP(BX171,S90Range,3,FALSE),LEFT(SD!$C$42,FIND("-",SD!$C$42)-1)+(RIGHT(SD!$C$42,LEN(SD!$C$42)-FIND("-",SD!$C$42))/12)))), "")))))</f>
        <v>1.1666666666666667</v>
      </c>
      <c r="CB171" t="str" cm="1">
        <f t="array" ref="CB171">_xlfn.LET(_xlpm.GRR,IF(AND(SD!$C$19=SD!$H$2,Grade!$G$1="Per level"),VLOOKUP(B171,Grade!$E$1:$F$200,2,FALSE),IF(AND(SD!$C$19=SD!$H$2,Grade!$G$1="Per Bar Size"),VLOOKUP(BX171,Grade!$B$1:$C$12,2,0),SD!$C$19)),_xlpm.is_coupler, K171="Coupler",_xlpm.condition1, SD!$C$43=SD!$W$2,_xlpm.data_j2_empty, Data!$J171="",_xlpm.lookup_table, IF(SD!$C$11="Create", Lap!$A$3:$BF$14, IF(SD!$C$11="Per Uploaded File", Lap!$A$19:$BF$30, "")),_xlpm.row_match, MATCH(BX171, Lap!$A$3:$A$14, 0),_xlpm.grade_offset, IF(IFERROR(FIND("Grade 60",_xlpm.GRR), 0) &gt; 0, 0, IF(IFERROR(FIND("Grade 80",_xlpm.GRR), 0), 1, IF(IFERROR(FIND("Grade 75",_xlpm.GRR), 0), 2, ""))),_xlpm.col_match, MATCH(VALUE(D171), Lap!$A$3:$BF$3, 0) + _xlpm.grade_offset,_xlpm.index_result, IFERROR(INDEX(_xlpm.lookup_table, _xlpm.row_match, _xlpm.col_match), Data!$J171),_xlpm.result_if_condition1, IF(_xlpm.data_j2_empty, _xlpm.index_result, Data!$J171),IF(_xlpm.is_coupler, 0, IF(_xlpm.condition1, _xlpm.result_if_condition1, SD!$C$43)))</f>
        <v>3-6</v>
      </c>
      <c r="CC171" s="24">
        <f t="shared" si="65"/>
        <v>3.5</v>
      </c>
      <c r="CD171">
        <f t="shared" si="66"/>
        <v>7.666666666666667</v>
      </c>
      <c r="CE171" t="str" cm="1">
        <f t="array" ref="CE171">IF(BY171="","",_xlfn._xlws.FILTER(SAC,(CName=SD!$C$8)*(EName="Vert Dowels")))</f>
        <v>2200 CD</v>
      </c>
      <c r="CF171" t="str" cm="1">
        <f t="array" ref="CF171">IFERROR(IF(BY171="","",IF(K171="Coupler",_xlfn._xlws.FILTER(CCoupler,(CCName=SD!$C$8)*(CBSize=IF(A170=A171,W170&amp;W171,BX171&amp;W171))*(CCMFM="Male")),"")),"N/A")</f>
        <v/>
      </c>
      <c r="CG171" t="str">
        <f t="shared" si="67"/>
        <v/>
      </c>
      <c r="CH171" t="str">
        <f t="shared" si="68"/>
        <v/>
      </c>
      <c r="CI171" t="str">
        <f>_xlfn.LET(_xlpm.u3_value, U172,_xlpm.hyphen_pos,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K172="Coupler",_xlpm.coupler_value, IF(_xlpm.is_coupler, 0, _xlpm.calculated_value),_xlpm.final_value, _xlpm.calculated_value + SD!$E$13 + _xlpm.coupler_value,IF(CG171="", "", _xlpm.final_value))</f>
        <v/>
      </c>
      <c r="CJ171" t="str" cm="1">
        <f t="array" ref="CJ171">IF(CG171="","",_xlfn._xlws.FILTER(SAC,(CName=SD!$C$8)*(EName="Loose Dowels")))</f>
        <v/>
      </c>
      <c r="CK171" t="str" cm="1">
        <f t="array" ref="CK171">IFERROR(IF(CG171="","",IF(K172="Coupler",_xlfn._xlws.FILTER(CCoupler,(CCName=SD!$C$8)*(CBSize=IF(A171=A172,W171&amp;W172,""))*(CCMFM="Male")),"")),"N/A")</f>
        <v/>
      </c>
      <c r="CL171">
        <f>IFERROR(IF(AM171="Spiral","",IF(A170=A171,"",IF(SD!$C$37=0,"",SD!$C$37))),"")</f>
        <v>3</v>
      </c>
      <c r="CN171">
        <f>IF(AM171="Spiral","",IFERROR(IF(SD!$C$36=0,"",SD!$C$36),""))</f>
        <v>5</v>
      </c>
      <c r="CP171">
        <f>IFERROR(IF(SD!$C$42=SD!$Q$3,'Take-off'!CA171,""),"")</f>
        <v>1.1666666666666667</v>
      </c>
      <c r="CR171">
        <f>IFERROR(IF(SD!$C$22=SD!$U$2,W171,SD!$C$22),"")</f>
        <v>0</v>
      </c>
      <c r="CS171" t="str" cm="1">
        <f t="array" ref="CS171">_xlfn.LET(_xlpm.GR,IF(AND(SD!$C$19=SD!$H$2,Grade!$G$1="Per level"),VLOOKUP(B171,Grade!$E$1:$F$200,2,FALSE),IF(AND(SD!$C$19=SD!$H$2,Grade!$G$1="Per Bar Size"),VLOOKUP(CR171,Grade!$B$1:$C$12,2,0),SD!$C$19)),IF(SD!$C$20=SD!$R$4,IF(A172=A171,"",INDEX(IF(_xlpm.GR=SD!$H$3,A615GR60,IF(_xlpm.GR=SD!$H$4,A615GR75,IF(_xlpm.GR=SD!$H$5,A615GR80,IF(_xlpm.GR=SD!H175,A615GR100,IF(_xlpm.GR=SD!$H$7,A706GR60,IF(_xlpm.GR=SD!$H$8,A706GR80)))))), MATCH(1, (BSize=CR171)*(BCName=SD!$C$8), 0))),""))</f>
        <v/>
      </c>
      <c r="CT171">
        <f>IF(A172=A171,"",IF(SD!$C$23="Match Vertical Bars ",X171,SD!$C$23))</f>
        <v>0</v>
      </c>
      <c r="CU171" t="str" cm="1">
        <f t="array" ref="CU171">IF(A172=A171,"",IF(SD!$C$20="Top dowels",IF(SD!$E$25="No T-Head",IF(SD!$C$24=SD!$Q$3,VLOOKUP(CR171,S90Range,3,FALSE),LEFT(SD!$C$24,FIND("-",SD!$C$24)-1)+(RIGHT(SD!$C$24,LEN(SD!$C$24)-FIND("-",SD!$C$24))/12)),IF(SD!$E$25="T-Head",_xlfn._xlws.FILTER(THead,(TCName=SD!$C$8)*(TSize=CR171)),IF(SD!$E$25="Level Wise",_xlfn.LET(_xlpm.result,_xlfn.XLOOKUP(B171,TDLevel,TDLevelStatus,"No"),IF(_xlpm.result="Yes",_xlfn._xlws.FILTER(THead,(TCName=SD!$C$8)*(TSize=CR171)),IF(SD!$C$24=SD!$Q$3,VLOOKUP(CR171,S90Range,3,FALSE),LEFT(SD!$C$24,FIND("-",SD!$C$24)-1)+(RIGHT(SD!$C$24,LEN(SD!$C$24)-FIND("-", SD!$C$24))/12)))),IF(SD!$E$25="BarSize Wise",_xlfn.LET(_xlpm.result,_xlfn.XLOOKUP(CR171,TDBarSize,TDBarSizeStatus,"No"),IF(_xlpm.result="Yes",_xlfn._xlws.FILTER(THead,(TCName=SD!$C$8)*(TSize=CR171)),IF(SD!$C$24=SD!$Q$3,VLOOKUP(CR171,S90Range,3,FALSE),LEFT(SD!$C$24,FIND("-",SD!$C$24)-1)+(RIGHT(SD!$C$24,LEN(SD!$C$24)-FIND("-",SD!$C$24))/12)))), "")))),""))</f>
        <v/>
      </c>
      <c r="CV171" t="str">
        <f>_xlfn.LET(_xlpm.GRR,IF(AND(SD!$C$19=SD!$H$2,Grade!$G$1="Per level"),VLOOKUP(B171,Grade!$E$1:$F$200,2,FALSE),IF(AND(SD!$C$19=SD!$H$2,Grade!$G$1="Per Bar Size"),VLOOKUP(CR171,Grade!$B$1:$C$12,2,0),SD!$C$19)),IF(SD!$C$25=SD!$W$2,IF(Data!$J171="",IFERROR(INDEX(IF(SD!$C$11="Create",Lap!$A$3:$BF$14,IF(SD!$C$11="Per Uploaded File",Lap!$A$19:$BF$30,"")),MATCH(CR171,Lap!$A$3:$A$14,0),MATCH(VALUE(D171),Lap!$A$3:$BF$3,0)+IF(IFERROR(FIND("Grade 60",_xlpm.GRR),0)&gt;0,0,IF(IFERROR(FIND("Grade 80",_xlpm.GRR),0),1,IF(IFERROR(FIND("Grade 75",_xlpm.GRR),0),2,"")))),""),Data!J171),SD!$C$43))</f>
        <v>Match Lap</v>
      </c>
      <c r="CW171">
        <f t="shared" si="69"/>
        <v>0</v>
      </c>
      <c r="CX171">
        <f t="shared" si="70"/>
        <v>0</v>
      </c>
      <c r="CY171" t="str">
        <f t="shared" si="71"/>
        <v/>
      </c>
      <c r="DA171">
        <f t="shared" si="72"/>
        <v>54</v>
      </c>
      <c r="DB171" t="str">
        <f t="shared" si="73"/>
        <v>21-7</v>
      </c>
      <c r="DC171" s="24">
        <f t="shared" si="74"/>
        <v>21.583333333333332</v>
      </c>
      <c r="DD171">
        <f t="shared" si="75"/>
        <v>21.583333333333332</v>
      </c>
      <c r="DE171" t="s">
        <v>756</v>
      </c>
      <c r="DF171" t="s">
        <v>67</v>
      </c>
      <c r="DG171" t="str">
        <f>VLOOKUP(W171,'Level Wise PSI'!$F$2:$G$12,2,FALSE)</f>
        <v>Double Lift</v>
      </c>
      <c r="DI171" t="str" cm="1">
        <f t="array" ref="DI171">_xlfn.LET(_xlpm.Coup,IFERROR(IF(BY171="","",IF(K171="Coupler",_xlfn._xlws.FILTER(CCFCoupler,(CCName=SD!$C$8)*(CBSize=IF(A170=A171,W170&amp;W171,BX171&amp;W171))),"")),"N/A"),IF(_xlpm.Coup=0,"",_xlpm.Coup))</f>
        <v/>
      </c>
      <c r="DJ171" t="str" cm="1">
        <f t="array" ref="DJ171">_xlfn.LET(_xlpm.Coup3,IFERROR(IF(CG171="","",IF(K172="Coupler",_xlfn._xlws.FILTER(CCFCoupler,(CCName=SD!$C$8)*(CBSize=IF(A171=A172,W171&amp;W172,""))),"")),"N/A"),IF(_xlpm.Coup3=0,"",_xlpm.Coup3))</f>
        <v/>
      </c>
      <c r="DK171" t="str" cm="1">
        <f t="array" ref="DK171">_xlfn.LET(_xlpm.Coup2,IFERROR(IF(A171&lt;&gt;A172,"",IF(DF171="No Lap","",IF(K172="Coupler",_xlfn._xlws.FILTER(CCFCoupler,(CCName=SD!$C$8)*(CBSize=IF(A170=A171,W171&amp;W172,W171&amp;W171))),""))),"N/A"),IF(_xlpm.Coup2=0,"",_xlpm.Coup2))</f>
        <v/>
      </c>
      <c r="DM171" t="str">
        <f>IF(AM171="Spiral","",IF(SD!$C$31=SD!$Y$3,SD!$E$32*2,""))</f>
        <v/>
      </c>
      <c r="DO171" s="24">
        <f t="shared" si="76"/>
        <v>2</v>
      </c>
      <c r="DQ171" t="str">
        <f t="shared" si="77"/>
        <v>Lig</v>
      </c>
      <c r="DR171" t="str">
        <f>IF(AM171="Spiral",((Y171-(SD!$E$12*2))/12),"")</f>
        <v/>
      </c>
      <c r="DS171" t="str">
        <f t="shared" si="78"/>
        <v/>
      </c>
      <c r="DT171" t="str">
        <f t="shared" si="79"/>
        <v/>
      </c>
      <c r="DU171" t="str">
        <f t="shared" si="80"/>
        <v/>
      </c>
    </row>
    <row r="172" spans="1:125" x14ac:dyDescent="0.25">
      <c r="A172">
        <v>55</v>
      </c>
      <c r="B172" t="s">
        <v>664</v>
      </c>
      <c r="C172" s="15">
        <v>2429</v>
      </c>
      <c r="D172" s="15">
        <v>10000</v>
      </c>
      <c r="E172" t="str">
        <f>IF(B172=Level!$A$2,SD!$C$14,SD!$C$13)</f>
        <v>3-0</v>
      </c>
      <c r="F172" s="15" t="s">
        <v>787</v>
      </c>
      <c r="G172" t="s">
        <v>756</v>
      </c>
      <c r="H172" s="15" t="s">
        <v>789</v>
      </c>
      <c r="I172" t="s">
        <v>735</v>
      </c>
      <c r="J172" t="str">
        <f>IF(AND(SD!$C$19=SD!$H$2,Grade!$G$1="Per level"),VLOOKUP(B172,Grade!$E$1:$F$200,2,FALSE),IF(AND(SD!$C$19=SD!$H$2,Grade!$G$1="Per Bar Size"),VLOOKUP(W172,Grade!$B$1:$C$12,2,0),SD!$C$19))</f>
        <v>A615 Grade 60</v>
      </c>
      <c r="K172" t="s">
        <v>67</v>
      </c>
      <c r="L172" t="str">
        <f>IFERROR(IF(A172&lt;&gt;A173,"",IF(DF172="No Lap","",IF(K173="Lap",U172,IF(K173="Coupler",_xlfn._xlws.FILTER(CCoupler,(CCName=SD!$C$8)*(CBSize=IF(A171=A172,W172&amp;W173,W172&amp;W172))*(CCMFM="Male")),"")))),"N/A")</f>
        <v/>
      </c>
      <c r="M172" t="str">
        <f t="shared" si="54"/>
        <v/>
      </c>
      <c r="N172" t="s">
        <v>719</v>
      </c>
      <c r="O172" t="s">
        <v>720</v>
      </c>
      <c r="P172" t="s">
        <v>719</v>
      </c>
      <c r="Q172" t="str">
        <f>IF(AND(SD!$C$29=SD!$P$2,Grade!$O$1="Per level"),VLOOKUP(B172,Grade!$M$1:$N$200,2,FALSE),IF(AND(SD!$C$29=SD!$P$2,Grade!$O$1="Per Bar Size"),VLOOKUP(LEFT(N172,FIND("@",N172)-2),Grade!$J$1:$K$12,2,0),SD!$C$29))</f>
        <v>A615 Grade 60</v>
      </c>
      <c r="R172" t="s">
        <v>756</v>
      </c>
      <c r="S172" s="57">
        <v>172</v>
      </c>
      <c r="U172" t="str">
        <f>IF(Data!$J172="",IFERROR(INDEX(IF(SD!$C$11="Create",Lap!$A$3:$BF$14,IF(SD!$C$11="Per Uploaded File",Lap!$A$19:$BF$30,"")),MATCH(W172,Lap!$A$3:$A$14,0),MATCH(VALUE(D172),Lap!$A$3:$BF$3,0)+IF(IFERROR(FIND("Grade 60",J172),0)&gt;0,0,IF(IFERROR(FIND("Grade 80",J172),0),1,IF(IFERROR(FIND("Grade 75",J172),0),2,"")))),""),Data!J172)</f>
        <v>3-6</v>
      </c>
      <c r="W172" t="s">
        <v>139</v>
      </c>
      <c r="X172">
        <v>8</v>
      </c>
      <c r="Y172" t="str">
        <f t="shared" si="55"/>
        <v>24</v>
      </c>
      <c r="Z172">
        <f t="shared" si="56"/>
        <v>0</v>
      </c>
      <c r="AA172" s="24">
        <f t="shared" si="57"/>
        <v>21.583333333333332</v>
      </c>
      <c r="BB172" t="e" cm="1">
        <f t="array" ref="BB172">_xlfn.LET(_xlpm.PartF,(_xlfn.LET(_xlpm.grade, Q172,_xlpm.gradeRange, IF(_xlpm.grade=SD!$H$3, A615GR60, IF(_xlpm.grade=SD!$H$4, A615GR75, IF(_xlpm.grade=SD!$H$5, A615GR80, IF(_xlpm.grade=SD!$H$6, A615GR100, IF(_xlpm.grade=SD!$H$7, A706GR60, IF(_xlpm.grade=SD!$H$8, A706GR80)))))),_xlpm.matchValue, MATCH(1, (SD!$AW:$AW=AS172)*(SD!$AX:$AX=SD!$C$8), 0),INDEX(_xlpm.gradeRange, _xlpm.matchValue))),IF(AM172="Spiral",CONCATENATE("SP",_xlpm.PartF),_xlpm.PartF))</f>
        <v>#N/A</v>
      </c>
      <c r="BC172" cm="1">
        <f t="array" ref="BC172">_xlfn.LET(_xlpm.leftPart, LEFT(O172, FIND("@", O172) - 2),_xlpm.grade,Q172,_xlpm.gradeRange,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2" cm="1">
        <f t="array" ref="BD172">_xlfn.LET(_xlpm.leftPart, LEFT(P172, FIND("@", P172) - 2),_xlpm.grade, Q172,_xlpm.gradeRange,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2">
        <f t="shared" si="58"/>
        <v>2</v>
      </c>
      <c r="BF172">
        <f>IF(SD!$C$32=SD!$I$2,BE172,IF(SD!$C$32=SD!$I$3,DO172,IF(SD!$C$32=SD!$I$5,BA172,IF(SD!$C$32=SD!$I$6,(LEFT(SD!$C$35,FIND("-",SD!$C$35)-1)+RIGHT(SD!$C$35,LEN(SD!$C$35)-FIND("-",SD!$C$35))/12),IF(SD!$C$32=SD!$I$4,(AU172-(BG172+BH172)))))))</f>
        <v>0</v>
      </c>
      <c r="BG172">
        <f>IF(SD!$C$33=SD!$I$2,BE172,IF(SD!$C$33=SD!$I$3,DO172,IF(SD!$C$33=SD!$I$5,BA172,IF(SD!$C$33=SD!$I$6,(LEFT(SD!$C$35,FIND("-",SD!$C$35)-1)+RIGHT(SD!$C$35,LEN(SD!$C$35)-FIND("-",SD!$C$35))/12),IF(SD!$C$33=SD!$I$4,(AU172-(BF172+BH172)))))))</f>
        <v>-1</v>
      </c>
      <c r="BH172">
        <f>IF(SD!$C$34=SD!$I$2,BE172,IF(SD!$C$34=SD!$I$3,DO172,IF(SD!$C$34=SD!$I$5,BA172,IF(SD!$C$34=SD!$I$6,(LEFT(SD!$C$35,FIND("-",SD!$C$35)-1)+RIGHT(SD!$C$35,LEN(SD!$C$35)-FIND("-",SD!$C$35))/12),IF(SD!$C$34=SD!$I$4,(AU172-(BF172+BG172)))))))</f>
        <v>1</v>
      </c>
      <c r="BJ172">
        <f>IF(AM172="Spiral","1",MAX(ROUNDUP(IF(SD!$C$32="",AT172,BF172/(LEFT(RIGHT(N172,LEN(N172)-FIND("@",N172)),LEN(RIGHT(N172,LEN(N172)-FIND("@",N172)))-1)/12)+1),0),0))</f>
        <v>1</v>
      </c>
      <c r="BK172">
        <f>MAX(ROUNDUP(IF(SD!$C$33="","",BG172/(LEFT(RIGHT(O172,LEN(O172)-FIND("@",O172)),LEN(RIGHT(O172,LEN(O172)-FIND("@",O172)))-1)/12)+1),0),0)</f>
        <v>0</v>
      </c>
      <c r="BL172">
        <f>MAX(ROUNDUP(IF(SD!$C$34="","",BH172/(LEFT(RIGHT(P172,LEN(P172)-FIND("@",P172)),LEN(RIGHT(P172,LEN(P172)-FIND("@",P172)))-1)/12)+1),0),0)</f>
        <v>3</v>
      </c>
      <c r="BN172" t="e">
        <f t="shared" si="59"/>
        <v>#N/A</v>
      </c>
      <c r="BO172" t="e">
        <f t="shared" si="60"/>
        <v>#N/A</v>
      </c>
      <c r="BP172" t="e">
        <f t="shared" si="61"/>
        <v>#N/A</v>
      </c>
      <c r="BQ172" s="24" t="e">
        <f>IF(AM172=TRUE,(((Y172-(SD!$E$12*2))*3.14159265359)+BN172+BO172+BP172)/12+AL172,SUM(AF172:AG172,BN172,BO172,BP172,AO172,AQ172)/12)</f>
        <v>#N/A</v>
      </c>
      <c r="BR172" t="e">
        <f t="shared" si="62"/>
        <v>#N/A</v>
      </c>
      <c r="BS172" t="e">
        <f t="shared" si="63"/>
        <v>#N/A</v>
      </c>
      <c r="BT172" t="e">
        <f t="shared" si="64"/>
        <v>#N/A</v>
      </c>
      <c r="BU172" s="24" t="e">
        <f>IF(AM172=TRUE,(((Y172-(SD!$E$12*2))*3.14159265359)+BR172+BS172+BT172)/12+AL172,SUM(AF172:AG172,BR172,BS172,BT172,AO172,AQ172)/12)</f>
        <v>#N/A</v>
      </c>
      <c r="BW172" t="str">
        <f>IFERROR(LEFT(Data!L172,FIND(" -",Data!L172)-1),"")</f>
        <v/>
      </c>
      <c r="BX172" t="str">
        <f>IFERROR(IF(SD!$C$40=SD!$U$2,W172,IF(SD!$C$40=SD!$U$3,RIGHT(Data!L172,LEN(Data!L172)-(FIND("-",Data!L172)+1)),SD!$C$40)),"")</f>
        <v>#7</v>
      </c>
      <c r="BY172" cm="1">
        <f t="array" ref="BY172">IFERROR(_xlfn.LET(_xlpm.GRR,IF(AND(SD!$C$19=SD!$H$2,Grade!$G$1="Per level"),VLOOKUP(B172,Grade!$E$1:$F$200,2,FALSE),IF(AND(SD!$C$19=SD!$H$2,Grade!$G$1="Per Bar Size"),VLOOKUP(BX172,Grade!$B$1:$C$12,2,0),SD!$C$19)),_xlpm.is_equal, A171=A172,_xlpm.grade_range, IF(_xlpm.GRR=SD!$H$3, A615GR60,IF(_xlpm.GRR=SD!$H$4, A615GR75,IF(_xlpm.GRR=SD!$H$5, A615GR80,IF(_xlpm.GRR=SD!H176, A615GR100,IF(_xlpm.GRR=SD!$H$7, A706GR60,IF(_xlpm.GRR=SD!$H$8, A706GR80)))))),_xlpm.match_result, MATCH(1, (BSize=BX172)*(BCName=SD!$C$8), 0),_xlpm.final_result, INDEX(_xlpm.grade_range, _xlpm.match_result),IF(_xlpm.is_equal, "", _xlpm.final_result)),"")</f>
        <v>7</v>
      </c>
      <c r="BZ172">
        <f>IF(A171=A172,"",IF(SD!$C$41="Match Vertical Bars ",X172,IF(SD!$C$41=SD!$V$3,BW172,SD!$C$41)))</f>
        <v>8</v>
      </c>
      <c r="CA172" cm="1">
        <f t="array" ref="CA172">IF(A171=A172,"",IF(SD!$C$44="No T-Head",IF(SD!$C$42=SD!$Q$3,VLOOKUP(BX172,S90Range,3,FALSE),LEFT(SD!$C$42,FIND("-",SD!$C$42)-1)+(RIGHT(SD!$C$42,LEN(SD!$C$42)-FIND("-",SD!$C$42))/12)),IF(SD!$C$44="T-Head",_xlfn._xlws.FILTER(THead,(TCName=SD!$C$8)*(TSize=BX172)),IF(SD!$C$44="Level Wise",_xlfn.LET(_xlpm.result,_xlfn.XLOOKUP(B172,VDLevel,VDLevelStatus,"No"),IF(_xlpm.result="Yes",_xlfn._xlws.FILTER(THead,(TCName=SD!$C$8)*(TSize=BX172)),IF(SD!$C$42=SD!$Q$3,VLOOKUP(BX172,S90Range,3,FALSE),LEFT(SD!$C$42,FIND("-",SD!$C$42)-1)+(RIGHT(SD!$C$42,LEN(SD!$C$42)-FIND("-", SD!$C$42))/12)))),IF(SD!$C$44="BarSize Wise",_xlfn.LET(_xlpm.result,_xlfn.XLOOKUP(BX172,VDBarSize,VDBarSizeStatus,"No"),IF(_xlpm.result="Yes",_xlfn._xlws.FILTER(THead,(TCName=SD!$C$8)*(TSize=BX172)),IF(SD!$C$42=SD!$Q$3,VLOOKUP(BX172,S90Range,3,FALSE),LEFT(SD!$C$42,FIND("-",SD!$C$42)-1)+(RIGHT(SD!$C$42,LEN(SD!$C$42)-FIND("-",SD!$C$42))/12)))), "")))))</f>
        <v>1.1666666666666667</v>
      </c>
      <c r="CB172" t="str" cm="1">
        <f t="array" ref="CB172">_xlfn.LET(_xlpm.GRR,IF(AND(SD!$C$19=SD!$H$2,Grade!$G$1="Per level"),VLOOKUP(B172,Grade!$E$1:$F$200,2,FALSE),IF(AND(SD!$C$19=SD!$H$2,Grade!$G$1="Per Bar Size"),VLOOKUP(BX172,Grade!$B$1:$C$12,2,0),SD!$C$19)),_xlpm.is_coupler, K172="Coupler",_xlpm.condition1, SD!$C$43=SD!$W$2,_xlpm.data_j2_empty, Data!$J172="",_xlpm.lookup_table, IF(SD!$C$11="Create", Lap!$A$3:$BF$14, IF(SD!$C$11="Per Uploaded File", Lap!$A$19:$BF$30, "")),_xlpm.row_match, MATCH(BX172, Lap!$A$3:$A$14, 0),_xlpm.grade_offset, IF(IFERROR(FIND("Grade 60",_xlpm.GRR), 0) &gt; 0, 0, IF(IFERROR(FIND("Grade 80",_xlpm.GRR), 0), 1, IF(IFERROR(FIND("Grade 75",_xlpm.GRR), 0), 2, ""))),_xlpm.col_match, MATCH(VALUE(D172), Lap!$A$3:$BF$3, 0) + _xlpm.grade_offset,_xlpm.index_result, IFERROR(INDEX(_xlpm.lookup_table, _xlpm.row_match, _xlpm.col_match), Data!$J172),_xlpm.result_if_condition1, IF(_xlpm.data_j2_empty, _xlpm.index_result, Data!$J172),IF(_xlpm.is_coupler, 0, IF(_xlpm.condition1, _xlpm.result_if_condition1, SD!$C$43)))</f>
        <v>3-6</v>
      </c>
      <c r="CC172" s="24">
        <f t="shared" si="65"/>
        <v>3.5</v>
      </c>
      <c r="CD172">
        <f t="shared" si="66"/>
        <v>7.666666666666667</v>
      </c>
      <c r="CE172" t="str" cm="1">
        <f t="array" ref="CE172">IF(BY172="","",_xlfn._xlws.FILTER(SAC,(CName=SD!$C$8)*(EName="Vert Dowels")))</f>
        <v>2200 CD</v>
      </c>
      <c r="CF172" t="str" cm="1">
        <f t="array" ref="CF172">IFERROR(IF(BY172="","",IF(K172="Coupler",_xlfn._xlws.FILTER(CCoupler,(CCName=SD!$C$8)*(CBSize=IF(A171=A172,W171&amp;W172,BX172&amp;W172))*(CCMFM="Male")),"")),"N/A")</f>
        <v/>
      </c>
      <c r="CG172" t="str">
        <f t="shared" si="67"/>
        <v/>
      </c>
      <c r="CH172" t="str">
        <f t="shared" si="68"/>
        <v/>
      </c>
      <c r="CI172" t="str">
        <f>_xlfn.LET(_xlpm.u3_value, U173,_xlpm.hyphen_pos,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K173="Coupler",_xlpm.coupler_value, IF(_xlpm.is_coupler, 0, _xlpm.calculated_value),_xlpm.final_value, _xlpm.calculated_value + SD!$E$13 + _xlpm.coupler_value,IF(CG172="", "", _xlpm.final_value))</f>
        <v/>
      </c>
      <c r="CJ172" t="str" cm="1">
        <f t="array" ref="CJ172">IF(CG172="","",_xlfn._xlws.FILTER(SAC,(CName=SD!$C$8)*(EName="Loose Dowels")))</f>
        <v/>
      </c>
      <c r="CK172" t="str" cm="1">
        <f t="array" ref="CK172">IFERROR(IF(CG172="","",IF(K173="Coupler",_xlfn._xlws.FILTER(CCoupler,(CCName=SD!$C$8)*(CBSize=IF(A172=A173,W172&amp;W173,""))*(CCMFM="Male")),"")),"N/A")</f>
        <v/>
      </c>
      <c r="CL172">
        <f>IFERROR(IF(AM172="Spiral","",IF(A171=A172,"",IF(SD!$C$37=0,"",SD!$C$37))),"")</f>
        <v>3</v>
      </c>
      <c r="CN172">
        <f>IF(AM172="Spiral","",IFERROR(IF(SD!$C$36=0,"",SD!$C$36),""))</f>
        <v>5</v>
      </c>
      <c r="CP172">
        <f>IFERROR(IF(SD!$C$42=SD!$Q$3,'Take-off'!CA172,""),"")</f>
        <v>1.1666666666666667</v>
      </c>
      <c r="CR172">
        <f>IFERROR(IF(SD!$C$22=SD!$U$2,W172,SD!$C$22),"")</f>
        <v>0</v>
      </c>
      <c r="CS172" t="str" cm="1">
        <f t="array" ref="CS172">_xlfn.LET(_xlpm.GR,IF(AND(SD!$C$19=SD!$H$2,Grade!$G$1="Per level"),VLOOKUP(B172,Grade!$E$1:$F$200,2,FALSE),IF(AND(SD!$C$19=SD!$H$2,Grade!$G$1="Per Bar Size"),VLOOKUP(CR172,Grade!$B$1:$C$12,2,0),SD!$C$19)),IF(SD!$C$20=SD!$R$4,IF(A173=A172,"",INDEX(IF(_xlpm.GR=SD!$H$3,A615GR60,IF(_xlpm.GR=SD!$H$4,A615GR75,IF(_xlpm.GR=SD!$H$5,A615GR80,IF(_xlpm.GR=SD!H176,A615GR100,IF(_xlpm.GR=SD!$H$7,A706GR60,IF(_xlpm.GR=SD!$H$8,A706GR80)))))), MATCH(1, (BSize=CR172)*(BCName=SD!$C$8), 0))),""))</f>
        <v/>
      </c>
      <c r="CT172">
        <f>IF(A173=A172,"",IF(SD!$C$23="Match Vertical Bars ",X172,SD!$C$23))</f>
        <v>0</v>
      </c>
      <c r="CU172" t="str" cm="1">
        <f t="array" ref="CU172">IF(A173=A172,"",IF(SD!$C$20="Top dowels",IF(SD!$E$25="No T-Head",IF(SD!$C$24=SD!$Q$3,VLOOKUP(CR172,S90Range,3,FALSE),LEFT(SD!$C$24,FIND("-",SD!$C$24)-1)+(RIGHT(SD!$C$24,LEN(SD!$C$24)-FIND("-",SD!$C$24))/12)),IF(SD!$E$25="T-Head",_xlfn._xlws.FILTER(THead,(TCName=SD!$C$8)*(TSize=CR172)),IF(SD!$E$25="Level Wise",_xlfn.LET(_xlpm.result,_xlfn.XLOOKUP(B172,TDLevel,TDLevelStatus,"No"),IF(_xlpm.result="Yes",_xlfn._xlws.FILTER(THead,(TCName=SD!$C$8)*(TSize=CR172)),IF(SD!$C$24=SD!$Q$3,VLOOKUP(CR172,S90Range,3,FALSE),LEFT(SD!$C$24,FIND("-",SD!$C$24)-1)+(RIGHT(SD!$C$24,LEN(SD!$C$24)-FIND("-", SD!$C$24))/12)))),IF(SD!$E$25="BarSize Wise",_xlfn.LET(_xlpm.result,_xlfn.XLOOKUP(CR172,TDBarSize,TDBarSizeStatus,"No"),IF(_xlpm.result="Yes",_xlfn._xlws.FILTER(THead,(TCName=SD!$C$8)*(TSize=CR172)),IF(SD!$C$24=SD!$Q$3,VLOOKUP(CR172,S90Range,3,FALSE),LEFT(SD!$C$24,FIND("-",SD!$C$24)-1)+(RIGHT(SD!$C$24,LEN(SD!$C$24)-FIND("-",SD!$C$24))/12)))), "")))),""))</f>
        <v/>
      </c>
      <c r="CV172" t="str">
        <f>_xlfn.LET(_xlpm.GRR,IF(AND(SD!$C$19=SD!$H$2,Grade!$G$1="Per level"),VLOOKUP(B172,Grade!$E$1:$F$200,2,FALSE),IF(AND(SD!$C$19=SD!$H$2,Grade!$G$1="Per Bar Size"),VLOOKUP(CR172,Grade!$B$1:$C$12,2,0),SD!$C$19)),IF(SD!$C$25=SD!$W$2,IF(Data!$J172="",IFERROR(INDEX(IF(SD!$C$11="Create",Lap!$A$3:$BF$14,IF(SD!$C$11="Per Uploaded File",Lap!$A$19:$BF$30,"")),MATCH(CR172,Lap!$A$3:$A$14,0),MATCH(VALUE(D172),Lap!$A$3:$BF$3,0)+IF(IFERROR(FIND("Grade 60",_xlpm.GRR),0)&gt;0,0,IF(IFERROR(FIND("Grade 80",_xlpm.GRR),0),1,IF(IFERROR(FIND("Grade 75",_xlpm.GRR),0),2,"")))),""),Data!J172),SD!$C$43))</f>
        <v>Match Lap</v>
      </c>
      <c r="CW172">
        <f t="shared" si="69"/>
        <v>0</v>
      </c>
      <c r="CX172">
        <f t="shared" si="70"/>
        <v>0</v>
      </c>
      <c r="CY172" t="str">
        <f t="shared" si="71"/>
        <v/>
      </c>
      <c r="DA172">
        <f t="shared" si="72"/>
        <v>55</v>
      </c>
      <c r="DB172" t="str">
        <f t="shared" si="73"/>
        <v>21-7</v>
      </c>
      <c r="DC172" s="24">
        <f t="shared" si="74"/>
        <v>21.583333333333332</v>
      </c>
      <c r="DD172">
        <f t="shared" si="75"/>
        <v>21.583333333333332</v>
      </c>
      <c r="DE172" t="s">
        <v>756</v>
      </c>
      <c r="DF172" t="s">
        <v>67</v>
      </c>
      <c r="DG172" t="str">
        <f>VLOOKUP(W172,'Level Wise PSI'!$F$2:$G$12,2,FALSE)</f>
        <v>Double Lift</v>
      </c>
      <c r="DI172" t="str" cm="1">
        <f t="array" ref="DI172">_xlfn.LET(_xlpm.Coup,IFERROR(IF(BY172="","",IF(K172="Coupler",_xlfn._xlws.FILTER(CCFCoupler,(CCName=SD!$C$8)*(CBSize=IF(A171=A172,W171&amp;W172,BX172&amp;W172))),"")),"N/A"),IF(_xlpm.Coup=0,"",_xlpm.Coup))</f>
        <v/>
      </c>
      <c r="DJ172" t="str" cm="1">
        <f t="array" ref="DJ172">_xlfn.LET(_xlpm.Coup3,IFERROR(IF(CG172="","",IF(K173="Coupler",_xlfn._xlws.FILTER(CCFCoupler,(CCName=SD!$C$8)*(CBSize=IF(A172=A173,W172&amp;W173,""))),"")),"N/A"),IF(_xlpm.Coup3=0,"",_xlpm.Coup3))</f>
        <v/>
      </c>
      <c r="DK172" t="str" cm="1">
        <f t="array" ref="DK172">_xlfn.LET(_xlpm.Coup2,IFERROR(IF(A172&lt;&gt;A173,"",IF(DF172="No Lap","",IF(K173="Coupler",_xlfn._xlws.FILTER(CCFCoupler,(CCName=SD!$C$8)*(CBSize=IF(A171=A172,W172&amp;W173,W172&amp;W172))),""))),"N/A"),IF(_xlpm.Coup2=0,"",_xlpm.Coup2))</f>
        <v/>
      </c>
      <c r="DM172" t="str">
        <f>IF(AM172="Spiral","",IF(SD!$C$31=SD!$Y$3,SD!$E$32*2,""))</f>
        <v/>
      </c>
      <c r="DO172" s="24">
        <f t="shared" si="76"/>
        <v>2</v>
      </c>
      <c r="DQ172" t="str">
        <f t="shared" si="77"/>
        <v>Lig</v>
      </c>
      <c r="DR172" t="str">
        <f>IF(AM172="Spiral",((Y172-(SD!$E$12*2))/12),"")</f>
        <v/>
      </c>
      <c r="DS172" t="str">
        <f t="shared" si="78"/>
        <v/>
      </c>
      <c r="DT172" t="str">
        <f t="shared" si="79"/>
        <v/>
      </c>
      <c r="DU172" t="str">
        <f t="shared" si="80"/>
        <v/>
      </c>
    </row>
    <row r="173" spans="1:125" x14ac:dyDescent="0.25">
      <c r="A173">
        <v>56</v>
      </c>
      <c r="B173" t="s">
        <v>664</v>
      </c>
      <c r="C173" s="15">
        <v>2429</v>
      </c>
      <c r="D173" s="15">
        <v>10000</v>
      </c>
      <c r="E173" t="str">
        <f>IF(B173=Level!$A$2,SD!$C$14,SD!$C$13)</f>
        <v>3-0</v>
      </c>
      <c r="F173" s="15" t="s">
        <v>787</v>
      </c>
      <c r="G173" t="s">
        <v>745</v>
      </c>
      <c r="H173" s="15" t="s">
        <v>788</v>
      </c>
      <c r="I173" t="s">
        <v>746</v>
      </c>
      <c r="J173" t="str">
        <f>IF(AND(SD!$C$19=SD!$H$2,Grade!$G$1="Per level"),VLOOKUP(B173,Grade!$E$1:$F$200,2,FALSE),IF(AND(SD!$C$19=SD!$H$2,Grade!$G$1="Per Bar Size"),VLOOKUP(W173,Grade!$B$1:$C$12,2,0),SD!$C$19))</f>
        <v>A615 Grade 60</v>
      </c>
      <c r="K173" t="s">
        <v>67</v>
      </c>
      <c r="L173" t="str">
        <f>IFERROR(IF(A173&lt;&gt;A174,"",IF(DF173="No Lap","",IF(K174="Lap",U173,IF(K174="Coupler",_xlfn._xlws.FILTER(CCoupler,(CCName=SD!$C$8)*(CBSize=IF(A172=A173,W173&amp;W174,W173&amp;W173))*(CCMFM="Male")),"")))),"N/A")</f>
        <v/>
      </c>
      <c r="M173" t="str">
        <f t="shared" si="54"/>
        <v/>
      </c>
      <c r="N173" t="s">
        <v>719</v>
      </c>
      <c r="O173" t="s">
        <v>720</v>
      </c>
      <c r="P173" t="s">
        <v>719</v>
      </c>
      <c r="Q173" t="str">
        <f>IF(AND(SD!$C$29=SD!$P$2,Grade!$O$1="Per level"),VLOOKUP(B173,Grade!$M$1:$N$200,2,FALSE),IF(AND(SD!$C$29=SD!$P$2,Grade!$O$1="Per Bar Size"),VLOOKUP(LEFT(N173,FIND("@",N173)-2),Grade!$J$1:$K$12,2,0),SD!$C$29))</f>
        <v>A615 Grade 60</v>
      </c>
      <c r="R173" t="s">
        <v>747</v>
      </c>
      <c r="S173" s="57">
        <v>173</v>
      </c>
      <c r="U173" t="str">
        <f>IF(Data!$J173="",IFERROR(INDEX(IF(SD!$C$11="Create",Lap!$A$3:$BF$14,IF(SD!$C$11="Per Uploaded File",Lap!$A$19:$BF$30,"")),MATCH(W173,Lap!$A$3:$A$14,0),MATCH(VALUE(D173),Lap!$A$3:$BF$3,0)+IF(IFERROR(FIND("Grade 60",J173),0)&gt;0,0,IF(IFERROR(FIND("Grade 80",J173),0),1,IF(IFERROR(FIND("Grade 75",J173),0),2,"")))),""),Data!J173)</f>
        <v>3-6</v>
      </c>
      <c r="W173" t="s">
        <v>139</v>
      </c>
      <c r="X173">
        <v>10</v>
      </c>
      <c r="Y173" t="str">
        <f t="shared" si="55"/>
        <v xml:space="preserve">18 </v>
      </c>
      <c r="Z173" t="str">
        <f t="shared" si="56"/>
        <v xml:space="preserve"> 30</v>
      </c>
      <c r="AA173" s="24">
        <f t="shared" si="57"/>
        <v>19.583333333333332</v>
      </c>
      <c r="BB173" t="e" cm="1">
        <f t="array" ref="BB173">_xlfn.LET(_xlpm.PartF,(_xlfn.LET(_xlpm.grade, Q173,_xlpm.gradeRange, IF(_xlpm.grade=SD!$H$3, A615GR60, IF(_xlpm.grade=SD!$H$4, A615GR75, IF(_xlpm.grade=SD!$H$5, A615GR80, IF(_xlpm.grade=SD!$H$6, A615GR100, IF(_xlpm.grade=SD!$H$7, A706GR60, IF(_xlpm.grade=SD!$H$8, A706GR80)))))),_xlpm.matchValue, MATCH(1, (SD!$AW:$AW=AS173)*(SD!$AX:$AX=SD!$C$8), 0),INDEX(_xlpm.gradeRange, _xlpm.matchValue))),IF(AM173="Spiral",CONCATENATE("SP",_xlpm.PartF),_xlpm.PartF))</f>
        <v>#N/A</v>
      </c>
      <c r="BC173" cm="1">
        <f t="array" ref="BC173">_xlfn.LET(_xlpm.leftPart, LEFT(O173, FIND("@", O173) - 2),_xlpm.grade,Q173,_xlpm.gradeRange,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3" cm="1">
        <f t="array" ref="BD173">_xlfn.LET(_xlpm.leftPart, LEFT(P173, FIND("@", P173) - 2),_xlpm.grade, Q173,_xlpm.gradeRange,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3">
        <f t="shared" si="58"/>
        <v>2.5</v>
      </c>
      <c r="BF173">
        <f>IF(SD!$C$32=SD!$I$2,BE173,IF(SD!$C$32=SD!$I$3,DO173,IF(SD!$C$32=SD!$I$5,BA173,IF(SD!$C$32=SD!$I$6,(LEFT(SD!$C$35,FIND("-",SD!$C$35)-1)+RIGHT(SD!$C$35,LEN(SD!$C$35)-FIND("-",SD!$C$35))/12),IF(SD!$C$32=SD!$I$4,(AU173-(BG173+BH173)))))))</f>
        <v>0</v>
      </c>
      <c r="BG173">
        <f>IF(SD!$C$33=SD!$I$2,BE173,IF(SD!$C$33=SD!$I$3,DO173,IF(SD!$C$33=SD!$I$5,BA173,IF(SD!$C$33=SD!$I$6,(LEFT(SD!$C$35,FIND("-",SD!$C$35)-1)+RIGHT(SD!$C$35,LEN(SD!$C$35)-FIND("-",SD!$C$35))/12),IF(SD!$C$33=SD!$I$4,(AU173-(BF173+BH173)))))))</f>
        <v>-1</v>
      </c>
      <c r="BH173">
        <f>IF(SD!$C$34=SD!$I$2,BE173,IF(SD!$C$34=SD!$I$3,DO173,IF(SD!$C$34=SD!$I$5,BA173,IF(SD!$C$34=SD!$I$6,(LEFT(SD!$C$35,FIND("-",SD!$C$35)-1)+RIGHT(SD!$C$35,LEN(SD!$C$35)-FIND("-",SD!$C$35))/12),IF(SD!$C$34=SD!$I$4,(AU173-(BF173+BG173)))))))</f>
        <v>1</v>
      </c>
      <c r="BJ173">
        <f>IF(AM173="Spiral","1",MAX(ROUNDUP(IF(SD!$C$32="",AT173,BF173/(LEFT(RIGHT(N173,LEN(N173)-FIND("@",N173)),LEN(RIGHT(N173,LEN(N173)-FIND("@",N173)))-1)/12)+1),0),0))</f>
        <v>1</v>
      </c>
      <c r="BK173">
        <f>MAX(ROUNDUP(IF(SD!$C$33="","",BG173/(LEFT(RIGHT(O173,LEN(O173)-FIND("@",O173)),LEN(RIGHT(O173,LEN(O173)-FIND("@",O173)))-1)/12)+1),0),0)</f>
        <v>0</v>
      </c>
      <c r="BL173">
        <f>MAX(ROUNDUP(IF(SD!$C$34="","",BH173/(LEFT(RIGHT(P173,LEN(P173)-FIND("@",P173)),LEN(RIGHT(P173,LEN(P173)-FIND("@",P173)))-1)/12)+1),0),0)</f>
        <v>3</v>
      </c>
      <c r="BN173" t="e">
        <f t="shared" si="59"/>
        <v>#N/A</v>
      </c>
      <c r="BO173" t="e">
        <f t="shared" si="60"/>
        <v>#N/A</v>
      </c>
      <c r="BP173" t="e">
        <f t="shared" si="61"/>
        <v>#N/A</v>
      </c>
      <c r="BQ173" s="24" t="e">
        <f>IF(AM173=TRUE,(((Y173-(SD!$E$12*2))*3.14159265359)+BN173+BO173+BP173)/12+AL173,SUM(AF173:AG173,BN173,BO173,BP173,AO173,AQ173)/12)</f>
        <v>#N/A</v>
      </c>
      <c r="BR173" t="e">
        <f t="shared" si="62"/>
        <v>#N/A</v>
      </c>
      <c r="BS173" t="e">
        <f t="shared" si="63"/>
        <v>#N/A</v>
      </c>
      <c r="BT173" t="e">
        <f t="shared" si="64"/>
        <v>#N/A</v>
      </c>
      <c r="BU173" s="24" t="e">
        <f>IF(AM173=TRUE,(((Y173-(SD!$E$12*2))*3.14159265359)+BR173+BS173+BT173)/12+AL173,SUM(AF173:AG173,BR173,BS173,BT173,AO173,AQ173)/12)</f>
        <v>#N/A</v>
      </c>
      <c r="BW173" t="str">
        <f>IFERROR(LEFT(Data!L173,FIND(" -",Data!L173)-1),"")</f>
        <v/>
      </c>
      <c r="BX173" t="str">
        <f>IFERROR(IF(SD!$C$40=SD!$U$2,W173,IF(SD!$C$40=SD!$U$3,RIGHT(Data!L173,LEN(Data!L173)-(FIND("-",Data!L173)+1)),SD!$C$40)),"")</f>
        <v>#7</v>
      </c>
      <c r="BY173" cm="1">
        <f t="array" ref="BY173">IFERROR(_xlfn.LET(_xlpm.GRR,IF(AND(SD!$C$19=SD!$H$2,Grade!$G$1="Per level"),VLOOKUP(B173,Grade!$E$1:$F$200,2,FALSE),IF(AND(SD!$C$19=SD!$H$2,Grade!$G$1="Per Bar Size"),VLOOKUP(BX173,Grade!$B$1:$C$12,2,0),SD!$C$19)),_xlpm.is_equal, A172=A173,_xlpm.grade_range, IF(_xlpm.GRR=SD!$H$3, A615GR60,IF(_xlpm.GRR=SD!$H$4, A615GR75,IF(_xlpm.GRR=SD!$H$5, A615GR80,IF(_xlpm.GRR=SD!H177, A615GR100,IF(_xlpm.GRR=SD!$H$7, A706GR60,IF(_xlpm.GRR=SD!$H$8, A706GR80)))))),_xlpm.match_result, MATCH(1, (BSize=BX173)*(BCName=SD!$C$8), 0),_xlpm.final_result, INDEX(_xlpm.grade_range, _xlpm.match_result),IF(_xlpm.is_equal, "", _xlpm.final_result)),"")</f>
        <v>7</v>
      </c>
      <c r="BZ173">
        <f>IF(A172=A173,"",IF(SD!$C$41="Match Vertical Bars ",X173,IF(SD!$C$41=SD!$V$3,BW173,SD!$C$41)))</f>
        <v>10</v>
      </c>
      <c r="CA173" cm="1">
        <f t="array" ref="CA173">IF(A172=A173,"",IF(SD!$C$44="No T-Head",IF(SD!$C$42=SD!$Q$3,VLOOKUP(BX173,S90Range,3,FALSE),LEFT(SD!$C$42,FIND("-",SD!$C$42)-1)+(RIGHT(SD!$C$42,LEN(SD!$C$42)-FIND("-",SD!$C$42))/12)),IF(SD!$C$44="T-Head",_xlfn._xlws.FILTER(THead,(TCName=SD!$C$8)*(TSize=BX173)),IF(SD!$C$44="Level Wise",_xlfn.LET(_xlpm.result,_xlfn.XLOOKUP(B173,VDLevel,VDLevelStatus,"No"),IF(_xlpm.result="Yes",_xlfn._xlws.FILTER(THead,(TCName=SD!$C$8)*(TSize=BX173)),IF(SD!$C$42=SD!$Q$3,VLOOKUP(BX173,S90Range,3,FALSE),LEFT(SD!$C$42,FIND("-",SD!$C$42)-1)+(RIGHT(SD!$C$42,LEN(SD!$C$42)-FIND("-", SD!$C$42))/12)))),IF(SD!$C$44="BarSize Wise",_xlfn.LET(_xlpm.result,_xlfn.XLOOKUP(BX173,VDBarSize,VDBarSizeStatus,"No"),IF(_xlpm.result="Yes",_xlfn._xlws.FILTER(THead,(TCName=SD!$C$8)*(TSize=BX173)),IF(SD!$C$42=SD!$Q$3,VLOOKUP(BX173,S90Range,3,FALSE),LEFT(SD!$C$42,FIND("-",SD!$C$42)-1)+(RIGHT(SD!$C$42,LEN(SD!$C$42)-FIND("-",SD!$C$42))/12)))), "")))))</f>
        <v>1.1666666666666667</v>
      </c>
      <c r="CB173" t="str" cm="1">
        <f t="array" ref="CB173">_xlfn.LET(_xlpm.GRR,IF(AND(SD!$C$19=SD!$H$2,Grade!$G$1="Per level"),VLOOKUP(B173,Grade!$E$1:$F$200,2,FALSE),IF(AND(SD!$C$19=SD!$H$2,Grade!$G$1="Per Bar Size"),VLOOKUP(BX173,Grade!$B$1:$C$12,2,0),SD!$C$19)),_xlpm.is_coupler, K173="Coupler",_xlpm.condition1, SD!$C$43=SD!$W$2,_xlpm.data_j2_empty, Data!$J173="",_xlpm.lookup_table, IF(SD!$C$11="Create", Lap!$A$3:$BF$14, IF(SD!$C$11="Per Uploaded File", Lap!$A$19:$BF$30, "")),_xlpm.row_match, MATCH(BX173, Lap!$A$3:$A$14, 0),_xlpm.grade_offset, IF(IFERROR(FIND("Grade 60",_xlpm.GRR), 0) &gt; 0, 0, IF(IFERROR(FIND("Grade 80",_xlpm.GRR), 0), 1, IF(IFERROR(FIND("Grade 75",_xlpm.GRR), 0), 2, ""))),_xlpm.col_match, MATCH(VALUE(D173), Lap!$A$3:$BF$3, 0) + _xlpm.grade_offset,_xlpm.index_result, IFERROR(INDEX(_xlpm.lookup_table, _xlpm.row_match, _xlpm.col_match), Data!$J173),_xlpm.result_if_condition1, IF(_xlpm.data_j2_empty, _xlpm.index_result, Data!$J173),IF(_xlpm.is_coupler, 0, IF(_xlpm.condition1, _xlpm.result_if_condition1, SD!$C$43)))</f>
        <v>3-6</v>
      </c>
      <c r="CC173" s="24">
        <f t="shared" si="65"/>
        <v>3.5</v>
      </c>
      <c r="CD173">
        <f t="shared" si="66"/>
        <v>7.666666666666667</v>
      </c>
      <c r="CE173" t="str" cm="1">
        <f t="array" ref="CE173">IF(BY173="","",_xlfn._xlws.FILTER(SAC,(CName=SD!$C$8)*(EName="Vert Dowels")))</f>
        <v>2200 CD</v>
      </c>
      <c r="CF173" t="str" cm="1">
        <f t="array" ref="CF173">IFERROR(IF(BY173="","",IF(K173="Coupler",_xlfn._xlws.FILTER(CCoupler,(CCName=SD!$C$8)*(CBSize=IF(A172=A173,W172&amp;W173,BX173&amp;W173))*(CCMFM="Male")),"")),"N/A")</f>
        <v/>
      </c>
      <c r="CG173" t="str">
        <f t="shared" si="67"/>
        <v/>
      </c>
      <c r="CH173" t="str">
        <f t="shared" si="68"/>
        <v/>
      </c>
      <c r="CI173" t="str">
        <f>_xlfn.LET(_xlpm.u3_value, U174,_xlpm.hyphen_pos,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K174="Coupler",_xlpm.coupler_value, IF(_xlpm.is_coupler, 0, _xlpm.calculated_value),_xlpm.final_value, _xlpm.calculated_value + SD!$E$13 + _xlpm.coupler_value,IF(CG173="", "", _xlpm.final_value))</f>
        <v/>
      </c>
      <c r="CJ173" t="str" cm="1">
        <f t="array" ref="CJ173">IF(CG173="","",_xlfn._xlws.FILTER(SAC,(CName=SD!$C$8)*(EName="Loose Dowels")))</f>
        <v/>
      </c>
      <c r="CK173" t="str" cm="1">
        <f t="array" ref="CK173">IFERROR(IF(CG173="","",IF(K174="Coupler",_xlfn._xlws.FILTER(CCoupler,(CCName=SD!$C$8)*(CBSize=IF(A173=A174,W173&amp;W174,""))*(CCMFM="Male")),"")),"N/A")</f>
        <v/>
      </c>
      <c r="CL173">
        <f>IFERROR(IF(AM173="Spiral","",IF(A172=A173,"",IF(SD!$C$37=0,"",SD!$C$37))),"")</f>
        <v>3</v>
      </c>
      <c r="CN173">
        <f>IF(AM173="Spiral","",IFERROR(IF(SD!$C$36=0,"",SD!$C$36),""))</f>
        <v>5</v>
      </c>
      <c r="CP173">
        <f>IFERROR(IF(SD!$C$42=SD!$Q$3,'Take-off'!CA173,""),"")</f>
        <v>1.1666666666666667</v>
      </c>
      <c r="CR173">
        <f>IFERROR(IF(SD!$C$22=SD!$U$2,W173,SD!$C$22),"")</f>
        <v>0</v>
      </c>
      <c r="CS173" t="str" cm="1">
        <f t="array" ref="CS173">_xlfn.LET(_xlpm.GR,IF(AND(SD!$C$19=SD!$H$2,Grade!$G$1="Per level"),VLOOKUP(B173,Grade!$E$1:$F$200,2,FALSE),IF(AND(SD!$C$19=SD!$H$2,Grade!$G$1="Per Bar Size"),VLOOKUP(CR173,Grade!$B$1:$C$12,2,0),SD!$C$19)),IF(SD!$C$20=SD!$R$4,IF(A174=A173,"",INDEX(IF(_xlpm.GR=SD!$H$3,A615GR60,IF(_xlpm.GR=SD!$H$4,A615GR75,IF(_xlpm.GR=SD!$H$5,A615GR80,IF(_xlpm.GR=SD!H177,A615GR100,IF(_xlpm.GR=SD!$H$7,A706GR60,IF(_xlpm.GR=SD!$H$8,A706GR80)))))), MATCH(1, (BSize=CR173)*(BCName=SD!$C$8), 0))),""))</f>
        <v/>
      </c>
      <c r="CT173">
        <f>IF(A174=A173,"",IF(SD!$C$23="Match Vertical Bars ",X173,SD!$C$23))</f>
        <v>0</v>
      </c>
      <c r="CU173" t="str" cm="1">
        <f t="array" ref="CU173">IF(A174=A173,"",IF(SD!$C$20="Top dowels",IF(SD!$E$25="No T-Head",IF(SD!$C$24=SD!$Q$3,VLOOKUP(CR173,S90Range,3,FALSE),LEFT(SD!$C$24,FIND("-",SD!$C$24)-1)+(RIGHT(SD!$C$24,LEN(SD!$C$24)-FIND("-",SD!$C$24))/12)),IF(SD!$E$25="T-Head",_xlfn._xlws.FILTER(THead,(TCName=SD!$C$8)*(TSize=CR173)),IF(SD!$E$25="Level Wise",_xlfn.LET(_xlpm.result,_xlfn.XLOOKUP(B173,TDLevel,TDLevelStatus,"No"),IF(_xlpm.result="Yes",_xlfn._xlws.FILTER(THead,(TCName=SD!$C$8)*(TSize=CR173)),IF(SD!$C$24=SD!$Q$3,VLOOKUP(CR173,S90Range,3,FALSE),LEFT(SD!$C$24,FIND("-",SD!$C$24)-1)+(RIGHT(SD!$C$24,LEN(SD!$C$24)-FIND("-", SD!$C$24))/12)))),IF(SD!$E$25="BarSize Wise",_xlfn.LET(_xlpm.result,_xlfn.XLOOKUP(CR173,TDBarSize,TDBarSizeStatus,"No"),IF(_xlpm.result="Yes",_xlfn._xlws.FILTER(THead,(TCName=SD!$C$8)*(TSize=CR173)),IF(SD!$C$24=SD!$Q$3,VLOOKUP(CR173,S90Range,3,FALSE),LEFT(SD!$C$24,FIND("-",SD!$C$24)-1)+(RIGHT(SD!$C$24,LEN(SD!$C$24)-FIND("-",SD!$C$24))/12)))), "")))),""))</f>
        <v/>
      </c>
      <c r="CV173" t="str">
        <f>_xlfn.LET(_xlpm.GRR,IF(AND(SD!$C$19=SD!$H$2,Grade!$G$1="Per level"),VLOOKUP(B173,Grade!$E$1:$F$200,2,FALSE),IF(AND(SD!$C$19=SD!$H$2,Grade!$G$1="Per Bar Size"),VLOOKUP(CR173,Grade!$B$1:$C$12,2,0),SD!$C$19)),IF(SD!$C$25=SD!$W$2,IF(Data!$J173="",IFERROR(INDEX(IF(SD!$C$11="Create",Lap!$A$3:$BF$14,IF(SD!$C$11="Per Uploaded File",Lap!$A$19:$BF$30,"")),MATCH(CR173,Lap!$A$3:$A$14,0),MATCH(VALUE(D173),Lap!$A$3:$BF$3,0)+IF(IFERROR(FIND("Grade 60",_xlpm.GRR),0)&gt;0,0,IF(IFERROR(FIND("Grade 80",_xlpm.GRR),0),1,IF(IFERROR(FIND("Grade 75",_xlpm.GRR),0),2,"")))),""),Data!J173),SD!$C$43))</f>
        <v>Match Lap</v>
      </c>
      <c r="CW173">
        <f t="shared" si="69"/>
        <v>0</v>
      </c>
      <c r="CX173">
        <f t="shared" si="70"/>
        <v>0</v>
      </c>
      <c r="CY173" t="str">
        <f t="shared" si="71"/>
        <v/>
      </c>
      <c r="DA173">
        <f t="shared" si="72"/>
        <v>56</v>
      </c>
      <c r="DB173" t="str">
        <f t="shared" si="73"/>
        <v>19-7</v>
      </c>
      <c r="DC173" s="24">
        <f t="shared" si="74"/>
        <v>19.583333333333332</v>
      </c>
      <c r="DD173">
        <f t="shared" si="75"/>
        <v>19.583333333333332</v>
      </c>
      <c r="DE173" t="s">
        <v>745</v>
      </c>
      <c r="DF173" t="s">
        <v>67</v>
      </c>
      <c r="DG173" t="str">
        <f>VLOOKUP(W173,'Level Wise PSI'!$F$2:$G$12,2,FALSE)</f>
        <v>Double Lift</v>
      </c>
      <c r="DI173" t="str" cm="1">
        <f t="array" ref="DI173">_xlfn.LET(_xlpm.Coup,IFERROR(IF(BY173="","",IF(K173="Coupler",_xlfn._xlws.FILTER(CCFCoupler,(CCName=SD!$C$8)*(CBSize=IF(A172=A173,W172&amp;W173,BX173&amp;W173))),"")),"N/A"),IF(_xlpm.Coup=0,"",_xlpm.Coup))</f>
        <v/>
      </c>
      <c r="DJ173" t="str" cm="1">
        <f t="array" ref="DJ173">_xlfn.LET(_xlpm.Coup3,IFERROR(IF(CG173="","",IF(K174="Coupler",_xlfn._xlws.FILTER(CCFCoupler,(CCName=SD!$C$8)*(CBSize=IF(A173=A174,W173&amp;W174,""))),"")),"N/A"),IF(_xlpm.Coup3=0,"",_xlpm.Coup3))</f>
        <v/>
      </c>
      <c r="DK173" t="str" cm="1">
        <f t="array" ref="DK173">_xlfn.LET(_xlpm.Coup2,IFERROR(IF(A173&lt;&gt;A174,"",IF(DF173="No Lap","",IF(K174="Coupler",_xlfn._xlws.FILTER(CCFCoupler,(CCName=SD!$C$8)*(CBSize=IF(A172=A173,W173&amp;W174,W173&amp;W173))),""))),"N/A"),IF(_xlpm.Coup2=0,"",_xlpm.Coup2))</f>
        <v/>
      </c>
      <c r="DM173" t="str">
        <f>IF(AM173="Spiral","",IF(SD!$C$31=SD!$Y$3,SD!$E$32*2,""))</f>
        <v/>
      </c>
      <c r="DO173" s="24">
        <f t="shared" si="76"/>
        <v>2.5</v>
      </c>
      <c r="DQ173" t="str">
        <f t="shared" si="77"/>
        <v>Lig</v>
      </c>
      <c r="DR173" t="str">
        <f>IF(AM173="Spiral",((Y173-(SD!$E$12*2))/12),"")</f>
        <v/>
      </c>
      <c r="DS173" t="str">
        <f t="shared" si="78"/>
        <v/>
      </c>
      <c r="DT173" t="str">
        <f t="shared" si="79"/>
        <v/>
      </c>
      <c r="DU173" t="str">
        <f t="shared" si="80"/>
        <v/>
      </c>
    </row>
    <row r="174" spans="1:125" x14ac:dyDescent="0.25">
      <c r="A174">
        <v>57</v>
      </c>
      <c r="B174" t="s">
        <v>664</v>
      </c>
      <c r="C174" s="15">
        <v>2429</v>
      </c>
      <c r="D174" s="15">
        <v>10000</v>
      </c>
      <c r="E174" s="15" t="s">
        <v>709</v>
      </c>
      <c r="F174" s="15" t="s">
        <v>787</v>
      </c>
      <c r="G174" t="s">
        <v>733</v>
      </c>
      <c r="H174" s="15" t="s">
        <v>788</v>
      </c>
      <c r="I174" t="s">
        <v>723</v>
      </c>
      <c r="J174" t="str">
        <f>IF(AND(SD!$C$19=SD!$H$2,Grade!$G$1="Per level"),VLOOKUP(B174,Grade!$E$1:$F$200,2,FALSE),IF(AND(SD!$C$19=SD!$H$2,Grade!$G$1="Per Bar Size"),VLOOKUP(W174,Grade!$B$1:$C$12,2,0),SD!$C$19))</f>
        <v>A615 Grade 60</v>
      </c>
      <c r="K174" t="s">
        <v>67</v>
      </c>
      <c r="L174" t="str">
        <f>IFERROR(IF(A174&lt;&gt;A175,"",IF(DF174="No Lap","",IF(K175="Lap",U174,IF(K175="Coupler",_xlfn._xlws.FILTER(CCoupler,(CCName=SD!$C$8)*(CBSize=IF(A173=A174,W174&amp;W175,W174&amp;W174))*(CCMFM="Male")),"")))),"N/A")</f>
        <v/>
      </c>
      <c r="M174" t="str">
        <f t="shared" si="54"/>
        <v/>
      </c>
      <c r="N174" t="s">
        <v>719</v>
      </c>
      <c r="O174" t="s">
        <v>720</v>
      </c>
      <c r="P174" t="s">
        <v>719</v>
      </c>
      <c r="Q174" t="str">
        <f>IF(AND(SD!$C$29=SD!$P$2,Grade!$O$1="Per level"),VLOOKUP(B174,Grade!$M$1:$N$200,2,FALSE),IF(AND(SD!$C$29=SD!$P$2,Grade!$O$1="Per Bar Size"),VLOOKUP(LEFT(N174,FIND("@",N174)-2),Grade!$J$1:$K$12,2,0),SD!$C$29))</f>
        <v>A615 Grade 60</v>
      </c>
      <c r="R174" t="s">
        <v>725</v>
      </c>
      <c r="S174" s="57">
        <v>174</v>
      </c>
      <c r="U174" t="str">
        <f>IF(Data!$J174="",IFERROR(INDEX(IF(SD!$C$11="Create",Lap!$A$3:$BF$14,IF(SD!$C$11="Per Uploaded File",Lap!$A$19:$BF$30,"")),MATCH(W174,Lap!$A$3:$A$14,0),MATCH(VALUE(D174),Lap!$A$3:$BF$3,0)+IF(IFERROR(FIND("Grade 60",J174),0)&gt;0,0,IF(IFERROR(FIND("Grade 80",J174),0),1,IF(IFERROR(FIND("Grade 75",J174),0),2,"")))),""),Data!J174)</f>
        <v>3-6</v>
      </c>
      <c r="W174" t="s">
        <v>139</v>
      </c>
      <c r="X174">
        <v>6</v>
      </c>
      <c r="Y174" t="str">
        <f t="shared" si="55"/>
        <v xml:space="preserve">14 </v>
      </c>
      <c r="Z174" t="str">
        <f t="shared" si="56"/>
        <v xml:space="preserve"> 24</v>
      </c>
      <c r="AA174" s="24">
        <f t="shared" si="57"/>
        <v>19.583333333333332</v>
      </c>
      <c r="BB174" t="e" cm="1">
        <f t="array" ref="BB174">_xlfn.LET(_xlpm.PartF,(_xlfn.LET(_xlpm.grade, Q174,_xlpm.gradeRange, IF(_xlpm.grade=SD!$H$3, A615GR60, IF(_xlpm.grade=SD!$H$4, A615GR75, IF(_xlpm.grade=SD!$H$5, A615GR80, IF(_xlpm.grade=SD!$H$6, A615GR100, IF(_xlpm.grade=SD!$H$7, A706GR60, IF(_xlpm.grade=SD!$H$8, A706GR80)))))),_xlpm.matchValue, MATCH(1, (SD!$AW:$AW=AS174)*(SD!$AX:$AX=SD!$C$8), 0),INDEX(_xlpm.gradeRange, _xlpm.matchValue))),IF(AM174="Spiral",CONCATENATE("SP",_xlpm.PartF),_xlpm.PartF))</f>
        <v>#N/A</v>
      </c>
      <c r="BC174" cm="1">
        <f t="array" ref="BC174">_xlfn.LET(_xlpm.leftPart, LEFT(O174, FIND("@", O174) - 2),_xlpm.grade,Q174,_xlpm.gradeRange,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4" cm="1">
        <f t="array" ref="BD174">_xlfn.LET(_xlpm.leftPart, LEFT(P174, FIND("@", P174) - 2),_xlpm.grade, Q174,_xlpm.gradeRange,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4">
        <f t="shared" si="58"/>
        <v>2</v>
      </c>
      <c r="BF174">
        <f>IF(SD!$C$32=SD!$I$2,BE174,IF(SD!$C$32=SD!$I$3,DO174,IF(SD!$C$32=SD!$I$5,BA174,IF(SD!$C$32=SD!$I$6,(LEFT(SD!$C$35,FIND("-",SD!$C$35)-1)+RIGHT(SD!$C$35,LEN(SD!$C$35)-FIND("-",SD!$C$35))/12),IF(SD!$C$32=SD!$I$4,(AU174-(BG174+BH174)))))))</f>
        <v>0</v>
      </c>
      <c r="BG174">
        <f>IF(SD!$C$33=SD!$I$2,BE174,IF(SD!$C$33=SD!$I$3,DO174,IF(SD!$C$33=SD!$I$5,BA174,IF(SD!$C$33=SD!$I$6,(LEFT(SD!$C$35,FIND("-",SD!$C$35)-1)+RIGHT(SD!$C$35,LEN(SD!$C$35)-FIND("-",SD!$C$35))/12),IF(SD!$C$33=SD!$I$4,(AU174-(BF174+BH174)))))))</f>
        <v>-1</v>
      </c>
      <c r="BH174">
        <f>IF(SD!$C$34=SD!$I$2,BE174,IF(SD!$C$34=SD!$I$3,DO174,IF(SD!$C$34=SD!$I$5,BA174,IF(SD!$C$34=SD!$I$6,(LEFT(SD!$C$35,FIND("-",SD!$C$35)-1)+RIGHT(SD!$C$35,LEN(SD!$C$35)-FIND("-",SD!$C$35))/12),IF(SD!$C$34=SD!$I$4,(AU174-(BF174+BG174)))))))</f>
        <v>1</v>
      </c>
      <c r="BJ174">
        <f>IF(AM174="Spiral","1",MAX(ROUNDUP(IF(SD!$C$32="",AT174,BF174/(LEFT(RIGHT(N174,LEN(N174)-FIND("@",N174)),LEN(RIGHT(N174,LEN(N174)-FIND("@",N174)))-1)/12)+1),0),0))</f>
        <v>1</v>
      </c>
      <c r="BK174">
        <f>MAX(ROUNDUP(IF(SD!$C$33="","",BG174/(LEFT(RIGHT(O174,LEN(O174)-FIND("@",O174)),LEN(RIGHT(O174,LEN(O174)-FIND("@",O174)))-1)/12)+1),0),0)</f>
        <v>0</v>
      </c>
      <c r="BL174">
        <f>MAX(ROUNDUP(IF(SD!$C$34="","",BH174/(LEFT(RIGHT(P174,LEN(P174)-FIND("@",P174)),LEN(RIGHT(P174,LEN(P174)-FIND("@",P174)))-1)/12)+1),0),0)</f>
        <v>3</v>
      </c>
      <c r="BN174" t="e">
        <f t="shared" si="59"/>
        <v>#N/A</v>
      </c>
      <c r="BO174" t="e">
        <f t="shared" si="60"/>
        <v>#N/A</v>
      </c>
      <c r="BP174" t="e">
        <f t="shared" si="61"/>
        <v>#N/A</v>
      </c>
      <c r="BQ174" s="24" t="e">
        <f>IF(AM174=TRUE,(((Y174-(SD!$E$12*2))*3.14159265359)+BN174+BO174+BP174)/12+AL174,SUM(AF174:AG174,BN174,BO174,BP174,AO174,AQ174)/12)</f>
        <v>#N/A</v>
      </c>
      <c r="BR174" t="e">
        <f t="shared" si="62"/>
        <v>#N/A</v>
      </c>
      <c r="BS174" t="e">
        <f t="shared" si="63"/>
        <v>#N/A</v>
      </c>
      <c r="BT174" t="e">
        <f t="shared" si="64"/>
        <v>#N/A</v>
      </c>
      <c r="BU174" s="24" t="e">
        <f>IF(AM174=TRUE,(((Y174-(SD!$E$12*2))*3.14159265359)+BR174+BS174+BT174)/12+AL174,SUM(AF174:AG174,BR174,BS174,BT174,AO174,AQ174)/12)</f>
        <v>#N/A</v>
      </c>
      <c r="BW174" t="str">
        <f>IFERROR(LEFT(Data!L174,FIND(" -",Data!L174)-1),"")</f>
        <v/>
      </c>
      <c r="BX174" t="str">
        <f>IFERROR(IF(SD!$C$40=SD!$U$2,W174,IF(SD!$C$40=SD!$U$3,RIGHT(Data!L174,LEN(Data!L174)-(FIND("-",Data!L174)+1)),SD!$C$40)),"")</f>
        <v>#7</v>
      </c>
      <c r="BY174" cm="1">
        <f t="array" ref="BY174">IFERROR(_xlfn.LET(_xlpm.GRR,IF(AND(SD!$C$19=SD!$H$2,Grade!$G$1="Per level"),VLOOKUP(B174,Grade!$E$1:$F$200,2,FALSE),IF(AND(SD!$C$19=SD!$H$2,Grade!$G$1="Per Bar Size"),VLOOKUP(BX174,Grade!$B$1:$C$12,2,0),SD!$C$19)),_xlpm.is_equal, A173=A174,_xlpm.grade_range, IF(_xlpm.GRR=SD!$H$3, A615GR60,IF(_xlpm.GRR=SD!$H$4, A615GR75,IF(_xlpm.GRR=SD!$H$5, A615GR80,IF(_xlpm.GRR=SD!H178, A615GR100,IF(_xlpm.GRR=SD!$H$7, A706GR60,IF(_xlpm.GRR=SD!$H$8, A706GR80)))))),_xlpm.match_result, MATCH(1, (BSize=BX174)*(BCName=SD!$C$8), 0),_xlpm.final_result, INDEX(_xlpm.grade_range, _xlpm.match_result),IF(_xlpm.is_equal, "", _xlpm.final_result)),"")</f>
        <v>7</v>
      </c>
      <c r="BZ174">
        <f>IF(A173=A174,"",IF(SD!$C$41="Match Vertical Bars ",X174,IF(SD!$C$41=SD!$V$3,BW174,SD!$C$41)))</f>
        <v>6</v>
      </c>
      <c r="CA174" cm="1">
        <f t="array" ref="CA174">IF(A173=A174,"",IF(SD!$C$44="No T-Head",IF(SD!$C$42=SD!$Q$3,VLOOKUP(BX174,S90Range,3,FALSE),LEFT(SD!$C$42,FIND("-",SD!$C$42)-1)+(RIGHT(SD!$C$42,LEN(SD!$C$42)-FIND("-",SD!$C$42))/12)),IF(SD!$C$44="T-Head",_xlfn._xlws.FILTER(THead,(TCName=SD!$C$8)*(TSize=BX174)),IF(SD!$C$44="Level Wise",_xlfn.LET(_xlpm.result,_xlfn.XLOOKUP(B174,VDLevel,VDLevelStatus,"No"),IF(_xlpm.result="Yes",_xlfn._xlws.FILTER(THead,(TCName=SD!$C$8)*(TSize=BX174)),IF(SD!$C$42=SD!$Q$3,VLOOKUP(BX174,S90Range,3,FALSE),LEFT(SD!$C$42,FIND("-",SD!$C$42)-1)+(RIGHT(SD!$C$42,LEN(SD!$C$42)-FIND("-", SD!$C$42))/12)))),IF(SD!$C$44="BarSize Wise",_xlfn.LET(_xlpm.result,_xlfn.XLOOKUP(BX174,VDBarSize,VDBarSizeStatus,"No"),IF(_xlpm.result="Yes",_xlfn._xlws.FILTER(THead,(TCName=SD!$C$8)*(TSize=BX174)),IF(SD!$C$42=SD!$Q$3,VLOOKUP(BX174,S90Range,3,FALSE),LEFT(SD!$C$42,FIND("-",SD!$C$42)-1)+(RIGHT(SD!$C$42,LEN(SD!$C$42)-FIND("-",SD!$C$42))/12)))), "")))))</f>
        <v>1.1666666666666667</v>
      </c>
      <c r="CB174" t="str" cm="1">
        <f t="array" ref="CB174">_xlfn.LET(_xlpm.GRR,IF(AND(SD!$C$19=SD!$H$2,Grade!$G$1="Per level"),VLOOKUP(B174,Grade!$E$1:$F$200,2,FALSE),IF(AND(SD!$C$19=SD!$H$2,Grade!$G$1="Per Bar Size"),VLOOKUP(BX174,Grade!$B$1:$C$12,2,0),SD!$C$19)),_xlpm.is_coupler, K174="Coupler",_xlpm.condition1, SD!$C$43=SD!$W$2,_xlpm.data_j2_empty, Data!$J174="",_xlpm.lookup_table, IF(SD!$C$11="Create", Lap!$A$3:$BF$14, IF(SD!$C$11="Per Uploaded File", Lap!$A$19:$BF$30, "")),_xlpm.row_match, MATCH(BX174, Lap!$A$3:$A$14, 0),_xlpm.grade_offset, IF(IFERROR(FIND("Grade 60",_xlpm.GRR), 0) &gt; 0, 0, IF(IFERROR(FIND("Grade 80",_xlpm.GRR), 0), 1, IF(IFERROR(FIND("Grade 75",_xlpm.GRR), 0), 2, ""))),_xlpm.col_match, MATCH(VALUE(D174), Lap!$A$3:$BF$3, 0) + _xlpm.grade_offset,_xlpm.index_result, IFERROR(INDEX(_xlpm.lookup_table, _xlpm.row_match, _xlpm.col_match), Data!$J174),_xlpm.result_if_condition1, IF(_xlpm.data_j2_empty, _xlpm.index_result, Data!$J174),IF(_xlpm.is_coupler, 0, IF(_xlpm.condition1, _xlpm.result_if_condition1, SD!$C$43)))</f>
        <v>3-6</v>
      </c>
      <c r="CC174" s="24">
        <f t="shared" si="65"/>
        <v>3.5</v>
      </c>
      <c r="CD174">
        <f t="shared" si="66"/>
        <v>9.1666666666666679</v>
      </c>
      <c r="CE174" t="str" cm="1">
        <f t="array" ref="CE174">IF(BY174="","",_xlfn._xlws.FILTER(SAC,(CName=SD!$C$8)*(EName="Vert Dowels")))</f>
        <v>2200 CD</v>
      </c>
      <c r="CF174" t="str" cm="1">
        <f t="array" ref="CF174">IFERROR(IF(BY174="","",IF(K174="Coupler",_xlfn._xlws.FILTER(CCoupler,(CCName=SD!$C$8)*(CBSize=IF(A173=A174,W173&amp;W174,BX174&amp;W174))*(CCMFM="Male")),"")),"N/A")</f>
        <v/>
      </c>
      <c r="CG174" t="str">
        <f t="shared" si="67"/>
        <v/>
      </c>
      <c r="CH174" t="str">
        <f t="shared" si="68"/>
        <v/>
      </c>
      <c r="CI174" t="str">
        <f>_xlfn.LET(_xlpm.u3_value, U175,_xlpm.hyphen_pos,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K175="Coupler",_xlpm.coupler_value, IF(_xlpm.is_coupler, 0, _xlpm.calculated_value),_xlpm.final_value, _xlpm.calculated_value + SD!$E$13 + _xlpm.coupler_value,IF(CG174="", "", _xlpm.final_value))</f>
        <v/>
      </c>
      <c r="CJ174" t="str" cm="1">
        <f t="array" ref="CJ174">IF(CG174="","",_xlfn._xlws.FILTER(SAC,(CName=SD!$C$8)*(EName="Loose Dowels")))</f>
        <v/>
      </c>
      <c r="CK174" t="str" cm="1">
        <f t="array" ref="CK174">IFERROR(IF(CG174="","",IF(K175="Coupler",_xlfn._xlws.FILTER(CCoupler,(CCName=SD!$C$8)*(CBSize=IF(A174=A175,W174&amp;W175,""))*(CCMFM="Male")),"")),"N/A")</f>
        <v/>
      </c>
      <c r="CL174">
        <f>IFERROR(IF(AM174="Spiral","",IF(A173=A174,"",IF(SD!$C$37=0,"",SD!$C$37))),"")</f>
        <v>3</v>
      </c>
      <c r="CN174">
        <f>IF(AM174="Spiral","",IFERROR(IF(SD!$C$36=0,"",SD!$C$36),""))</f>
        <v>5</v>
      </c>
      <c r="CP174">
        <f>IFERROR(IF(SD!$C$42=SD!$Q$3,'Take-off'!CA174,""),"")</f>
        <v>1.1666666666666667</v>
      </c>
      <c r="CR174">
        <f>IFERROR(IF(SD!$C$22=SD!$U$2,W174,SD!$C$22),"")</f>
        <v>0</v>
      </c>
      <c r="CS174" t="str" cm="1">
        <f t="array" ref="CS174">_xlfn.LET(_xlpm.GR,IF(AND(SD!$C$19=SD!$H$2,Grade!$G$1="Per level"),VLOOKUP(B174,Grade!$E$1:$F$200,2,FALSE),IF(AND(SD!$C$19=SD!$H$2,Grade!$G$1="Per Bar Size"),VLOOKUP(CR174,Grade!$B$1:$C$12,2,0),SD!$C$19)),IF(SD!$C$20=SD!$R$4,IF(A175=A174,"",INDEX(IF(_xlpm.GR=SD!$H$3,A615GR60,IF(_xlpm.GR=SD!$H$4,A615GR75,IF(_xlpm.GR=SD!$H$5,A615GR80,IF(_xlpm.GR=SD!H178,A615GR100,IF(_xlpm.GR=SD!$H$7,A706GR60,IF(_xlpm.GR=SD!$H$8,A706GR80)))))), MATCH(1, (BSize=CR174)*(BCName=SD!$C$8), 0))),""))</f>
        <v/>
      </c>
      <c r="CT174">
        <f>IF(A175=A174,"",IF(SD!$C$23="Match Vertical Bars ",X174,SD!$C$23))</f>
        <v>0</v>
      </c>
      <c r="CU174" t="str" cm="1">
        <f t="array" ref="CU174">IF(A175=A174,"",IF(SD!$C$20="Top dowels",IF(SD!$E$25="No T-Head",IF(SD!$C$24=SD!$Q$3,VLOOKUP(CR174,S90Range,3,FALSE),LEFT(SD!$C$24,FIND("-",SD!$C$24)-1)+(RIGHT(SD!$C$24,LEN(SD!$C$24)-FIND("-",SD!$C$24))/12)),IF(SD!$E$25="T-Head",_xlfn._xlws.FILTER(THead,(TCName=SD!$C$8)*(TSize=CR174)),IF(SD!$E$25="Level Wise",_xlfn.LET(_xlpm.result,_xlfn.XLOOKUP(B174,TDLevel,TDLevelStatus,"No"),IF(_xlpm.result="Yes",_xlfn._xlws.FILTER(THead,(TCName=SD!$C$8)*(TSize=CR174)),IF(SD!$C$24=SD!$Q$3,VLOOKUP(CR174,S90Range,3,FALSE),LEFT(SD!$C$24,FIND("-",SD!$C$24)-1)+(RIGHT(SD!$C$24,LEN(SD!$C$24)-FIND("-", SD!$C$24))/12)))),IF(SD!$E$25="BarSize Wise",_xlfn.LET(_xlpm.result,_xlfn.XLOOKUP(CR174,TDBarSize,TDBarSizeStatus,"No"),IF(_xlpm.result="Yes",_xlfn._xlws.FILTER(THead,(TCName=SD!$C$8)*(TSize=CR174)),IF(SD!$C$24=SD!$Q$3,VLOOKUP(CR174,S90Range,3,FALSE),LEFT(SD!$C$24,FIND("-",SD!$C$24)-1)+(RIGHT(SD!$C$24,LEN(SD!$C$24)-FIND("-",SD!$C$24))/12)))), "")))),""))</f>
        <v/>
      </c>
      <c r="CV174" t="str">
        <f>_xlfn.LET(_xlpm.GRR,IF(AND(SD!$C$19=SD!$H$2,Grade!$G$1="Per level"),VLOOKUP(B174,Grade!$E$1:$F$200,2,FALSE),IF(AND(SD!$C$19=SD!$H$2,Grade!$G$1="Per Bar Size"),VLOOKUP(CR174,Grade!$B$1:$C$12,2,0),SD!$C$19)),IF(SD!$C$25=SD!$W$2,IF(Data!$J174="",IFERROR(INDEX(IF(SD!$C$11="Create",Lap!$A$3:$BF$14,IF(SD!$C$11="Per Uploaded File",Lap!$A$19:$BF$30,"")),MATCH(CR174,Lap!$A$3:$A$14,0),MATCH(VALUE(D174),Lap!$A$3:$BF$3,0)+IF(IFERROR(FIND("Grade 60",_xlpm.GRR),0)&gt;0,0,IF(IFERROR(FIND("Grade 80",_xlpm.GRR),0),1,IF(IFERROR(FIND("Grade 75",_xlpm.GRR),0),2,"")))),""),Data!J174),SD!$C$43))</f>
        <v>Match Lap</v>
      </c>
      <c r="CW174">
        <f t="shared" si="69"/>
        <v>0</v>
      </c>
      <c r="CX174">
        <f t="shared" si="70"/>
        <v>0</v>
      </c>
      <c r="CY174" t="str">
        <f t="shared" si="71"/>
        <v/>
      </c>
      <c r="DA174">
        <f t="shared" si="72"/>
        <v>57</v>
      </c>
      <c r="DB174" t="str">
        <f t="shared" si="73"/>
        <v>19-7</v>
      </c>
      <c r="DC174" s="24">
        <f t="shared" si="74"/>
        <v>19.583333333333332</v>
      </c>
      <c r="DD174">
        <f t="shared" si="75"/>
        <v>19.583333333333332</v>
      </c>
      <c r="DE174" t="s">
        <v>733</v>
      </c>
      <c r="DF174" t="s">
        <v>67</v>
      </c>
      <c r="DG174" t="str">
        <f>VLOOKUP(W174,'Level Wise PSI'!$F$2:$G$12,2,FALSE)</f>
        <v>Double Lift</v>
      </c>
      <c r="DI174" t="str" cm="1">
        <f t="array" ref="DI174">_xlfn.LET(_xlpm.Coup,IFERROR(IF(BY174="","",IF(K174="Coupler",_xlfn._xlws.FILTER(CCFCoupler,(CCName=SD!$C$8)*(CBSize=IF(A173=A174,W173&amp;W174,BX174&amp;W174))),"")),"N/A"),IF(_xlpm.Coup=0,"",_xlpm.Coup))</f>
        <v/>
      </c>
      <c r="DJ174" t="str" cm="1">
        <f t="array" ref="DJ174">_xlfn.LET(_xlpm.Coup3,IFERROR(IF(CG174="","",IF(K175="Coupler",_xlfn._xlws.FILTER(CCFCoupler,(CCName=SD!$C$8)*(CBSize=IF(A174=A175,W174&amp;W175,""))),"")),"N/A"),IF(_xlpm.Coup3=0,"",_xlpm.Coup3))</f>
        <v/>
      </c>
      <c r="DK174" t="str" cm="1">
        <f t="array" ref="DK174">_xlfn.LET(_xlpm.Coup2,IFERROR(IF(A174&lt;&gt;A175,"",IF(DF174="No Lap","",IF(K175="Coupler",_xlfn._xlws.FILTER(CCFCoupler,(CCName=SD!$C$8)*(CBSize=IF(A173=A174,W174&amp;W175,W174&amp;W174))),""))),"N/A"),IF(_xlpm.Coup2=0,"",_xlpm.Coup2))</f>
        <v/>
      </c>
      <c r="DM174" t="str">
        <f>IF(AM174="Spiral","",IF(SD!$C$31=SD!$Y$3,SD!$E$32*2,""))</f>
        <v/>
      </c>
      <c r="DO174" s="24">
        <f t="shared" si="76"/>
        <v>2</v>
      </c>
      <c r="DQ174" t="str">
        <f t="shared" si="77"/>
        <v>Lig</v>
      </c>
      <c r="DR174" t="str">
        <f>IF(AM174="Spiral",((Y174-(SD!$E$12*2))/12),"")</f>
        <v/>
      </c>
      <c r="DS174" t="str">
        <f t="shared" si="78"/>
        <v/>
      </c>
      <c r="DT174" t="str">
        <f t="shared" si="79"/>
        <v/>
      </c>
      <c r="DU174" t="str">
        <f t="shared" si="80"/>
        <v/>
      </c>
    </row>
    <row r="175" spans="1:125" x14ac:dyDescent="0.25">
      <c r="A175">
        <v>58</v>
      </c>
      <c r="B175" t="s">
        <v>664</v>
      </c>
      <c r="C175" s="15">
        <v>2429</v>
      </c>
      <c r="D175" s="15">
        <v>10000</v>
      </c>
      <c r="E175" s="15" t="s">
        <v>704</v>
      </c>
      <c r="F175" s="15" t="s">
        <v>787</v>
      </c>
      <c r="G175" t="s">
        <v>733</v>
      </c>
      <c r="H175" s="15" t="s">
        <v>790</v>
      </c>
      <c r="I175" t="s">
        <v>723</v>
      </c>
      <c r="J175" t="str">
        <f>IF(AND(SD!$C$19=SD!$H$2,Grade!$G$1="Per level"),VLOOKUP(B175,Grade!$E$1:$F$200,2,FALSE),IF(AND(SD!$C$19=SD!$H$2,Grade!$G$1="Per Bar Size"),VLOOKUP(W175,Grade!$B$1:$C$12,2,0),SD!$C$19))</f>
        <v>A615 Grade 60</v>
      </c>
      <c r="K175" t="s">
        <v>67</v>
      </c>
      <c r="L175" t="str">
        <f>IFERROR(IF(A175&lt;&gt;A176,"",IF(DF175="No Lap","",IF(K176="Lap",U175,IF(K176="Coupler",_xlfn._xlws.FILTER(CCoupler,(CCName=SD!$C$8)*(CBSize=IF(A174=A175,W175&amp;W176,W175&amp;W175))*(CCMFM="Male")),"")))),"N/A")</f>
        <v/>
      </c>
      <c r="M175" t="str">
        <f t="shared" si="54"/>
        <v/>
      </c>
      <c r="N175" t="s">
        <v>719</v>
      </c>
      <c r="O175" t="s">
        <v>720</v>
      </c>
      <c r="P175" t="s">
        <v>719</v>
      </c>
      <c r="Q175" t="str">
        <f>IF(AND(SD!$C$29=SD!$P$2,Grade!$O$1="Per level"),VLOOKUP(B175,Grade!$M$1:$N$200,2,FALSE),IF(AND(SD!$C$29=SD!$P$2,Grade!$O$1="Per Bar Size"),VLOOKUP(LEFT(N175,FIND("@",N175)-2),Grade!$J$1:$K$12,2,0),SD!$C$29))</f>
        <v>A615 Grade 60</v>
      </c>
      <c r="R175" t="s">
        <v>725</v>
      </c>
      <c r="S175" s="57">
        <v>175</v>
      </c>
      <c r="U175" t="str">
        <f>IF(Data!$J175="",IFERROR(INDEX(IF(SD!$C$11="Create",Lap!$A$3:$BF$14,IF(SD!$C$11="Per Uploaded File",Lap!$A$19:$BF$30,"")),MATCH(W175,Lap!$A$3:$A$14,0),MATCH(VALUE(D175),Lap!$A$3:$BF$3,0)+IF(IFERROR(FIND("Grade 60",J175),0)&gt;0,0,IF(IFERROR(FIND("Grade 80",J175),0),1,IF(IFERROR(FIND("Grade 75",J175),0),2,"")))),""),Data!J175)</f>
        <v>3-6</v>
      </c>
      <c r="W175" t="s">
        <v>139</v>
      </c>
      <c r="X175">
        <v>6</v>
      </c>
      <c r="Y175" t="str">
        <f t="shared" si="55"/>
        <v xml:space="preserve">14 </v>
      </c>
      <c r="Z175" t="str">
        <f t="shared" si="56"/>
        <v xml:space="preserve"> 24</v>
      </c>
      <c r="AA175" s="24">
        <f t="shared" si="57"/>
        <v>12.25</v>
      </c>
      <c r="BB175" t="e" cm="1">
        <f t="array" ref="BB175">_xlfn.LET(_xlpm.PartF,(_xlfn.LET(_xlpm.grade, Q175,_xlpm.gradeRange, IF(_xlpm.grade=SD!$H$3, A615GR60, IF(_xlpm.grade=SD!$H$4, A615GR75, IF(_xlpm.grade=SD!$H$5, A615GR80, IF(_xlpm.grade=SD!$H$6, A615GR100, IF(_xlpm.grade=SD!$H$7, A706GR60, IF(_xlpm.grade=SD!$H$8, A706GR80)))))),_xlpm.matchValue, MATCH(1, (SD!$AW:$AW=AS175)*(SD!$AX:$AX=SD!$C$8), 0),INDEX(_xlpm.gradeRange, _xlpm.matchValue))),IF(AM175="Spiral",CONCATENATE("SP",_xlpm.PartF),_xlpm.PartF))</f>
        <v>#N/A</v>
      </c>
      <c r="BC175" cm="1">
        <f t="array" ref="BC175">_xlfn.LET(_xlpm.leftPart, LEFT(O175, FIND("@", O175) - 2),_xlpm.grade,Q175,_xlpm.gradeRange,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5" cm="1">
        <f t="array" ref="BD175">_xlfn.LET(_xlpm.leftPart, LEFT(P175, FIND("@", P175) - 2),_xlpm.grade, Q175,_xlpm.gradeRange,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5">
        <f t="shared" si="58"/>
        <v>2</v>
      </c>
      <c r="BF175">
        <f>IF(SD!$C$32=SD!$I$2,BE175,IF(SD!$C$32=SD!$I$3,DO175,IF(SD!$C$32=SD!$I$5,BA175,IF(SD!$C$32=SD!$I$6,(LEFT(SD!$C$35,FIND("-",SD!$C$35)-1)+RIGHT(SD!$C$35,LEN(SD!$C$35)-FIND("-",SD!$C$35))/12),IF(SD!$C$32=SD!$I$4,(AU175-(BG175+BH175)))))))</f>
        <v>0</v>
      </c>
      <c r="BG175">
        <f>IF(SD!$C$33=SD!$I$2,BE175,IF(SD!$C$33=SD!$I$3,DO175,IF(SD!$C$33=SD!$I$5,BA175,IF(SD!$C$33=SD!$I$6,(LEFT(SD!$C$35,FIND("-",SD!$C$35)-1)+RIGHT(SD!$C$35,LEN(SD!$C$35)-FIND("-",SD!$C$35))/12),IF(SD!$C$33=SD!$I$4,(AU175-(BF175+BH175)))))))</f>
        <v>-1</v>
      </c>
      <c r="BH175">
        <f>IF(SD!$C$34=SD!$I$2,BE175,IF(SD!$C$34=SD!$I$3,DO175,IF(SD!$C$34=SD!$I$5,BA175,IF(SD!$C$34=SD!$I$6,(LEFT(SD!$C$35,FIND("-",SD!$C$35)-1)+RIGHT(SD!$C$35,LEN(SD!$C$35)-FIND("-",SD!$C$35))/12),IF(SD!$C$34=SD!$I$4,(AU175-(BF175+BG175)))))))</f>
        <v>1</v>
      </c>
      <c r="BJ175">
        <f>IF(AM175="Spiral","1",MAX(ROUNDUP(IF(SD!$C$32="",AT175,BF175/(LEFT(RIGHT(N175,LEN(N175)-FIND("@",N175)),LEN(RIGHT(N175,LEN(N175)-FIND("@",N175)))-1)/12)+1),0),0))</f>
        <v>1</v>
      </c>
      <c r="BK175">
        <f>MAX(ROUNDUP(IF(SD!$C$33="","",BG175/(LEFT(RIGHT(O175,LEN(O175)-FIND("@",O175)),LEN(RIGHT(O175,LEN(O175)-FIND("@",O175)))-1)/12)+1),0),0)</f>
        <v>0</v>
      </c>
      <c r="BL175">
        <f>MAX(ROUNDUP(IF(SD!$C$34="","",BH175/(LEFT(RIGHT(P175,LEN(P175)-FIND("@",P175)),LEN(RIGHT(P175,LEN(P175)-FIND("@",P175)))-1)/12)+1),0),0)</f>
        <v>3</v>
      </c>
      <c r="BN175" t="e">
        <f t="shared" si="59"/>
        <v>#N/A</v>
      </c>
      <c r="BO175" t="e">
        <f t="shared" si="60"/>
        <v>#N/A</v>
      </c>
      <c r="BP175" t="e">
        <f t="shared" si="61"/>
        <v>#N/A</v>
      </c>
      <c r="BQ175" s="24" t="e">
        <f>IF(AM175=TRUE,(((Y175-(SD!$E$12*2))*3.14159265359)+BN175+BO175+BP175)/12+AL175,SUM(AF175:AG175,BN175,BO175,BP175,AO175,AQ175)/12)</f>
        <v>#N/A</v>
      </c>
      <c r="BR175" t="e">
        <f t="shared" si="62"/>
        <v>#N/A</v>
      </c>
      <c r="BS175" t="e">
        <f t="shared" si="63"/>
        <v>#N/A</v>
      </c>
      <c r="BT175" t="e">
        <f t="shared" si="64"/>
        <v>#N/A</v>
      </c>
      <c r="BU175" s="24" t="e">
        <f>IF(AM175=TRUE,(((Y175-(SD!$E$12*2))*3.14159265359)+BR175+BS175+BT175)/12+AL175,SUM(AF175:AG175,BR175,BS175,BT175,AO175,AQ175)/12)</f>
        <v>#N/A</v>
      </c>
      <c r="BW175" t="str">
        <f>IFERROR(LEFT(Data!L175,FIND(" -",Data!L175)-1),"")</f>
        <v/>
      </c>
      <c r="BX175" t="str">
        <f>IFERROR(IF(SD!$C$40=SD!$U$2,W175,IF(SD!$C$40=SD!$U$3,RIGHT(Data!L175,LEN(Data!L175)-(FIND("-",Data!L175)+1)),SD!$C$40)),"")</f>
        <v>#7</v>
      </c>
      <c r="BY175" cm="1">
        <f t="array" ref="BY175">IFERROR(_xlfn.LET(_xlpm.GRR,IF(AND(SD!$C$19=SD!$H$2,Grade!$G$1="Per level"),VLOOKUP(B175,Grade!$E$1:$F$200,2,FALSE),IF(AND(SD!$C$19=SD!$H$2,Grade!$G$1="Per Bar Size"),VLOOKUP(BX175,Grade!$B$1:$C$12,2,0),SD!$C$19)),_xlpm.is_equal, A174=A175,_xlpm.grade_range, IF(_xlpm.GRR=SD!$H$3, A615GR60,IF(_xlpm.GRR=SD!$H$4, A615GR75,IF(_xlpm.GRR=SD!$H$5, A615GR80,IF(_xlpm.GRR=SD!H179, A615GR100,IF(_xlpm.GRR=SD!$H$7, A706GR60,IF(_xlpm.GRR=SD!$H$8, A706GR80)))))),_xlpm.match_result, MATCH(1, (BSize=BX175)*(BCName=SD!$C$8), 0),_xlpm.final_result, INDEX(_xlpm.grade_range, _xlpm.match_result),IF(_xlpm.is_equal, "", _xlpm.final_result)),"")</f>
        <v>7</v>
      </c>
      <c r="BZ175">
        <f>IF(A174=A175,"",IF(SD!$C$41="Match Vertical Bars ",X175,IF(SD!$C$41=SD!$V$3,BW175,SD!$C$41)))</f>
        <v>6</v>
      </c>
      <c r="CA175" cm="1">
        <f t="array" ref="CA175">IF(A174=A175,"",IF(SD!$C$44="No T-Head",IF(SD!$C$42=SD!$Q$3,VLOOKUP(BX175,S90Range,3,FALSE),LEFT(SD!$C$42,FIND("-",SD!$C$42)-1)+(RIGHT(SD!$C$42,LEN(SD!$C$42)-FIND("-",SD!$C$42))/12)),IF(SD!$C$44="T-Head",_xlfn._xlws.FILTER(THead,(TCName=SD!$C$8)*(TSize=BX175)),IF(SD!$C$44="Level Wise",_xlfn.LET(_xlpm.result,_xlfn.XLOOKUP(B175,VDLevel,VDLevelStatus,"No"),IF(_xlpm.result="Yes",_xlfn._xlws.FILTER(THead,(TCName=SD!$C$8)*(TSize=BX175)),IF(SD!$C$42=SD!$Q$3,VLOOKUP(BX175,S90Range,3,FALSE),LEFT(SD!$C$42,FIND("-",SD!$C$42)-1)+(RIGHT(SD!$C$42,LEN(SD!$C$42)-FIND("-", SD!$C$42))/12)))),IF(SD!$C$44="BarSize Wise",_xlfn.LET(_xlpm.result,_xlfn.XLOOKUP(BX175,VDBarSize,VDBarSizeStatus,"No"),IF(_xlpm.result="Yes",_xlfn._xlws.FILTER(THead,(TCName=SD!$C$8)*(TSize=BX175)),IF(SD!$C$42=SD!$Q$3,VLOOKUP(BX175,S90Range,3,FALSE),LEFT(SD!$C$42,FIND("-",SD!$C$42)-1)+(RIGHT(SD!$C$42,LEN(SD!$C$42)-FIND("-",SD!$C$42))/12)))), "")))))</f>
        <v>1.1666666666666667</v>
      </c>
      <c r="CB175" t="str" cm="1">
        <f t="array" ref="CB175">_xlfn.LET(_xlpm.GRR,IF(AND(SD!$C$19=SD!$H$2,Grade!$G$1="Per level"),VLOOKUP(B175,Grade!$E$1:$F$200,2,FALSE),IF(AND(SD!$C$19=SD!$H$2,Grade!$G$1="Per Bar Size"),VLOOKUP(BX175,Grade!$B$1:$C$12,2,0),SD!$C$19)),_xlpm.is_coupler, K175="Coupler",_xlpm.condition1, SD!$C$43=SD!$W$2,_xlpm.data_j2_empty, Data!$J175="",_xlpm.lookup_table, IF(SD!$C$11="Create", Lap!$A$3:$BF$14, IF(SD!$C$11="Per Uploaded File", Lap!$A$19:$BF$30, "")),_xlpm.row_match, MATCH(BX175, Lap!$A$3:$A$14, 0),_xlpm.grade_offset, IF(IFERROR(FIND("Grade 60",_xlpm.GRR), 0) &gt; 0, 0, IF(IFERROR(FIND("Grade 80",_xlpm.GRR), 0), 1, IF(IFERROR(FIND("Grade 75",_xlpm.GRR), 0), 2, ""))),_xlpm.col_match, MATCH(VALUE(D175), Lap!$A$3:$BF$3, 0) + _xlpm.grade_offset,_xlpm.index_result, IFERROR(INDEX(_xlpm.lookup_table, _xlpm.row_match, _xlpm.col_match), Data!$J175),_xlpm.result_if_condition1, IF(_xlpm.data_j2_empty, _xlpm.index_result, Data!$J175),IF(_xlpm.is_coupler, 0, IF(_xlpm.condition1, _xlpm.result_if_condition1, SD!$C$43)))</f>
        <v>3-6</v>
      </c>
      <c r="CC175" s="24">
        <f t="shared" si="65"/>
        <v>3.5</v>
      </c>
      <c r="CD175">
        <f t="shared" si="66"/>
        <v>8.1666666666666679</v>
      </c>
      <c r="CE175" t="str" cm="1">
        <f t="array" ref="CE175">IF(BY175="","",_xlfn._xlws.FILTER(SAC,(CName=SD!$C$8)*(EName="Vert Dowels")))</f>
        <v>2200 CD</v>
      </c>
      <c r="CF175" t="str" cm="1">
        <f t="array" ref="CF175">IFERROR(IF(BY175="","",IF(K175="Coupler",_xlfn._xlws.FILTER(CCoupler,(CCName=SD!$C$8)*(CBSize=IF(A174=A175,W174&amp;W175,BX175&amp;W175))*(CCMFM="Male")),"")),"N/A")</f>
        <v/>
      </c>
      <c r="CG175" t="str">
        <f t="shared" si="67"/>
        <v/>
      </c>
      <c r="CH175" t="str">
        <f t="shared" si="68"/>
        <v/>
      </c>
      <c r="CI175" t="str">
        <f>_xlfn.LET(_xlpm.u3_value, U176,_xlpm.hyphen_pos,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K176="Coupler",_xlpm.coupler_value, IF(_xlpm.is_coupler, 0, _xlpm.calculated_value),_xlpm.final_value, _xlpm.calculated_value + SD!$E$13 + _xlpm.coupler_value,IF(CG175="", "", _xlpm.final_value))</f>
        <v/>
      </c>
      <c r="CJ175" t="str" cm="1">
        <f t="array" ref="CJ175">IF(CG175="","",_xlfn._xlws.FILTER(SAC,(CName=SD!$C$8)*(EName="Loose Dowels")))</f>
        <v/>
      </c>
      <c r="CK175" t="str" cm="1">
        <f t="array" ref="CK175">IFERROR(IF(CG175="","",IF(K176="Coupler",_xlfn._xlws.FILTER(CCoupler,(CCName=SD!$C$8)*(CBSize=IF(A175=A176,W175&amp;W176,""))*(CCMFM="Male")),"")),"N/A")</f>
        <v/>
      </c>
      <c r="CL175">
        <f>IFERROR(IF(AM175="Spiral","",IF(A174=A175,"",IF(SD!$C$37=0,"",SD!$C$37))),"")</f>
        <v>3</v>
      </c>
      <c r="CN175">
        <f>IF(AM175="Spiral","",IFERROR(IF(SD!$C$36=0,"",SD!$C$36),""))</f>
        <v>5</v>
      </c>
      <c r="CP175">
        <f>IFERROR(IF(SD!$C$42=SD!$Q$3,'Take-off'!CA175,""),"")</f>
        <v>1.1666666666666667</v>
      </c>
      <c r="CR175">
        <f>IFERROR(IF(SD!$C$22=SD!$U$2,W175,SD!$C$22),"")</f>
        <v>0</v>
      </c>
      <c r="CS175" t="str" cm="1">
        <f t="array" ref="CS175">_xlfn.LET(_xlpm.GR,IF(AND(SD!$C$19=SD!$H$2,Grade!$G$1="Per level"),VLOOKUP(B175,Grade!$E$1:$F$200,2,FALSE),IF(AND(SD!$C$19=SD!$H$2,Grade!$G$1="Per Bar Size"),VLOOKUP(CR175,Grade!$B$1:$C$12,2,0),SD!$C$19)),IF(SD!$C$20=SD!$R$4,IF(A176=A175,"",INDEX(IF(_xlpm.GR=SD!$H$3,A615GR60,IF(_xlpm.GR=SD!$H$4,A615GR75,IF(_xlpm.GR=SD!$H$5,A615GR80,IF(_xlpm.GR=SD!H179,A615GR100,IF(_xlpm.GR=SD!$H$7,A706GR60,IF(_xlpm.GR=SD!$H$8,A706GR80)))))), MATCH(1, (BSize=CR175)*(BCName=SD!$C$8), 0))),""))</f>
        <v/>
      </c>
      <c r="CT175">
        <f>IF(A176=A175,"",IF(SD!$C$23="Match Vertical Bars ",X175,SD!$C$23))</f>
        <v>0</v>
      </c>
      <c r="CU175" t="str" cm="1">
        <f t="array" ref="CU175">IF(A176=A175,"",IF(SD!$C$20="Top dowels",IF(SD!$E$25="No T-Head",IF(SD!$C$24=SD!$Q$3,VLOOKUP(CR175,S90Range,3,FALSE),LEFT(SD!$C$24,FIND("-",SD!$C$24)-1)+(RIGHT(SD!$C$24,LEN(SD!$C$24)-FIND("-",SD!$C$24))/12)),IF(SD!$E$25="T-Head",_xlfn._xlws.FILTER(THead,(TCName=SD!$C$8)*(TSize=CR175)),IF(SD!$E$25="Level Wise",_xlfn.LET(_xlpm.result,_xlfn.XLOOKUP(B175,TDLevel,TDLevelStatus,"No"),IF(_xlpm.result="Yes",_xlfn._xlws.FILTER(THead,(TCName=SD!$C$8)*(TSize=CR175)),IF(SD!$C$24=SD!$Q$3,VLOOKUP(CR175,S90Range,3,FALSE),LEFT(SD!$C$24,FIND("-",SD!$C$24)-1)+(RIGHT(SD!$C$24,LEN(SD!$C$24)-FIND("-", SD!$C$24))/12)))),IF(SD!$E$25="BarSize Wise",_xlfn.LET(_xlpm.result,_xlfn.XLOOKUP(CR175,TDBarSize,TDBarSizeStatus,"No"),IF(_xlpm.result="Yes",_xlfn._xlws.FILTER(THead,(TCName=SD!$C$8)*(TSize=CR175)),IF(SD!$C$24=SD!$Q$3,VLOOKUP(CR175,S90Range,3,FALSE),LEFT(SD!$C$24,FIND("-",SD!$C$24)-1)+(RIGHT(SD!$C$24,LEN(SD!$C$24)-FIND("-",SD!$C$24))/12)))), "")))),""))</f>
        <v/>
      </c>
      <c r="CV175" t="str">
        <f>_xlfn.LET(_xlpm.GRR,IF(AND(SD!$C$19=SD!$H$2,Grade!$G$1="Per level"),VLOOKUP(B175,Grade!$E$1:$F$200,2,FALSE),IF(AND(SD!$C$19=SD!$H$2,Grade!$G$1="Per Bar Size"),VLOOKUP(CR175,Grade!$B$1:$C$12,2,0),SD!$C$19)),IF(SD!$C$25=SD!$W$2,IF(Data!$J175="",IFERROR(INDEX(IF(SD!$C$11="Create",Lap!$A$3:$BF$14,IF(SD!$C$11="Per Uploaded File",Lap!$A$19:$BF$30,"")),MATCH(CR175,Lap!$A$3:$A$14,0),MATCH(VALUE(D175),Lap!$A$3:$BF$3,0)+IF(IFERROR(FIND("Grade 60",_xlpm.GRR),0)&gt;0,0,IF(IFERROR(FIND("Grade 80",_xlpm.GRR),0),1,IF(IFERROR(FIND("Grade 75",_xlpm.GRR),0),2,"")))),""),Data!J175),SD!$C$43))</f>
        <v>Match Lap</v>
      </c>
      <c r="CW175">
        <f t="shared" si="69"/>
        <v>0</v>
      </c>
      <c r="CX175">
        <f t="shared" si="70"/>
        <v>0</v>
      </c>
      <c r="CY175" t="str">
        <f t="shared" si="71"/>
        <v/>
      </c>
      <c r="DA175">
        <f t="shared" si="72"/>
        <v>58</v>
      </c>
      <c r="DB175" t="str">
        <f t="shared" si="73"/>
        <v>12-3</v>
      </c>
      <c r="DC175" s="24">
        <f t="shared" si="74"/>
        <v>12.25</v>
      </c>
      <c r="DD175">
        <f t="shared" si="75"/>
        <v>12.25</v>
      </c>
      <c r="DE175" t="s">
        <v>733</v>
      </c>
      <c r="DF175" t="s">
        <v>67</v>
      </c>
      <c r="DG175" t="str">
        <f>VLOOKUP(W175,'Level Wise PSI'!$F$2:$G$12,2,FALSE)</f>
        <v>Double Lift</v>
      </c>
      <c r="DI175" t="str" cm="1">
        <f t="array" ref="DI175">_xlfn.LET(_xlpm.Coup,IFERROR(IF(BY175="","",IF(K175="Coupler",_xlfn._xlws.FILTER(CCFCoupler,(CCName=SD!$C$8)*(CBSize=IF(A174=A175,W174&amp;W175,BX175&amp;W175))),"")),"N/A"),IF(_xlpm.Coup=0,"",_xlpm.Coup))</f>
        <v/>
      </c>
      <c r="DJ175" t="str" cm="1">
        <f t="array" ref="DJ175">_xlfn.LET(_xlpm.Coup3,IFERROR(IF(CG175="","",IF(K176="Coupler",_xlfn._xlws.FILTER(CCFCoupler,(CCName=SD!$C$8)*(CBSize=IF(A175=A176,W175&amp;W176,""))),"")),"N/A"),IF(_xlpm.Coup3=0,"",_xlpm.Coup3))</f>
        <v/>
      </c>
      <c r="DK175" t="str" cm="1">
        <f t="array" ref="DK175">_xlfn.LET(_xlpm.Coup2,IFERROR(IF(A175&lt;&gt;A176,"",IF(DF175="No Lap","",IF(K176="Coupler",_xlfn._xlws.FILTER(CCFCoupler,(CCName=SD!$C$8)*(CBSize=IF(A174=A175,W175&amp;W176,W175&amp;W175))),""))),"N/A"),IF(_xlpm.Coup2=0,"",_xlpm.Coup2))</f>
        <v/>
      </c>
      <c r="DM175" t="str">
        <f>IF(AM175="Spiral","",IF(SD!$C$31=SD!$Y$3,SD!$E$32*2,""))</f>
        <v/>
      </c>
      <c r="DO175" s="24">
        <f t="shared" si="76"/>
        <v>2</v>
      </c>
      <c r="DQ175" t="str">
        <f t="shared" si="77"/>
        <v>Lig</v>
      </c>
      <c r="DR175" t="str">
        <f>IF(AM175="Spiral",((Y175-(SD!$E$12*2))/12),"")</f>
        <v/>
      </c>
      <c r="DS175" t="str">
        <f t="shared" si="78"/>
        <v/>
      </c>
      <c r="DT175" t="str">
        <f t="shared" si="79"/>
        <v/>
      </c>
      <c r="DU175" t="str">
        <f t="shared" si="80"/>
        <v/>
      </c>
    </row>
    <row r="176" spans="1:125" x14ac:dyDescent="0.25">
      <c r="A176">
        <v>59</v>
      </c>
      <c r="B176" t="s">
        <v>664</v>
      </c>
      <c r="C176" s="15">
        <v>2429</v>
      </c>
      <c r="D176" s="15">
        <v>10000</v>
      </c>
      <c r="E176" t="str">
        <f>IF(B176=Level!$A$2,SD!$C$14,SD!$C$13)</f>
        <v>3-0</v>
      </c>
      <c r="F176" s="15" t="s">
        <v>787</v>
      </c>
      <c r="G176" t="s">
        <v>733</v>
      </c>
      <c r="H176" s="15" t="s">
        <v>788</v>
      </c>
      <c r="I176" t="s">
        <v>723</v>
      </c>
      <c r="J176" t="str">
        <f>IF(AND(SD!$C$19=SD!$H$2,Grade!$G$1="Per level"),VLOOKUP(B176,Grade!$E$1:$F$200,2,FALSE),IF(AND(SD!$C$19=SD!$H$2,Grade!$G$1="Per Bar Size"),VLOOKUP(W176,Grade!$B$1:$C$12,2,0),SD!$C$19))</f>
        <v>A615 Grade 60</v>
      </c>
      <c r="K176" t="s">
        <v>67</v>
      </c>
      <c r="L176" t="str">
        <f>IFERROR(IF(A176&lt;&gt;A177,"",IF(DF176="No Lap","",IF(K177="Lap",U176,IF(K177="Coupler",_xlfn._xlws.FILTER(CCoupler,(CCName=SD!$C$8)*(CBSize=IF(A175=A176,W176&amp;W177,W176&amp;W176))*(CCMFM="Male")),"")))),"N/A")</f>
        <v/>
      </c>
      <c r="M176" t="str">
        <f t="shared" si="54"/>
        <v/>
      </c>
      <c r="N176" t="s">
        <v>719</v>
      </c>
      <c r="O176" t="s">
        <v>720</v>
      </c>
      <c r="P176" t="s">
        <v>719</v>
      </c>
      <c r="Q176" t="str">
        <f>IF(AND(SD!$C$29=SD!$P$2,Grade!$O$1="Per level"),VLOOKUP(B176,Grade!$M$1:$N$200,2,FALSE),IF(AND(SD!$C$29=SD!$P$2,Grade!$O$1="Per Bar Size"),VLOOKUP(LEFT(N176,FIND("@",N176)-2),Grade!$J$1:$K$12,2,0),SD!$C$29))</f>
        <v>A615 Grade 60</v>
      </c>
      <c r="R176" t="s">
        <v>725</v>
      </c>
      <c r="S176" s="57">
        <v>176</v>
      </c>
      <c r="U176" t="str">
        <f>IF(Data!$J176="",IFERROR(INDEX(IF(SD!$C$11="Create",Lap!$A$3:$BF$14,IF(SD!$C$11="Per Uploaded File",Lap!$A$19:$BF$30,"")),MATCH(W176,Lap!$A$3:$A$14,0),MATCH(VALUE(D176),Lap!$A$3:$BF$3,0)+IF(IFERROR(FIND("Grade 60",J176),0)&gt;0,0,IF(IFERROR(FIND("Grade 80",J176),0),1,IF(IFERROR(FIND("Grade 75",J176),0),2,"")))),""),Data!J176)</f>
        <v>3-6</v>
      </c>
      <c r="W176" t="s">
        <v>139</v>
      </c>
      <c r="X176">
        <v>6</v>
      </c>
      <c r="Y176" t="str">
        <f t="shared" si="55"/>
        <v xml:space="preserve">14 </v>
      </c>
      <c r="Z176" t="str">
        <f t="shared" si="56"/>
        <v xml:space="preserve"> 24</v>
      </c>
      <c r="AA176" s="24">
        <f t="shared" si="57"/>
        <v>19.583333333333332</v>
      </c>
      <c r="BB176" t="e" cm="1">
        <f t="array" ref="BB176">_xlfn.LET(_xlpm.PartF,(_xlfn.LET(_xlpm.grade, Q176,_xlpm.gradeRange, IF(_xlpm.grade=SD!$H$3, A615GR60, IF(_xlpm.grade=SD!$H$4, A615GR75, IF(_xlpm.grade=SD!$H$5, A615GR80, IF(_xlpm.grade=SD!$H$6, A615GR100, IF(_xlpm.grade=SD!$H$7, A706GR60, IF(_xlpm.grade=SD!$H$8, A706GR80)))))),_xlpm.matchValue, MATCH(1, (SD!$AW:$AW=AS176)*(SD!$AX:$AX=SD!$C$8), 0),INDEX(_xlpm.gradeRange, _xlpm.matchValue))),IF(AM176="Spiral",CONCATENATE("SP",_xlpm.PartF),_xlpm.PartF))</f>
        <v>#N/A</v>
      </c>
      <c r="BC176" cm="1">
        <f t="array" ref="BC176">_xlfn.LET(_xlpm.leftPart, LEFT(O176, FIND("@", O176) - 2),_xlpm.grade,Q176,_xlpm.gradeRange,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6" cm="1">
        <f t="array" ref="BD176">_xlfn.LET(_xlpm.leftPart, LEFT(P176, FIND("@", P176) - 2),_xlpm.grade, Q176,_xlpm.gradeRange,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6">
        <f t="shared" si="58"/>
        <v>2</v>
      </c>
      <c r="BF176">
        <f>IF(SD!$C$32=SD!$I$2,BE176,IF(SD!$C$32=SD!$I$3,DO176,IF(SD!$C$32=SD!$I$5,BA176,IF(SD!$C$32=SD!$I$6,(LEFT(SD!$C$35,FIND("-",SD!$C$35)-1)+RIGHT(SD!$C$35,LEN(SD!$C$35)-FIND("-",SD!$C$35))/12),IF(SD!$C$32=SD!$I$4,(AU176-(BG176+BH176)))))))</f>
        <v>0</v>
      </c>
      <c r="BG176">
        <f>IF(SD!$C$33=SD!$I$2,BE176,IF(SD!$C$33=SD!$I$3,DO176,IF(SD!$C$33=SD!$I$5,BA176,IF(SD!$C$33=SD!$I$6,(LEFT(SD!$C$35,FIND("-",SD!$C$35)-1)+RIGHT(SD!$C$35,LEN(SD!$C$35)-FIND("-",SD!$C$35))/12),IF(SD!$C$33=SD!$I$4,(AU176-(BF176+BH176)))))))</f>
        <v>-1</v>
      </c>
      <c r="BH176">
        <f>IF(SD!$C$34=SD!$I$2,BE176,IF(SD!$C$34=SD!$I$3,DO176,IF(SD!$C$34=SD!$I$5,BA176,IF(SD!$C$34=SD!$I$6,(LEFT(SD!$C$35,FIND("-",SD!$C$35)-1)+RIGHT(SD!$C$35,LEN(SD!$C$35)-FIND("-",SD!$C$35))/12),IF(SD!$C$34=SD!$I$4,(AU176-(BF176+BG176)))))))</f>
        <v>1</v>
      </c>
      <c r="BJ176">
        <f>IF(AM176="Spiral","1",MAX(ROUNDUP(IF(SD!$C$32="",AT176,BF176/(LEFT(RIGHT(N176,LEN(N176)-FIND("@",N176)),LEN(RIGHT(N176,LEN(N176)-FIND("@",N176)))-1)/12)+1),0),0))</f>
        <v>1</v>
      </c>
      <c r="BK176">
        <f>MAX(ROUNDUP(IF(SD!$C$33="","",BG176/(LEFT(RIGHT(O176,LEN(O176)-FIND("@",O176)),LEN(RIGHT(O176,LEN(O176)-FIND("@",O176)))-1)/12)+1),0),0)</f>
        <v>0</v>
      </c>
      <c r="BL176">
        <f>MAX(ROUNDUP(IF(SD!$C$34="","",BH176/(LEFT(RIGHT(P176,LEN(P176)-FIND("@",P176)),LEN(RIGHT(P176,LEN(P176)-FIND("@",P176)))-1)/12)+1),0),0)</f>
        <v>3</v>
      </c>
      <c r="BN176" t="e">
        <f t="shared" si="59"/>
        <v>#N/A</v>
      </c>
      <c r="BO176" t="e">
        <f t="shared" si="60"/>
        <v>#N/A</v>
      </c>
      <c r="BP176" t="e">
        <f t="shared" si="61"/>
        <v>#N/A</v>
      </c>
      <c r="BQ176" s="24" t="e">
        <f>IF(AM176=TRUE,(((Y176-(SD!$E$12*2))*3.14159265359)+BN176+BO176+BP176)/12+AL176,SUM(AF176:AG176,BN176,BO176,BP176,AO176,AQ176)/12)</f>
        <v>#N/A</v>
      </c>
      <c r="BR176" t="e">
        <f t="shared" si="62"/>
        <v>#N/A</v>
      </c>
      <c r="BS176" t="e">
        <f t="shared" si="63"/>
        <v>#N/A</v>
      </c>
      <c r="BT176" t="e">
        <f t="shared" si="64"/>
        <v>#N/A</v>
      </c>
      <c r="BU176" s="24" t="e">
        <f>IF(AM176=TRUE,(((Y176-(SD!$E$12*2))*3.14159265359)+BR176+BS176+BT176)/12+AL176,SUM(AF176:AG176,BR176,BS176,BT176,AO176,AQ176)/12)</f>
        <v>#N/A</v>
      </c>
      <c r="BW176" t="str">
        <f>IFERROR(LEFT(Data!L176,FIND(" -",Data!L176)-1),"")</f>
        <v/>
      </c>
      <c r="BX176" t="str">
        <f>IFERROR(IF(SD!$C$40=SD!$U$2,W176,IF(SD!$C$40=SD!$U$3,RIGHT(Data!L176,LEN(Data!L176)-(FIND("-",Data!L176)+1)),SD!$C$40)),"")</f>
        <v>#7</v>
      </c>
      <c r="BY176" cm="1">
        <f t="array" ref="BY176">IFERROR(_xlfn.LET(_xlpm.GRR,IF(AND(SD!$C$19=SD!$H$2,Grade!$G$1="Per level"),VLOOKUP(B176,Grade!$E$1:$F$200,2,FALSE),IF(AND(SD!$C$19=SD!$H$2,Grade!$G$1="Per Bar Size"),VLOOKUP(BX176,Grade!$B$1:$C$12,2,0),SD!$C$19)),_xlpm.is_equal, A175=A176,_xlpm.grade_range, IF(_xlpm.GRR=SD!$H$3, A615GR60,IF(_xlpm.GRR=SD!$H$4, A615GR75,IF(_xlpm.GRR=SD!$H$5, A615GR80,IF(_xlpm.GRR=SD!H180, A615GR100,IF(_xlpm.GRR=SD!$H$7, A706GR60,IF(_xlpm.GRR=SD!$H$8, A706GR80)))))),_xlpm.match_result, MATCH(1, (BSize=BX176)*(BCName=SD!$C$8), 0),_xlpm.final_result, INDEX(_xlpm.grade_range, _xlpm.match_result),IF(_xlpm.is_equal, "", _xlpm.final_result)),"")</f>
        <v>7</v>
      </c>
      <c r="BZ176">
        <f>IF(A175=A176,"",IF(SD!$C$41="Match Vertical Bars ",X176,IF(SD!$C$41=SD!$V$3,BW176,SD!$C$41)))</f>
        <v>6</v>
      </c>
      <c r="CA176" cm="1">
        <f t="array" ref="CA176">IF(A175=A176,"",IF(SD!$C$44="No T-Head",IF(SD!$C$42=SD!$Q$3,VLOOKUP(BX176,S90Range,3,FALSE),LEFT(SD!$C$42,FIND("-",SD!$C$42)-1)+(RIGHT(SD!$C$42,LEN(SD!$C$42)-FIND("-",SD!$C$42))/12)),IF(SD!$C$44="T-Head",_xlfn._xlws.FILTER(THead,(TCName=SD!$C$8)*(TSize=BX176)),IF(SD!$C$44="Level Wise",_xlfn.LET(_xlpm.result,_xlfn.XLOOKUP(B176,VDLevel,VDLevelStatus,"No"),IF(_xlpm.result="Yes",_xlfn._xlws.FILTER(THead,(TCName=SD!$C$8)*(TSize=BX176)),IF(SD!$C$42=SD!$Q$3,VLOOKUP(BX176,S90Range,3,FALSE),LEFT(SD!$C$42,FIND("-",SD!$C$42)-1)+(RIGHT(SD!$C$42,LEN(SD!$C$42)-FIND("-", SD!$C$42))/12)))),IF(SD!$C$44="BarSize Wise",_xlfn.LET(_xlpm.result,_xlfn.XLOOKUP(BX176,VDBarSize,VDBarSizeStatus,"No"),IF(_xlpm.result="Yes",_xlfn._xlws.FILTER(THead,(TCName=SD!$C$8)*(TSize=BX176)),IF(SD!$C$42=SD!$Q$3,VLOOKUP(BX176,S90Range,3,FALSE),LEFT(SD!$C$42,FIND("-",SD!$C$42)-1)+(RIGHT(SD!$C$42,LEN(SD!$C$42)-FIND("-",SD!$C$42))/12)))), "")))))</f>
        <v>1.1666666666666667</v>
      </c>
      <c r="CB176" t="str" cm="1">
        <f t="array" ref="CB176">_xlfn.LET(_xlpm.GRR,IF(AND(SD!$C$19=SD!$H$2,Grade!$G$1="Per level"),VLOOKUP(B176,Grade!$E$1:$F$200,2,FALSE),IF(AND(SD!$C$19=SD!$H$2,Grade!$G$1="Per Bar Size"),VLOOKUP(BX176,Grade!$B$1:$C$12,2,0),SD!$C$19)),_xlpm.is_coupler, K176="Coupler",_xlpm.condition1, SD!$C$43=SD!$W$2,_xlpm.data_j2_empty, Data!$J176="",_xlpm.lookup_table, IF(SD!$C$11="Create", Lap!$A$3:$BF$14, IF(SD!$C$11="Per Uploaded File", Lap!$A$19:$BF$30, "")),_xlpm.row_match, MATCH(BX176, Lap!$A$3:$A$14, 0),_xlpm.grade_offset, IF(IFERROR(FIND("Grade 60",_xlpm.GRR), 0) &gt; 0, 0, IF(IFERROR(FIND("Grade 80",_xlpm.GRR), 0), 1, IF(IFERROR(FIND("Grade 75",_xlpm.GRR), 0), 2, ""))),_xlpm.col_match, MATCH(VALUE(D176), Lap!$A$3:$BF$3, 0) + _xlpm.grade_offset,_xlpm.index_result, IFERROR(INDEX(_xlpm.lookup_table, _xlpm.row_match, _xlpm.col_match), Data!$J176),_xlpm.result_if_condition1, IF(_xlpm.data_j2_empty, _xlpm.index_result, Data!$J176),IF(_xlpm.is_coupler, 0, IF(_xlpm.condition1, _xlpm.result_if_condition1, SD!$C$43)))</f>
        <v>3-6</v>
      </c>
      <c r="CC176" s="24">
        <f t="shared" si="65"/>
        <v>3.5</v>
      </c>
      <c r="CD176">
        <f t="shared" si="66"/>
        <v>7.666666666666667</v>
      </c>
      <c r="CE176" t="str" cm="1">
        <f t="array" ref="CE176">IF(BY176="","",_xlfn._xlws.FILTER(SAC,(CName=SD!$C$8)*(EName="Vert Dowels")))</f>
        <v>2200 CD</v>
      </c>
      <c r="CF176" t="str" cm="1">
        <f t="array" ref="CF176">IFERROR(IF(BY176="","",IF(K176="Coupler",_xlfn._xlws.FILTER(CCoupler,(CCName=SD!$C$8)*(CBSize=IF(A175=A176,W175&amp;W176,BX176&amp;W176))*(CCMFM="Male")),"")),"N/A")</f>
        <v/>
      </c>
      <c r="CG176" t="str">
        <f t="shared" si="67"/>
        <v/>
      </c>
      <c r="CH176" t="str">
        <f t="shared" si="68"/>
        <v/>
      </c>
      <c r="CI176" t="str">
        <f>_xlfn.LET(_xlpm.u3_value, U177,_xlpm.hyphen_pos,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K177="Coupler",_xlpm.coupler_value, IF(_xlpm.is_coupler, 0, _xlpm.calculated_value),_xlpm.final_value, _xlpm.calculated_value + SD!$E$13 + _xlpm.coupler_value,IF(CG176="", "", _xlpm.final_value))</f>
        <v/>
      </c>
      <c r="CJ176" t="str" cm="1">
        <f t="array" ref="CJ176">IF(CG176="","",_xlfn._xlws.FILTER(SAC,(CName=SD!$C$8)*(EName="Loose Dowels")))</f>
        <v/>
      </c>
      <c r="CK176" t="str" cm="1">
        <f t="array" ref="CK176">IFERROR(IF(CG176="","",IF(K177="Coupler",_xlfn._xlws.FILTER(CCoupler,(CCName=SD!$C$8)*(CBSize=IF(A176=A177,W176&amp;W177,""))*(CCMFM="Male")),"")),"N/A")</f>
        <v/>
      </c>
      <c r="CL176">
        <f>IFERROR(IF(AM176="Spiral","",IF(A175=A176,"",IF(SD!$C$37=0,"",SD!$C$37))),"")</f>
        <v>3</v>
      </c>
      <c r="CN176">
        <f>IF(AM176="Spiral","",IFERROR(IF(SD!$C$36=0,"",SD!$C$36),""))</f>
        <v>5</v>
      </c>
      <c r="CP176">
        <f>IFERROR(IF(SD!$C$42=SD!$Q$3,'Take-off'!CA176,""),"")</f>
        <v>1.1666666666666667</v>
      </c>
      <c r="CR176">
        <f>IFERROR(IF(SD!$C$22=SD!$U$2,W176,SD!$C$22),"")</f>
        <v>0</v>
      </c>
      <c r="CS176" t="str" cm="1">
        <f t="array" ref="CS176">_xlfn.LET(_xlpm.GR,IF(AND(SD!$C$19=SD!$H$2,Grade!$G$1="Per level"),VLOOKUP(B176,Grade!$E$1:$F$200,2,FALSE),IF(AND(SD!$C$19=SD!$H$2,Grade!$G$1="Per Bar Size"),VLOOKUP(CR176,Grade!$B$1:$C$12,2,0),SD!$C$19)),IF(SD!$C$20=SD!$R$4,IF(A177=A176,"",INDEX(IF(_xlpm.GR=SD!$H$3,A615GR60,IF(_xlpm.GR=SD!$H$4,A615GR75,IF(_xlpm.GR=SD!$H$5,A615GR80,IF(_xlpm.GR=SD!H180,A615GR100,IF(_xlpm.GR=SD!$H$7,A706GR60,IF(_xlpm.GR=SD!$H$8,A706GR80)))))), MATCH(1, (BSize=CR176)*(BCName=SD!$C$8), 0))),""))</f>
        <v/>
      </c>
      <c r="CT176">
        <f>IF(A177=A176,"",IF(SD!$C$23="Match Vertical Bars ",X176,SD!$C$23))</f>
        <v>0</v>
      </c>
      <c r="CU176" t="str" cm="1">
        <f t="array" ref="CU176">IF(A177=A176,"",IF(SD!$C$20="Top dowels",IF(SD!$E$25="No T-Head",IF(SD!$C$24=SD!$Q$3,VLOOKUP(CR176,S90Range,3,FALSE),LEFT(SD!$C$24,FIND("-",SD!$C$24)-1)+(RIGHT(SD!$C$24,LEN(SD!$C$24)-FIND("-",SD!$C$24))/12)),IF(SD!$E$25="T-Head",_xlfn._xlws.FILTER(THead,(TCName=SD!$C$8)*(TSize=CR176)),IF(SD!$E$25="Level Wise",_xlfn.LET(_xlpm.result,_xlfn.XLOOKUP(B176,TDLevel,TDLevelStatus,"No"),IF(_xlpm.result="Yes",_xlfn._xlws.FILTER(THead,(TCName=SD!$C$8)*(TSize=CR176)),IF(SD!$C$24=SD!$Q$3,VLOOKUP(CR176,S90Range,3,FALSE),LEFT(SD!$C$24,FIND("-",SD!$C$24)-1)+(RIGHT(SD!$C$24,LEN(SD!$C$24)-FIND("-", SD!$C$24))/12)))),IF(SD!$E$25="BarSize Wise",_xlfn.LET(_xlpm.result,_xlfn.XLOOKUP(CR176,TDBarSize,TDBarSizeStatus,"No"),IF(_xlpm.result="Yes",_xlfn._xlws.FILTER(THead,(TCName=SD!$C$8)*(TSize=CR176)),IF(SD!$C$24=SD!$Q$3,VLOOKUP(CR176,S90Range,3,FALSE),LEFT(SD!$C$24,FIND("-",SD!$C$24)-1)+(RIGHT(SD!$C$24,LEN(SD!$C$24)-FIND("-",SD!$C$24))/12)))), "")))),""))</f>
        <v/>
      </c>
      <c r="CV176" t="str">
        <f>_xlfn.LET(_xlpm.GRR,IF(AND(SD!$C$19=SD!$H$2,Grade!$G$1="Per level"),VLOOKUP(B176,Grade!$E$1:$F$200,2,FALSE),IF(AND(SD!$C$19=SD!$H$2,Grade!$G$1="Per Bar Size"),VLOOKUP(CR176,Grade!$B$1:$C$12,2,0),SD!$C$19)),IF(SD!$C$25=SD!$W$2,IF(Data!$J176="",IFERROR(INDEX(IF(SD!$C$11="Create",Lap!$A$3:$BF$14,IF(SD!$C$11="Per Uploaded File",Lap!$A$19:$BF$30,"")),MATCH(CR176,Lap!$A$3:$A$14,0),MATCH(VALUE(D176),Lap!$A$3:$BF$3,0)+IF(IFERROR(FIND("Grade 60",_xlpm.GRR),0)&gt;0,0,IF(IFERROR(FIND("Grade 80",_xlpm.GRR),0),1,IF(IFERROR(FIND("Grade 75",_xlpm.GRR),0),2,"")))),""),Data!J176),SD!$C$43))</f>
        <v>Match Lap</v>
      </c>
      <c r="CW176">
        <f t="shared" si="69"/>
        <v>0</v>
      </c>
      <c r="CX176">
        <f t="shared" si="70"/>
        <v>0</v>
      </c>
      <c r="CY176" t="str">
        <f t="shared" si="71"/>
        <v/>
      </c>
      <c r="DA176">
        <f t="shared" si="72"/>
        <v>59</v>
      </c>
      <c r="DB176" t="str">
        <f t="shared" si="73"/>
        <v>19-7</v>
      </c>
      <c r="DC176" s="24">
        <f t="shared" si="74"/>
        <v>19.583333333333332</v>
      </c>
      <c r="DD176">
        <f t="shared" si="75"/>
        <v>19.583333333333332</v>
      </c>
      <c r="DE176" t="s">
        <v>733</v>
      </c>
      <c r="DF176" t="s">
        <v>67</v>
      </c>
      <c r="DG176" t="str">
        <f>VLOOKUP(W176,'Level Wise PSI'!$F$2:$G$12,2,FALSE)</f>
        <v>Double Lift</v>
      </c>
      <c r="DI176" t="str" cm="1">
        <f t="array" ref="DI176">_xlfn.LET(_xlpm.Coup,IFERROR(IF(BY176="","",IF(K176="Coupler",_xlfn._xlws.FILTER(CCFCoupler,(CCName=SD!$C$8)*(CBSize=IF(A175=A176,W175&amp;W176,BX176&amp;W176))),"")),"N/A"),IF(_xlpm.Coup=0,"",_xlpm.Coup))</f>
        <v/>
      </c>
      <c r="DJ176" t="str" cm="1">
        <f t="array" ref="DJ176">_xlfn.LET(_xlpm.Coup3,IFERROR(IF(CG176="","",IF(K177="Coupler",_xlfn._xlws.FILTER(CCFCoupler,(CCName=SD!$C$8)*(CBSize=IF(A176=A177,W176&amp;W177,""))),"")),"N/A"),IF(_xlpm.Coup3=0,"",_xlpm.Coup3))</f>
        <v/>
      </c>
      <c r="DK176" t="str" cm="1">
        <f t="array" ref="DK176">_xlfn.LET(_xlpm.Coup2,IFERROR(IF(A176&lt;&gt;A177,"",IF(DF176="No Lap","",IF(K177="Coupler",_xlfn._xlws.FILTER(CCFCoupler,(CCName=SD!$C$8)*(CBSize=IF(A175=A176,W176&amp;W177,W176&amp;W176))),""))),"N/A"),IF(_xlpm.Coup2=0,"",_xlpm.Coup2))</f>
        <v/>
      </c>
      <c r="DM176" t="str">
        <f>IF(AM176="Spiral","",IF(SD!$C$31=SD!$Y$3,SD!$E$32*2,""))</f>
        <v/>
      </c>
      <c r="DO176" s="24">
        <f t="shared" si="76"/>
        <v>2</v>
      </c>
      <c r="DQ176" t="str">
        <f t="shared" si="77"/>
        <v>Lig</v>
      </c>
      <c r="DR176" t="str">
        <f>IF(AM176="Spiral",((Y176-(SD!$E$12*2))/12),"")</f>
        <v/>
      </c>
      <c r="DS176" t="str">
        <f t="shared" si="78"/>
        <v/>
      </c>
      <c r="DT176" t="str">
        <f t="shared" si="79"/>
        <v/>
      </c>
      <c r="DU176" t="str">
        <f t="shared" si="80"/>
        <v/>
      </c>
    </row>
    <row r="177" spans="1:125" x14ac:dyDescent="0.25">
      <c r="A177">
        <v>6</v>
      </c>
      <c r="B177" t="s">
        <v>664</v>
      </c>
      <c r="C177" s="15">
        <v>2429</v>
      </c>
      <c r="D177" s="15">
        <v>10000</v>
      </c>
      <c r="E177" t="str">
        <f>IF(B177=Level!$A$2,SD!$C$14,SD!$C$13)</f>
        <v>3-0</v>
      </c>
      <c r="F177" s="15" t="s">
        <v>787</v>
      </c>
      <c r="G177" t="s">
        <v>726</v>
      </c>
      <c r="H177" s="15" t="s">
        <v>788</v>
      </c>
      <c r="I177" t="s">
        <v>727</v>
      </c>
      <c r="J177" t="str">
        <f>IF(AND(SD!$C$19=SD!$H$2,Grade!$G$1="Per level"),VLOOKUP(B177,Grade!$E$1:$F$200,2,FALSE),IF(AND(SD!$C$19=SD!$H$2,Grade!$G$1="Per Bar Size"),VLOOKUP(W177,Grade!$B$1:$C$12,2,0),SD!$C$19))</f>
        <v>A615 Grade 60</v>
      </c>
      <c r="K177" t="s">
        <v>67</v>
      </c>
      <c r="L177" t="str">
        <f>IFERROR(IF(A177&lt;&gt;A178,"",IF(DF177="No Lap","",IF(K178="Lap",U177,IF(K178="Coupler",_xlfn._xlws.FILTER(CCoupler,(CCName=SD!$C$8)*(CBSize=IF(A176=A177,W177&amp;W178,W177&amp;W177))*(CCMFM="Male")),"")))),"N/A")</f>
        <v/>
      </c>
      <c r="M177" t="str">
        <f t="shared" si="54"/>
        <v/>
      </c>
      <c r="N177" t="s">
        <v>719</v>
      </c>
      <c r="O177" t="s">
        <v>720</v>
      </c>
      <c r="P177" t="s">
        <v>719</v>
      </c>
      <c r="Q177" t="str">
        <f>IF(AND(SD!$C$29=SD!$P$2,Grade!$O$1="Per level"),VLOOKUP(B177,Grade!$M$1:$N$200,2,FALSE),IF(AND(SD!$C$29=SD!$P$2,Grade!$O$1="Per Bar Size"),VLOOKUP(LEFT(N177,FIND("@",N177)-2),Grade!$J$1:$K$12,2,0),SD!$C$29))</f>
        <v>A615 Grade 60</v>
      </c>
      <c r="R177" t="s">
        <v>728</v>
      </c>
      <c r="S177" s="57">
        <v>177</v>
      </c>
      <c r="U177" t="str">
        <f>IF(Data!$J177="",IFERROR(INDEX(IF(SD!$C$11="Create",Lap!$A$3:$BF$14,IF(SD!$C$11="Per Uploaded File",Lap!$A$19:$BF$30,"")),MATCH(W177,Lap!$A$3:$A$14,0),MATCH(VALUE(D177),Lap!$A$3:$BF$3,0)+IF(IFERROR(FIND("Grade 60",J177),0)&gt;0,0,IF(IFERROR(FIND("Grade 80",J177),0),1,IF(IFERROR(FIND("Grade 75",J177),0),2,"")))),""),Data!J177)</f>
        <v>4-6</v>
      </c>
      <c r="W177" t="s">
        <v>164</v>
      </c>
      <c r="X177">
        <v>12</v>
      </c>
      <c r="Y177" t="str">
        <f t="shared" si="55"/>
        <v xml:space="preserve">24 </v>
      </c>
      <c r="Z177" t="str">
        <f t="shared" si="56"/>
        <v xml:space="preserve"> 36</v>
      </c>
      <c r="AA177" s="24">
        <f t="shared" si="57"/>
        <v>19.583333333333332</v>
      </c>
      <c r="BB177" t="e" cm="1">
        <f t="array" ref="BB177">_xlfn.LET(_xlpm.PartF,(_xlfn.LET(_xlpm.grade, Q177,_xlpm.gradeRange, IF(_xlpm.grade=SD!$H$3, A615GR60, IF(_xlpm.grade=SD!$H$4, A615GR75, IF(_xlpm.grade=SD!$H$5, A615GR80, IF(_xlpm.grade=SD!$H$6, A615GR100, IF(_xlpm.grade=SD!$H$7, A706GR60, IF(_xlpm.grade=SD!$H$8, A706GR80)))))),_xlpm.matchValue, MATCH(1, (SD!$AW:$AW=AS177)*(SD!$AX:$AX=SD!$C$8), 0),INDEX(_xlpm.gradeRange, _xlpm.matchValue))),IF(AM177="Spiral",CONCATENATE("SP",_xlpm.PartF),_xlpm.PartF))</f>
        <v>#N/A</v>
      </c>
      <c r="BC177" cm="1">
        <f t="array" ref="BC177">_xlfn.LET(_xlpm.leftPart, LEFT(O177, FIND("@", O177) - 2),_xlpm.grade,Q177,_xlpm.gradeRange,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7" cm="1">
        <f t="array" ref="BD177">_xlfn.LET(_xlpm.leftPart, LEFT(P177, FIND("@", P177) - 2),_xlpm.grade, Q177,_xlpm.gradeRange,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7">
        <f t="shared" si="58"/>
        <v>3</v>
      </c>
      <c r="BF177">
        <f>IF(SD!$C$32=SD!$I$2,BE177,IF(SD!$C$32=SD!$I$3,DO177,IF(SD!$C$32=SD!$I$5,BA177,IF(SD!$C$32=SD!$I$6,(LEFT(SD!$C$35,FIND("-",SD!$C$35)-1)+RIGHT(SD!$C$35,LEN(SD!$C$35)-FIND("-",SD!$C$35))/12),IF(SD!$C$32=SD!$I$4,(AU177-(BG177+BH177)))))))</f>
        <v>0</v>
      </c>
      <c r="BG177">
        <f>IF(SD!$C$33=SD!$I$2,BE177,IF(SD!$C$33=SD!$I$3,DO177,IF(SD!$C$33=SD!$I$5,BA177,IF(SD!$C$33=SD!$I$6,(LEFT(SD!$C$35,FIND("-",SD!$C$35)-1)+RIGHT(SD!$C$35,LEN(SD!$C$35)-FIND("-",SD!$C$35))/12),IF(SD!$C$33=SD!$I$4,(AU177-(BF177+BH177)))))))</f>
        <v>-1</v>
      </c>
      <c r="BH177">
        <f>IF(SD!$C$34=SD!$I$2,BE177,IF(SD!$C$34=SD!$I$3,DO177,IF(SD!$C$34=SD!$I$5,BA177,IF(SD!$C$34=SD!$I$6,(LEFT(SD!$C$35,FIND("-",SD!$C$35)-1)+RIGHT(SD!$C$35,LEN(SD!$C$35)-FIND("-",SD!$C$35))/12),IF(SD!$C$34=SD!$I$4,(AU177-(BF177+BG177)))))))</f>
        <v>1</v>
      </c>
      <c r="BJ177">
        <f>IF(AM177="Spiral","1",MAX(ROUNDUP(IF(SD!$C$32="",AT177,BF177/(LEFT(RIGHT(N177,LEN(N177)-FIND("@",N177)),LEN(RIGHT(N177,LEN(N177)-FIND("@",N177)))-1)/12)+1),0),0))</f>
        <v>1</v>
      </c>
      <c r="BK177">
        <f>MAX(ROUNDUP(IF(SD!$C$33="","",BG177/(LEFT(RIGHT(O177,LEN(O177)-FIND("@",O177)),LEN(RIGHT(O177,LEN(O177)-FIND("@",O177)))-1)/12)+1),0),0)</f>
        <v>0</v>
      </c>
      <c r="BL177">
        <f>MAX(ROUNDUP(IF(SD!$C$34="","",BH177/(LEFT(RIGHT(P177,LEN(P177)-FIND("@",P177)),LEN(RIGHT(P177,LEN(P177)-FIND("@",P177)))-1)/12)+1),0),0)</f>
        <v>3</v>
      </c>
      <c r="BN177" t="e">
        <f t="shared" si="59"/>
        <v>#N/A</v>
      </c>
      <c r="BO177" t="e">
        <f t="shared" si="60"/>
        <v>#N/A</v>
      </c>
      <c r="BP177" t="e">
        <f t="shared" si="61"/>
        <v>#N/A</v>
      </c>
      <c r="BQ177" s="24" t="e">
        <f>IF(AM177=TRUE,(((Y177-(SD!$E$12*2))*3.14159265359)+BN177+BO177+BP177)/12+AL177,SUM(AF177:AG177,BN177,BO177,BP177,AO177,AQ177)/12)</f>
        <v>#N/A</v>
      </c>
      <c r="BR177" t="e">
        <f t="shared" si="62"/>
        <v>#N/A</v>
      </c>
      <c r="BS177" t="e">
        <f t="shared" si="63"/>
        <v>#N/A</v>
      </c>
      <c r="BT177" t="e">
        <f t="shared" si="64"/>
        <v>#N/A</v>
      </c>
      <c r="BU177" s="24" t="e">
        <f>IF(AM177=TRUE,(((Y177-(SD!$E$12*2))*3.14159265359)+BR177+BS177+BT177)/12+AL177,SUM(AF177:AG177,BR177,BS177,BT177,AO177,AQ177)/12)</f>
        <v>#N/A</v>
      </c>
      <c r="BW177" t="str">
        <f>IFERROR(LEFT(Data!L177,FIND(" -",Data!L177)-1),"")</f>
        <v/>
      </c>
      <c r="BX177" t="str">
        <f>IFERROR(IF(SD!$C$40=SD!$U$2,W177,IF(SD!$C$40=SD!$U$3,RIGHT(Data!L177,LEN(Data!L177)-(FIND("-",Data!L177)+1)),SD!$C$40)),"")</f>
        <v>#9</v>
      </c>
      <c r="BY177" cm="1">
        <f t="array" ref="BY177">IFERROR(_xlfn.LET(_xlpm.GRR,IF(AND(SD!$C$19=SD!$H$2,Grade!$G$1="Per level"),VLOOKUP(B177,Grade!$E$1:$F$200,2,FALSE),IF(AND(SD!$C$19=SD!$H$2,Grade!$G$1="Per Bar Size"),VLOOKUP(BX177,Grade!$B$1:$C$12,2,0),SD!$C$19)),_xlpm.is_equal, A176=A177,_xlpm.grade_range, IF(_xlpm.GRR=SD!$H$3, A615GR60,IF(_xlpm.GRR=SD!$H$4, A615GR75,IF(_xlpm.GRR=SD!$H$5, A615GR80,IF(_xlpm.GRR=SD!H181, A615GR100,IF(_xlpm.GRR=SD!$H$7, A706GR60,IF(_xlpm.GRR=SD!$H$8, A706GR80)))))),_xlpm.match_result, MATCH(1, (BSize=BX177)*(BCName=SD!$C$8), 0),_xlpm.final_result, INDEX(_xlpm.grade_range, _xlpm.match_result),IF(_xlpm.is_equal, "", _xlpm.final_result)),"")</f>
        <v>9</v>
      </c>
      <c r="BZ177">
        <f>IF(A176=A177,"",IF(SD!$C$41="Match Vertical Bars ",X177,IF(SD!$C$41=SD!$V$3,BW177,SD!$C$41)))</f>
        <v>12</v>
      </c>
      <c r="CA177" cm="1">
        <f t="array" ref="CA177">IF(A176=A177,"",IF(SD!$C$44="No T-Head",IF(SD!$C$42=SD!$Q$3,VLOOKUP(BX177,S90Range,3,FALSE),LEFT(SD!$C$42,FIND("-",SD!$C$42)-1)+(RIGHT(SD!$C$42,LEN(SD!$C$42)-FIND("-",SD!$C$42))/12)),IF(SD!$C$44="T-Head",_xlfn._xlws.FILTER(THead,(TCName=SD!$C$8)*(TSize=BX177)),IF(SD!$C$44="Level Wise",_xlfn.LET(_xlpm.result,_xlfn.XLOOKUP(B177,VDLevel,VDLevelStatus,"No"),IF(_xlpm.result="Yes",_xlfn._xlws.FILTER(THead,(TCName=SD!$C$8)*(TSize=BX177)),IF(SD!$C$42=SD!$Q$3,VLOOKUP(BX177,S90Range,3,FALSE),LEFT(SD!$C$42,FIND("-",SD!$C$42)-1)+(RIGHT(SD!$C$42,LEN(SD!$C$42)-FIND("-", SD!$C$42))/12)))),IF(SD!$C$44="BarSize Wise",_xlfn.LET(_xlpm.result,_xlfn.XLOOKUP(BX177,VDBarSize,VDBarSizeStatus,"No"),IF(_xlpm.result="Yes",_xlfn._xlws.FILTER(THead,(TCName=SD!$C$8)*(TSize=BX177)),IF(SD!$C$42=SD!$Q$3,VLOOKUP(BX177,S90Range,3,FALSE),LEFT(SD!$C$42,FIND("-",SD!$C$42)-1)+(RIGHT(SD!$C$42,LEN(SD!$C$42)-FIND("-",SD!$C$42))/12)))), "")))))</f>
        <v>1.5833333333333335</v>
      </c>
      <c r="CB177" t="str" cm="1">
        <f t="array" ref="CB177">_xlfn.LET(_xlpm.GRR,IF(AND(SD!$C$19=SD!$H$2,Grade!$G$1="Per level"),VLOOKUP(B177,Grade!$E$1:$F$200,2,FALSE),IF(AND(SD!$C$19=SD!$H$2,Grade!$G$1="Per Bar Size"),VLOOKUP(BX177,Grade!$B$1:$C$12,2,0),SD!$C$19)),_xlpm.is_coupler, K177="Coupler",_xlpm.condition1, SD!$C$43=SD!$W$2,_xlpm.data_j2_empty, Data!$J177="",_xlpm.lookup_table, IF(SD!$C$11="Create", Lap!$A$3:$BF$14, IF(SD!$C$11="Per Uploaded File", Lap!$A$19:$BF$30, "")),_xlpm.row_match, MATCH(BX177, Lap!$A$3:$A$14, 0),_xlpm.grade_offset, IF(IFERROR(FIND("Grade 60",_xlpm.GRR), 0) &gt; 0, 0, IF(IFERROR(FIND("Grade 80",_xlpm.GRR), 0), 1, IF(IFERROR(FIND("Grade 75",_xlpm.GRR), 0), 2, ""))),_xlpm.col_match, MATCH(VALUE(D177), Lap!$A$3:$BF$3, 0) + _xlpm.grade_offset,_xlpm.index_result, IFERROR(INDEX(_xlpm.lookup_table, _xlpm.row_match, _xlpm.col_match), Data!$J177),_xlpm.result_if_condition1, IF(_xlpm.data_j2_empty, _xlpm.index_result, Data!$J177),IF(_xlpm.is_coupler, 0, IF(_xlpm.condition1, _xlpm.result_if_condition1, SD!$C$43)))</f>
        <v>4-6</v>
      </c>
      <c r="CC177" s="24">
        <f t="shared" si="65"/>
        <v>4.5</v>
      </c>
      <c r="CD177">
        <f t="shared" si="66"/>
        <v>9.0833333333333339</v>
      </c>
      <c r="CE177" t="str" cm="1">
        <f t="array" ref="CE177">IF(BY177="","",_xlfn._xlws.FILTER(SAC,(CName=SD!$C$8)*(EName="Vert Dowels")))</f>
        <v>2200 CD</v>
      </c>
      <c r="CF177" t="str" cm="1">
        <f t="array" ref="CF177">IFERROR(IF(BY177="","",IF(K177="Coupler",_xlfn._xlws.FILTER(CCoupler,(CCName=SD!$C$8)*(CBSize=IF(A176=A177,W176&amp;W177,BX177&amp;W177))*(CCMFM="Male")),"")),"N/A")</f>
        <v/>
      </c>
      <c r="CG177" t="str">
        <f t="shared" si="67"/>
        <v/>
      </c>
      <c r="CH177" t="str">
        <f t="shared" si="68"/>
        <v/>
      </c>
      <c r="CI177" t="str">
        <f>_xlfn.LET(_xlpm.u3_value, U178,_xlpm.hyphen_pos,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K178="Coupler",_xlpm.coupler_value, IF(_xlpm.is_coupler, 0, _xlpm.calculated_value),_xlpm.final_value, _xlpm.calculated_value + SD!$E$13 + _xlpm.coupler_value,IF(CG177="", "", _xlpm.final_value))</f>
        <v/>
      </c>
      <c r="CJ177" t="str" cm="1">
        <f t="array" ref="CJ177">IF(CG177="","",_xlfn._xlws.FILTER(SAC,(CName=SD!$C$8)*(EName="Loose Dowels")))</f>
        <v/>
      </c>
      <c r="CK177" t="str" cm="1">
        <f t="array" ref="CK177">IFERROR(IF(CG177="","",IF(K178="Coupler",_xlfn._xlws.FILTER(CCoupler,(CCName=SD!$C$8)*(CBSize=IF(A177=A178,W177&amp;W178,""))*(CCMFM="Male")),"")),"N/A")</f>
        <v/>
      </c>
      <c r="CL177">
        <f>IFERROR(IF(AM177="Spiral","",IF(A176=A177,"",IF(SD!$C$37=0,"",SD!$C$37))),"")</f>
        <v>3</v>
      </c>
      <c r="CN177">
        <f>IF(AM177="Spiral","",IFERROR(IF(SD!$C$36=0,"",SD!$C$36),""))</f>
        <v>5</v>
      </c>
      <c r="CP177">
        <f>IFERROR(IF(SD!$C$42=SD!$Q$3,'Take-off'!CA177,""),"")</f>
        <v>1.5833333333333335</v>
      </c>
      <c r="CR177">
        <f>IFERROR(IF(SD!$C$22=SD!$U$2,W177,SD!$C$22),"")</f>
        <v>0</v>
      </c>
      <c r="CS177" t="str" cm="1">
        <f t="array" ref="CS177">_xlfn.LET(_xlpm.GR,IF(AND(SD!$C$19=SD!$H$2,Grade!$G$1="Per level"),VLOOKUP(B177,Grade!$E$1:$F$200,2,FALSE),IF(AND(SD!$C$19=SD!$H$2,Grade!$G$1="Per Bar Size"),VLOOKUP(CR177,Grade!$B$1:$C$12,2,0),SD!$C$19)),IF(SD!$C$20=SD!$R$4,IF(A178=A177,"",INDEX(IF(_xlpm.GR=SD!$H$3,A615GR60,IF(_xlpm.GR=SD!$H$4,A615GR75,IF(_xlpm.GR=SD!$H$5,A615GR80,IF(_xlpm.GR=SD!H181,A615GR100,IF(_xlpm.GR=SD!$H$7,A706GR60,IF(_xlpm.GR=SD!$H$8,A706GR80)))))), MATCH(1, (BSize=CR177)*(BCName=SD!$C$8), 0))),""))</f>
        <v/>
      </c>
      <c r="CT177">
        <f>IF(A178=A177,"",IF(SD!$C$23="Match Vertical Bars ",X177,SD!$C$23))</f>
        <v>0</v>
      </c>
      <c r="CU177" t="str" cm="1">
        <f t="array" ref="CU177">IF(A178=A177,"",IF(SD!$C$20="Top dowels",IF(SD!$E$25="No T-Head",IF(SD!$C$24=SD!$Q$3,VLOOKUP(CR177,S90Range,3,FALSE),LEFT(SD!$C$24,FIND("-",SD!$C$24)-1)+(RIGHT(SD!$C$24,LEN(SD!$C$24)-FIND("-",SD!$C$24))/12)),IF(SD!$E$25="T-Head",_xlfn._xlws.FILTER(THead,(TCName=SD!$C$8)*(TSize=CR177)),IF(SD!$E$25="Level Wise",_xlfn.LET(_xlpm.result,_xlfn.XLOOKUP(B177,TDLevel,TDLevelStatus,"No"),IF(_xlpm.result="Yes",_xlfn._xlws.FILTER(THead,(TCName=SD!$C$8)*(TSize=CR177)),IF(SD!$C$24=SD!$Q$3,VLOOKUP(CR177,S90Range,3,FALSE),LEFT(SD!$C$24,FIND("-",SD!$C$24)-1)+(RIGHT(SD!$C$24,LEN(SD!$C$24)-FIND("-", SD!$C$24))/12)))),IF(SD!$E$25="BarSize Wise",_xlfn.LET(_xlpm.result,_xlfn.XLOOKUP(CR177,TDBarSize,TDBarSizeStatus,"No"),IF(_xlpm.result="Yes",_xlfn._xlws.FILTER(THead,(TCName=SD!$C$8)*(TSize=CR177)),IF(SD!$C$24=SD!$Q$3,VLOOKUP(CR177,S90Range,3,FALSE),LEFT(SD!$C$24,FIND("-",SD!$C$24)-1)+(RIGHT(SD!$C$24,LEN(SD!$C$24)-FIND("-",SD!$C$24))/12)))), "")))),""))</f>
        <v/>
      </c>
      <c r="CV177" t="str">
        <f>_xlfn.LET(_xlpm.GRR,IF(AND(SD!$C$19=SD!$H$2,Grade!$G$1="Per level"),VLOOKUP(B177,Grade!$E$1:$F$200,2,FALSE),IF(AND(SD!$C$19=SD!$H$2,Grade!$G$1="Per Bar Size"),VLOOKUP(CR177,Grade!$B$1:$C$12,2,0),SD!$C$19)),IF(SD!$C$25=SD!$W$2,IF(Data!$J177="",IFERROR(INDEX(IF(SD!$C$11="Create",Lap!$A$3:$BF$14,IF(SD!$C$11="Per Uploaded File",Lap!$A$19:$BF$30,"")),MATCH(CR177,Lap!$A$3:$A$14,0),MATCH(VALUE(D177),Lap!$A$3:$BF$3,0)+IF(IFERROR(FIND("Grade 60",_xlpm.GRR),0)&gt;0,0,IF(IFERROR(FIND("Grade 80",_xlpm.GRR),0),1,IF(IFERROR(FIND("Grade 75",_xlpm.GRR),0),2,"")))),""),Data!J177),SD!$C$43))</f>
        <v>Match Lap</v>
      </c>
      <c r="CW177">
        <f t="shared" si="69"/>
        <v>0</v>
      </c>
      <c r="CX177">
        <f t="shared" si="70"/>
        <v>0</v>
      </c>
      <c r="CY177" t="str">
        <f t="shared" si="71"/>
        <v/>
      </c>
      <c r="DA177">
        <f t="shared" si="72"/>
        <v>6</v>
      </c>
      <c r="DB177" t="str">
        <f t="shared" si="73"/>
        <v>19-7</v>
      </c>
      <c r="DC177" s="24">
        <f t="shared" si="74"/>
        <v>19.583333333333332</v>
      </c>
      <c r="DD177">
        <f t="shared" si="75"/>
        <v>19.583333333333332</v>
      </c>
      <c r="DE177" t="s">
        <v>726</v>
      </c>
      <c r="DF177" t="s">
        <v>67</v>
      </c>
      <c r="DG177" t="str">
        <f>VLOOKUP(W177,'Level Wise PSI'!$F$2:$G$12,2,FALSE)</f>
        <v>Double Lift</v>
      </c>
      <c r="DI177" t="str" cm="1">
        <f t="array" ref="DI177">_xlfn.LET(_xlpm.Coup,IFERROR(IF(BY177="","",IF(K177="Coupler",_xlfn._xlws.FILTER(CCFCoupler,(CCName=SD!$C$8)*(CBSize=IF(A176=A177,W176&amp;W177,BX177&amp;W177))),"")),"N/A"),IF(_xlpm.Coup=0,"",_xlpm.Coup))</f>
        <v/>
      </c>
      <c r="DJ177" t="str" cm="1">
        <f t="array" ref="DJ177">_xlfn.LET(_xlpm.Coup3,IFERROR(IF(CG177="","",IF(K178="Coupler",_xlfn._xlws.FILTER(CCFCoupler,(CCName=SD!$C$8)*(CBSize=IF(A177=A178,W177&amp;W178,""))),"")),"N/A"),IF(_xlpm.Coup3=0,"",_xlpm.Coup3))</f>
        <v/>
      </c>
      <c r="DK177" t="str" cm="1">
        <f t="array" ref="DK177">_xlfn.LET(_xlpm.Coup2,IFERROR(IF(A177&lt;&gt;A178,"",IF(DF177="No Lap","",IF(K178="Coupler",_xlfn._xlws.FILTER(CCFCoupler,(CCName=SD!$C$8)*(CBSize=IF(A176=A177,W177&amp;W178,W177&amp;W177))),""))),"N/A"),IF(_xlpm.Coup2=0,"",_xlpm.Coup2))</f>
        <v/>
      </c>
      <c r="DM177" t="str">
        <f>IF(AM177="Spiral","",IF(SD!$C$31=SD!$Y$3,SD!$E$32*2,""))</f>
        <v/>
      </c>
      <c r="DO177" s="24">
        <f t="shared" si="76"/>
        <v>3</v>
      </c>
      <c r="DQ177" t="str">
        <f t="shared" si="77"/>
        <v>Lig</v>
      </c>
      <c r="DR177" t="str">
        <f>IF(AM177="Spiral",((Y177-(SD!$E$12*2))/12),"")</f>
        <v/>
      </c>
      <c r="DS177" t="str">
        <f t="shared" si="78"/>
        <v/>
      </c>
      <c r="DT177" t="str">
        <f t="shared" si="79"/>
        <v/>
      </c>
      <c r="DU177" t="str">
        <f t="shared" si="80"/>
        <v/>
      </c>
    </row>
    <row r="178" spans="1:125" x14ac:dyDescent="0.25">
      <c r="A178">
        <v>60</v>
      </c>
      <c r="B178" t="s">
        <v>664</v>
      </c>
      <c r="C178" s="15">
        <v>2429</v>
      </c>
      <c r="D178" s="15">
        <v>10000</v>
      </c>
      <c r="E178" t="str">
        <f>IF(B178=Level!$A$2,SD!$C$14,SD!$C$13)</f>
        <v>3-0</v>
      </c>
      <c r="F178" s="15" t="s">
        <v>787</v>
      </c>
      <c r="G178" t="s">
        <v>717</v>
      </c>
      <c r="H178" s="15" t="s">
        <v>788</v>
      </c>
      <c r="I178" t="s">
        <v>718</v>
      </c>
      <c r="J178" t="str">
        <f>IF(AND(SD!$C$19=SD!$H$2,Grade!$G$1="Per level"),VLOOKUP(B178,Grade!$E$1:$F$200,2,FALSE),IF(AND(SD!$C$19=SD!$H$2,Grade!$G$1="Per Bar Size"),VLOOKUP(W178,Grade!$B$1:$C$12,2,0),SD!$C$19))</f>
        <v>A615 Grade 60</v>
      </c>
      <c r="K178" t="s">
        <v>67</v>
      </c>
      <c r="L178" t="str">
        <f>IFERROR(IF(A178&lt;&gt;A179,"",IF(DF178="No Lap","",IF(K179="Lap",U178,IF(K179="Coupler",_xlfn._xlws.FILTER(CCoupler,(CCName=SD!$C$8)*(CBSize=IF(A177=A178,W178&amp;W179,W178&amp;W178))*(CCMFM="Male")),"")))),"N/A")</f>
        <v/>
      </c>
      <c r="M178" t="str">
        <f t="shared" si="54"/>
        <v/>
      </c>
      <c r="N178" t="s">
        <v>719</v>
      </c>
      <c r="O178" t="s">
        <v>720</v>
      </c>
      <c r="P178" t="s">
        <v>719</v>
      </c>
      <c r="Q178" t="str">
        <f>IF(AND(SD!$C$29=SD!$P$2,Grade!$O$1="Per level"),VLOOKUP(B178,Grade!$M$1:$N$200,2,FALSE),IF(AND(SD!$C$29=SD!$P$2,Grade!$O$1="Per Bar Size"),VLOOKUP(LEFT(N178,FIND("@",N178)-2),Grade!$J$1:$K$12,2,0),SD!$C$29))</f>
        <v>A615 Grade 60</v>
      </c>
      <c r="R178" t="s">
        <v>721</v>
      </c>
      <c r="S178" s="57">
        <v>178</v>
      </c>
      <c r="U178" t="str">
        <f>IF(Data!$J178="",IFERROR(INDEX(IF(SD!$C$11="Create",Lap!$A$3:$BF$14,IF(SD!$C$11="Per Uploaded File",Lap!$A$19:$BF$30,"")),MATCH(W178,Lap!$A$3:$A$14,0),MATCH(VALUE(D178),Lap!$A$3:$BF$3,0)+IF(IFERROR(FIND("Grade 60",J178),0)&gt;0,0,IF(IFERROR(FIND("Grade 80",J178),0),1,IF(IFERROR(FIND("Grade 75",J178),0),2,"")))),""),Data!J178)</f>
        <v>3-6</v>
      </c>
      <c r="W178" t="s">
        <v>139</v>
      </c>
      <c r="X178">
        <v>14</v>
      </c>
      <c r="Y178" t="str">
        <f t="shared" si="55"/>
        <v xml:space="preserve">12 </v>
      </c>
      <c r="Z178" t="str">
        <f t="shared" si="56"/>
        <v xml:space="preserve"> 56</v>
      </c>
      <c r="AA178" s="24">
        <f t="shared" si="57"/>
        <v>19.583333333333332</v>
      </c>
      <c r="BB178" t="e" cm="1">
        <f t="array" ref="BB178">_xlfn.LET(_xlpm.PartF,(_xlfn.LET(_xlpm.grade, Q178,_xlpm.gradeRange, IF(_xlpm.grade=SD!$H$3, A615GR60, IF(_xlpm.grade=SD!$H$4, A615GR75, IF(_xlpm.grade=SD!$H$5, A615GR80, IF(_xlpm.grade=SD!$H$6, A615GR100, IF(_xlpm.grade=SD!$H$7, A706GR60, IF(_xlpm.grade=SD!$H$8, A706GR80)))))),_xlpm.matchValue, MATCH(1, (SD!$AW:$AW=AS178)*(SD!$AX:$AX=SD!$C$8), 0),INDEX(_xlpm.gradeRange, _xlpm.matchValue))),IF(AM178="Spiral",CONCATENATE("SP",_xlpm.PartF),_xlpm.PartF))</f>
        <v>#N/A</v>
      </c>
      <c r="BC178" cm="1">
        <f t="array" ref="BC178">_xlfn.LET(_xlpm.leftPart, LEFT(O178, FIND("@", O178) - 2),_xlpm.grade,Q178,_xlpm.gradeRange,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8" cm="1">
        <f t="array" ref="BD178">_xlfn.LET(_xlpm.leftPart, LEFT(P178, FIND("@", P178) - 2),_xlpm.grade, Q178,_xlpm.gradeRange,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8">
        <f t="shared" si="58"/>
        <v>4.666666666666667</v>
      </c>
      <c r="BF178">
        <f>IF(SD!$C$32=SD!$I$2,BE178,IF(SD!$C$32=SD!$I$3,DO178,IF(SD!$C$32=SD!$I$5,BA178,IF(SD!$C$32=SD!$I$6,(LEFT(SD!$C$35,FIND("-",SD!$C$35)-1)+RIGHT(SD!$C$35,LEN(SD!$C$35)-FIND("-",SD!$C$35))/12),IF(SD!$C$32=SD!$I$4,(AU178-(BG178+BH178)))))))</f>
        <v>0</v>
      </c>
      <c r="BG178">
        <f>IF(SD!$C$33=SD!$I$2,BE178,IF(SD!$C$33=SD!$I$3,DO178,IF(SD!$C$33=SD!$I$5,BA178,IF(SD!$C$33=SD!$I$6,(LEFT(SD!$C$35,FIND("-",SD!$C$35)-1)+RIGHT(SD!$C$35,LEN(SD!$C$35)-FIND("-",SD!$C$35))/12),IF(SD!$C$33=SD!$I$4,(AU178-(BF178+BH178)))))))</f>
        <v>-1</v>
      </c>
      <c r="BH178">
        <f>IF(SD!$C$34=SD!$I$2,BE178,IF(SD!$C$34=SD!$I$3,DO178,IF(SD!$C$34=SD!$I$5,BA178,IF(SD!$C$34=SD!$I$6,(LEFT(SD!$C$35,FIND("-",SD!$C$35)-1)+RIGHT(SD!$C$35,LEN(SD!$C$35)-FIND("-",SD!$C$35))/12),IF(SD!$C$34=SD!$I$4,(AU178-(BF178+BG178)))))))</f>
        <v>1</v>
      </c>
      <c r="BJ178">
        <f>IF(AM178="Spiral","1",MAX(ROUNDUP(IF(SD!$C$32="",AT178,BF178/(LEFT(RIGHT(N178,LEN(N178)-FIND("@",N178)),LEN(RIGHT(N178,LEN(N178)-FIND("@",N178)))-1)/12)+1),0),0))</f>
        <v>1</v>
      </c>
      <c r="BK178">
        <f>MAX(ROUNDUP(IF(SD!$C$33="","",BG178/(LEFT(RIGHT(O178,LEN(O178)-FIND("@",O178)),LEN(RIGHT(O178,LEN(O178)-FIND("@",O178)))-1)/12)+1),0),0)</f>
        <v>0</v>
      </c>
      <c r="BL178">
        <f>MAX(ROUNDUP(IF(SD!$C$34="","",BH178/(LEFT(RIGHT(P178,LEN(P178)-FIND("@",P178)),LEN(RIGHT(P178,LEN(P178)-FIND("@",P178)))-1)/12)+1),0),0)</f>
        <v>3</v>
      </c>
      <c r="BN178" t="e">
        <f t="shared" si="59"/>
        <v>#N/A</v>
      </c>
      <c r="BO178" t="e">
        <f t="shared" si="60"/>
        <v>#N/A</v>
      </c>
      <c r="BP178" t="e">
        <f t="shared" si="61"/>
        <v>#N/A</v>
      </c>
      <c r="BQ178" s="24" t="e">
        <f>IF(AM178=TRUE,(((Y178-(SD!$E$12*2))*3.14159265359)+BN178+BO178+BP178)/12+AL178,SUM(AF178:AG178,BN178,BO178,BP178,AO178,AQ178)/12)</f>
        <v>#N/A</v>
      </c>
      <c r="BR178" t="e">
        <f t="shared" si="62"/>
        <v>#N/A</v>
      </c>
      <c r="BS178" t="e">
        <f t="shared" si="63"/>
        <v>#N/A</v>
      </c>
      <c r="BT178" t="e">
        <f t="shared" si="64"/>
        <v>#N/A</v>
      </c>
      <c r="BU178" s="24" t="e">
        <f>IF(AM178=TRUE,(((Y178-(SD!$E$12*2))*3.14159265359)+BR178+BS178+BT178)/12+AL178,SUM(AF178:AG178,BR178,BS178,BT178,AO178,AQ178)/12)</f>
        <v>#N/A</v>
      </c>
      <c r="BW178" t="str">
        <f>IFERROR(LEFT(Data!L178,FIND(" -",Data!L178)-1),"")</f>
        <v/>
      </c>
      <c r="BX178" t="str">
        <f>IFERROR(IF(SD!$C$40=SD!$U$2,W178,IF(SD!$C$40=SD!$U$3,RIGHT(Data!L178,LEN(Data!L178)-(FIND("-",Data!L178)+1)),SD!$C$40)),"")</f>
        <v>#7</v>
      </c>
      <c r="BY178" cm="1">
        <f t="array" ref="BY178">IFERROR(_xlfn.LET(_xlpm.GRR,IF(AND(SD!$C$19=SD!$H$2,Grade!$G$1="Per level"),VLOOKUP(B178,Grade!$E$1:$F$200,2,FALSE),IF(AND(SD!$C$19=SD!$H$2,Grade!$G$1="Per Bar Size"),VLOOKUP(BX178,Grade!$B$1:$C$12,2,0),SD!$C$19)),_xlpm.is_equal, A177=A178,_xlpm.grade_range, IF(_xlpm.GRR=SD!$H$3, A615GR60,IF(_xlpm.GRR=SD!$H$4, A615GR75,IF(_xlpm.GRR=SD!$H$5, A615GR80,IF(_xlpm.GRR=SD!H182, A615GR100,IF(_xlpm.GRR=SD!$H$7, A706GR60,IF(_xlpm.GRR=SD!$H$8, A706GR80)))))),_xlpm.match_result, MATCH(1, (BSize=BX178)*(BCName=SD!$C$8), 0),_xlpm.final_result, INDEX(_xlpm.grade_range, _xlpm.match_result),IF(_xlpm.is_equal, "", _xlpm.final_result)),"")</f>
        <v>7</v>
      </c>
      <c r="BZ178">
        <f>IF(A177=A178,"",IF(SD!$C$41="Match Vertical Bars ",X178,IF(SD!$C$41=SD!$V$3,BW178,SD!$C$41)))</f>
        <v>14</v>
      </c>
      <c r="CA178" cm="1">
        <f t="array" ref="CA178">IF(A177=A178,"",IF(SD!$C$44="No T-Head",IF(SD!$C$42=SD!$Q$3,VLOOKUP(BX178,S90Range,3,FALSE),LEFT(SD!$C$42,FIND("-",SD!$C$42)-1)+(RIGHT(SD!$C$42,LEN(SD!$C$42)-FIND("-",SD!$C$42))/12)),IF(SD!$C$44="T-Head",_xlfn._xlws.FILTER(THead,(TCName=SD!$C$8)*(TSize=BX178)),IF(SD!$C$44="Level Wise",_xlfn.LET(_xlpm.result,_xlfn.XLOOKUP(B178,VDLevel,VDLevelStatus,"No"),IF(_xlpm.result="Yes",_xlfn._xlws.FILTER(THead,(TCName=SD!$C$8)*(TSize=BX178)),IF(SD!$C$42=SD!$Q$3,VLOOKUP(BX178,S90Range,3,FALSE),LEFT(SD!$C$42,FIND("-",SD!$C$42)-1)+(RIGHT(SD!$C$42,LEN(SD!$C$42)-FIND("-", SD!$C$42))/12)))),IF(SD!$C$44="BarSize Wise",_xlfn.LET(_xlpm.result,_xlfn.XLOOKUP(BX178,VDBarSize,VDBarSizeStatus,"No"),IF(_xlpm.result="Yes",_xlfn._xlws.FILTER(THead,(TCName=SD!$C$8)*(TSize=BX178)),IF(SD!$C$42=SD!$Q$3,VLOOKUP(BX178,S90Range,3,FALSE),LEFT(SD!$C$42,FIND("-",SD!$C$42)-1)+(RIGHT(SD!$C$42,LEN(SD!$C$42)-FIND("-",SD!$C$42))/12)))), "")))))</f>
        <v>1.1666666666666667</v>
      </c>
      <c r="CB178" t="str" cm="1">
        <f t="array" ref="CB178">_xlfn.LET(_xlpm.GRR,IF(AND(SD!$C$19=SD!$H$2,Grade!$G$1="Per level"),VLOOKUP(B178,Grade!$E$1:$F$200,2,FALSE),IF(AND(SD!$C$19=SD!$H$2,Grade!$G$1="Per Bar Size"),VLOOKUP(BX178,Grade!$B$1:$C$12,2,0),SD!$C$19)),_xlpm.is_coupler, K178="Coupler",_xlpm.condition1, SD!$C$43=SD!$W$2,_xlpm.data_j2_empty, Data!$J178="",_xlpm.lookup_table, IF(SD!$C$11="Create", Lap!$A$3:$BF$14, IF(SD!$C$11="Per Uploaded File", Lap!$A$19:$BF$30, "")),_xlpm.row_match, MATCH(BX178, Lap!$A$3:$A$14, 0),_xlpm.grade_offset, IF(IFERROR(FIND("Grade 60",_xlpm.GRR), 0) &gt; 0, 0, IF(IFERROR(FIND("Grade 80",_xlpm.GRR), 0), 1, IF(IFERROR(FIND("Grade 75",_xlpm.GRR), 0), 2, ""))),_xlpm.col_match, MATCH(VALUE(D178), Lap!$A$3:$BF$3, 0) + _xlpm.grade_offset,_xlpm.index_result, IFERROR(INDEX(_xlpm.lookup_table, _xlpm.row_match, _xlpm.col_match), Data!$J178),_xlpm.result_if_condition1, IF(_xlpm.data_j2_empty, _xlpm.index_result, Data!$J178),IF(_xlpm.is_coupler, 0, IF(_xlpm.condition1, _xlpm.result_if_condition1, SD!$C$43)))</f>
        <v>3-6</v>
      </c>
      <c r="CC178" s="24">
        <f t="shared" si="65"/>
        <v>3.5</v>
      </c>
      <c r="CD178">
        <f t="shared" si="66"/>
        <v>7.666666666666667</v>
      </c>
      <c r="CE178" t="str" cm="1">
        <f t="array" ref="CE178">IF(BY178="","",_xlfn._xlws.FILTER(SAC,(CName=SD!$C$8)*(EName="Vert Dowels")))</f>
        <v>2200 CD</v>
      </c>
      <c r="CF178" t="str" cm="1">
        <f t="array" ref="CF178">IFERROR(IF(BY178="","",IF(K178="Coupler",_xlfn._xlws.FILTER(CCoupler,(CCName=SD!$C$8)*(CBSize=IF(A177=A178,W177&amp;W178,BX178&amp;W178))*(CCMFM="Male")),"")),"N/A")</f>
        <v/>
      </c>
      <c r="CG178" t="str">
        <f t="shared" si="67"/>
        <v/>
      </c>
      <c r="CH178" t="str">
        <f t="shared" si="68"/>
        <v/>
      </c>
      <c r="CI178" t="str">
        <f>_xlfn.LET(_xlpm.u3_value, U179,_xlpm.hyphen_pos,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K179="Coupler",_xlpm.coupler_value, IF(_xlpm.is_coupler, 0, _xlpm.calculated_value),_xlpm.final_value, _xlpm.calculated_value + SD!$E$13 + _xlpm.coupler_value,IF(CG178="", "", _xlpm.final_value))</f>
        <v/>
      </c>
      <c r="CJ178" t="str" cm="1">
        <f t="array" ref="CJ178">IF(CG178="","",_xlfn._xlws.FILTER(SAC,(CName=SD!$C$8)*(EName="Loose Dowels")))</f>
        <v/>
      </c>
      <c r="CK178" t="str" cm="1">
        <f t="array" ref="CK178">IFERROR(IF(CG178="","",IF(K179="Coupler",_xlfn._xlws.FILTER(CCoupler,(CCName=SD!$C$8)*(CBSize=IF(A178=A179,W178&amp;W179,""))*(CCMFM="Male")),"")),"N/A")</f>
        <v/>
      </c>
      <c r="CL178">
        <f>IFERROR(IF(AM178="Spiral","",IF(A177=A178,"",IF(SD!$C$37=0,"",SD!$C$37))),"")</f>
        <v>3</v>
      </c>
      <c r="CN178">
        <f>IF(AM178="Spiral","",IFERROR(IF(SD!$C$36=0,"",SD!$C$36),""))</f>
        <v>5</v>
      </c>
      <c r="CP178">
        <f>IFERROR(IF(SD!$C$42=SD!$Q$3,'Take-off'!CA178,""),"")</f>
        <v>1.1666666666666667</v>
      </c>
      <c r="CR178">
        <f>IFERROR(IF(SD!$C$22=SD!$U$2,W178,SD!$C$22),"")</f>
        <v>0</v>
      </c>
      <c r="CS178" t="str" cm="1">
        <f t="array" ref="CS178">_xlfn.LET(_xlpm.GR,IF(AND(SD!$C$19=SD!$H$2,Grade!$G$1="Per level"),VLOOKUP(B178,Grade!$E$1:$F$200,2,FALSE),IF(AND(SD!$C$19=SD!$H$2,Grade!$G$1="Per Bar Size"),VLOOKUP(CR178,Grade!$B$1:$C$12,2,0),SD!$C$19)),IF(SD!$C$20=SD!$R$4,IF(A179=A178,"",INDEX(IF(_xlpm.GR=SD!$H$3,A615GR60,IF(_xlpm.GR=SD!$H$4,A615GR75,IF(_xlpm.GR=SD!$H$5,A615GR80,IF(_xlpm.GR=SD!H182,A615GR100,IF(_xlpm.GR=SD!$H$7,A706GR60,IF(_xlpm.GR=SD!$H$8,A706GR80)))))), MATCH(1, (BSize=CR178)*(BCName=SD!$C$8), 0))),""))</f>
        <v/>
      </c>
      <c r="CT178">
        <f>IF(A179=A178,"",IF(SD!$C$23="Match Vertical Bars ",X178,SD!$C$23))</f>
        <v>0</v>
      </c>
      <c r="CU178" t="str" cm="1">
        <f t="array" ref="CU178">IF(A179=A178,"",IF(SD!$C$20="Top dowels",IF(SD!$E$25="No T-Head",IF(SD!$C$24=SD!$Q$3,VLOOKUP(CR178,S90Range,3,FALSE),LEFT(SD!$C$24,FIND("-",SD!$C$24)-1)+(RIGHT(SD!$C$24,LEN(SD!$C$24)-FIND("-",SD!$C$24))/12)),IF(SD!$E$25="T-Head",_xlfn._xlws.FILTER(THead,(TCName=SD!$C$8)*(TSize=CR178)),IF(SD!$E$25="Level Wise",_xlfn.LET(_xlpm.result,_xlfn.XLOOKUP(B178,TDLevel,TDLevelStatus,"No"),IF(_xlpm.result="Yes",_xlfn._xlws.FILTER(THead,(TCName=SD!$C$8)*(TSize=CR178)),IF(SD!$C$24=SD!$Q$3,VLOOKUP(CR178,S90Range,3,FALSE),LEFT(SD!$C$24,FIND("-",SD!$C$24)-1)+(RIGHT(SD!$C$24,LEN(SD!$C$24)-FIND("-", SD!$C$24))/12)))),IF(SD!$E$25="BarSize Wise",_xlfn.LET(_xlpm.result,_xlfn.XLOOKUP(CR178,TDBarSize,TDBarSizeStatus,"No"),IF(_xlpm.result="Yes",_xlfn._xlws.FILTER(THead,(TCName=SD!$C$8)*(TSize=CR178)),IF(SD!$C$24=SD!$Q$3,VLOOKUP(CR178,S90Range,3,FALSE),LEFT(SD!$C$24,FIND("-",SD!$C$24)-1)+(RIGHT(SD!$C$24,LEN(SD!$C$24)-FIND("-",SD!$C$24))/12)))), "")))),""))</f>
        <v/>
      </c>
      <c r="CV178" t="str">
        <f>_xlfn.LET(_xlpm.GRR,IF(AND(SD!$C$19=SD!$H$2,Grade!$G$1="Per level"),VLOOKUP(B178,Grade!$E$1:$F$200,2,FALSE),IF(AND(SD!$C$19=SD!$H$2,Grade!$G$1="Per Bar Size"),VLOOKUP(CR178,Grade!$B$1:$C$12,2,0),SD!$C$19)),IF(SD!$C$25=SD!$W$2,IF(Data!$J178="",IFERROR(INDEX(IF(SD!$C$11="Create",Lap!$A$3:$BF$14,IF(SD!$C$11="Per Uploaded File",Lap!$A$19:$BF$30,"")),MATCH(CR178,Lap!$A$3:$A$14,0),MATCH(VALUE(D178),Lap!$A$3:$BF$3,0)+IF(IFERROR(FIND("Grade 60",_xlpm.GRR),0)&gt;0,0,IF(IFERROR(FIND("Grade 80",_xlpm.GRR),0),1,IF(IFERROR(FIND("Grade 75",_xlpm.GRR),0),2,"")))),""),Data!J178),SD!$C$43))</f>
        <v>Match Lap</v>
      </c>
      <c r="CW178">
        <f t="shared" si="69"/>
        <v>0</v>
      </c>
      <c r="CX178">
        <f t="shared" si="70"/>
        <v>0</v>
      </c>
      <c r="CY178" t="str">
        <f t="shared" si="71"/>
        <v/>
      </c>
      <c r="DA178">
        <f t="shared" si="72"/>
        <v>60</v>
      </c>
      <c r="DB178" t="str">
        <f t="shared" si="73"/>
        <v>19-7</v>
      </c>
      <c r="DC178" s="24">
        <f t="shared" si="74"/>
        <v>19.583333333333332</v>
      </c>
      <c r="DD178">
        <f t="shared" si="75"/>
        <v>19.583333333333332</v>
      </c>
      <c r="DE178" t="s">
        <v>717</v>
      </c>
      <c r="DF178" t="s">
        <v>67</v>
      </c>
      <c r="DG178" t="str">
        <f>VLOOKUP(W178,'Level Wise PSI'!$F$2:$G$12,2,FALSE)</f>
        <v>Double Lift</v>
      </c>
      <c r="DI178" t="str" cm="1">
        <f t="array" ref="DI178">_xlfn.LET(_xlpm.Coup,IFERROR(IF(BY178="","",IF(K178="Coupler",_xlfn._xlws.FILTER(CCFCoupler,(CCName=SD!$C$8)*(CBSize=IF(A177=A178,W177&amp;W178,BX178&amp;W178))),"")),"N/A"),IF(_xlpm.Coup=0,"",_xlpm.Coup))</f>
        <v/>
      </c>
      <c r="DJ178" t="str" cm="1">
        <f t="array" ref="DJ178">_xlfn.LET(_xlpm.Coup3,IFERROR(IF(CG178="","",IF(K179="Coupler",_xlfn._xlws.FILTER(CCFCoupler,(CCName=SD!$C$8)*(CBSize=IF(A178=A179,W178&amp;W179,""))),"")),"N/A"),IF(_xlpm.Coup3=0,"",_xlpm.Coup3))</f>
        <v/>
      </c>
      <c r="DK178" t="str" cm="1">
        <f t="array" ref="DK178">_xlfn.LET(_xlpm.Coup2,IFERROR(IF(A178&lt;&gt;A179,"",IF(DF178="No Lap","",IF(K179="Coupler",_xlfn._xlws.FILTER(CCFCoupler,(CCName=SD!$C$8)*(CBSize=IF(A177=A178,W178&amp;W179,W178&amp;W178))),""))),"N/A"),IF(_xlpm.Coup2=0,"",_xlpm.Coup2))</f>
        <v/>
      </c>
      <c r="DM178" t="str">
        <f>IF(AM178="Spiral","",IF(SD!$C$31=SD!$Y$3,SD!$E$32*2,""))</f>
        <v/>
      </c>
      <c r="DO178" s="24">
        <f t="shared" si="76"/>
        <v>4.666666666666667</v>
      </c>
      <c r="DQ178" t="str">
        <f t="shared" si="77"/>
        <v>Lig</v>
      </c>
      <c r="DR178" t="str">
        <f>IF(AM178="Spiral",((Y178-(SD!$E$12*2))/12),"")</f>
        <v/>
      </c>
      <c r="DS178" t="str">
        <f t="shared" si="78"/>
        <v/>
      </c>
      <c r="DT178" t="str">
        <f t="shared" si="79"/>
        <v/>
      </c>
      <c r="DU178" t="str">
        <f t="shared" si="80"/>
        <v/>
      </c>
    </row>
    <row r="179" spans="1:125" x14ac:dyDescent="0.25">
      <c r="A179">
        <v>61</v>
      </c>
      <c r="B179" t="s">
        <v>664</v>
      </c>
      <c r="C179" s="15">
        <v>2429</v>
      </c>
      <c r="D179" s="15">
        <v>10000</v>
      </c>
      <c r="E179" t="str">
        <f>IF(B179=Level!$A$2,SD!$C$14,SD!$C$13)</f>
        <v>3-0</v>
      </c>
      <c r="F179" s="15" t="s">
        <v>787</v>
      </c>
      <c r="G179" t="s">
        <v>733</v>
      </c>
      <c r="H179" s="15" t="s">
        <v>788</v>
      </c>
      <c r="I179" t="s">
        <v>723</v>
      </c>
      <c r="J179" t="str">
        <f>IF(AND(SD!$C$19=SD!$H$2,Grade!$G$1="Per level"),VLOOKUP(B179,Grade!$E$1:$F$200,2,FALSE),IF(AND(SD!$C$19=SD!$H$2,Grade!$G$1="Per Bar Size"),VLOOKUP(W179,Grade!$B$1:$C$12,2,0),SD!$C$19))</f>
        <v>A615 Grade 60</v>
      </c>
      <c r="K179" t="s">
        <v>67</v>
      </c>
      <c r="L179" t="str">
        <f>IFERROR(IF(A179&lt;&gt;A180,"",IF(DF179="No Lap","",IF(K180="Lap",U179,IF(K180="Coupler",_xlfn._xlws.FILTER(CCoupler,(CCName=SD!$C$8)*(CBSize=IF(A178=A179,W179&amp;W180,W179&amp;W179))*(CCMFM="Male")),"")))),"N/A")</f>
        <v/>
      </c>
      <c r="M179" t="str">
        <f t="shared" si="54"/>
        <v/>
      </c>
      <c r="N179" t="s">
        <v>719</v>
      </c>
      <c r="O179" t="s">
        <v>720</v>
      </c>
      <c r="P179" t="s">
        <v>719</v>
      </c>
      <c r="Q179" t="str">
        <f>IF(AND(SD!$C$29=SD!$P$2,Grade!$O$1="Per level"),VLOOKUP(B179,Grade!$M$1:$N$200,2,FALSE),IF(AND(SD!$C$29=SD!$P$2,Grade!$O$1="Per Bar Size"),VLOOKUP(LEFT(N179,FIND("@",N179)-2),Grade!$J$1:$K$12,2,0),SD!$C$29))</f>
        <v>A615 Grade 60</v>
      </c>
      <c r="R179" t="s">
        <v>725</v>
      </c>
      <c r="S179" s="57">
        <v>179</v>
      </c>
      <c r="U179" t="str">
        <f>IF(Data!$J179="",IFERROR(INDEX(IF(SD!$C$11="Create",Lap!$A$3:$BF$14,IF(SD!$C$11="Per Uploaded File",Lap!$A$19:$BF$30,"")),MATCH(W179,Lap!$A$3:$A$14,0),MATCH(VALUE(D179),Lap!$A$3:$BF$3,0)+IF(IFERROR(FIND("Grade 60",J179),0)&gt;0,0,IF(IFERROR(FIND("Grade 80",J179),0),1,IF(IFERROR(FIND("Grade 75",J179),0),2,"")))),""),Data!J179)</f>
        <v>3-6</v>
      </c>
      <c r="W179" t="s">
        <v>139</v>
      </c>
      <c r="X179">
        <v>6</v>
      </c>
      <c r="Y179" t="str">
        <f t="shared" si="55"/>
        <v xml:space="preserve">14 </v>
      </c>
      <c r="Z179" t="str">
        <f t="shared" si="56"/>
        <v xml:space="preserve"> 24</v>
      </c>
      <c r="AA179" s="24">
        <f t="shared" si="57"/>
        <v>19.583333333333332</v>
      </c>
      <c r="BB179" t="e" cm="1">
        <f t="array" ref="BB179">_xlfn.LET(_xlpm.PartF,(_xlfn.LET(_xlpm.grade, Q179,_xlpm.gradeRange, IF(_xlpm.grade=SD!$H$3, A615GR60, IF(_xlpm.grade=SD!$H$4, A615GR75, IF(_xlpm.grade=SD!$H$5, A615GR80, IF(_xlpm.grade=SD!$H$6, A615GR100, IF(_xlpm.grade=SD!$H$7, A706GR60, IF(_xlpm.grade=SD!$H$8, A706GR80)))))),_xlpm.matchValue, MATCH(1, (SD!$AW:$AW=AS179)*(SD!$AX:$AX=SD!$C$8), 0),INDEX(_xlpm.gradeRange, _xlpm.matchValue))),IF(AM179="Spiral",CONCATENATE("SP",_xlpm.PartF),_xlpm.PartF))</f>
        <v>#N/A</v>
      </c>
      <c r="BC179" cm="1">
        <f t="array" ref="BC179">_xlfn.LET(_xlpm.leftPart, LEFT(O179, FIND("@", O179) - 2),_xlpm.grade,Q179,_xlpm.gradeRange,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79" cm="1">
        <f t="array" ref="BD179">_xlfn.LET(_xlpm.leftPart, LEFT(P179, FIND("@", P179) - 2),_xlpm.grade, Q179,_xlpm.gradeRange,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79">
        <f t="shared" si="58"/>
        <v>2</v>
      </c>
      <c r="BF179">
        <f>IF(SD!$C$32=SD!$I$2,BE179,IF(SD!$C$32=SD!$I$3,DO179,IF(SD!$C$32=SD!$I$5,BA179,IF(SD!$C$32=SD!$I$6,(LEFT(SD!$C$35,FIND("-",SD!$C$35)-1)+RIGHT(SD!$C$35,LEN(SD!$C$35)-FIND("-",SD!$C$35))/12),IF(SD!$C$32=SD!$I$4,(AU179-(BG179+BH179)))))))</f>
        <v>0</v>
      </c>
      <c r="BG179">
        <f>IF(SD!$C$33=SD!$I$2,BE179,IF(SD!$C$33=SD!$I$3,DO179,IF(SD!$C$33=SD!$I$5,BA179,IF(SD!$C$33=SD!$I$6,(LEFT(SD!$C$35,FIND("-",SD!$C$35)-1)+RIGHT(SD!$C$35,LEN(SD!$C$35)-FIND("-",SD!$C$35))/12),IF(SD!$C$33=SD!$I$4,(AU179-(BF179+BH179)))))))</f>
        <v>-1</v>
      </c>
      <c r="BH179">
        <f>IF(SD!$C$34=SD!$I$2,BE179,IF(SD!$C$34=SD!$I$3,DO179,IF(SD!$C$34=SD!$I$5,BA179,IF(SD!$C$34=SD!$I$6,(LEFT(SD!$C$35,FIND("-",SD!$C$35)-1)+RIGHT(SD!$C$35,LEN(SD!$C$35)-FIND("-",SD!$C$35))/12),IF(SD!$C$34=SD!$I$4,(AU179-(BF179+BG179)))))))</f>
        <v>1</v>
      </c>
      <c r="BJ179">
        <f>IF(AM179="Spiral","1",MAX(ROUNDUP(IF(SD!$C$32="",AT179,BF179/(LEFT(RIGHT(N179,LEN(N179)-FIND("@",N179)),LEN(RIGHT(N179,LEN(N179)-FIND("@",N179)))-1)/12)+1),0),0))</f>
        <v>1</v>
      </c>
      <c r="BK179">
        <f>MAX(ROUNDUP(IF(SD!$C$33="","",BG179/(LEFT(RIGHT(O179,LEN(O179)-FIND("@",O179)),LEN(RIGHT(O179,LEN(O179)-FIND("@",O179)))-1)/12)+1),0),0)</f>
        <v>0</v>
      </c>
      <c r="BL179">
        <f>MAX(ROUNDUP(IF(SD!$C$34="","",BH179/(LEFT(RIGHT(P179,LEN(P179)-FIND("@",P179)),LEN(RIGHT(P179,LEN(P179)-FIND("@",P179)))-1)/12)+1),0),0)</f>
        <v>3</v>
      </c>
      <c r="BN179" t="e">
        <f t="shared" si="59"/>
        <v>#N/A</v>
      </c>
      <c r="BO179" t="e">
        <f t="shared" si="60"/>
        <v>#N/A</v>
      </c>
      <c r="BP179" t="e">
        <f t="shared" si="61"/>
        <v>#N/A</v>
      </c>
      <c r="BQ179" s="24" t="e">
        <f>IF(AM179=TRUE,(((Y179-(SD!$E$12*2))*3.14159265359)+BN179+BO179+BP179)/12+AL179,SUM(AF179:AG179,BN179,BO179,BP179,AO179,AQ179)/12)</f>
        <v>#N/A</v>
      </c>
      <c r="BR179" t="e">
        <f t="shared" si="62"/>
        <v>#N/A</v>
      </c>
      <c r="BS179" t="e">
        <f t="shared" si="63"/>
        <v>#N/A</v>
      </c>
      <c r="BT179" t="e">
        <f t="shared" si="64"/>
        <v>#N/A</v>
      </c>
      <c r="BU179" s="24" t="e">
        <f>IF(AM179=TRUE,(((Y179-(SD!$E$12*2))*3.14159265359)+BR179+BS179+BT179)/12+AL179,SUM(AF179:AG179,BR179,BS179,BT179,AO179,AQ179)/12)</f>
        <v>#N/A</v>
      </c>
      <c r="BW179" t="str">
        <f>IFERROR(LEFT(Data!L179,FIND(" -",Data!L179)-1),"")</f>
        <v/>
      </c>
      <c r="BX179" t="str">
        <f>IFERROR(IF(SD!$C$40=SD!$U$2,W179,IF(SD!$C$40=SD!$U$3,RIGHT(Data!L179,LEN(Data!L179)-(FIND("-",Data!L179)+1)),SD!$C$40)),"")</f>
        <v>#7</v>
      </c>
      <c r="BY179" cm="1">
        <f t="array" ref="BY179">IFERROR(_xlfn.LET(_xlpm.GRR,IF(AND(SD!$C$19=SD!$H$2,Grade!$G$1="Per level"),VLOOKUP(B179,Grade!$E$1:$F$200,2,FALSE),IF(AND(SD!$C$19=SD!$H$2,Grade!$G$1="Per Bar Size"),VLOOKUP(BX179,Grade!$B$1:$C$12,2,0),SD!$C$19)),_xlpm.is_equal, A178=A179,_xlpm.grade_range, IF(_xlpm.GRR=SD!$H$3, A615GR60,IF(_xlpm.GRR=SD!$H$4, A615GR75,IF(_xlpm.GRR=SD!$H$5, A615GR80,IF(_xlpm.GRR=SD!H183, A615GR100,IF(_xlpm.GRR=SD!$H$7, A706GR60,IF(_xlpm.GRR=SD!$H$8, A706GR80)))))),_xlpm.match_result, MATCH(1, (BSize=BX179)*(BCName=SD!$C$8), 0),_xlpm.final_result, INDEX(_xlpm.grade_range, _xlpm.match_result),IF(_xlpm.is_equal, "", _xlpm.final_result)),"")</f>
        <v>7</v>
      </c>
      <c r="BZ179">
        <f>IF(A178=A179,"",IF(SD!$C$41="Match Vertical Bars ",X179,IF(SD!$C$41=SD!$V$3,BW179,SD!$C$41)))</f>
        <v>6</v>
      </c>
      <c r="CA179" cm="1">
        <f t="array" ref="CA179">IF(A178=A179,"",IF(SD!$C$44="No T-Head",IF(SD!$C$42=SD!$Q$3,VLOOKUP(BX179,S90Range,3,FALSE),LEFT(SD!$C$42,FIND("-",SD!$C$42)-1)+(RIGHT(SD!$C$42,LEN(SD!$C$42)-FIND("-",SD!$C$42))/12)),IF(SD!$C$44="T-Head",_xlfn._xlws.FILTER(THead,(TCName=SD!$C$8)*(TSize=BX179)),IF(SD!$C$44="Level Wise",_xlfn.LET(_xlpm.result,_xlfn.XLOOKUP(B179,VDLevel,VDLevelStatus,"No"),IF(_xlpm.result="Yes",_xlfn._xlws.FILTER(THead,(TCName=SD!$C$8)*(TSize=BX179)),IF(SD!$C$42=SD!$Q$3,VLOOKUP(BX179,S90Range,3,FALSE),LEFT(SD!$C$42,FIND("-",SD!$C$42)-1)+(RIGHT(SD!$C$42,LEN(SD!$C$42)-FIND("-", SD!$C$42))/12)))),IF(SD!$C$44="BarSize Wise",_xlfn.LET(_xlpm.result,_xlfn.XLOOKUP(BX179,VDBarSize,VDBarSizeStatus,"No"),IF(_xlpm.result="Yes",_xlfn._xlws.FILTER(THead,(TCName=SD!$C$8)*(TSize=BX179)),IF(SD!$C$42=SD!$Q$3,VLOOKUP(BX179,S90Range,3,FALSE),LEFT(SD!$C$42,FIND("-",SD!$C$42)-1)+(RIGHT(SD!$C$42,LEN(SD!$C$42)-FIND("-",SD!$C$42))/12)))), "")))))</f>
        <v>1.1666666666666667</v>
      </c>
      <c r="CB179" t="str" cm="1">
        <f t="array" ref="CB179">_xlfn.LET(_xlpm.GRR,IF(AND(SD!$C$19=SD!$H$2,Grade!$G$1="Per level"),VLOOKUP(B179,Grade!$E$1:$F$200,2,FALSE),IF(AND(SD!$C$19=SD!$H$2,Grade!$G$1="Per Bar Size"),VLOOKUP(BX179,Grade!$B$1:$C$12,2,0),SD!$C$19)),_xlpm.is_coupler, K179="Coupler",_xlpm.condition1, SD!$C$43=SD!$W$2,_xlpm.data_j2_empty, Data!$J179="",_xlpm.lookup_table, IF(SD!$C$11="Create", Lap!$A$3:$BF$14, IF(SD!$C$11="Per Uploaded File", Lap!$A$19:$BF$30, "")),_xlpm.row_match, MATCH(BX179, Lap!$A$3:$A$14, 0),_xlpm.grade_offset, IF(IFERROR(FIND("Grade 60",_xlpm.GRR), 0) &gt; 0, 0, IF(IFERROR(FIND("Grade 80",_xlpm.GRR), 0), 1, IF(IFERROR(FIND("Grade 75",_xlpm.GRR), 0), 2, ""))),_xlpm.col_match, MATCH(VALUE(D179), Lap!$A$3:$BF$3, 0) + _xlpm.grade_offset,_xlpm.index_result, IFERROR(INDEX(_xlpm.lookup_table, _xlpm.row_match, _xlpm.col_match), Data!$J179),_xlpm.result_if_condition1, IF(_xlpm.data_j2_empty, _xlpm.index_result, Data!$J179),IF(_xlpm.is_coupler, 0, IF(_xlpm.condition1, _xlpm.result_if_condition1, SD!$C$43)))</f>
        <v>3-6</v>
      </c>
      <c r="CC179" s="24">
        <f t="shared" si="65"/>
        <v>3.5</v>
      </c>
      <c r="CD179">
        <f t="shared" si="66"/>
        <v>7.666666666666667</v>
      </c>
      <c r="CE179" t="str" cm="1">
        <f t="array" ref="CE179">IF(BY179="","",_xlfn._xlws.FILTER(SAC,(CName=SD!$C$8)*(EName="Vert Dowels")))</f>
        <v>2200 CD</v>
      </c>
      <c r="CF179" t="str" cm="1">
        <f t="array" ref="CF179">IFERROR(IF(BY179="","",IF(K179="Coupler",_xlfn._xlws.FILTER(CCoupler,(CCName=SD!$C$8)*(CBSize=IF(A178=A179,W178&amp;W179,BX179&amp;W179))*(CCMFM="Male")),"")),"N/A")</f>
        <v/>
      </c>
      <c r="CG179" t="str">
        <f t="shared" si="67"/>
        <v/>
      </c>
      <c r="CH179" t="str">
        <f t="shared" si="68"/>
        <v/>
      </c>
      <c r="CI179" t="str">
        <f>_xlfn.LET(_xlpm.u3_value, U180,_xlpm.hyphen_pos,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K180="Coupler",_xlpm.coupler_value, IF(_xlpm.is_coupler, 0, _xlpm.calculated_value),_xlpm.final_value, _xlpm.calculated_value + SD!$E$13 + _xlpm.coupler_value,IF(CG179="", "", _xlpm.final_value))</f>
        <v/>
      </c>
      <c r="CJ179" t="str" cm="1">
        <f t="array" ref="CJ179">IF(CG179="","",_xlfn._xlws.FILTER(SAC,(CName=SD!$C$8)*(EName="Loose Dowels")))</f>
        <v/>
      </c>
      <c r="CK179" t="str" cm="1">
        <f t="array" ref="CK179">IFERROR(IF(CG179="","",IF(K180="Coupler",_xlfn._xlws.FILTER(CCoupler,(CCName=SD!$C$8)*(CBSize=IF(A179=A180,W179&amp;W180,""))*(CCMFM="Male")),"")),"N/A")</f>
        <v/>
      </c>
      <c r="CL179">
        <f>IFERROR(IF(AM179="Spiral","",IF(A178=A179,"",IF(SD!$C$37=0,"",SD!$C$37))),"")</f>
        <v>3</v>
      </c>
      <c r="CN179">
        <f>IF(AM179="Spiral","",IFERROR(IF(SD!$C$36=0,"",SD!$C$36),""))</f>
        <v>5</v>
      </c>
      <c r="CP179">
        <f>IFERROR(IF(SD!$C$42=SD!$Q$3,'Take-off'!CA179,""),"")</f>
        <v>1.1666666666666667</v>
      </c>
      <c r="CR179">
        <f>IFERROR(IF(SD!$C$22=SD!$U$2,W179,SD!$C$22),"")</f>
        <v>0</v>
      </c>
      <c r="CS179" t="str" cm="1">
        <f t="array" ref="CS179">_xlfn.LET(_xlpm.GR,IF(AND(SD!$C$19=SD!$H$2,Grade!$G$1="Per level"),VLOOKUP(B179,Grade!$E$1:$F$200,2,FALSE),IF(AND(SD!$C$19=SD!$H$2,Grade!$G$1="Per Bar Size"),VLOOKUP(CR179,Grade!$B$1:$C$12,2,0),SD!$C$19)),IF(SD!$C$20=SD!$R$4,IF(A180=A179,"",INDEX(IF(_xlpm.GR=SD!$H$3,A615GR60,IF(_xlpm.GR=SD!$H$4,A615GR75,IF(_xlpm.GR=SD!$H$5,A615GR80,IF(_xlpm.GR=SD!H183,A615GR100,IF(_xlpm.GR=SD!$H$7,A706GR60,IF(_xlpm.GR=SD!$H$8,A706GR80)))))), MATCH(1, (BSize=CR179)*(BCName=SD!$C$8), 0))),""))</f>
        <v/>
      </c>
      <c r="CT179">
        <f>IF(A180=A179,"",IF(SD!$C$23="Match Vertical Bars ",X179,SD!$C$23))</f>
        <v>0</v>
      </c>
      <c r="CU179" t="str" cm="1">
        <f t="array" ref="CU179">IF(A180=A179,"",IF(SD!$C$20="Top dowels",IF(SD!$E$25="No T-Head",IF(SD!$C$24=SD!$Q$3,VLOOKUP(CR179,S90Range,3,FALSE),LEFT(SD!$C$24,FIND("-",SD!$C$24)-1)+(RIGHT(SD!$C$24,LEN(SD!$C$24)-FIND("-",SD!$C$24))/12)),IF(SD!$E$25="T-Head",_xlfn._xlws.FILTER(THead,(TCName=SD!$C$8)*(TSize=CR179)),IF(SD!$E$25="Level Wise",_xlfn.LET(_xlpm.result,_xlfn.XLOOKUP(B179,TDLevel,TDLevelStatus,"No"),IF(_xlpm.result="Yes",_xlfn._xlws.FILTER(THead,(TCName=SD!$C$8)*(TSize=CR179)),IF(SD!$C$24=SD!$Q$3,VLOOKUP(CR179,S90Range,3,FALSE),LEFT(SD!$C$24,FIND("-",SD!$C$24)-1)+(RIGHT(SD!$C$24,LEN(SD!$C$24)-FIND("-", SD!$C$24))/12)))),IF(SD!$E$25="BarSize Wise",_xlfn.LET(_xlpm.result,_xlfn.XLOOKUP(CR179,TDBarSize,TDBarSizeStatus,"No"),IF(_xlpm.result="Yes",_xlfn._xlws.FILTER(THead,(TCName=SD!$C$8)*(TSize=CR179)),IF(SD!$C$24=SD!$Q$3,VLOOKUP(CR179,S90Range,3,FALSE),LEFT(SD!$C$24,FIND("-",SD!$C$24)-1)+(RIGHT(SD!$C$24,LEN(SD!$C$24)-FIND("-",SD!$C$24))/12)))), "")))),""))</f>
        <v/>
      </c>
      <c r="CV179" t="str">
        <f>_xlfn.LET(_xlpm.GRR,IF(AND(SD!$C$19=SD!$H$2,Grade!$G$1="Per level"),VLOOKUP(B179,Grade!$E$1:$F$200,2,FALSE),IF(AND(SD!$C$19=SD!$H$2,Grade!$G$1="Per Bar Size"),VLOOKUP(CR179,Grade!$B$1:$C$12,2,0),SD!$C$19)),IF(SD!$C$25=SD!$W$2,IF(Data!$J179="",IFERROR(INDEX(IF(SD!$C$11="Create",Lap!$A$3:$BF$14,IF(SD!$C$11="Per Uploaded File",Lap!$A$19:$BF$30,"")),MATCH(CR179,Lap!$A$3:$A$14,0),MATCH(VALUE(D179),Lap!$A$3:$BF$3,0)+IF(IFERROR(FIND("Grade 60",_xlpm.GRR),0)&gt;0,0,IF(IFERROR(FIND("Grade 80",_xlpm.GRR),0),1,IF(IFERROR(FIND("Grade 75",_xlpm.GRR),0),2,"")))),""),Data!J179),SD!$C$43))</f>
        <v>Match Lap</v>
      </c>
      <c r="CW179">
        <f t="shared" si="69"/>
        <v>0</v>
      </c>
      <c r="CX179">
        <f t="shared" si="70"/>
        <v>0</v>
      </c>
      <c r="CY179" t="str">
        <f t="shared" si="71"/>
        <v/>
      </c>
      <c r="DA179">
        <f t="shared" si="72"/>
        <v>61</v>
      </c>
      <c r="DB179" t="str">
        <f t="shared" si="73"/>
        <v>19-7</v>
      </c>
      <c r="DC179" s="24">
        <f t="shared" si="74"/>
        <v>19.583333333333332</v>
      </c>
      <c r="DD179">
        <f t="shared" si="75"/>
        <v>19.583333333333332</v>
      </c>
      <c r="DE179" t="s">
        <v>733</v>
      </c>
      <c r="DF179" t="s">
        <v>67</v>
      </c>
      <c r="DG179" t="str">
        <f>VLOOKUP(W179,'Level Wise PSI'!$F$2:$G$12,2,FALSE)</f>
        <v>Double Lift</v>
      </c>
      <c r="DI179" t="str" cm="1">
        <f t="array" ref="DI179">_xlfn.LET(_xlpm.Coup,IFERROR(IF(BY179="","",IF(K179="Coupler",_xlfn._xlws.FILTER(CCFCoupler,(CCName=SD!$C$8)*(CBSize=IF(A178=A179,W178&amp;W179,BX179&amp;W179))),"")),"N/A"),IF(_xlpm.Coup=0,"",_xlpm.Coup))</f>
        <v/>
      </c>
      <c r="DJ179" t="str" cm="1">
        <f t="array" ref="DJ179">_xlfn.LET(_xlpm.Coup3,IFERROR(IF(CG179="","",IF(K180="Coupler",_xlfn._xlws.FILTER(CCFCoupler,(CCName=SD!$C$8)*(CBSize=IF(A179=A180,W179&amp;W180,""))),"")),"N/A"),IF(_xlpm.Coup3=0,"",_xlpm.Coup3))</f>
        <v/>
      </c>
      <c r="DK179" t="str" cm="1">
        <f t="array" ref="DK179">_xlfn.LET(_xlpm.Coup2,IFERROR(IF(A179&lt;&gt;A180,"",IF(DF179="No Lap","",IF(K180="Coupler",_xlfn._xlws.FILTER(CCFCoupler,(CCName=SD!$C$8)*(CBSize=IF(A178=A179,W179&amp;W180,W179&amp;W179))),""))),"N/A"),IF(_xlpm.Coup2=0,"",_xlpm.Coup2))</f>
        <v/>
      </c>
      <c r="DM179" t="str">
        <f>IF(AM179="Spiral","",IF(SD!$C$31=SD!$Y$3,SD!$E$32*2,""))</f>
        <v/>
      </c>
      <c r="DO179" s="24">
        <f t="shared" si="76"/>
        <v>2</v>
      </c>
      <c r="DQ179" t="str">
        <f t="shared" si="77"/>
        <v>Lig</v>
      </c>
      <c r="DR179" t="str">
        <f>IF(AM179="Spiral",((Y179-(SD!$E$12*2))/12),"")</f>
        <v/>
      </c>
      <c r="DS179" t="str">
        <f t="shared" si="78"/>
        <v/>
      </c>
      <c r="DT179" t="str">
        <f t="shared" si="79"/>
        <v/>
      </c>
      <c r="DU179" t="str">
        <f t="shared" si="80"/>
        <v/>
      </c>
    </row>
    <row r="180" spans="1:125" x14ac:dyDescent="0.25">
      <c r="A180">
        <v>62</v>
      </c>
      <c r="B180" t="s">
        <v>664</v>
      </c>
      <c r="C180" s="15">
        <v>2429</v>
      </c>
      <c r="D180" s="15">
        <v>10000</v>
      </c>
      <c r="E180" t="str">
        <f>IF(B180=Level!$A$2,SD!$C$14,SD!$C$13)</f>
        <v>3-0</v>
      </c>
      <c r="F180" s="15" t="s">
        <v>787</v>
      </c>
      <c r="G180" t="s">
        <v>733</v>
      </c>
      <c r="H180" s="15" t="s">
        <v>788</v>
      </c>
      <c r="I180" t="s">
        <v>723</v>
      </c>
      <c r="J180" t="str">
        <f>IF(AND(SD!$C$19=SD!$H$2,Grade!$G$1="Per level"),VLOOKUP(B180,Grade!$E$1:$F$200,2,FALSE),IF(AND(SD!$C$19=SD!$H$2,Grade!$G$1="Per Bar Size"),VLOOKUP(W180,Grade!$B$1:$C$12,2,0),SD!$C$19))</f>
        <v>A615 Grade 60</v>
      </c>
      <c r="K180" t="s">
        <v>67</v>
      </c>
      <c r="L180" t="str">
        <f>IFERROR(IF(A180&lt;&gt;A181,"",IF(DF180="No Lap","",IF(K181="Lap",U180,IF(K181="Coupler",_xlfn._xlws.FILTER(CCoupler,(CCName=SD!$C$8)*(CBSize=IF(A179=A180,W180&amp;W181,W180&amp;W180))*(CCMFM="Male")),"")))),"N/A")</f>
        <v/>
      </c>
      <c r="M180" t="str">
        <f t="shared" si="54"/>
        <v/>
      </c>
      <c r="N180" t="s">
        <v>719</v>
      </c>
      <c r="O180" t="s">
        <v>720</v>
      </c>
      <c r="P180" t="s">
        <v>719</v>
      </c>
      <c r="Q180" t="str">
        <f>IF(AND(SD!$C$29=SD!$P$2,Grade!$O$1="Per level"),VLOOKUP(B180,Grade!$M$1:$N$200,2,FALSE),IF(AND(SD!$C$29=SD!$P$2,Grade!$O$1="Per Bar Size"),VLOOKUP(LEFT(N180,FIND("@",N180)-2),Grade!$J$1:$K$12,2,0),SD!$C$29))</f>
        <v>A615 Grade 60</v>
      </c>
      <c r="R180" t="s">
        <v>725</v>
      </c>
      <c r="S180" s="57">
        <v>180</v>
      </c>
      <c r="U180" t="str">
        <f>IF(Data!$J180="",IFERROR(INDEX(IF(SD!$C$11="Create",Lap!$A$3:$BF$14,IF(SD!$C$11="Per Uploaded File",Lap!$A$19:$BF$30,"")),MATCH(W180,Lap!$A$3:$A$14,0),MATCH(VALUE(D180),Lap!$A$3:$BF$3,0)+IF(IFERROR(FIND("Grade 60",J180),0)&gt;0,0,IF(IFERROR(FIND("Grade 80",J180),0),1,IF(IFERROR(FIND("Grade 75",J180),0),2,"")))),""),Data!J180)</f>
        <v>3-6</v>
      </c>
      <c r="W180" t="s">
        <v>139</v>
      </c>
      <c r="X180">
        <v>6</v>
      </c>
      <c r="Y180" t="str">
        <f t="shared" si="55"/>
        <v xml:space="preserve">14 </v>
      </c>
      <c r="Z180" t="str">
        <f t="shared" si="56"/>
        <v xml:space="preserve"> 24</v>
      </c>
      <c r="AA180" s="24">
        <f t="shared" si="57"/>
        <v>19.583333333333332</v>
      </c>
      <c r="BB180" t="e" cm="1">
        <f t="array" ref="BB180">_xlfn.LET(_xlpm.PartF,(_xlfn.LET(_xlpm.grade, Q180,_xlpm.gradeRange, IF(_xlpm.grade=SD!$H$3, A615GR60, IF(_xlpm.grade=SD!$H$4, A615GR75, IF(_xlpm.grade=SD!$H$5, A615GR80, IF(_xlpm.grade=SD!$H$6, A615GR100, IF(_xlpm.grade=SD!$H$7, A706GR60, IF(_xlpm.grade=SD!$H$8, A706GR80)))))),_xlpm.matchValue, MATCH(1, (SD!$AW:$AW=AS180)*(SD!$AX:$AX=SD!$C$8), 0),INDEX(_xlpm.gradeRange, _xlpm.matchValue))),IF(AM180="Spiral",CONCATENATE("SP",_xlpm.PartF),_xlpm.PartF))</f>
        <v>#N/A</v>
      </c>
      <c r="BC180" cm="1">
        <f t="array" ref="BC180">_xlfn.LET(_xlpm.leftPart, LEFT(O180, FIND("@", O180) - 2),_xlpm.grade,Q180,_xlpm.gradeRange,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0" cm="1">
        <f t="array" ref="BD180">_xlfn.LET(_xlpm.leftPart, LEFT(P180, FIND("@", P180) - 2),_xlpm.grade, Q180,_xlpm.gradeRange,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0">
        <f t="shared" si="58"/>
        <v>2</v>
      </c>
      <c r="BF180">
        <f>IF(SD!$C$32=SD!$I$2,BE180,IF(SD!$C$32=SD!$I$3,DO180,IF(SD!$C$32=SD!$I$5,BA180,IF(SD!$C$32=SD!$I$6,(LEFT(SD!$C$35,FIND("-",SD!$C$35)-1)+RIGHT(SD!$C$35,LEN(SD!$C$35)-FIND("-",SD!$C$35))/12),IF(SD!$C$32=SD!$I$4,(AU180-(BG180+BH180)))))))</f>
        <v>0</v>
      </c>
      <c r="BG180">
        <f>IF(SD!$C$33=SD!$I$2,BE180,IF(SD!$C$33=SD!$I$3,DO180,IF(SD!$C$33=SD!$I$5,BA180,IF(SD!$C$33=SD!$I$6,(LEFT(SD!$C$35,FIND("-",SD!$C$35)-1)+RIGHT(SD!$C$35,LEN(SD!$C$35)-FIND("-",SD!$C$35))/12),IF(SD!$C$33=SD!$I$4,(AU180-(BF180+BH180)))))))</f>
        <v>-1</v>
      </c>
      <c r="BH180">
        <f>IF(SD!$C$34=SD!$I$2,BE180,IF(SD!$C$34=SD!$I$3,DO180,IF(SD!$C$34=SD!$I$5,BA180,IF(SD!$C$34=SD!$I$6,(LEFT(SD!$C$35,FIND("-",SD!$C$35)-1)+RIGHT(SD!$C$35,LEN(SD!$C$35)-FIND("-",SD!$C$35))/12),IF(SD!$C$34=SD!$I$4,(AU180-(BF180+BG180)))))))</f>
        <v>1</v>
      </c>
      <c r="BJ180">
        <f>IF(AM180="Spiral","1",MAX(ROUNDUP(IF(SD!$C$32="",AT180,BF180/(LEFT(RIGHT(N180,LEN(N180)-FIND("@",N180)),LEN(RIGHT(N180,LEN(N180)-FIND("@",N180)))-1)/12)+1),0),0))</f>
        <v>1</v>
      </c>
      <c r="BK180">
        <f>MAX(ROUNDUP(IF(SD!$C$33="","",BG180/(LEFT(RIGHT(O180,LEN(O180)-FIND("@",O180)),LEN(RIGHT(O180,LEN(O180)-FIND("@",O180)))-1)/12)+1),0),0)</f>
        <v>0</v>
      </c>
      <c r="BL180">
        <f>MAX(ROUNDUP(IF(SD!$C$34="","",BH180/(LEFT(RIGHT(P180,LEN(P180)-FIND("@",P180)),LEN(RIGHT(P180,LEN(P180)-FIND("@",P180)))-1)/12)+1),0),0)</f>
        <v>3</v>
      </c>
      <c r="BN180" t="e">
        <f t="shared" si="59"/>
        <v>#N/A</v>
      </c>
      <c r="BO180" t="e">
        <f t="shared" si="60"/>
        <v>#N/A</v>
      </c>
      <c r="BP180" t="e">
        <f t="shared" si="61"/>
        <v>#N/A</v>
      </c>
      <c r="BQ180" s="24" t="e">
        <f>IF(AM180=TRUE,(((Y180-(SD!$E$12*2))*3.14159265359)+BN180+BO180+BP180)/12+AL180,SUM(AF180:AG180,BN180,BO180,BP180,AO180,AQ180)/12)</f>
        <v>#N/A</v>
      </c>
      <c r="BR180" t="e">
        <f t="shared" si="62"/>
        <v>#N/A</v>
      </c>
      <c r="BS180" t="e">
        <f t="shared" si="63"/>
        <v>#N/A</v>
      </c>
      <c r="BT180" t="e">
        <f t="shared" si="64"/>
        <v>#N/A</v>
      </c>
      <c r="BU180" s="24" t="e">
        <f>IF(AM180=TRUE,(((Y180-(SD!$E$12*2))*3.14159265359)+BR180+BS180+BT180)/12+AL180,SUM(AF180:AG180,BR180,BS180,BT180,AO180,AQ180)/12)</f>
        <v>#N/A</v>
      </c>
      <c r="BW180" t="str">
        <f>IFERROR(LEFT(Data!L180,FIND(" -",Data!L180)-1),"")</f>
        <v/>
      </c>
      <c r="BX180" t="str">
        <f>IFERROR(IF(SD!$C$40=SD!$U$2,W180,IF(SD!$C$40=SD!$U$3,RIGHT(Data!L180,LEN(Data!L180)-(FIND("-",Data!L180)+1)),SD!$C$40)),"")</f>
        <v>#7</v>
      </c>
      <c r="BY180" cm="1">
        <f t="array" ref="BY180">IFERROR(_xlfn.LET(_xlpm.GRR,IF(AND(SD!$C$19=SD!$H$2,Grade!$G$1="Per level"),VLOOKUP(B180,Grade!$E$1:$F$200,2,FALSE),IF(AND(SD!$C$19=SD!$H$2,Grade!$G$1="Per Bar Size"),VLOOKUP(BX180,Grade!$B$1:$C$12,2,0),SD!$C$19)),_xlpm.is_equal, A179=A180,_xlpm.grade_range, IF(_xlpm.GRR=SD!$H$3, A615GR60,IF(_xlpm.GRR=SD!$H$4, A615GR75,IF(_xlpm.GRR=SD!$H$5, A615GR80,IF(_xlpm.GRR=SD!H184, A615GR100,IF(_xlpm.GRR=SD!$H$7, A706GR60,IF(_xlpm.GRR=SD!$H$8, A706GR80)))))),_xlpm.match_result, MATCH(1, (BSize=BX180)*(BCName=SD!$C$8), 0),_xlpm.final_result, INDEX(_xlpm.grade_range, _xlpm.match_result),IF(_xlpm.is_equal, "", _xlpm.final_result)),"")</f>
        <v>7</v>
      </c>
      <c r="BZ180">
        <f>IF(A179=A180,"",IF(SD!$C$41="Match Vertical Bars ",X180,IF(SD!$C$41=SD!$V$3,BW180,SD!$C$41)))</f>
        <v>6</v>
      </c>
      <c r="CA180" cm="1">
        <f t="array" ref="CA180">IF(A179=A180,"",IF(SD!$C$44="No T-Head",IF(SD!$C$42=SD!$Q$3,VLOOKUP(BX180,S90Range,3,FALSE),LEFT(SD!$C$42,FIND("-",SD!$C$42)-1)+(RIGHT(SD!$C$42,LEN(SD!$C$42)-FIND("-",SD!$C$42))/12)),IF(SD!$C$44="T-Head",_xlfn._xlws.FILTER(THead,(TCName=SD!$C$8)*(TSize=BX180)),IF(SD!$C$44="Level Wise",_xlfn.LET(_xlpm.result,_xlfn.XLOOKUP(B180,VDLevel,VDLevelStatus,"No"),IF(_xlpm.result="Yes",_xlfn._xlws.FILTER(THead,(TCName=SD!$C$8)*(TSize=BX180)),IF(SD!$C$42=SD!$Q$3,VLOOKUP(BX180,S90Range,3,FALSE),LEFT(SD!$C$42,FIND("-",SD!$C$42)-1)+(RIGHT(SD!$C$42,LEN(SD!$C$42)-FIND("-", SD!$C$42))/12)))),IF(SD!$C$44="BarSize Wise",_xlfn.LET(_xlpm.result,_xlfn.XLOOKUP(BX180,VDBarSize,VDBarSizeStatus,"No"),IF(_xlpm.result="Yes",_xlfn._xlws.FILTER(THead,(TCName=SD!$C$8)*(TSize=BX180)),IF(SD!$C$42=SD!$Q$3,VLOOKUP(BX180,S90Range,3,FALSE),LEFT(SD!$C$42,FIND("-",SD!$C$42)-1)+(RIGHT(SD!$C$42,LEN(SD!$C$42)-FIND("-",SD!$C$42))/12)))), "")))))</f>
        <v>1.1666666666666667</v>
      </c>
      <c r="CB180" t="str" cm="1">
        <f t="array" ref="CB180">_xlfn.LET(_xlpm.GRR,IF(AND(SD!$C$19=SD!$H$2,Grade!$G$1="Per level"),VLOOKUP(B180,Grade!$E$1:$F$200,2,FALSE),IF(AND(SD!$C$19=SD!$H$2,Grade!$G$1="Per Bar Size"),VLOOKUP(BX180,Grade!$B$1:$C$12,2,0),SD!$C$19)),_xlpm.is_coupler, K180="Coupler",_xlpm.condition1, SD!$C$43=SD!$W$2,_xlpm.data_j2_empty, Data!$J180="",_xlpm.lookup_table, IF(SD!$C$11="Create", Lap!$A$3:$BF$14, IF(SD!$C$11="Per Uploaded File", Lap!$A$19:$BF$30, "")),_xlpm.row_match, MATCH(BX180, Lap!$A$3:$A$14, 0),_xlpm.grade_offset, IF(IFERROR(FIND("Grade 60",_xlpm.GRR), 0) &gt; 0, 0, IF(IFERROR(FIND("Grade 80",_xlpm.GRR), 0), 1, IF(IFERROR(FIND("Grade 75",_xlpm.GRR), 0), 2, ""))),_xlpm.col_match, MATCH(VALUE(D180), Lap!$A$3:$BF$3, 0) + _xlpm.grade_offset,_xlpm.index_result, IFERROR(INDEX(_xlpm.lookup_table, _xlpm.row_match, _xlpm.col_match), Data!$J180),_xlpm.result_if_condition1, IF(_xlpm.data_j2_empty, _xlpm.index_result, Data!$J180),IF(_xlpm.is_coupler, 0, IF(_xlpm.condition1, _xlpm.result_if_condition1, SD!$C$43)))</f>
        <v>3-6</v>
      </c>
      <c r="CC180" s="24">
        <f t="shared" si="65"/>
        <v>3.5</v>
      </c>
      <c r="CD180">
        <f t="shared" si="66"/>
        <v>7.666666666666667</v>
      </c>
      <c r="CE180" t="str" cm="1">
        <f t="array" ref="CE180">IF(BY180="","",_xlfn._xlws.FILTER(SAC,(CName=SD!$C$8)*(EName="Vert Dowels")))</f>
        <v>2200 CD</v>
      </c>
      <c r="CF180" t="str" cm="1">
        <f t="array" ref="CF180">IFERROR(IF(BY180="","",IF(K180="Coupler",_xlfn._xlws.FILTER(CCoupler,(CCName=SD!$C$8)*(CBSize=IF(A179=A180,W179&amp;W180,BX180&amp;W180))*(CCMFM="Male")),"")),"N/A")</f>
        <v/>
      </c>
      <c r="CG180" t="str">
        <f t="shared" si="67"/>
        <v/>
      </c>
      <c r="CH180" t="str">
        <f t="shared" si="68"/>
        <v/>
      </c>
      <c r="CI180" t="str">
        <f>_xlfn.LET(_xlpm.u3_value, U181,_xlpm.hyphen_pos,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K181="Coupler",_xlpm.coupler_value, IF(_xlpm.is_coupler, 0, _xlpm.calculated_value),_xlpm.final_value, _xlpm.calculated_value + SD!$E$13 + _xlpm.coupler_value,IF(CG180="", "", _xlpm.final_value))</f>
        <v/>
      </c>
      <c r="CJ180" t="str" cm="1">
        <f t="array" ref="CJ180">IF(CG180="","",_xlfn._xlws.FILTER(SAC,(CName=SD!$C$8)*(EName="Loose Dowels")))</f>
        <v/>
      </c>
      <c r="CK180" t="str" cm="1">
        <f t="array" ref="CK180">IFERROR(IF(CG180="","",IF(K181="Coupler",_xlfn._xlws.FILTER(CCoupler,(CCName=SD!$C$8)*(CBSize=IF(A180=A181,W180&amp;W181,""))*(CCMFM="Male")),"")),"N/A")</f>
        <v/>
      </c>
      <c r="CL180">
        <f>IFERROR(IF(AM180="Spiral","",IF(A179=A180,"",IF(SD!$C$37=0,"",SD!$C$37))),"")</f>
        <v>3</v>
      </c>
      <c r="CN180">
        <f>IF(AM180="Spiral","",IFERROR(IF(SD!$C$36=0,"",SD!$C$36),""))</f>
        <v>5</v>
      </c>
      <c r="CP180">
        <f>IFERROR(IF(SD!$C$42=SD!$Q$3,'Take-off'!CA180,""),"")</f>
        <v>1.1666666666666667</v>
      </c>
      <c r="CR180">
        <f>IFERROR(IF(SD!$C$22=SD!$U$2,W180,SD!$C$22),"")</f>
        <v>0</v>
      </c>
      <c r="CS180" t="str" cm="1">
        <f t="array" ref="CS180">_xlfn.LET(_xlpm.GR,IF(AND(SD!$C$19=SD!$H$2,Grade!$G$1="Per level"),VLOOKUP(B180,Grade!$E$1:$F$200,2,FALSE),IF(AND(SD!$C$19=SD!$H$2,Grade!$G$1="Per Bar Size"),VLOOKUP(CR180,Grade!$B$1:$C$12,2,0),SD!$C$19)),IF(SD!$C$20=SD!$R$4,IF(A181=A180,"",INDEX(IF(_xlpm.GR=SD!$H$3,A615GR60,IF(_xlpm.GR=SD!$H$4,A615GR75,IF(_xlpm.GR=SD!$H$5,A615GR80,IF(_xlpm.GR=SD!H184,A615GR100,IF(_xlpm.GR=SD!$H$7,A706GR60,IF(_xlpm.GR=SD!$H$8,A706GR80)))))), MATCH(1, (BSize=CR180)*(BCName=SD!$C$8), 0))),""))</f>
        <v/>
      </c>
      <c r="CT180">
        <f>IF(A181=A180,"",IF(SD!$C$23="Match Vertical Bars ",X180,SD!$C$23))</f>
        <v>0</v>
      </c>
      <c r="CU180" t="str" cm="1">
        <f t="array" ref="CU180">IF(A181=A180,"",IF(SD!$C$20="Top dowels",IF(SD!$E$25="No T-Head",IF(SD!$C$24=SD!$Q$3,VLOOKUP(CR180,S90Range,3,FALSE),LEFT(SD!$C$24,FIND("-",SD!$C$24)-1)+(RIGHT(SD!$C$24,LEN(SD!$C$24)-FIND("-",SD!$C$24))/12)),IF(SD!$E$25="T-Head",_xlfn._xlws.FILTER(THead,(TCName=SD!$C$8)*(TSize=CR180)),IF(SD!$E$25="Level Wise",_xlfn.LET(_xlpm.result,_xlfn.XLOOKUP(B180,TDLevel,TDLevelStatus,"No"),IF(_xlpm.result="Yes",_xlfn._xlws.FILTER(THead,(TCName=SD!$C$8)*(TSize=CR180)),IF(SD!$C$24=SD!$Q$3,VLOOKUP(CR180,S90Range,3,FALSE),LEFT(SD!$C$24,FIND("-",SD!$C$24)-1)+(RIGHT(SD!$C$24,LEN(SD!$C$24)-FIND("-", SD!$C$24))/12)))),IF(SD!$E$25="BarSize Wise",_xlfn.LET(_xlpm.result,_xlfn.XLOOKUP(CR180,TDBarSize,TDBarSizeStatus,"No"),IF(_xlpm.result="Yes",_xlfn._xlws.FILTER(THead,(TCName=SD!$C$8)*(TSize=CR180)),IF(SD!$C$24=SD!$Q$3,VLOOKUP(CR180,S90Range,3,FALSE),LEFT(SD!$C$24,FIND("-",SD!$C$24)-1)+(RIGHT(SD!$C$24,LEN(SD!$C$24)-FIND("-",SD!$C$24))/12)))), "")))),""))</f>
        <v/>
      </c>
      <c r="CV180" t="str">
        <f>_xlfn.LET(_xlpm.GRR,IF(AND(SD!$C$19=SD!$H$2,Grade!$G$1="Per level"),VLOOKUP(B180,Grade!$E$1:$F$200,2,FALSE),IF(AND(SD!$C$19=SD!$H$2,Grade!$G$1="Per Bar Size"),VLOOKUP(CR180,Grade!$B$1:$C$12,2,0),SD!$C$19)),IF(SD!$C$25=SD!$W$2,IF(Data!$J180="",IFERROR(INDEX(IF(SD!$C$11="Create",Lap!$A$3:$BF$14,IF(SD!$C$11="Per Uploaded File",Lap!$A$19:$BF$30,"")),MATCH(CR180,Lap!$A$3:$A$14,0),MATCH(VALUE(D180),Lap!$A$3:$BF$3,0)+IF(IFERROR(FIND("Grade 60",_xlpm.GRR),0)&gt;0,0,IF(IFERROR(FIND("Grade 80",_xlpm.GRR),0),1,IF(IFERROR(FIND("Grade 75",_xlpm.GRR),0),2,"")))),""),Data!J180),SD!$C$43))</f>
        <v>Match Lap</v>
      </c>
      <c r="CW180">
        <f t="shared" si="69"/>
        <v>0</v>
      </c>
      <c r="CX180">
        <f t="shared" si="70"/>
        <v>0</v>
      </c>
      <c r="CY180" t="str">
        <f t="shared" si="71"/>
        <v/>
      </c>
      <c r="DA180">
        <f t="shared" si="72"/>
        <v>62</v>
      </c>
      <c r="DB180" t="str">
        <f t="shared" si="73"/>
        <v>19-7</v>
      </c>
      <c r="DC180" s="24">
        <f t="shared" si="74"/>
        <v>19.583333333333332</v>
      </c>
      <c r="DD180">
        <f t="shared" si="75"/>
        <v>19.583333333333332</v>
      </c>
      <c r="DE180" t="s">
        <v>733</v>
      </c>
      <c r="DF180" t="s">
        <v>67</v>
      </c>
      <c r="DG180" t="str">
        <f>VLOOKUP(W180,'Level Wise PSI'!$F$2:$G$12,2,FALSE)</f>
        <v>Double Lift</v>
      </c>
      <c r="DI180" t="str" cm="1">
        <f t="array" ref="DI180">_xlfn.LET(_xlpm.Coup,IFERROR(IF(BY180="","",IF(K180="Coupler",_xlfn._xlws.FILTER(CCFCoupler,(CCName=SD!$C$8)*(CBSize=IF(A179=A180,W179&amp;W180,BX180&amp;W180))),"")),"N/A"),IF(_xlpm.Coup=0,"",_xlpm.Coup))</f>
        <v/>
      </c>
      <c r="DJ180" t="str" cm="1">
        <f t="array" ref="DJ180">_xlfn.LET(_xlpm.Coup3,IFERROR(IF(CG180="","",IF(K181="Coupler",_xlfn._xlws.FILTER(CCFCoupler,(CCName=SD!$C$8)*(CBSize=IF(A180=A181,W180&amp;W181,""))),"")),"N/A"),IF(_xlpm.Coup3=0,"",_xlpm.Coup3))</f>
        <v/>
      </c>
      <c r="DK180" t="str" cm="1">
        <f t="array" ref="DK180">_xlfn.LET(_xlpm.Coup2,IFERROR(IF(A180&lt;&gt;A181,"",IF(DF180="No Lap","",IF(K181="Coupler",_xlfn._xlws.FILTER(CCFCoupler,(CCName=SD!$C$8)*(CBSize=IF(A179=A180,W180&amp;W181,W180&amp;W180))),""))),"N/A"),IF(_xlpm.Coup2=0,"",_xlpm.Coup2))</f>
        <v/>
      </c>
      <c r="DM180" t="str">
        <f>IF(AM180="Spiral","",IF(SD!$C$31=SD!$Y$3,SD!$E$32*2,""))</f>
        <v/>
      </c>
      <c r="DO180" s="24">
        <f t="shared" si="76"/>
        <v>2</v>
      </c>
      <c r="DQ180" t="str">
        <f t="shared" si="77"/>
        <v>Lig</v>
      </c>
      <c r="DR180" t="str">
        <f>IF(AM180="Spiral",((Y180-(SD!$E$12*2))/12),"")</f>
        <v/>
      </c>
      <c r="DS180" t="str">
        <f t="shared" si="78"/>
        <v/>
      </c>
      <c r="DT180" t="str">
        <f t="shared" si="79"/>
        <v/>
      </c>
      <c r="DU180" t="str">
        <f t="shared" si="80"/>
        <v/>
      </c>
    </row>
    <row r="181" spans="1:125" x14ac:dyDescent="0.25">
      <c r="A181">
        <v>63</v>
      </c>
      <c r="B181" t="s">
        <v>664</v>
      </c>
      <c r="C181" s="15">
        <v>2429</v>
      </c>
      <c r="D181" s="15">
        <v>10000</v>
      </c>
      <c r="E181" t="str">
        <f>IF(B181=Level!$A$2,SD!$C$14,SD!$C$13)</f>
        <v>3-0</v>
      </c>
      <c r="F181" s="15" t="s">
        <v>787</v>
      </c>
      <c r="G181" t="s">
        <v>717</v>
      </c>
      <c r="H181" s="15" t="s">
        <v>788</v>
      </c>
      <c r="I181" t="s">
        <v>718</v>
      </c>
      <c r="J181" t="str">
        <f>IF(AND(SD!$C$19=SD!$H$2,Grade!$G$1="Per level"),VLOOKUP(B181,Grade!$E$1:$F$200,2,FALSE),IF(AND(SD!$C$19=SD!$H$2,Grade!$G$1="Per Bar Size"),VLOOKUP(W181,Grade!$B$1:$C$12,2,0),SD!$C$19))</f>
        <v>A615 Grade 60</v>
      </c>
      <c r="K181" t="s">
        <v>67</v>
      </c>
      <c r="L181" t="str">
        <f>IFERROR(IF(A181&lt;&gt;A182,"",IF(DF181="No Lap","",IF(K182="Lap",U181,IF(K182="Coupler",_xlfn._xlws.FILTER(CCoupler,(CCName=SD!$C$8)*(CBSize=IF(A180=A181,W181&amp;W182,W181&amp;W181))*(CCMFM="Male")),"")))),"N/A")</f>
        <v/>
      </c>
      <c r="M181" t="str">
        <f t="shared" si="54"/>
        <v/>
      </c>
      <c r="N181" t="s">
        <v>719</v>
      </c>
      <c r="O181" t="s">
        <v>720</v>
      </c>
      <c r="P181" t="s">
        <v>719</v>
      </c>
      <c r="Q181" t="str">
        <f>IF(AND(SD!$C$29=SD!$P$2,Grade!$O$1="Per level"),VLOOKUP(B181,Grade!$M$1:$N$200,2,FALSE),IF(AND(SD!$C$29=SD!$P$2,Grade!$O$1="Per Bar Size"),VLOOKUP(LEFT(N181,FIND("@",N181)-2),Grade!$J$1:$K$12,2,0),SD!$C$29))</f>
        <v>A615 Grade 60</v>
      </c>
      <c r="R181" t="s">
        <v>721</v>
      </c>
      <c r="S181" s="57">
        <v>181</v>
      </c>
      <c r="U181" t="str">
        <f>IF(Data!$J181="",IFERROR(INDEX(IF(SD!$C$11="Create",Lap!$A$3:$BF$14,IF(SD!$C$11="Per Uploaded File",Lap!$A$19:$BF$30,"")),MATCH(W181,Lap!$A$3:$A$14,0),MATCH(VALUE(D181),Lap!$A$3:$BF$3,0)+IF(IFERROR(FIND("Grade 60",J181),0)&gt;0,0,IF(IFERROR(FIND("Grade 80",J181),0),1,IF(IFERROR(FIND("Grade 75",J181),0),2,"")))),""),Data!J181)</f>
        <v>3-6</v>
      </c>
      <c r="W181" t="s">
        <v>139</v>
      </c>
      <c r="X181">
        <v>14</v>
      </c>
      <c r="Y181" t="str">
        <f t="shared" si="55"/>
        <v xml:space="preserve">12 </v>
      </c>
      <c r="Z181" t="str">
        <f t="shared" si="56"/>
        <v xml:space="preserve"> 56</v>
      </c>
      <c r="AA181" s="24">
        <f t="shared" si="57"/>
        <v>19.583333333333332</v>
      </c>
      <c r="BB181" t="e" cm="1">
        <f t="array" ref="BB181">_xlfn.LET(_xlpm.PartF,(_xlfn.LET(_xlpm.grade, Q181,_xlpm.gradeRange, IF(_xlpm.grade=SD!$H$3, A615GR60, IF(_xlpm.grade=SD!$H$4, A615GR75, IF(_xlpm.grade=SD!$H$5, A615GR80, IF(_xlpm.grade=SD!$H$6, A615GR100, IF(_xlpm.grade=SD!$H$7, A706GR60, IF(_xlpm.grade=SD!$H$8, A706GR80)))))),_xlpm.matchValue, MATCH(1, (SD!$AW:$AW=AS181)*(SD!$AX:$AX=SD!$C$8), 0),INDEX(_xlpm.gradeRange, _xlpm.matchValue))),IF(AM181="Spiral",CONCATENATE("SP",_xlpm.PartF),_xlpm.PartF))</f>
        <v>#N/A</v>
      </c>
      <c r="BC181" cm="1">
        <f t="array" ref="BC181">_xlfn.LET(_xlpm.leftPart, LEFT(O181, FIND("@", O181) - 2),_xlpm.grade,Q181,_xlpm.gradeRange,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1" cm="1">
        <f t="array" ref="BD181">_xlfn.LET(_xlpm.leftPart, LEFT(P181, FIND("@", P181) - 2),_xlpm.grade, Q181,_xlpm.gradeRange,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1">
        <f t="shared" si="58"/>
        <v>4.666666666666667</v>
      </c>
      <c r="BF181">
        <f>IF(SD!$C$32=SD!$I$2,BE181,IF(SD!$C$32=SD!$I$3,DO181,IF(SD!$C$32=SD!$I$5,BA181,IF(SD!$C$32=SD!$I$6,(LEFT(SD!$C$35,FIND("-",SD!$C$35)-1)+RIGHT(SD!$C$35,LEN(SD!$C$35)-FIND("-",SD!$C$35))/12),IF(SD!$C$32=SD!$I$4,(AU181-(BG181+BH181)))))))</f>
        <v>0</v>
      </c>
      <c r="BG181">
        <f>IF(SD!$C$33=SD!$I$2,BE181,IF(SD!$C$33=SD!$I$3,DO181,IF(SD!$C$33=SD!$I$5,BA181,IF(SD!$C$33=SD!$I$6,(LEFT(SD!$C$35,FIND("-",SD!$C$35)-1)+RIGHT(SD!$C$35,LEN(SD!$C$35)-FIND("-",SD!$C$35))/12),IF(SD!$C$33=SD!$I$4,(AU181-(BF181+BH181)))))))</f>
        <v>-1</v>
      </c>
      <c r="BH181">
        <f>IF(SD!$C$34=SD!$I$2,BE181,IF(SD!$C$34=SD!$I$3,DO181,IF(SD!$C$34=SD!$I$5,BA181,IF(SD!$C$34=SD!$I$6,(LEFT(SD!$C$35,FIND("-",SD!$C$35)-1)+RIGHT(SD!$C$35,LEN(SD!$C$35)-FIND("-",SD!$C$35))/12),IF(SD!$C$34=SD!$I$4,(AU181-(BF181+BG181)))))))</f>
        <v>1</v>
      </c>
      <c r="BJ181">
        <f>IF(AM181="Spiral","1",MAX(ROUNDUP(IF(SD!$C$32="",AT181,BF181/(LEFT(RIGHT(N181,LEN(N181)-FIND("@",N181)),LEN(RIGHT(N181,LEN(N181)-FIND("@",N181)))-1)/12)+1),0),0))</f>
        <v>1</v>
      </c>
      <c r="BK181">
        <f>MAX(ROUNDUP(IF(SD!$C$33="","",BG181/(LEFT(RIGHT(O181,LEN(O181)-FIND("@",O181)),LEN(RIGHT(O181,LEN(O181)-FIND("@",O181)))-1)/12)+1),0),0)</f>
        <v>0</v>
      </c>
      <c r="BL181">
        <f>MAX(ROUNDUP(IF(SD!$C$34="","",BH181/(LEFT(RIGHT(P181,LEN(P181)-FIND("@",P181)),LEN(RIGHT(P181,LEN(P181)-FIND("@",P181)))-1)/12)+1),0),0)</f>
        <v>3</v>
      </c>
      <c r="BN181" t="e">
        <f t="shared" si="59"/>
        <v>#N/A</v>
      </c>
      <c r="BO181" t="e">
        <f t="shared" si="60"/>
        <v>#N/A</v>
      </c>
      <c r="BP181" t="e">
        <f t="shared" si="61"/>
        <v>#N/A</v>
      </c>
      <c r="BQ181" s="24" t="e">
        <f>IF(AM181=TRUE,(((Y181-(SD!$E$12*2))*3.14159265359)+BN181+BO181+BP181)/12+AL181,SUM(AF181:AG181,BN181,BO181,BP181,AO181,AQ181)/12)</f>
        <v>#N/A</v>
      </c>
      <c r="BR181" t="e">
        <f t="shared" si="62"/>
        <v>#N/A</v>
      </c>
      <c r="BS181" t="e">
        <f t="shared" si="63"/>
        <v>#N/A</v>
      </c>
      <c r="BT181" t="e">
        <f t="shared" si="64"/>
        <v>#N/A</v>
      </c>
      <c r="BU181" s="24" t="e">
        <f>IF(AM181=TRUE,(((Y181-(SD!$E$12*2))*3.14159265359)+BR181+BS181+BT181)/12+AL181,SUM(AF181:AG181,BR181,BS181,BT181,AO181,AQ181)/12)</f>
        <v>#N/A</v>
      </c>
      <c r="BW181" t="str">
        <f>IFERROR(LEFT(Data!L181,FIND(" -",Data!L181)-1),"")</f>
        <v/>
      </c>
      <c r="BX181" t="str">
        <f>IFERROR(IF(SD!$C$40=SD!$U$2,W181,IF(SD!$C$40=SD!$U$3,RIGHT(Data!L181,LEN(Data!L181)-(FIND("-",Data!L181)+1)),SD!$C$40)),"")</f>
        <v>#7</v>
      </c>
      <c r="BY181" cm="1">
        <f t="array" ref="BY181">IFERROR(_xlfn.LET(_xlpm.GRR,IF(AND(SD!$C$19=SD!$H$2,Grade!$G$1="Per level"),VLOOKUP(B181,Grade!$E$1:$F$200,2,FALSE),IF(AND(SD!$C$19=SD!$H$2,Grade!$G$1="Per Bar Size"),VLOOKUP(BX181,Grade!$B$1:$C$12,2,0),SD!$C$19)),_xlpm.is_equal, A180=A181,_xlpm.grade_range, IF(_xlpm.GRR=SD!$H$3, A615GR60,IF(_xlpm.GRR=SD!$H$4, A615GR75,IF(_xlpm.GRR=SD!$H$5, A615GR80,IF(_xlpm.GRR=SD!H185, A615GR100,IF(_xlpm.GRR=SD!$H$7, A706GR60,IF(_xlpm.GRR=SD!$H$8, A706GR80)))))),_xlpm.match_result, MATCH(1, (BSize=BX181)*(BCName=SD!$C$8), 0),_xlpm.final_result, INDEX(_xlpm.grade_range, _xlpm.match_result),IF(_xlpm.is_equal, "", _xlpm.final_result)),"")</f>
        <v>7</v>
      </c>
      <c r="BZ181">
        <f>IF(A180=A181,"",IF(SD!$C$41="Match Vertical Bars ",X181,IF(SD!$C$41=SD!$V$3,BW181,SD!$C$41)))</f>
        <v>14</v>
      </c>
      <c r="CA181" cm="1">
        <f t="array" ref="CA181">IF(A180=A181,"",IF(SD!$C$44="No T-Head",IF(SD!$C$42=SD!$Q$3,VLOOKUP(BX181,S90Range,3,FALSE),LEFT(SD!$C$42,FIND("-",SD!$C$42)-1)+(RIGHT(SD!$C$42,LEN(SD!$C$42)-FIND("-",SD!$C$42))/12)),IF(SD!$C$44="T-Head",_xlfn._xlws.FILTER(THead,(TCName=SD!$C$8)*(TSize=BX181)),IF(SD!$C$44="Level Wise",_xlfn.LET(_xlpm.result,_xlfn.XLOOKUP(B181,VDLevel,VDLevelStatus,"No"),IF(_xlpm.result="Yes",_xlfn._xlws.FILTER(THead,(TCName=SD!$C$8)*(TSize=BX181)),IF(SD!$C$42=SD!$Q$3,VLOOKUP(BX181,S90Range,3,FALSE),LEFT(SD!$C$42,FIND("-",SD!$C$42)-1)+(RIGHT(SD!$C$42,LEN(SD!$C$42)-FIND("-", SD!$C$42))/12)))),IF(SD!$C$44="BarSize Wise",_xlfn.LET(_xlpm.result,_xlfn.XLOOKUP(BX181,VDBarSize,VDBarSizeStatus,"No"),IF(_xlpm.result="Yes",_xlfn._xlws.FILTER(THead,(TCName=SD!$C$8)*(TSize=BX181)),IF(SD!$C$42=SD!$Q$3,VLOOKUP(BX181,S90Range,3,FALSE),LEFT(SD!$C$42,FIND("-",SD!$C$42)-1)+(RIGHT(SD!$C$42,LEN(SD!$C$42)-FIND("-",SD!$C$42))/12)))), "")))))</f>
        <v>1.1666666666666667</v>
      </c>
      <c r="CB181" t="str" cm="1">
        <f t="array" ref="CB181">_xlfn.LET(_xlpm.GRR,IF(AND(SD!$C$19=SD!$H$2,Grade!$G$1="Per level"),VLOOKUP(B181,Grade!$E$1:$F$200,2,FALSE),IF(AND(SD!$C$19=SD!$H$2,Grade!$G$1="Per Bar Size"),VLOOKUP(BX181,Grade!$B$1:$C$12,2,0),SD!$C$19)),_xlpm.is_coupler, K181="Coupler",_xlpm.condition1, SD!$C$43=SD!$W$2,_xlpm.data_j2_empty, Data!$J181="",_xlpm.lookup_table, IF(SD!$C$11="Create", Lap!$A$3:$BF$14, IF(SD!$C$11="Per Uploaded File", Lap!$A$19:$BF$30, "")),_xlpm.row_match, MATCH(BX181, Lap!$A$3:$A$14, 0),_xlpm.grade_offset, IF(IFERROR(FIND("Grade 60",_xlpm.GRR), 0) &gt; 0, 0, IF(IFERROR(FIND("Grade 80",_xlpm.GRR), 0), 1, IF(IFERROR(FIND("Grade 75",_xlpm.GRR), 0), 2, ""))),_xlpm.col_match, MATCH(VALUE(D181), Lap!$A$3:$BF$3, 0) + _xlpm.grade_offset,_xlpm.index_result, IFERROR(INDEX(_xlpm.lookup_table, _xlpm.row_match, _xlpm.col_match), Data!$J181),_xlpm.result_if_condition1, IF(_xlpm.data_j2_empty, _xlpm.index_result, Data!$J181),IF(_xlpm.is_coupler, 0, IF(_xlpm.condition1, _xlpm.result_if_condition1, SD!$C$43)))</f>
        <v>3-6</v>
      </c>
      <c r="CC181" s="24">
        <f t="shared" si="65"/>
        <v>3.5</v>
      </c>
      <c r="CD181">
        <f t="shared" si="66"/>
        <v>7.666666666666667</v>
      </c>
      <c r="CE181" t="str" cm="1">
        <f t="array" ref="CE181">IF(BY181="","",_xlfn._xlws.FILTER(SAC,(CName=SD!$C$8)*(EName="Vert Dowels")))</f>
        <v>2200 CD</v>
      </c>
      <c r="CF181" t="str" cm="1">
        <f t="array" ref="CF181">IFERROR(IF(BY181="","",IF(K181="Coupler",_xlfn._xlws.FILTER(CCoupler,(CCName=SD!$C$8)*(CBSize=IF(A180=A181,W180&amp;W181,BX181&amp;W181))*(CCMFM="Male")),"")),"N/A")</f>
        <v/>
      </c>
      <c r="CG181" t="str">
        <f t="shared" si="67"/>
        <v/>
      </c>
      <c r="CH181" t="str">
        <f t="shared" si="68"/>
        <v/>
      </c>
      <c r="CI181" t="str">
        <f>_xlfn.LET(_xlpm.u3_value, U182,_xlpm.hyphen_pos,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K182="Coupler",_xlpm.coupler_value, IF(_xlpm.is_coupler, 0, _xlpm.calculated_value),_xlpm.final_value, _xlpm.calculated_value + SD!$E$13 + _xlpm.coupler_value,IF(CG181="", "", _xlpm.final_value))</f>
        <v/>
      </c>
      <c r="CJ181" t="str" cm="1">
        <f t="array" ref="CJ181">IF(CG181="","",_xlfn._xlws.FILTER(SAC,(CName=SD!$C$8)*(EName="Loose Dowels")))</f>
        <v/>
      </c>
      <c r="CK181" t="str" cm="1">
        <f t="array" ref="CK181">IFERROR(IF(CG181="","",IF(K182="Coupler",_xlfn._xlws.FILTER(CCoupler,(CCName=SD!$C$8)*(CBSize=IF(A181=A182,W181&amp;W182,""))*(CCMFM="Male")),"")),"N/A")</f>
        <v/>
      </c>
      <c r="CL181">
        <f>IFERROR(IF(AM181="Spiral","",IF(A180=A181,"",IF(SD!$C$37=0,"",SD!$C$37))),"")</f>
        <v>3</v>
      </c>
      <c r="CN181">
        <f>IF(AM181="Spiral","",IFERROR(IF(SD!$C$36=0,"",SD!$C$36),""))</f>
        <v>5</v>
      </c>
      <c r="CP181">
        <f>IFERROR(IF(SD!$C$42=SD!$Q$3,'Take-off'!CA181,""),"")</f>
        <v>1.1666666666666667</v>
      </c>
      <c r="CR181">
        <f>IFERROR(IF(SD!$C$22=SD!$U$2,W181,SD!$C$22),"")</f>
        <v>0</v>
      </c>
      <c r="CS181" t="str" cm="1">
        <f t="array" ref="CS181">_xlfn.LET(_xlpm.GR,IF(AND(SD!$C$19=SD!$H$2,Grade!$G$1="Per level"),VLOOKUP(B181,Grade!$E$1:$F$200,2,FALSE),IF(AND(SD!$C$19=SD!$H$2,Grade!$G$1="Per Bar Size"),VLOOKUP(CR181,Grade!$B$1:$C$12,2,0),SD!$C$19)),IF(SD!$C$20=SD!$R$4,IF(A182=A181,"",INDEX(IF(_xlpm.GR=SD!$H$3,A615GR60,IF(_xlpm.GR=SD!$H$4,A615GR75,IF(_xlpm.GR=SD!$H$5,A615GR80,IF(_xlpm.GR=SD!H185,A615GR100,IF(_xlpm.GR=SD!$H$7,A706GR60,IF(_xlpm.GR=SD!$H$8,A706GR80)))))), MATCH(1, (BSize=CR181)*(BCName=SD!$C$8), 0))),""))</f>
        <v/>
      </c>
      <c r="CT181">
        <f>IF(A182=A181,"",IF(SD!$C$23="Match Vertical Bars ",X181,SD!$C$23))</f>
        <v>0</v>
      </c>
      <c r="CU181" t="str" cm="1">
        <f t="array" ref="CU181">IF(A182=A181,"",IF(SD!$C$20="Top dowels",IF(SD!$E$25="No T-Head",IF(SD!$C$24=SD!$Q$3,VLOOKUP(CR181,S90Range,3,FALSE),LEFT(SD!$C$24,FIND("-",SD!$C$24)-1)+(RIGHT(SD!$C$24,LEN(SD!$C$24)-FIND("-",SD!$C$24))/12)),IF(SD!$E$25="T-Head",_xlfn._xlws.FILTER(THead,(TCName=SD!$C$8)*(TSize=CR181)),IF(SD!$E$25="Level Wise",_xlfn.LET(_xlpm.result,_xlfn.XLOOKUP(B181,TDLevel,TDLevelStatus,"No"),IF(_xlpm.result="Yes",_xlfn._xlws.FILTER(THead,(TCName=SD!$C$8)*(TSize=CR181)),IF(SD!$C$24=SD!$Q$3,VLOOKUP(CR181,S90Range,3,FALSE),LEFT(SD!$C$24,FIND("-",SD!$C$24)-1)+(RIGHT(SD!$C$24,LEN(SD!$C$24)-FIND("-", SD!$C$24))/12)))),IF(SD!$E$25="BarSize Wise",_xlfn.LET(_xlpm.result,_xlfn.XLOOKUP(CR181,TDBarSize,TDBarSizeStatus,"No"),IF(_xlpm.result="Yes",_xlfn._xlws.FILTER(THead,(TCName=SD!$C$8)*(TSize=CR181)),IF(SD!$C$24=SD!$Q$3,VLOOKUP(CR181,S90Range,3,FALSE),LEFT(SD!$C$24,FIND("-",SD!$C$24)-1)+(RIGHT(SD!$C$24,LEN(SD!$C$24)-FIND("-",SD!$C$24))/12)))), "")))),""))</f>
        <v/>
      </c>
      <c r="CV181" t="str">
        <f>_xlfn.LET(_xlpm.GRR,IF(AND(SD!$C$19=SD!$H$2,Grade!$G$1="Per level"),VLOOKUP(B181,Grade!$E$1:$F$200,2,FALSE),IF(AND(SD!$C$19=SD!$H$2,Grade!$G$1="Per Bar Size"),VLOOKUP(CR181,Grade!$B$1:$C$12,2,0),SD!$C$19)),IF(SD!$C$25=SD!$W$2,IF(Data!$J181="",IFERROR(INDEX(IF(SD!$C$11="Create",Lap!$A$3:$BF$14,IF(SD!$C$11="Per Uploaded File",Lap!$A$19:$BF$30,"")),MATCH(CR181,Lap!$A$3:$A$14,0),MATCH(VALUE(D181),Lap!$A$3:$BF$3,0)+IF(IFERROR(FIND("Grade 60",_xlpm.GRR),0)&gt;0,0,IF(IFERROR(FIND("Grade 80",_xlpm.GRR),0),1,IF(IFERROR(FIND("Grade 75",_xlpm.GRR),0),2,"")))),""),Data!J181),SD!$C$43))</f>
        <v>Match Lap</v>
      </c>
      <c r="CW181">
        <f t="shared" si="69"/>
        <v>0</v>
      </c>
      <c r="CX181">
        <f t="shared" si="70"/>
        <v>0</v>
      </c>
      <c r="CY181" t="str">
        <f t="shared" si="71"/>
        <v/>
      </c>
      <c r="DA181">
        <f t="shared" si="72"/>
        <v>63</v>
      </c>
      <c r="DB181" t="str">
        <f t="shared" si="73"/>
        <v>19-7</v>
      </c>
      <c r="DC181" s="24">
        <f t="shared" si="74"/>
        <v>19.583333333333332</v>
      </c>
      <c r="DD181">
        <f t="shared" si="75"/>
        <v>19.583333333333332</v>
      </c>
      <c r="DE181" t="s">
        <v>717</v>
      </c>
      <c r="DF181" t="s">
        <v>67</v>
      </c>
      <c r="DG181" t="str">
        <f>VLOOKUP(W181,'Level Wise PSI'!$F$2:$G$12,2,FALSE)</f>
        <v>Double Lift</v>
      </c>
      <c r="DI181" t="str" cm="1">
        <f t="array" ref="DI181">_xlfn.LET(_xlpm.Coup,IFERROR(IF(BY181="","",IF(K181="Coupler",_xlfn._xlws.FILTER(CCFCoupler,(CCName=SD!$C$8)*(CBSize=IF(A180=A181,W180&amp;W181,BX181&amp;W181))),"")),"N/A"),IF(_xlpm.Coup=0,"",_xlpm.Coup))</f>
        <v/>
      </c>
      <c r="DJ181" t="str" cm="1">
        <f t="array" ref="DJ181">_xlfn.LET(_xlpm.Coup3,IFERROR(IF(CG181="","",IF(K182="Coupler",_xlfn._xlws.FILTER(CCFCoupler,(CCName=SD!$C$8)*(CBSize=IF(A181=A182,W181&amp;W182,""))),"")),"N/A"),IF(_xlpm.Coup3=0,"",_xlpm.Coup3))</f>
        <v/>
      </c>
      <c r="DK181" t="str" cm="1">
        <f t="array" ref="DK181">_xlfn.LET(_xlpm.Coup2,IFERROR(IF(A181&lt;&gt;A182,"",IF(DF181="No Lap","",IF(K182="Coupler",_xlfn._xlws.FILTER(CCFCoupler,(CCName=SD!$C$8)*(CBSize=IF(A180=A181,W181&amp;W182,W181&amp;W181))),""))),"N/A"),IF(_xlpm.Coup2=0,"",_xlpm.Coup2))</f>
        <v/>
      </c>
      <c r="DM181" t="str">
        <f>IF(AM181="Spiral","",IF(SD!$C$31=SD!$Y$3,SD!$E$32*2,""))</f>
        <v/>
      </c>
      <c r="DO181" s="24">
        <f t="shared" si="76"/>
        <v>4.666666666666667</v>
      </c>
      <c r="DQ181" t="str">
        <f t="shared" si="77"/>
        <v>Lig</v>
      </c>
      <c r="DR181" t="str">
        <f>IF(AM181="Spiral",((Y181-(SD!$E$12*2))/12),"")</f>
        <v/>
      </c>
      <c r="DS181" t="str">
        <f t="shared" si="78"/>
        <v/>
      </c>
      <c r="DT181" t="str">
        <f t="shared" si="79"/>
        <v/>
      </c>
      <c r="DU181" t="str">
        <f t="shared" si="80"/>
        <v/>
      </c>
    </row>
    <row r="182" spans="1:125" x14ac:dyDescent="0.25">
      <c r="A182">
        <v>64</v>
      </c>
      <c r="B182" t="s">
        <v>667</v>
      </c>
      <c r="C182" s="15">
        <v>2429</v>
      </c>
      <c r="D182" s="15">
        <v>10000</v>
      </c>
      <c r="E182" s="15" t="s">
        <v>708</v>
      </c>
      <c r="F182" s="15" t="s">
        <v>787</v>
      </c>
      <c r="G182" t="s">
        <v>740</v>
      </c>
      <c r="H182" t="str">
        <f>RIGHT(VLOOKUP(B182,Level!A:C,3,FALSE),LEN(VLOOKUP(B182,Level!A:C,3,FALSE))-1)</f>
        <v>10-7</v>
      </c>
      <c r="I182" t="s">
        <v>741</v>
      </c>
      <c r="J182" t="str">
        <f>IF(AND(SD!$C$19=SD!$H$2,Grade!$G$1="Per level"),VLOOKUP(B182,Grade!$E$1:$F$200,2,FALSE),IF(AND(SD!$C$19=SD!$H$2,Grade!$G$1="Per Bar Size"),VLOOKUP(W182,Grade!$B$1:$C$12,2,0),SD!$C$19))</f>
        <v>A615 Grade 60</v>
      </c>
      <c r="K182" t="s">
        <v>67</v>
      </c>
      <c r="L182" t="str">
        <f>IFERROR(IF(A182&lt;&gt;A183,"",IF(DF182="No Lap","",IF(K183="Lap",U182,IF(K183="Coupler",_xlfn._xlws.FILTER(CCoupler,(CCName=SD!$C$8)*(CBSize=IF(A181=A182,W182&amp;W183,W182&amp;W182))*(CCMFM="Male")),"")))),"N/A")</f>
        <v>5-1</v>
      </c>
      <c r="M182" t="str">
        <f t="shared" si="54"/>
        <v/>
      </c>
      <c r="N182" t="s">
        <v>719</v>
      </c>
      <c r="O182" t="s">
        <v>720</v>
      </c>
      <c r="P182" t="s">
        <v>719</v>
      </c>
      <c r="Q182" t="str">
        <f>IF(AND(SD!$C$29=SD!$P$2,Grade!$O$1="Per level"),VLOOKUP(B182,Grade!$M$1:$N$200,2,FALSE),IF(AND(SD!$C$29=SD!$P$2,Grade!$O$1="Per Bar Size"),VLOOKUP(LEFT(N182,FIND("@",N182)-2),Grade!$J$1:$K$12,2,0),SD!$C$29))</f>
        <v>A615 Grade 60</v>
      </c>
      <c r="R182" t="s">
        <v>740</v>
      </c>
      <c r="S182" s="57">
        <v>182</v>
      </c>
      <c r="U182" t="str">
        <f>IF(Data!$J182="",IFERROR(INDEX(IF(SD!$C$11="Create",Lap!$A$3:$BF$14,IF(SD!$C$11="Per Uploaded File",Lap!$A$19:$BF$30,"")),MATCH(W182,Lap!$A$3:$A$14,0),MATCH(VALUE(D182),Lap!$A$3:$BF$3,0)+IF(IFERROR(FIND("Grade 60",J182),0)&gt;0,0,IF(IFERROR(FIND("Grade 80",J182),0),1,IF(IFERROR(FIND("Grade 75",J182),0),2,"")))),""),Data!J182)</f>
        <v>5-1</v>
      </c>
      <c r="W182" t="s">
        <v>176</v>
      </c>
      <c r="X182">
        <v>10</v>
      </c>
      <c r="Y182" t="str">
        <f t="shared" si="55"/>
        <v>36</v>
      </c>
      <c r="Z182">
        <f t="shared" si="56"/>
        <v>0</v>
      </c>
      <c r="AA182" s="24">
        <f t="shared" si="57"/>
        <v>15.666666666666666</v>
      </c>
      <c r="BB182" t="e" cm="1">
        <f t="array" ref="BB182">_xlfn.LET(_xlpm.PartF,(_xlfn.LET(_xlpm.grade, Q182,_xlpm.gradeRange, IF(_xlpm.grade=SD!$H$3, A615GR60, IF(_xlpm.grade=SD!$H$4, A615GR75, IF(_xlpm.grade=SD!$H$5, A615GR80, IF(_xlpm.grade=SD!$H$6, A615GR100, IF(_xlpm.grade=SD!$H$7, A706GR60, IF(_xlpm.grade=SD!$H$8, A706GR80)))))),_xlpm.matchValue, MATCH(1, (SD!$AW:$AW=AS182)*(SD!$AX:$AX=SD!$C$8), 0),INDEX(_xlpm.gradeRange, _xlpm.matchValue))),IF(AM182="Spiral",CONCATENATE("SP",_xlpm.PartF),_xlpm.PartF))</f>
        <v>#N/A</v>
      </c>
      <c r="BC182" cm="1">
        <f t="array" ref="BC182">_xlfn.LET(_xlpm.leftPart, LEFT(O182, FIND("@", O182) - 2),_xlpm.grade,Q182,_xlpm.gradeRange,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2" cm="1">
        <f t="array" ref="BD182">_xlfn.LET(_xlpm.leftPart, LEFT(P182, FIND("@", P182) - 2),_xlpm.grade, Q182,_xlpm.gradeRange,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2">
        <f t="shared" si="58"/>
        <v>3</v>
      </c>
      <c r="BF182">
        <f>IF(SD!$C$32=SD!$I$2,BE182,IF(SD!$C$32=SD!$I$3,DO182,IF(SD!$C$32=SD!$I$5,BA182,IF(SD!$C$32=SD!$I$6,(LEFT(SD!$C$35,FIND("-",SD!$C$35)-1)+RIGHT(SD!$C$35,LEN(SD!$C$35)-FIND("-",SD!$C$35))/12),IF(SD!$C$32=SD!$I$4,(AU182-(BG182+BH182)))))))</f>
        <v>0</v>
      </c>
      <c r="BG182">
        <f>IF(SD!$C$33=SD!$I$2,BE182,IF(SD!$C$33=SD!$I$3,DO182,IF(SD!$C$33=SD!$I$5,BA182,IF(SD!$C$33=SD!$I$6,(LEFT(SD!$C$35,FIND("-",SD!$C$35)-1)+RIGHT(SD!$C$35,LEN(SD!$C$35)-FIND("-",SD!$C$35))/12),IF(SD!$C$33=SD!$I$4,(AU182-(BF182+BH182)))))))</f>
        <v>-1</v>
      </c>
      <c r="BH182">
        <f>IF(SD!$C$34=SD!$I$2,BE182,IF(SD!$C$34=SD!$I$3,DO182,IF(SD!$C$34=SD!$I$5,BA182,IF(SD!$C$34=SD!$I$6,(LEFT(SD!$C$35,FIND("-",SD!$C$35)-1)+RIGHT(SD!$C$35,LEN(SD!$C$35)-FIND("-",SD!$C$35))/12),IF(SD!$C$34=SD!$I$4,(AU182-(BF182+BG182)))))))</f>
        <v>1</v>
      </c>
      <c r="BJ182">
        <f>IF(AM182="Spiral","1",MAX(ROUNDUP(IF(SD!$C$32="",AT182,BF182/(LEFT(RIGHT(N182,LEN(N182)-FIND("@",N182)),LEN(RIGHT(N182,LEN(N182)-FIND("@",N182)))-1)/12)+1),0),0))</f>
        <v>1</v>
      </c>
      <c r="BK182">
        <f>MAX(ROUNDUP(IF(SD!$C$33="","",BG182/(LEFT(RIGHT(O182,LEN(O182)-FIND("@",O182)),LEN(RIGHT(O182,LEN(O182)-FIND("@",O182)))-1)/12)+1),0),0)</f>
        <v>0</v>
      </c>
      <c r="BL182">
        <f>MAX(ROUNDUP(IF(SD!$C$34="","",BH182/(LEFT(RIGHT(P182,LEN(P182)-FIND("@",P182)),LEN(RIGHT(P182,LEN(P182)-FIND("@",P182)))-1)/12)+1),0),0)</f>
        <v>3</v>
      </c>
      <c r="BN182" t="e">
        <f t="shared" si="59"/>
        <v>#N/A</v>
      </c>
      <c r="BO182" t="e">
        <f t="shared" si="60"/>
        <v>#N/A</v>
      </c>
      <c r="BP182" t="e">
        <f t="shared" si="61"/>
        <v>#N/A</v>
      </c>
      <c r="BQ182" s="24" t="e">
        <f>IF(AM182=TRUE,(((Y182-(SD!$E$12*2))*3.14159265359)+BN182+BO182+BP182)/12+AL182,SUM(AF182:AG182,BN182,BO182,BP182,AO182,AQ182)/12)</f>
        <v>#N/A</v>
      </c>
      <c r="BR182" t="e">
        <f t="shared" si="62"/>
        <v>#N/A</v>
      </c>
      <c r="BS182" t="e">
        <f t="shared" si="63"/>
        <v>#N/A</v>
      </c>
      <c r="BT182" t="e">
        <f t="shared" si="64"/>
        <v>#N/A</v>
      </c>
      <c r="BU182" s="24" t="e">
        <f>IF(AM182=TRUE,(((Y182-(SD!$E$12*2))*3.14159265359)+BR182+BS182+BT182)/12+AL182,SUM(AF182:AG182,BR182,BS182,BT182,AO182,AQ182)/12)</f>
        <v>#N/A</v>
      </c>
      <c r="BW182" t="str">
        <f>IFERROR(LEFT(Data!L182,FIND(" -",Data!L182)-1),"")</f>
        <v/>
      </c>
      <c r="BX182" t="str">
        <f>IFERROR(IF(SD!$C$40=SD!$U$2,W182,IF(SD!$C$40=SD!$U$3,RIGHT(Data!L182,LEN(Data!L182)-(FIND("-",Data!L182)+1)),SD!$C$40)),"")</f>
        <v>#10</v>
      </c>
      <c r="BY182" cm="1">
        <f t="array" ref="BY182">IFERROR(_xlfn.LET(_xlpm.GRR,IF(AND(SD!$C$19=SD!$H$2,Grade!$G$1="Per level"),VLOOKUP(B182,Grade!$E$1:$F$200,2,FALSE),IF(AND(SD!$C$19=SD!$H$2,Grade!$G$1="Per Bar Size"),VLOOKUP(BX182,Grade!$B$1:$C$12,2,0),SD!$C$19)),_xlpm.is_equal, A181=A182,_xlpm.grade_range, IF(_xlpm.GRR=SD!$H$3, A615GR60,IF(_xlpm.GRR=SD!$H$4, A615GR75,IF(_xlpm.GRR=SD!$H$5, A615GR80,IF(_xlpm.GRR=SD!H186, A615GR100,IF(_xlpm.GRR=SD!$H$7, A706GR60,IF(_xlpm.GRR=SD!$H$8, A706GR80)))))),_xlpm.match_result, MATCH(1, (BSize=BX182)*(BCName=SD!$C$8), 0),_xlpm.final_result, INDEX(_xlpm.grade_range, _xlpm.match_result),IF(_xlpm.is_equal, "", _xlpm.final_result)),"")</f>
        <v>10</v>
      </c>
      <c r="BZ182">
        <f>IF(A181=A182,"",IF(SD!$C$41="Match Vertical Bars ",X182,IF(SD!$C$41=SD!$V$3,BW182,SD!$C$41)))</f>
        <v>10</v>
      </c>
      <c r="CA182" cm="1">
        <f t="array" ref="CA182">IF(A181=A182,"",IF(SD!$C$44="No T-Head",IF(SD!$C$42=SD!$Q$3,VLOOKUP(BX182,S90Range,3,FALSE),LEFT(SD!$C$42,FIND("-",SD!$C$42)-1)+(RIGHT(SD!$C$42,LEN(SD!$C$42)-FIND("-",SD!$C$42))/12)),IF(SD!$C$44="T-Head",_xlfn._xlws.FILTER(THead,(TCName=SD!$C$8)*(TSize=BX182)),IF(SD!$C$44="Level Wise",_xlfn.LET(_xlpm.result,_xlfn.XLOOKUP(B182,VDLevel,VDLevelStatus,"No"),IF(_xlpm.result="Yes",_xlfn._xlws.FILTER(THead,(TCName=SD!$C$8)*(TSize=BX182)),IF(SD!$C$42=SD!$Q$3,VLOOKUP(BX182,S90Range,3,FALSE),LEFT(SD!$C$42,FIND("-",SD!$C$42)-1)+(RIGHT(SD!$C$42,LEN(SD!$C$42)-FIND("-", SD!$C$42))/12)))),IF(SD!$C$44="BarSize Wise",_xlfn.LET(_xlpm.result,_xlfn.XLOOKUP(BX182,VDBarSize,VDBarSizeStatus,"No"),IF(_xlpm.result="Yes",_xlfn._xlws.FILTER(THead,(TCName=SD!$C$8)*(TSize=BX182)),IF(SD!$C$42=SD!$Q$3,VLOOKUP(BX182,S90Range,3,FALSE),LEFT(SD!$C$42,FIND("-",SD!$C$42)-1)+(RIGHT(SD!$C$42,LEN(SD!$C$42)-FIND("-",SD!$C$42))/12)))), "")))))</f>
        <v>1.8333333333333335</v>
      </c>
      <c r="CB182" t="str" cm="1">
        <f t="array" ref="CB182">_xlfn.LET(_xlpm.GRR,IF(AND(SD!$C$19=SD!$H$2,Grade!$G$1="Per level"),VLOOKUP(B182,Grade!$E$1:$F$200,2,FALSE),IF(AND(SD!$C$19=SD!$H$2,Grade!$G$1="Per Bar Size"),VLOOKUP(BX182,Grade!$B$1:$C$12,2,0),SD!$C$19)),_xlpm.is_coupler, K182="Coupler",_xlpm.condition1, SD!$C$43=SD!$W$2,_xlpm.data_j2_empty, Data!$J182="",_xlpm.lookup_table, IF(SD!$C$11="Create", Lap!$A$3:$BF$14, IF(SD!$C$11="Per Uploaded File", Lap!$A$19:$BF$30, "")),_xlpm.row_match, MATCH(BX182, Lap!$A$3:$A$14, 0),_xlpm.grade_offset, IF(IFERROR(FIND("Grade 60",_xlpm.GRR), 0) &gt; 0, 0, IF(IFERROR(FIND("Grade 80",_xlpm.GRR), 0), 1, IF(IFERROR(FIND("Grade 75",_xlpm.GRR), 0), 2, ""))),_xlpm.col_match, MATCH(VALUE(D182), Lap!$A$3:$BF$3, 0) + _xlpm.grade_offset,_xlpm.index_result, IFERROR(INDEX(_xlpm.lookup_table, _xlpm.row_match, _xlpm.col_match), Data!$J182),_xlpm.result_if_condition1, IF(_xlpm.data_j2_empty, _xlpm.index_result, Data!$J182),IF(_xlpm.is_coupler, 0, IF(_xlpm.condition1, _xlpm.result_if_condition1, SD!$C$43)))</f>
        <v>5-1</v>
      </c>
      <c r="CC182" s="24">
        <f t="shared" si="65"/>
        <v>5.083333333333333</v>
      </c>
      <c r="CD182">
        <f t="shared" si="66"/>
        <v>11.916666666666666</v>
      </c>
      <c r="CE182" t="str" cm="1">
        <f t="array" ref="CE182">IF(BY182="","",_xlfn._xlws.FILTER(SAC,(CName=SD!$C$8)*(EName="Vert Dowels")))</f>
        <v>2200 CD</v>
      </c>
      <c r="CF182" t="str" cm="1">
        <f t="array" ref="CF182">IFERROR(IF(BY182="","",IF(K182="Coupler",_xlfn._xlws.FILTER(CCoupler,(CCName=SD!$C$8)*(CBSize=IF(A181=A182,W181&amp;W182,BX182&amp;W182))*(CCMFM="Male")),"")),"N/A")</f>
        <v/>
      </c>
      <c r="CG182" t="str">
        <f t="shared" si="67"/>
        <v/>
      </c>
      <c r="CH182" t="str">
        <f t="shared" si="68"/>
        <v/>
      </c>
      <c r="CI182" t="str">
        <f>_xlfn.LET(_xlpm.u3_value, U183,_xlpm.hyphen_pos,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K183="Coupler",_xlpm.coupler_value, IF(_xlpm.is_coupler, 0, _xlpm.calculated_value),_xlpm.final_value, _xlpm.calculated_value + SD!$E$13 + _xlpm.coupler_value,IF(CG182="", "", _xlpm.final_value))</f>
        <v/>
      </c>
      <c r="CJ182" t="str" cm="1">
        <f t="array" ref="CJ182">IF(CG182="","",_xlfn._xlws.FILTER(SAC,(CName=SD!$C$8)*(EName="Loose Dowels")))</f>
        <v/>
      </c>
      <c r="CK182" t="str" cm="1">
        <f t="array" ref="CK182">IFERROR(IF(CG182="","",IF(K183="Coupler",_xlfn._xlws.FILTER(CCoupler,(CCName=SD!$C$8)*(CBSize=IF(A182=A183,W182&amp;W183,""))*(CCMFM="Male")),"")),"N/A")</f>
        <v/>
      </c>
      <c r="CL182">
        <f>IFERROR(IF(AM182="Spiral","",IF(A181=A182,"",IF(SD!$C$37=0,"",SD!$C$37))),"")</f>
        <v>3</v>
      </c>
      <c r="CN182">
        <f>IF(AM182="Spiral","",IFERROR(IF(SD!$C$36=0,"",SD!$C$36),""))</f>
        <v>5</v>
      </c>
      <c r="CP182">
        <f>IFERROR(IF(SD!$C$42=SD!$Q$3,'Take-off'!CA182,""),"")</f>
        <v>1.8333333333333335</v>
      </c>
      <c r="CR182">
        <f>IFERROR(IF(SD!$C$22=SD!$U$2,W182,SD!$C$22),"")</f>
        <v>0</v>
      </c>
      <c r="CS182" t="str" cm="1">
        <f t="array" ref="CS182">_xlfn.LET(_xlpm.GR,IF(AND(SD!$C$19=SD!$H$2,Grade!$G$1="Per level"),VLOOKUP(B182,Grade!$E$1:$F$200,2,FALSE),IF(AND(SD!$C$19=SD!$H$2,Grade!$G$1="Per Bar Size"),VLOOKUP(CR182,Grade!$B$1:$C$12,2,0),SD!$C$19)),IF(SD!$C$20=SD!$R$4,IF(A183=A182,"",INDEX(IF(_xlpm.GR=SD!$H$3,A615GR60,IF(_xlpm.GR=SD!$H$4,A615GR75,IF(_xlpm.GR=SD!$H$5,A615GR80,IF(_xlpm.GR=SD!H186,A615GR100,IF(_xlpm.GR=SD!$H$7,A706GR60,IF(_xlpm.GR=SD!$H$8,A706GR80)))))), MATCH(1, (BSize=CR182)*(BCName=SD!$C$8), 0))),""))</f>
        <v/>
      </c>
      <c r="CT182" t="str">
        <f>IF(A183=A182,"",IF(SD!$C$23="Match Vertical Bars ",X182,SD!$C$23))</f>
        <v/>
      </c>
      <c r="CU182" t="str" cm="1">
        <f t="array" ref="CU182">IF(A183=A182,"",IF(SD!$C$20="Top dowels",IF(SD!$E$25="No T-Head",IF(SD!$C$24=SD!$Q$3,VLOOKUP(CR182,S90Range,3,FALSE),LEFT(SD!$C$24,FIND("-",SD!$C$24)-1)+(RIGHT(SD!$C$24,LEN(SD!$C$24)-FIND("-",SD!$C$24))/12)),IF(SD!$E$25="T-Head",_xlfn._xlws.FILTER(THead,(TCName=SD!$C$8)*(TSize=CR182)),IF(SD!$E$25="Level Wise",_xlfn.LET(_xlpm.result,_xlfn.XLOOKUP(B182,TDLevel,TDLevelStatus,"No"),IF(_xlpm.result="Yes",_xlfn._xlws.FILTER(THead,(TCName=SD!$C$8)*(TSize=CR182)),IF(SD!$C$24=SD!$Q$3,VLOOKUP(CR182,S90Range,3,FALSE),LEFT(SD!$C$24,FIND("-",SD!$C$24)-1)+(RIGHT(SD!$C$24,LEN(SD!$C$24)-FIND("-", SD!$C$24))/12)))),IF(SD!$E$25="BarSize Wise",_xlfn.LET(_xlpm.result,_xlfn.XLOOKUP(CR182,TDBarSize,TDBarSizeStatus,"No"),IF(_xlpm.result="Yes",_xlfn._xlws.FILTER(THead,(TCName=SD!$C$8)*(TSize=CR182)),IF(SD!$C$24=SD!$Q$3,VLOOKUP(CR182,S90Range,3,FALSE),LEFT(SD!$C$24,FIND("-",SD!$C$24)-1)+(RIGHT(SD!$C$24,LEN(SD!$C$24)-FIND("-",SD!$C$24))/12)))), "")))),""))</f>
        <v/>
      </c>
      <c r="CV182" t="str">
        <f>_xlfn.LET(_xlpm.GRR,IF(AND(SD!$C$19=SD!$H$2,Grade!$G$1="Per level"),VLOOKUP(B182,Grade!$E$1:$F$200,2,FALSE),IF(AND(SD!$C$19=SD!$H$2,Grade!$G$1="Per Bar Size"),VLOOKUP(CR182,Grade!$B$1:$C$12,2,0),SD!$C$19)),IF(SD!$C$25=SD!$W$2,IF(Data!$J182="",IFERROR(INDEX(IF(SD!$C$11="Create",Lap!$A$3:$BF$14,IF(SD!$C$11="Per Uploaded File",Lap!$A$19:$BF$30,"")),MATCH(CR182,Lap!$A$3:$A$14,0),MATCH(VALUE(D182),Lap!$A$3:$BF$3,0)+IF(IFERROR(FIND("Grade 60",_xlpm.GRR),0)&gt;0,0,IF(IFERROR(FIND("Grade 80",_xlpm.GRR),0),1,IF(IFERROR(FIND("Grade 75",_xlpm.GRR),0),2,"")))),""),Data!J182),SD!$C$43))</f>
        <v>Match Lap</v>
      </c>
      <c r="CW182">
        <f t="shared" si="69"/>
        <v>0</v>
      </c>
      <c r="CX182">
        <f t="shared" si="70"/>
        <v>0</v>
      </c>
      <c r="CY182" t="str">
        <f t="shared" si="71"/>
        <v/>
      </c>
      <c r="DA182">
        <f t="shared" si="72"/>
        <v>64</v>
      </c>
      <c r="DB182" t="str">
        <f t="shared" si="73"/>
        <v>116-5</v>
      </c>
      <c r="DC182" s="24">
        <f t="shared" si="74"/>
        <v>116.41666666666666</v>
      </c>
      <c r="DD182">
        <f t="shared" si="75"/>
        <v>10.583333333333334</v>
      </c>
      <c r="DE182" t="s">
        <v>785</v>
      </c>
      <c r="DF182" t="s">
        <v>67</v>
      </c>
      <c r="DG182" t="str">
        <f>VLOOKUP(W182,'Level Wise PSI'!$F$2:$G$12,2,FALSE)</f>
        <v>Double Lift</v>
      </c>
      <c r="DI182" t="str" cm="1">
        <f t="array" ref="DI182">_xlfn.LET(_xlpm.Coup,IFERROR(IF(BY182="","",IF(K182="Coupler",_xlfn._xlws.FILTER(CCFCoupler,(CCName=SD!$C$8)*(CBSize=IF(A181=A182,W181&amp;W182,BX182&amp;W182))),"")),"N/A"),IF(_xlpm.Coup=0,"",_xlpm.Coup))</f>
        <v/>
      </c>
      <c r="DJ182" t="str" cm="1">
        <f t="array" ref="DJ182">_xlfn.LET(_xlpm.Coup3,IFERROR(IF(CG182="","",IF(K183="Coupler",_xlfn._xlws.FILTER(CCFCoupler,(CCName=SD!$C$8)*(CBSize=IF(A182=A183,W182&amp;W183,""))),"")),"N/A"),IF(_xlpm.Coup3=0,"",_xlpm.Coup3))</f>
        <v/>
      </c>
      <c r="DK182" t="str" cm="1">
        <f t="array" ref="DK182">_xlfn.LET(_xlpm.Coup2,IFERROR(IF(A182&lt;&gt;A183,"",IF(DF182="No Lap","",IF(K183="Coupler",_xlfn._xlws.FILTER(CCFCoupler,(CCName=SD!$C$8)*(CBSize=IF(A181=A182,W182&amp;W183,W182&amp;W182))),""))),"N/A"),IF(_xlpm.Coup2=0,"",_xlpm.Coup2))</f>
        <v/>
      </c>
      <c r="DM182" t="str">
        <f>IF(AM182="Spiral","",IF(SD!$C$31=SD!$Y$3,SD!$E$32*2,""))</f>
        <v/>
      </c>
      <c r="DO182" s="24">
        <f t="shared" si="76"/>
        <v>3</v>
      </c>
      <c r="DQ182" t="str">
        <f t="shared" si="77"/>
        <v>Lig</v>
      </c>
      <c r="DR182" t="str">
        <f>IF(AM182="Spiral",((Y182-(SD!$E$12*2))/12),"")</f>
        <v/>
      </c>
      <c r="DS182" t="str">
        <f t="shared" si="78"/>
        <v/>
      </c>
      <c r="DT182" t="str">
        <f t="shared" si="79"/>
        <v/>
      </c>
      <c r="DU182" t="str">
        <f t="shared" si="80"/>
        <v/>
      </c>
    </row>
    <row r="183" spans="1:125" x14ac:dyDescent="0.25">
      <c r="A183">
        <v>64</v>
      </c>
      <c r="B183" t="s">
        <v>670</v>
      </c>
      <c r="C183" s="15">
        <v>2429</v>
      </c>
      <c r="D183" s="15">
        <v>10000</v>
      </c>
      <c r="E183" t="str">
        <f>IF(B183=Level!$A$2,SD!$C$14,SD!$C$13)</f>
        <v>0-8</v>
      </c>
      <c r="F183" s="15" t="s">
        <v>787</v>
      </c>
      <c r="G183" t="s">
        <v>742</v>
      </c>
      <c r="H183" t="str">
        <f>RIGHT(VLOOKUP(B183,Level!A:C,3,FALSE),LEN(VLOOKUP(B183,Level!A:C,3,FALSE))-1)</f>
        <v>10-7</v>
      </c>
      <c r="I183" t="s">
        <v>743</v>
      </c>
      <c r="J183" t="str">
        <f>IF(AND(SD!$C$19=SD!$H$2,Grade!$G$1="Per level"),VLOOKUP(B183,Grade!$E$1:$F$200,2,FALSE),IF(AND(SD!$C$19=SD!$H$2,Grade!$G$1="Per Bar Size"),VLOOKUP(W183,Grade!$B$1:$C$12,2,0),SD!$C$19))</f>
        <v>A615 Grade 60</v>
      </c>
      <c r="K183" t="s">
        <v>67</v>
      </c>
      <c r="L183" t="str">
        <f>IFERROR(IF(A183&lt;&gt;A184,"",IF(DF183="No Lap","",IF(K184="Lap",U183,IF(K184="Coupler",_xlfn._xlws.FILTER(CCoupler,(CCName=SD!$C$8)*(CBSize=IF(A182=A183,W183&amp;W184,W183&amp;W183))*(CCMFM="Male")),"")))),"N/A")</f>
        <v>5-1</v>
      </c>
      <c r="M183" t="str">
        <f t="shared" si="54"/>
        <v/>
      </c>
      <c r="N183" t="s">
        <v>719</v>
      </c>
      <c r="O183" t="s">
        <v>720</v>
      </c>
      <c r="P183" t="s">
        <v>719</v>
      </c>
      <c r="Q183" t="str">
        <f>IF(AND(SD!$C$29=SD!$P$2,Grade!$O$1="Per level"),VLOOKUP(B183,Grade!$M$1:$N$200,2,FALSE),IF(AND(SD!$C$29=SD!$P$2,Grade!$O$1="Per Bar Size"),VLOOKUP(LEFT(N183,FIND("@",N183)-2),Grade!$J$1:$K$12,2,0),SD!$C$29))</f>
        <v>A615 Grade 60</v>
      </c>
      <c r="R183" t="s">
        <v>742</v>
      </c>
      <c r="S183" s="57">
        <v>183</v>
      </c>
      <c r="U183" t="str">
        <f>IF(Data!$J183="",IFERROR(INDEX(IF(SD!$C$11="Create",Lap!$A$3:$BF$14,IF(SD!$C$11="Per Uploaded File",Lap!$A$19:$BF$30,"")),MATCH(W183,Lap!$A$3:$A$14,0),MATCH(VALUE(D183),Lap!$A$3:$BF$3,0)+IF(IFERROR(FIND("Grade 60",J183),0)&gt;0,0,IF(IFERROR(FIND("Grade 80",J183),0),1,IF(IFERROR(FIND("Grade 75",J183),0),2,"")))),""),Data!J183)</f>
        <v>5-1</v>
      </c>
      <c r="W183" t="s">
        <v>176</v>
      </c>
      <c r="X183">
        <v>6</v>
      </c>
      <c r="Y183" t="str">
        <f t="shared" si="55"/>
        <v>30</v>
      </c>
      <c r="Z183">
        <f t="shared" si="56"/>
        <v>0</v>
      </c>
      <c r="AA183" s="24">
        <f t="shared" si="57"/>
        <v>15.666666666666666</v>
      </c>
      <c r="BB183" t="e" cm="1">
        <f t="array" ref="BB183">_xlfn.LET(_xlpm.PartF,(_xlfn.LET(_xlpm.grade, Q183,_xlpm.gradeRange, IF(_xlpm.grade=SD!$H$3, A615GR60, IF(_xlpm.grade=SD!$H$4, A615GR75, IF(_xlpm.grade=SD!$H$5, A615GR80, IF(_xlpm.grade=SD!$H$6, A615GR100, IF(_xlpm.grade=SD!$H$7, A706GR60, IF(_xlpm.grade=SD!$H$8, A706GR80)))))),_xlpm.matchValue, MATCH(1, (SD!$AW:$AW=AS183)*(SD!$AX:$AX=SD!$C$8), 0),INDEX(_xlpm.gradeRange, _xlpm.matchValue))),IF(AM183="Spiral",CONCATENATE("SP",_xlpm.PartF),_xlpm.PartF))</f>
        <v>#N/A</v>
      </c>
      <c r="BC183" cm="1">
        <f t="array" ref="BC183">_xlfn.LET(_xlpm.leftPart, LEFT(O183, FIND("@", O183) - 2),_xlpm.grade,Q183,_xlpm.gradeRange,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3" cm="1">
        <f t="array" ref="BD183">_xlfn.LET(_xlpm.leftPart, LEFT(P183, FIND("@", P183) - 2),_xlpm.grade, Q183,_xlpm.gradeRange,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3">
        <f t="shared" si="58"/>
        <v>2.5</v>
      </c>
      <c r="BF183">
        <f>IF(SD!$C$32=SD!$I$2,BE183,IF(SD!$C$32=SD!$I$3,DO183,IF(SD!$C$32=SD!$I$5,BA183,IF(SD!$C$32=SD!$I$6,(LEFT(SD!$C$35,FIND("-",SD!$C$35)-1)+RIGHT(SD!$C$35,LEN(SD!$C$35)-FIND("-",SD!$C$35))/12),IF(SD!$C$32=SD!$I$4,(AU183-(BG183+BH183)))))))</f>
        <v>0</v>
      </c>
      <c r="BG183">
        <f>IF(SD!$C$33=SD!$I$2,BE183,IF(SD!$C$33=SD!$I$3,DO183,IF(SD!$C$33=SD!$I$5,BA183,IF(SD!$C$33=SD!$I$6,(LEFT(SD!$C$35,FIND("-",SD!$C$35)-1)+RIGHT(SD!$C$35,LEN(SD!$C$35)-FIND("-",SD!$C$35))/12),IF(SD!$C$33=SD!$I$4,(AU183-(BF183+BH183)))))))</f>
        <v>-1</v>
      </c>
      <c r="BH183">
        <f>IF(SD!$C$34=SD!$I$2,BE183,IF(SD!$C$34=SD!$I$3,DO183,IF(SD!$C$34=SD!$I$5,BA183,IF(SD!$C$34=SD!$I$6,(LEFT(SD!$C$35,FIND("-",SD!$C$35)-1)+RIGHT(SD!$C$35,LEN(SD!$C$35)-FIND("-",SD!$C$35))/12),IF(SD!$C$34=SD!$I$4,(AU183-(BF183+BG183)))))))</f>
        <v>1</v>
      </c>
      <c r="BJ183">
        <f>IF(AM183="Spiral","1",MAX(ROUNDUP(IF(SD!$C$32="",AT183,BF183/(LEFT(RIGHT(N183,LEN(N183)-FIND("@",N183)),LEN(RIGHT(N183,LEN(N183)-FIND("@",N183)))-1)/12)+1),0),0))</f>
        <v>1</v>
      </c>
      <c r="BK183">
        <f>MAX(ROUNDUP(IF(SD!$C$33="","",BG183/(LEFT(RIGHT(O183,LEN(O183)-FIND("@",O183)),LEN(RIGHT(O183,LEN(O183)-FIND("@",O183)))-1)/12)+1),0),0)</f>
        <v>0</v>
      </c>
      <c r="BL183">
        <f>MAX(ROUNDUP(IF(SD!$C$34="","",BH183/(LEFT(RIGHT(P183,LEN(P183)-FIND("@",P183)),LEN(RIGHT(P183,LEN(P183)-FIND("@",P183)))-1)/12)+1),0),0)</f>
        <v>3</v>
      </c>
      <c r="BN183" t="e">
        <f t="shared" si="59"/>
        <v>#N/A</v>
      </c>
      <c r="BO183" t="e">
        <f t="shared" si="60"/>
        <v>#N/A</v>
      </c>
      <c r="BP183" t="e">
        <f t="shared" si="61"/>
        <v>#N/A</v>
      </c>
      <c r="BQ183" s="24" t="e">
        <f>IF(AM183=TRUE,(((Y183-(SD!$E$12*2))*3.14159265359)+BN183+BO183+BP183)/12+AL183,SUM(AF183:AG183,BN183,BO183,BP183,AO183,AQ183)/12)</f>
        <v>#N/A</v>
      </c>
      <c r="BR183" t="e">
        <f t="shared" si="62"/>
        <v>#N/A</v>
      </c>
      <c r="BS183" t="e">
        <f t="shared" si="63"/>
        <v>#N/A</v>
      </c>
      <c r="BT183" t="e">
        <f t="shared" si="64"/>
        <v>#N/A</v>
      </c>
      <c r="BU183" s="24" t="e">
        <f>IF(AM183=TRUE,(((Y183-(SD!$E$12*2))*3.14159265359)+BR183+BS183+BT183)/12+AL183,SUM(AF183:AG183,BR183,BS183,BT183,AO183,AQ183)/12)</f>
        <v>#N/A</v>
      </c>
      <c r="BW183" t="str">
        <f>IFERROR(LEFT(Data!L183,FIND(" -",Data!L183)-1),"")</f>
        <v/>
      </c>
      <c r="BX183" t="str">
        <f>IFERROR(IF(SD!$C$40=SD!$U$2,W183,IF(SD!$C$40=SD!$U$3,RIGHT(Data!L183,LEN(Data!L183)-(FIND("-",Data!L183)+1)),SD!$C$40)),"")</f>
        <v>#10</v>
      </c>
      <c r="BY183" t="str" cm="1">
        <f t="array" ref="BY183">IFERROR(_xlfn.LET(_xlpm.GRR,IF(AND(SD!$C$19=SD!$H$2,Grade!$G$1="Per level"),VLOOKUP(B183,Grade!$E$1:$F$200,2,FALSE),IF(AND(SD!$C$19=SD!$H$2,Grade!$G$1="Per Bar Size"),VLOOKUP(BX183,Grade!$B$1:$C$12,2,0),SD!$C$19)),_xlpm.is_equal, A182=A183,_xlpm.grade_range, IF(_xlpm.GRR=SD!$H$3, A615GR60,IF(_xlpm.GRR=SD!$H$4, A615GR75,IF(_xlpm.GRR=SD!$H$5, A615GR80,IF(_xlpm.GRR=SD!H187, A615GR100,IF(_xlpm.GRR=SD!$H$7, A706GR60,IF(_xlpm.GRR=SD!$H$8, A706GR80)))))),_xlpm.match_result, MATCH(1, (BSize=BX183)*(BCName=SD!$C$8), 0),_xlpm.final_result, INDEX(_xlpm.grade_range, _xlpm.match_result),IF(_xlpm.is_equal, "", _xlpm.final_result)),"")</f>
        <v/>
      </c>
      <c r="BZ183" t="str">
        <f>IF(A182=A183,"",IF(SD!$C$41="Match Vertical Bars ",X183,IF(SD!$C$41=SD!$V$3,BW183,SD!$C$41)))</f>
        <v/>
      </c>
      <c r="CA183" t="str" cm="1">
        <f t="array" ref="CA183">IF(A182=A183,"",IF(SD!$C$44="No T-Head",IF(SD!$C$42=SD!$Q$3,VLOOKUP(BX183,S90Range,3,FALSE),LEFT(SD!$C$42,FIND("-",SD!$C$42)-1)+(RIGHT(SD!$C$42,LEN(SD!$C$42)-FIND("-",SD!$C$42))/12)),IF(SD!$C$44="T-Head",_xlfn._xlws.FILTER(THead,(TCName=SD!$C$8)*(TSize=BX183)),IF(SD!$C$44="Level Wise",_xlfn.LET(_xlpm.result,_xlfn.XLOOKUP(B183,VDLevel,VDLevelStatus,"No"),IF(_xlpm.result="Yes",_xlfn._xlws.FILTER(THead,(TCName=SD!$C$8)*(TSize=BX183)),IF(SD!$C$42=SD!$Q$3,VLOOKUP(BX183,S90Range,3,FALSE),LEFT(SD!$C$42,FIND("-",SD!$C$42)-1)+(RIGHT(SD!$C$42,LEN(SD!$C$42)-FIND("-", SD!$C$42))/12)))),IF(SD!$C$44="BarSize Wise",_xlfn.LET(_xlpm.result,_xlfn.XLOOKUP(BX183,VDBarSize,VDBarSizeStatus,"No"),IF(_xlpm.result="Yes",_xlfn._xlws.FILTER(THead,(TCName=SD!$C$8)*(TSize=BX183)),IF(SD!$C$42=SD!$Q$3,VLOOKUP(BX183,S90Range,3,FALSE),LEFT(SD!$C$42,FIND("-",SD!$C$42)-1)+(RIGHT(SD!$C$42,LEN(SD!$C$42)-FIND("-",SD!$C$42))/12)))), "")))))</f>
        <v/>
      </c>
      <c r="CB183" t="str" cm="1">
        <f t="array" ref="CB183">_xlfn.LET(_xlpm.GRR,IF(AND(SD!$C$19=SD!$H$2,Grade!$G$1="Per level"),VLOOKUP(B183,Grade!$E$1:$F$200,2,FALSE),IF(AND(SD!$C$19=SD!$H$2,Grade!$G$1="Per Bar Size"),VLOOKUP(BX183,Grade!$B$1:$C$12,2,0),SD!$C$19)),_xlpm.is_coupler, K183="Coupler",_xlpm.condition1, SD!$C$43=SD!$W$2,_xlpm.data_j2_empty, Data!$J183="",_xlpm.lookup_table, IF(SD!$C$11="Create", Lap!$A$3:$BF$14, IF(SD!$C$11="Per Uploaded File", Lap!$A$19:$BF$30, "")),_xlpm.row_match, MATCH(BX183, Lap!$A$3:$A$14, 0),_xlpm.grade_offset, IF(IFERROR(FIND("Grade 60",_xlpm.GRR), 0) &gt; 0, 0, IF(IFERROR(FIND("Grade 80",_xlpm.GRR), 0), 1, IF(IFERROR(FIND("Grade 75",_xlpm.GRR), 0), 2, ""))),_xlpm.col_match, MATCH(VALUE(D183), Lap!$A$3:$BF$3, 0) + _xlpm.grade_offset,_xlpm.index_result, IFERROR(INDEX(_xlpm.lookup_table, _xlpm.row_match, _xlpm.col_match), Data!$J183),_xlpm.result_if_condition1, IF(_xlpm.data_j2_empty, _xlpm.index_result, Data!$J183),IF(_xlpm.is_coupler, 0, IF(_xlpm.condition1, _xlpm.result_if_condition1, SD!$C$43)))</f>
        <v>5-1</v>
      </c>
      <c r="CC183" s="24">
        <f t="shared" si="65"/>
        <v>5.083333333333333</v>
      </c>
      <c r="CD183">
        <f t="shared" si="66"/>
        <v>5.75</v>
      </c>
      <c r="CE183" t="str" cm="1">
        <f t="array" ref="CE183">IF(BY183="","",_xlfn._xlws.FILTER(SAC,(CName=SD!$C$8)*(EName="Vert Dowels")))</f>
        <v/>
      </c>
      <c r="CF183" t="str" cm="1">
        <f t="array" ref="CF183">IFERROR(IF(BY183="","",IF(K183="Coupler",_xlfn._xlws.FILTER(CCoupler,(CCName=SD!$C$8)*(CBSize=IF(A182=A183,W182&amp;W183,BX183&amp;W183))*(CCMFM="Male")),"")),"N/A")</f>
        <v/>
      </c>
      <c r="CG183" t="str">
        <f t="shared" si="67"/>
        <v/>
      </c>
      <c r="CH183" t="str">
        <f t="shared" si="68"/>
        <v/>
      </c>
      <c r="CI183" t="str">
        <f>_xlfn.LET(_xlpm.u3_value, U184,_xlpm.hyphen_pos,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K184="Coupler",_xlpm.coupler_value, IF(_xlpm.is_coupler, 0, _xlpm.calculated_value),_xlpm.final_value, _xlpm.calculated_value + SD!$E$13 + _xlpm.coupler_value,IF(CG183="", "", _xlpm.final_value))</f>
        <v/>
      </c>
      <c r="CJ183" t="str" cm="1">
        <f t="array" ref="CJ183">IF(CG183="","",_xlfn._xlws.FILTER(SAC,(CName=SD!$C$8)*(EName="Loose Dowels")))</f>
        <v/>
      </c>
      <c r="CK183" t="str" cm="1">
        <f t="array" ref="CK183">IFERROR(IF(CG183="","",IF(K184="Coupler",_xlfn._xlws.FILTER(CCoupler,(CCName=SD!$C$8)*(CBSize=IF(A183=A184,W183&amp;W184,""))*(CCMFM="Male")),"")),"N/A")</f>
        <v/>
      </c>
      <c r="CL183" t="str">
        <f>IFERROR(IF(AM183="Spiral","",IF(A182=A183,"",IF(SD!$C$37=0,"",SD!$C$37))),"")</f>
        <v/>
      </c>
      <c r="CN183">
        <f>IF(AM183="Spiral","",IFERROR(IF(SD!$C$36=0,"",SD!$C$36),""))</f>
        <v>5</v>
      </c>
      <c r="CP183" t="str">
        <f>IFERROR(IF(SD!$C$42=SD!$Q$3,'Take-off'!CA183,""),"")</f>
        <v/>
      </c>
      <c r="CR183">
        <f>IFERROR(IF(SD!$C$22=SD!$U$2,W183,SD!$C$22),"")</f>
        <v>0</v>
      </c>
      <c r="CS183" t="str" cm="1">
        <f t="array" ref="CS183">_xlfn.LET(_xlpm.GR,IF(AND(SD!$C$19=SD!$H$2,Grade!$G$1="Per level"),VLOOKUP(B183,Grade!$E$1:$F$200,2,FALSE),IF(AND(SD!$C$19=SD!$H$2,Grade!$G$1="Per Bar Size"),VLOOKUP(CR183,Grade!$B$1:$C$12,2,0),SD!$C$19)),IF(SD!$C$20=SD!$R$4,IF(A184=A183,"",INDEX(IF(_xlpm.GR=SD!$H$3,A615GR60,IF(_xlpm.GR=SD!$H$4,A615GR75,IF(_xlpm.GR=SD!$H$5,A615GR80,IF(_xlpm.GR=SD!H187,A615GR100,IF(_xlpm.GR=SD!$H$7,A706GR60,IF(_xlpm.GR=SD!$H$8,A706GR80)))))), MATCH(1, (BSize=CR183)*(BCName=SD!$C$8), 0))),""))</f>
        <v/>
      </c>
      <c r="CT183" t="str">
        <f>IF(A184=A183,"",IF(SD!$C$23="Match Vertical Bars ",X183,SD!$C$23))</f>
        <v/>
      </c>
      <c r="CU183" t="str" cm="1">
        <f t="array" ref="CU183">IF(A184=A183,"",IF(SD!$C$20="Top dowels",IF(SD!$E$25="No T-Head",IF(SD!$C$24=SD!$Q$3,VLOOKUP(CR183,S90Range,3,FALSE),LEFT(SD!$C$24,FIND("-",SD!$C$24)-1)+(RIGHT(SD!$C$24,LEN(SD!$C$24)-FIND("-",SD!$C$24))/12)),IF(SD!$E$25="T-Head",_xlfn._xlws.FILTER(THead,(TCName=SD!$C$8)*(TSize=CR183)),IF(SD!$E$25="Level Wise",_xlfn.LET(_xlpm.result,_xlfn.XLOOKUP(B183,TDLevel,TDLevelStatus,"No"),IF(_xlpm.result="Yes",_xlfn._xlws.FILTER(THead,(TCName=SD!$C$8)*(TSize=CR183)),IF(SD!$C$24=SD!$Q$3,VLOOKUP(CR183,S90Range,3,FALSE),LEFT(SD!$C$24,FIND("-",SD!$C$24)-1)+(RIGHT(SD!$C$24,LEN(SD!$C$24)-FIND("-", SD!$C$24))/12)))),IF(SD!$E$25="BarSize Wise",_xlfn.LET(_xlpm.result,_xlfn.XLOOKUP(CR183,TDBarSize,TDBarSizeStatus,"No"),IF(_xlpm.result="Yes",_xlfn._xlws.FILTER(THead,(TCName=SD!$C$8)*(TSize=CR183)),IF(SD!$C$24=SD!$Q$3,VLOOKUP(CR183,S90Range,3,FALSE),LEFT(SD!$C$24,FIND("-",SD!$C$24)-1)+(RIGHT(SD!$C$24,LEN(SD!$C$24)-FIND("-",SD!$C$24))/12)))), "")))),""))</f>
        <v/>
      </c>
      <c r="CV183" t="str">
        <f>_xlfn.LET(_xlpm.GRR,IF(AND(SD!$C$19=SD!$H$2,Grade!$G$1="Per level"),VLOOKUP(B183,Grade!$E$1:$F$200,2,FALSE),IF(AND(SD!$C$19=SD!$H$2,Grade!$G$1="Per Bar Size"),VLOOKUP(CR183,Grade!$B$1:$C$12,2,0),SD!$C$19)),IF(SD!$C$25=SD!$W$2,IF(Data!$J183="",IFERROR(INDEX(IF(SD!$C$11="Create",Lap!$A$3:$BF$14,IF(SD!$C$11="Per Uploaded File",Lap!$A$19:$BF$30,"")),MATCH(CR183,Lap!$A$3:$A$14,0),MATCH(VALUE(D183),Lap!$A$3:$BF$3,0)+IF(IFERROR(FIND("Grade 60",_xlpm.GRR),0)&gt;0,0,IF(IFERROR(FIND("Grade 80",_xlpm.GRR),0),1,IF(IFERROR(FIND("Grade 75",_xlpm.GRR),0),2,"")))),""),Data!J183),SD!$C$43))</f>
        <v>Match Lap</v>
      </c>
      <c r="CW183">
        <f t="shared" si="69"/>
        <v>0</v>
      </c>
      <c r="CX183">
        <f t="shared" si="70"/>
        <v>0</v>
      </c>
      <c r="CY183" t="str">
        <f t="shared" si="71"/>
        <v/>
      </c>
      <c r="DA183" t="str">
        <f t="shared" si="72"/>
        <v/>
      </c>
      <c r="DB183" t="str">
        <f t="shared" si="73"/>
        <v/>
      </c>
      <c r="DC183" s="24" t="str">
        <f t="shared" si="74"/>
        <v/>
      </c>
      <c r="DD183">
        <f t="shared" si="75"/>
        <v>10.583333333333334</v>
      </c>
      <c r="DE183" t="s">
        <v>785</v>
      </c>
      <c r="DF183" t="s">
        <v>67</v>
      </c>
      <c r="DG183" t="str">
        <f>VLOOKUP(W183,'Level Wise PSI'!$F$2:$G$12,2,FALSE)</f>
        <v>Double Lift</v>
      </c>
      <c r="DI183" t="str" cm="1">
        <f t="array" ref="DI183">_xlfn.LET(_xlpm.Coup,IFERROR(IF(BY183="","",IF(K183="Coupler",_xlfn._xlws.FILTER(CCFCoupler,(CCName=SD!$C$8)*(CBSize=IF(A182=A183,W182&amp;W183,BX183&amp;W183))),"")),"N/A"),IF(_xlpm.Coup=0,"",_xlpm.Coup))</f>
        <v/>
      </c>
      <c r="DJ183" t="str" cm="1">
        <f t="array" ref="DJ183">_xlfn.LET(_xlpm.Coup3,IFERROR(IF(CG183="","",IF(K184="Coupler",_xlfn._xlws.FILTER(CCFCoupler,(CCName=SD!$C$8)*(CBSize=IF(A183=A184,W183&amp;W184,""))),"")),"N/A"),IF(_xlpm.Coup3=0,"",_xlpm.Coup3))</f>
        <v/>
      </c>
      <c r="DK183" t="str" cm="1">
        <f t="array" ref="DK183">_xlfn.LET(_xlpm.Coup2,IFERROR(IF(A183&lt;&gt;A184,"",IF(DF183="No Lap","",IF(K184="Coupler",_xlfn._xlws.FILTER(CCFCoupler,(CCName=SD!$C$8)*(CBSize=IF(A182=A183,W183&amp;W184,W183&amp;W183))),""))),"N/A"),IF(_xlpm.Coup2=0,"",_xlpm.Coup2))</f>
        <v/>
      </c>
      <c r="DM183" t="str">
        <f>IF(AM183="Spiral","",IF(SD!$C$31=SD!$Y$3,SD!$E$32*2,""))</f>
        <v/>
      </c>
      <c r="DO183" s="24">
        <f t="shared" si="76"/>
        <v>2.5</v>
      </c>
      <c r="DQ183" t="str">
        <f t="shared" si="77"/>
        <v>Lig</v>
      </c>
      <c r="DR183" t="str">
        <f>IF(AM183="Spiral",((Y183-(SD!$E$12*2))/12),"")</f>
        <v/>
      </c>
      <c r="DS183" t="str">
        <f t="shared" si="78"/>
        <v/>
      </c>
      <c r="DT183" t="str">
        <f t="shared" si="79"/>
        <v/>
      </c>
      <c r="DU183" t="str">
        <f t="shared" si="80"/>
        <v/>
      </c>
    </row>
    <row r="184" spans="1:125" x14ac:dyDescent="0.25">
      <c r="A184">
        <v>64</v>
      </c>
      <c r="B184" t="s">
        <v>672</v>
      </c>
      <c r="C184" s="15">
        <v>2429</v>
      </c>
      <c r="D184" s="15">
        <v>10000</v>
      </c>
      <c r="E184" t="str">
        <f>IF(B184=Level!$A$2,SD!$C$14,SD!$C$13)</f>
        <v>0-8</v>
      </c>
      <c r="F184" s="15" t="s">
        <v>787</v>
      </c>
      <c r="G184" t="s">
        <v>742</v>
      </c>
      <c r="H184" t="str">
        <f>RIGHT(VLOOKUP(B184,Level!A:C,3,FALSE),LEN(VLOOKUP(B184,Level!A:C,3,FALSE))-1)</f>
        <v>10-7</v>
      </c>
      <c r="I184" t="s">
        <v>743</v>
      </c>
      <c r="J184" t="str">
        <f>IF(AND(SD!$C$19=SD!$H$2,Grade!$G$1="Per level"),VLOOKUP(B184,Grade!$E$1:$F$200,2,FALSE),IF(AND(SD!$C$19=SD!$H$2,Grade!$G$1="Per Bar Size"),VLOOKUP(W184,Grade!$B$1:$C$12,2,0),SD!$C$19))</f>
        <v>A615 Grade 60</v>
      </c>
      <c r="K184" t="s">
        <v>67</v>
      </c>
      <c r="L184" t="str">
        <f>IFERROR(IF(A184&lt;&gt;A185,"",IF(DF184="No Lap","",IF(K185="Lap",U184,IF(K185="Coupler",_xlfn._xlws.FILTER(CCoupler,(CCName=SD!$C$8)*(CBSize=IF(A183=A184,W184&amp;W185,W184&amp;W184))*(CCMFM="Male")),"")))),"N/A")</f>
        <v>5-1</v>
      </c>
      <c r="M184" t="str">
        <f t="shared" si="54"/>
        <v/>
      </c>
      <c r="N184" t="s">
        <v>719</v>
      </c>
      <c r="O184" t="s">
        <v>720</v>
      </c>
      <c r="P184" t="s">
        <v>719</v>
      </c>
      <c r="Q184" t="str">
        <f>IF(AND(SD!$C$29=SD!$P$2,Grade!$O$1="Per level"),VLOOKUP(B184,Grade!$M$1:$N$200,2,FALSE),IF(AND(SD!$C$29=SD!$P$2,Grade!$O$1="Per Bar Size"),VLOOKUP(LEFT(N184,FIND("@",N184)-2),Grade!$J$1:$K$12,2,0),SD!$C$29))</f>
        <v>A615 Grade 60</v>
      </c>
      <c r="R184" t="s">
        <v>742</v>
      </c>
      <c r="S184" s="57">
        <v>184</v>
      </c>
      <c r="U184" t="str">
        <f>IF(Data!$J184="",IFERROR(INDEX(IF(SD!$C$11="Create",Lap!$A$3:$BF$14,IF(SD!$C$11="Per Uploaded File",Lap!$A$19:$BF$30,"")),MATCH(W184,Lap!$A$3:$A$14,0),MATCH(VALUE(D184),Lap!$A$3:$BF$3,0)+IF(IFERROR(FIND("Grade 60",J184),0)&gt;0,0,IF(IFERROR(FIND("Grade 80",J184),0),1,IF(IFERROR(FIND("Grade 75",J184),0),2,"")))),""),Data!J184)</f>
        <v>5-1</v>
      </c>
      <c r="W184" t="s">
        <v>176</v>
      </c>
      <c r="X184">
        <v>6</v>
      </c>
      <c r="Y184" t="str">
        <f t="shared" si="55"/>
        <v>30</v>
      </c>
      <c r="Z184">
        <f t="shared" si="56"/>
        <v>0</v>
      </c>
      <c r="AA184" s="24">
        <f t="shared" si="57"/>
        <v>15.666666666666666</v>
      </c>
      <c r="BB184" t="e" cm="1">
        <f t="array" ref="BB184">_xlfn.LET(_xlpm.PartF,(_xlfn.LET(_xlpm.grade, Q184,_xlpm.gradeRange, IF(_xlpm.grade=SD!$H$3, A615GR60, IF(_xlpm.grade=SD!$H$4, A615GR75, IF(_xlpm.grade=SD!$H$5, A615GR80, IF(_xlpm.grade=SD!$H$6, A615GR100, IF(_xlpm.grade=SD!$H$7, A706GR60, IF(_xlpm.grade=SD!$H$8, A706GR80)))))),_xlpm.matchValue, MATCH(1, (SD!$AW:$AW=AS184)*(SD!$AX:$AX=SD!$C$8), 0),INDEX(_xlpm.gradeRange, _xlpm.matchValue))),IF(AM184="Spiral",CONCATENATE("SP",_xlpm.PartF),_xlpm.PartF))</f>
        <v>#N/A</v>
      </c>
      <c r="BC184" cm="1">
        <f t="array" ref="BC184">_xlfn.LET(_xlpm.leftPart, LEFT(O184, FIND("@", O184) - 2),_xlpm.grade,Q184,_xlpm.gradeRange,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4" cm="1">
        <f t="array" ref="BD184">_xlfn.LET(_xlpm.leftPart, LEFT(P184, FIND("@", P184) - 2),_xlpm.grade, Q184,_xlpm.gradeRange,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4">
        <f t="shared" si="58"/>
        <v>2.5</v>
      </c>
      <c r="BF184">
        <f>IF(SD!$C$32=SD!$I$2,BE184,IF(SD!$C$32=SD!$I$3,DO184,IF(SD!$C$32=SD!$I$5,BA184,IF(SD!$C$32=SD!$I$6,(LEFT(SD!$C$35,FIND("-",SD!$C$35)-1)+RIGHT(SD!$C$35,LEN(SD!$C$35)-FIND("-",SD!$C$35))/12),IF(SD!$C$32=SD!$I$4,(AU184-(BG184+BH184)))))))</f>
        <v>0</v>
      </c>
      <c r="BG184">
        <f>IF(SD!$C$33=SD!$I$2,BE184,IF(SD!$C$33=SD!$I$3,DO184,IF(SD!$C$33=SD!$I$5,BA184,IF(SD!$C$33=SD!$I$6,(LEFT(SD!$C$35,FIND("-",SD!$C$35)-1)+RIGHT(SD!$C$35,LEN(SD!$C$35)-FIND("-",SD!$C$35))/12),IF(SD!$C$33=SD!$I$4,(AU184-(BF184+BH184)))))))</f>
        <v>-1</v>
      </c>
      <c r="BH184">
        <f>IF(SD!$C$34=SD!$I$2,BE184,IF(SD!$C$34=SD!$I$3,DO184,IF(SD!$C$34=SD!$I$5,BA184,IF(SD!$C$34=SD!$I$6,(LEFT(SD!$C$35,FIND("-",SD!$C$35)-1)+RIGHT(SD!$C$35,LEN(SD!$C$35)-FIND("-",SD!$C$35))/12),IF(SD!$C$34=SD!$I$4,(AU184-(BF184+BG184)))))))</f>
        <v>1</v>
      </c>
      <c r="BJ184">
        <f>IF(AM184="Spiral","1",MAX(ROUNDUP(IF(SD!$C$32="",AT184,BF184/(LEFT(RIGHT(N184,LEN(N184)-FIND("@",N184)),LEN(RIGHT(N184,LEN(N184)-FIND("@",N184)))-1)/12)+1),0),0))</f>
        <v>1</v>
      </c>
      <c r="BK184">
        <f>MAX(ROUNDUP(IF(SD!$C$33="","",BG184/(LEFT(RIGHT(O184,LEN(O184)-FIND("@",O184)),LEN(RIGHT(O184,LEN(O184)-FIND("@",O184)))-1)/12)+1),0),0)</f>
        <v>0</v>
      </c>
      <c r="BL184">
        <f>MAX(ROUNDUP(IF(SD!$C$34="","",BH184/(LEFT(RIGHT(P184,LEN(P184)-FIND("@",P184)),LEN(RIGHT(P184,LEN(P184)-FIND("@",P184)))-1)/12)+1),0),0)</f>
        <v>3</v>
      </c>
      <c r="BN184" t="e">
        <f t="shared" si="59"/>
        <v>#N/A</v>
      </c>
      <c r="BO184" t="e">
        <f t="shared" si="60"/>
        <v>#N/A</v>
      </c>
      <c r="BP184" t="e">
        <f t="shared" si="61"/>
        <v>#N/A</v>
      </c>
      <c r="BQ184" s="24" t="e">
        <f>IF(AM184=TRUE,(((Y184-(SD!$E$12*2))*3.14159265359)+BN184+BO184+BP184)/12+AL184,SUM(AF184:AG184,BN184,BO184,BP184,AO184,AQ184)/12)</f>
        <v>#N/A</v>
      </c>
      <c r="BR184" t="e">
        <f t="shared" si="62"/>
        <v>#N/A</v>
      </c>
      <c r="BS184" t="e">
        <f t="shared" si="63"/>
        <v>#N/A</v>
      </c>
      <c r="BT184" t="e">
        <f t="shared" si="64"/>
        <v>#N/A</v>
      </c>
      <c r="BU184" s="24" t="e">
        <f>IF(AM184=TRUE,(((Y184-(SD!$E$12*2))*3.14159265359)+BR184+BS184+BT184)/12+AL184,SUM(AF184:AG184,BR184,BS184,BT184,AO184,AQ184)/12)</f>
        <v>#N/A</v>
      </c>
      <c r="BW184" t="str">
        <f>IFERROR(LEFT(Data!L184,FIND(" -",Data!L184)-1),"")</f>
        <v/>
      </c>
      <c r="BX184" t="str">
        <f>IFERROR(IF(SD!$C$40=SD!$U$2,W184,IF(SD!$C$40=SD!$U$3,RIGHT(Data!L184,LEN(Data!L184)-(FIND("-",Data!L184)+1)),SD!$C$40)),"")</f>
        <v>#10</v>
      </c>
      <c r="BY184" t="str" cm="1">
        <f t="array" ref="BY184">IFERROR(_xlfn.LET(_xlpm.GRR,IF(AND(SD!$C$19=SD!$H$2,Grade!$G$1="Per level"),VLOOKUP(B184,Grade!$E$1:$F$200,2,FALSE),IF(AND(SD!$C$19=SD!$H$2,Grade!$G$1="Per Bar Size"),VLOOKUP(BX184,Grade!$B$1:$C$12,2,0),SD!$C$19)),_xlpm.is_equal, A183=A184,_xlpm.grade_range, IF(_xlpm.GRR=SD!$H$3, A615GR60,IF(_xlpm.GRR=SD!$H$4, A615GR75,IF(_xlpm.GRR=SD!$H$5, A615GR80,IF(_xlpm.GRR=SD!H188, A615GR100,IF(_xlpm.GRR=SD!$H$7, A706GR60,IF(_xlpm.GRR=SD!$H$8, A706GR80)))))),_xlpm.match_result, MATCH(1, (BSize=BX184)*(BCName=SD!$C$8), 0),_xlpm.final_result, INDEX(_xlpm.grade_range, _xlpm.match_result),IF(_xlpm.is_equal, "", _xlpm.final_result)),"")</f>
        <v/>
      </c>
      <c r="BZ184" t="str">
        <f>IF(A183=A184,"",IF(SD!$C$41="Match Vertical Bars ",X184,IF(SD!$C$41=SD!$V$3,BW184,SD!$C$41)))</f>
        <v/>
      </c>
      <c r="CA184" t="str" cm="1">
        <f t="array" ref="CA184">IF(A183=A184,"",IF(SD!$C$44="No T-Head",IF(SD!$C$42=SD!$Q$3,VLOOKUP(BX184,S90Range,3,FALSE),LEFT(SD!$C$42,FIND("-",SD!$C$42)-1)+(RIGHT(SD!$C$42,LEN(SD!$C$42)-FIND("-",SD!$C$42))/12)),IF(SD!$C$44="T-Head",_xlfn._xlws.FILTER(THead,(TCName=SD!$C$8)*(TSize=BX184)),IF(SD!$C$44="Level Wise",_xlfn.LET(_xlpm.result,_xlfn.XLOOKUP(B184,VDLevel,VDLevelStatus,"No"),IF(_xlpm.result="Yes",_xlfn._xlws.FILTER(THead,(TCName=SD!$C$8)*(TSize=BX184)),IF(SD!$C$42=SD!$Q$3,VLOOKUP(BX184,S90Range,3,FALSE),LEFT(SD!$C$42,FIND("-",SD!$C$42)-1)+(RIGHT(SD!$C$42,LEN(SD!$C$42)-FIND("-", SD!$C$42))/12)))),IF(SD!$C$44="BarSize Wise",_xlfn.LET(_xlpm.result,_xlfn.XLOOKUP(BX184,VDBarSize,VDBarSizeStatus,"No"),IF(_xlpm.result="Yes",_xlfn._xlws.FILTER(THead,(TCName=SD!$C$8)*(TSize=BX184)),IF(SD!$C$42=SD!$Q$3,VLOOKUP(BX184,S90Range,3,FALSE),LEFT(SD!$C$42,FIND("-",SD!$C$42)-1)+(RIGHT(SD!$C$42,LEN(SD!$C$42)-FIND("-",SD!$C$42))/12)))), "")))))</f>
        <v/>
      </c>
      <c r="CB184" t="str" cm="1">
        <f t="array" ref="CB184">_xlfn.LET(_xlpm.GRR,IF(AND(SD!$C$19=SD!$H$2,Grade!$G$1="Per level"),VLOOKUP(B184,Grade!$E$1:$F$200,2,FALSE),IF(AND(SD!$C$19=SD!$H$2,Grade!$G$1="Per Bar Size"),VLOOKUP(BX184,Grade!$B$1:$C$12,2,0),SD!$C$19)),_xlpm.is_coupler, K184="Coupler",_xlpm.condition1, SD!$C$43=SD!$W$2,_xlpm.data_j2_empty, Data!$J184="",_xlpm.lookup_table, IF(SD!$C$11="Create", Lap!$A$3:$BF$14, IF(SD!$C$11="Per Uploaded File", Lap!$A$19:$BF$30, "")),_xlpm.row_match, MATCH(BX184, Lap!$A$3:$A$14, 0),_xlpm.grade_offset, IF(IFERROR(FIND("Grade 60",_xlpm.GRR), 0) &gt; 0, 0, IF(IFERROR(FIND("Grade 80",_xlpm.GRR), 0), 1, IF(IFERROR(FIND("Grade 75",_xlpm.GRR), 0), 2, ""))),_xlpm.col_match, MATCH(VALUE(D184), Lap!$A$3:$BF$3, 0) + _xlpm.grade_offset,_xlpm.index_result, IFERROR(INDEX(_xlpm.lookup_table, _xlpm.row_match, _xlpm.col_match), Data!$J184),_xlpm.result_if_condition1, IF(_xlpm.data_j2_empty, _xlpm.index_result, Data!$J184),IF(_xlpm.is_coupler, 0, IF(_xlpm.condition1, _xlpm.result_if_condition1, SD!$C$43)))</f>
        <v>5-1</v>
      </c>
      <c r="CC184" s="24">
        <f t="shared" si="65"/>
        <v>5.083333333333333</v>
      </c>
      <c r="CD184">
        <f t="shared" si="66"/>
        <v>5.75</v>
      </c>
      <c r="CE184" t="str" cm="1">
        <f t="array" ref="CE184">IF(BY184="","",_xlfn._xlws.FILTER(SAC,(CName=SD!$C$8)*(EName="Vert Dowels")))</f>
        <v/>
      </c>
      <c r="CF184" t="str" cm="1">
        <f t="array" ref="CF184">IFERROR(IF(BY184="","",IF(K184="Coupler",_xlfn._xlws.FILTER(CCoupler,(CCName=SD!$C$8)*(CBSize=IF(A183=A184,W183&amp;W184,BX184&amp;W184))*(CCMFM="Male")),"")),"N/A")</f>
        <v/>
      </c>
      <c r="CG184" t="str">
        <f t="shared" si="67"/>
        <v/>
      </c>
      <c r="CH184" t="str">
        <f t="shared" si="68"/>
        <v/>
      </c>
      <c r="CI184" t="str">
        <f>_xlfn.LET(_xlpm.u3_value, U185,_xlpm.hyphen_pos,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K185="Coupler",_xlpm.coupler_value, IF(_xlpm.is_coupler, 0, _xlpm.calculated_value),_xlpm.final_value, _xlpm.calculated_value + SD!$E$13 + _xlpm.coupler_value,IF(CG184="", "", _xlpm.final_value))</f>
        <v/>
      </c>
      <c r="CJ184" t="str" cm="1">
        <f t="array" ref="CJ184">IF(CG184="","",_xlfn._xlws.FILTER(SAC,(CName=SD!$C$8)*(EName="Loose Dowels")))</f>
        <v/>
      </c>
      <c r="CK184" t="str" cm="1">
        <f t="array" ref="CK184">IFERROR(IF(CG184="","",IF(K185="Coupler",_xlfn._xlws.FILTER(CCoupler,(CCName=SD!$C$8)*(CBSize=IF(A184=A185,W184&amp;W185,""))*(CCMFM="Male")),"")),"N/A")</f>
        <v/>
      </c>
      <c r="CL184" t="str">
        <f>IFERROR(IF(AM184="Spiral","",IF(A183=A184,"",IF(SD!$C$37=0,"",SD!$C$37))),"")</f>
        <v/>
      </c>
      <c r="CN184">
        <f>IF(AM184="Spiral","",IFERROR(IF(SD!$C$36=0,"",SD!$C$36),""))</f>
        <v>5</v>
      </c>
      <c r="CP184" t="str">
        <f>IFERROR(IF(SD!$C$42=SD!$Q$3,'Take-off'!CA184,""),"")</f>
        <v/>
      </c>
      <c r="CR184">
        <f>IFERROR(IF(SD!$C$22=SD!$U$2,W184,SD!$C$22),"")</f>
        <v>0</v>
      </c>
      <c r="CS184" t="str" cm="1">
        <f t="array" ref="CS184">_xlfn.LET(_xlpm.GR,IF(AND(SD!$C$19=SD!$H$2,Grade!$G$1="Per level"),VLOOKUP(B184,Grade!$E$1:$F$200,2,FALSE),IF(AND(SD!$C$19=SD!$H$2,Grade!$G$1="Per Bar Size"),VLOOKUP(CR184,Grade!$B$1:$C$12,2,0),SD!$C$19)),IF(SD!$C$20=SD!$R$4,IF(A185=A184,"",INDEX(IF(_xlpm.GR=SD!$H$3,A615GR60,IF(_xlpm.GR=SD!$H$4,A615GR75,IF(_xlpm.GR=SD!$H$5,A615GR80,IF(_xlpm.GR=SD!H188,A615GR100,IF(_xlpm.GR=SD!$H$7,A706GR60,IF(_xlpm.GR=SD!$H$8,A706GR80)))))), MATCH(1, (BSize=CR184)*(BCName=SD!$C$8), 0))),""))</f>
        <v/>
      </c>
      <c r="CT184" t="str">
        <f>IF(A185=A184,"",IF(SD!$C$23="Match Vertical Bars ",X184,SD!$C$23))</f>
        <v/>
      </c>
      <c r="CU184" t="str" cm="1">
        <f t="array" ref="CU184">IF(A185=A184,"",IF(SD!$C$20="Top dowels",IF(SD!$E$25="No T-Head",IF(SD!$C$24=SD!$Q$3,VLOOKUP(CR184,S90Range,3,FALSE),LEFT(SD!$C$24,FIND("-",SD!$C$24)-1)+(RIGHT(SD!$C$24,LEN(SD!$C$24)-FIND("-",SD!$C$24))/12)),IF(SD!$E$25="T-Head",_xlfn._xlws.FILTER(THead,(TCName=SD!$C$8)*(TSize=CR184)),IF(SD!$E$25="Level Wise",_xlfn.LET(_xlpm.result,_xlfn.XLOOKUP(B184,TDLevel,TDLevelStatus,"No"),IF(_xlpm.result="Yes",_xlfn._xlws.FILTER(THead,(TCName=SD!$C$8)*(TSize=CR184)),IF(SD!$C$24=SD!$Q$3,VLOOKUP(CR184,S90Range,3,FALSE),LEFT(SD!$C$24,FIND("-",SD!$C$24)-1)+(RIGHT(SD!$C$24,LEN(SD!$C$24)-FIND("-", SD!$C$24))/12)))),IF(SD!$E$25="BarSize Wise",_xlfn.LET(_xlpm.result,_xlfn.XLOOKUP(CR184,TDBarSize,TDBarSizeStatus,"No"),IF(_xlpm.result="Yes",_xlfn._xlws.FILTER(THead,(TCName=SD!$C$8)*(TSize=CR184)),IF(SD!$C$24=SD!$Q$3,VLOOKUP(CR184,S90Range,3,FALSE),LEFT(SD!$C$24,FIND("-",SD!$C$24)-1)+(RIGHT(SD!$C$24,LEN(SD!$C$24)-FIND("-",SD!$C$24))/12)))), "")))),""))</f>
        <v/>
      </c>
      <c r="CV184" t="str">
        <f>_xlfn.LET(_xlpm.GRR,IF(AND(SD!$C$19=SD!$H$2,Grade!$G$1="Per level"),VLOOKUP(B184,Grade!$E$1:$F$200,2,FALSE),IF(AND(SD!$C$19=SD!$H$2,Grade!$G$1="Per Bar Size"),VLOOKUP(CR184,Grade!$B$1:$C$12,2,0),SD!$C$19)),IF(SD!$C$25=SD!$W$2,IF(Data!$J184="",IFERROR(INDEX(IF(SD!$C$11="Create",Lap!$A$3:$BF$14,IF(SD!$C$11="Per Uploaded File",Lap!$A$19:$BF$30,"")),MATCH(CR184,Lap!$A$3:$A$14,0),MATCH(VALUE(D184),Lap!$A$3:$BF$3,0)+IF(IFERROR(FIND("Grade 60",_xlpm.GRR),0)&gt;0,0,IF(IFERROR(FIND("Grade 80",_xlpm.GRR),0),1,IF(IFERROR(FIND("Grade 75",_xlpm.GRR),0),2,"")))),""),Data!J184),SD!$C$43))</f>
        <v>Match Lap</v>
      </c>
      <c r="CW184">
        <f t="shared" si="69"/>
        <v>0</v>
      </c>
      <c r="CX184">
        <f t="shared" si="70"/>
        <v>0</v>
      </c>
      <c r="CY184" t="str">
        <f t="shared" si="71"/>
        <v/>
      </c>
      <c r="DA184" t="str">
        <f t="shared" si="72"/>
        <v/>
      </c>
      <c r="DB184" t="str">
        <f t="shared" si="73"/>
        <v/>
      </c>
      <c r="DC184" s="24" t="str">
        <f t="shared" si="74"/>
        <v/>
      </c>
      <c r="DD184">
        <f t="shared" si="75"/>
        <v>10.583333333333334</v>
      </c>
      <c r="DE184" t="s">
        <v>785</v>
      </c>
      <c r="DF184" t="s">
        <v>67</v>
      </c>
      <c r="DG184" t="str">
        <f>VLOOKUP(W184,'Level Wise PSI'!$F$2:$G$12,2,FALSE)</f>
        <v>Double Lift</v>
      </c>
      <c r="DI184" t="str" cm="1">
        <f t="array" ref="DI184">_xlfn.LET(_xlpm.Coup,IFERROR(IF(BY184="","",IF(K184="Coupler",_xlfn._xlws.FILTER(CCFCoupler,(CCName=SD!$C$8)*(CBSize=IF(A183=A184,W183&amp;W184,BX184&amp;W184))),"")),"N/A"),IF(_xlpm.Coup=0,"",_xlpm.Coup))</f>
        <v/>
      </c>
      <c r="DJ184" t="str" cm="1">
        <f t="array" ref="DJ184">_xlfn.LET(_xlpm.Coup3,IFERROR(IF(CG184="","",IF(K185="Coupler",_xlfn._xlws.FILTER(CCFCoupler,(CCName=SD!$C$8)*(CBSize=IF(A184=A185,W184&amp;W185,""))),"")),"N/A"),IF(_xlpm.Coup3=0,"",_xlpm.Coup3))</f>
        <v/>
      </c>
      <c r="DK184" t="str" cm="1">
        <f t="array" ref="DK184">_xlfn.LET(_xlpm.Coup2,IFERROR(IF(A184&lt;&gt;A185,"",IF(DF184="No Lap","",IF(K185="Coupler",_xlfn._xlws.FILTER(CCFCoupler,(CCName=SD!$C$8)*(CBSize=IF(A183=A184,W184&amp;W185,W184&amp;W184))),""))),"N/A"),IF(_xlpm.Coup2=0,"",_xlpm.Coup2))</f>
        <v/>
      </c>
      <c r="DM184" t="str">
        <f>IF(AM184="Spiral","",IF(SD!$C$31=SD!$Y$3,SD!$E$32*2,""))</f>
        <v/>
      </c>
      <c r="DO184" s="24">
        <f t="shared" si="76"/>
        <v>2.5</v>
      </c>
      <c r="DQ184" t="str">
        <f t="shared" si="77"/>
        <v>Lig</v>
      </c>
      <c r="DR184" t="str">
        <f>IF(AM184="Spiral",((Y184-(SD!$E$12*2))/12),"")</f>
        <v/>
      </c>
      <c r="DS184" t="str">
        <f t="shared" si="78"/>
        <v/>
      </c>
      <c r="DT184" t="str">
        <f t="shared" si="79"/>
        <v/>
      </c>
      <c r="DU184" t="str">
        <f t="shared" si="80"/>
        <v/>
      </c>
    </row>
    <row r="185" spans="1:125" x14ac:dyDescent="0.25">
      <c r="A185">
        <v>64</v>
      </c>
      <c r="B185" t="s">
        <v>674</v>
      </c>
      <c r="C185" s="15">
        <v>2429</v>
      </c>
      <c r="D185" s="15">
        <v>10000</v>
      </c>
      <c r="E185" t="str">
        <f>IF(B185=Level!$A$2,SD!$C$14,SD!$C$13)</f>
        <v>0-8</v>
      </c>
      <c r="F185" s="15" t="s">
        <v>787</v>
      </c>
      <c r="G185" t="s">
        <v>742</v>
      </c>
      <c r="H185" t="str">
        <f>RIGHT(VLOOKUP(B185,Level!A:C,3,FALSE),LEN(VLOOKUP(B185,Level!A:C,3,FALSE))-1)</f>
        <v>10-7</v>
      </c>
      <c r="I185" t="s">
        <v>743</v>
      </c>
      <c r="J185" t="str">
        <f>IF(AND(SD!$C$19=SD!$H$2,Grade!$G$1="Per level"),VLOOKUP(B185,Grade!$E$1:$F$200,2,FALSE),IF(AND(SD!$C$19=SD!$H$2,Grade!$G$1="Per Bar Size"),VLOOKUP(W185,Grade!$B$1:$C$12,2,0),SD!$C$19))</f>
        <v>A615 Grade 60</v>
      </c>
      <c r="K185" t="s">
        <v>67</v>
      </c>
      <c r="L185" t="str">
        <f>IFERROR(IF(A185&lt;&gt;A186,"",IF(DF185="No Lap","",IF(K186="Lap",U185,IF(K186="Coupler",_xlfn._xlws.FILTER(CCoupler,(CCName=SD!$C$8)*(CBSize=IF(A184=A185,W185&amp;W186,W185&amp;W185))*(CCMFM="Male")),"")))),"N/A")</f>
        <v>5-1</v>
      </c>
      <c r="M185" t="str">
        <f t="shared" si="54"/>
        <v/>
      </c>
      <c r="N185" t="s">
        <v>719</v>
      </c>
      <c r="O185" t="s">
        <v>720</v>
      </c>
      <c r="P185" t="s">
        <v>719</v>
      </c>
      <c r="Q185" t="str">
        <f>IF(AND(SD!$C$29=SD!$P$2,Grade!$O$1="Per level"),VLOOKUP(B185,Grade!$M$1:$N$200,2,FALSE),IF(AND(SD!$C$29=SD!$P$2,Grade!$O$1="Per Bar Size"),VLOOKUP(LEFT(N185,FIND("@",N185)-2),Grade!$J$1:$K$12,2,0),SD!$C$29))</f>
        <v>A615 Grade 60</v>
      </c>
      <c r="R185" t="s">
        <v>742</v>
      </c>
      <c r="S185" s="57">
        <v>185</v>
      </c>
      <c r="U185" t="str">
        <f>IF(Data!$J185="",IFERROR(INDEX(IF(SD!$C$11="Create",Lap!$A$3:$BF$14,IF(SD!$C$11="Per Uploaded File",Lap!$A$19:$BF$30,"")),MATCH(W185,Lap!$A$3:$A$14,0),MATCH(VALUE(D185),Lap!$A$3:$BF$3,0)+IF(IFERROR(FIND("Grade 60",J185),0)&gt;0,0,IF(IFERROR(FIND("Grade 80",J185),0),1,IF(IFERROR(FIND("Grade 75",J185),0),2,"")))),""),Data!J185)</f>
        <v>5-1</v>
      </c>
      <c r="W185" t="s">
        <v>176</v>
      </c>
      <c r="X185">
        <v>6</v>
      </c>
      <c r="Y185" t="str">
        <f t="shared" si="55"/>
        <v>30</v>
      </c>
      <c r="Z185">
        <f t="shared" si="56"/>
        <v>0</v>
      </c>
      <c r="AA185" s="24">
        <f t="shared" si="57"/>
        <v>15.666666666666666</v>
      </c>
      <c r="BB185" t="e" cm="1">
        <f t="array" ref="BB185">_xlfn.LET(_xlpm.PartF,(_xlfn.LET(_xlpm.grade, Q185,_xlpm.gradeRange, IF(_xlpm.grade=SD!$H$3, A615GR60, IF(_xlpm.grade=SD!$H$4, A615GR75, IF(_xlpm.grade=SD!$H$5, A615GR80, IF(_xlpm.grade=SD!$H$6, A615GR100, IF(_xlpm.grade=SD!$H$7, A706GR60, IF(_xlpm.grade=SD!$H$8, A706GR80)))))),_xlpm.matchValue, MATCH(1, (SD!$AW:$AW=AS185)*(SD!$AX:$AX=SD!$C$8), 0),INDEX(_xlpm.gradeRange, _xlpm.matchValue))),IF(AM185="Spiral",CONCATENATE("SP",_xlpm.PartF),_xlpm.PartF))</f>
        <v>#N/A</v>
      </c>
      <c r="BC185" cm="1">
        <f t="array" ref="BC185">_xlfn.LET(_xlpm.leftPart, LEFT(O185, FIND("@", O185) - 2),_xlpm.grade,Q185,_xlpm.gradeRange,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5" cm="1">
        <f t="array" ref="BD185">_xlfn.LET(_xlpm.leftPart, LEFT(P185, FIND("@", P185) - 2),_xlpm.grade, Q185,_xlpm.gradeRange,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5">
        <f t="shared" si="58"/>
        <v>2.5</v>
      </c>
      <c r="BF185">
        <f>IF(SD!$C$32=SD!$I$2,BE185,IF(SD!$C$32=SD!$I$3,DO185,IF(SD!$C$32=SD!$I$5,BA185,IF(SD!$C$32=SD!$I$6,(LEFT(SD!$C$35,FIND("-",SD!$C$35)-1)+RIGHT(SD!$C$35,LEN(SD!$C$35)-FIND("-",SD!$C$35))/12),IF(SD!$C$32=SD!$I$4,(AU185-(BG185+BH185)))))))</f>
        <v>0</v>
      </c>
      <c r="BG185">
        <f>IF(SD!$C$33=SD!$I$2,BE185,IF(SD!$C$33=SD!$I$3,DO185,IF(SD!$C$33=SD!$I$5,BA185,IF(SD!$C$33=SD!$I$6,(LEFT(SD!$C$35,FIND("-",SD!$C$35)-1)+RIGHT(SD!$C$35,LEN(SD!$C$35)-FIND("-",SD!$C$35))/12),IF(SD!$C$33=SD!$I$4,(AU185-(BF185+BH185)))))))</f>
        <v>-1</v>
      </c>
      <c r="BH185">
        <f>IF(SD!$C$34=SD!$I$2,BE185,IF(SD!$C$34=SD!$I$3,DO185,IF(SD!$C$34=SD!$I$5,BA185,IF(SD!$C$34=SD!$I$6,(LEFT(SD!$C$35,FIND("-",SD!$C$35)-1)+RIGHT(SD!$C$35,LEN(SD!$C$35)-FIND("-",SD!$C$35))/12),IF(SD!$C$34=SD!$I$4,(AU185-(BF185+BG185)))))))</f>
        <v>1</v>
      </c>
      <c r="BJ185">
        <f>IF(AM185="Spiral","1",MAX(ROUNDUP(IF(SD!$C$32="",AT185,BF185/(LEFT(RIGHT(N185,LEN(N185)-FIND("@",N185)),LEN(RIGHT(N185,LEN(N185)-FIND("@",N185)))-1)/12)+1),0),0))</f>
        <v>1</v>
      </c>
      <c r="BK185">
        <f>MAX(ROUNDUP(IF(SD!$C$33="","",BG185/(LEFT(RIGHT(O185,LEN(O185)-FIND("@",O185)),LEN(RIGHT(O185,LEN(O185)-FIND("@",O185)))-1)/12)+1),0),0)</f>
        <v>0</v>
      </c>
      <c r="BL185">
        <f>MAX(ROUNDUP(IF(SD!$C$34="","",BH185/(LEFT(RIGHT(P185,LEN(P185)-FIND("@",P185)),LEN(RIGHT(P185,LEN(P185)-FIND("@",P185)))-1)/12)+1),0),0)</f>
        <v>3</v>
      </c>
      <c r="BN185" t="e">
        <f t="shared" si="59"/>
        <v>#N/A</v>
      </c>
      <c r="BO185" t="e">
        <f t="shared" si="60"/>
        <v>#N/A</v>
      </c>
      <c r="BP185" t="e">
        <f t="shared" si="61"/>
        <v>#N/A</v>
      </c>
      <c r="BQ185" s="24" t="e">
        <f>IF(AM185=TRUE,(((Y185-(SD!$E$12*2))*3.14159265359)+BN185+BO185+BP185)/12+AL185,SUM(AF185:AG185,BN185,BO185,BP185,AO185,AQ185)/12)</f>
        <v>#N/A</v>
      </c>
      <c r="BR185" t="e">
        <f t="shared" si="62"/>
        <v>#N/A</v>
      </c>
      <c r="BS185" t="e">
        <f t="shared" si="63"/>
        <v>#N/A</v>
      </c>
      <c r="BT185" t="e">
        <f t="shared" si="64"/>
        <v>#N/A</v>
      </c>
      <c r="BU185" s="24" t="e">
        <f>IF(AM185=TRUE,(((Y185-(SD!$E$12*2))*3.14159265359)+BR185+BS185+BT185)/12+AL185,SUM(AF185:AG185,BR185,BS185,BT185,AO185,AQ185)/12)</f>
        <v>#N/A</v>
      </c>
      <c r="BW185" t="str">
        <f>IFERROR(LEFT(Data!L185,FIND(" -",Data!L185)-1),"")</f>
        <v/>
      </c>
      <c r="BX185" t="str">
        <f>IFERROR(IF(SD!$C$40=SD!$U$2,W185,IF(SD!$C$40=SD!$U$3,RIGHT(Data!L185,LEN(Data!L185)-(FIND("-",Data!L185)+1)),SD!$C$40)),"")</f>
        <v>#10</v>
      </c>
      <c r="BY185" t="str" cm="1">
        <f t="array" ref="BY185">IFERROR(_xlfn.LET(_xlpm.GRR,IF(AND(SD!$C$19=SD!$H$2,Grade!$G$1="Per level"),VLOOKUP(B185,Grade!$E$1:$F$200,2,FALSE),IF(AND(SD!$C$19=SD!$H$2,Grade!$G$1="Per Bar Size"),VLOOKUP(BX185,Grade!$B$1:$C$12,2,0),SD!$C$19)),_xlpm.is_equal, A184=A185,_xlpm.grade_range, IF(_xlpm.GRR=SD!$H$3, A615GR60,IF(_xlpm.GRR=SD!$H$4, A615GR75,IF(_xlpm.GRR=SD!$H$5, A615GR80,IF(_xlpm.GRR=SD!H189, A615GR100,IF(_xlpm.GRR=SD!$H$7, A706GR60,IF(_xlpm.GRR=SD!$H$8, A706GR80)))))),_xlpm.match_result, MATCH(1, (BSize=BX185)*(BCName=SD!$C$8), 0),_xlpm.final_result, INDEX(_xlpm.grade_range, _xlpm.match_result),IF(_xlpm.is_equal, "", _xlpm.final_result)),"")</f>
        <v/>
      </c>
      <c r="BZ185" t="str">
        <f>IF(A184=A185,"",IF(SD!$C$41="Match Vertical Bars ",X185,IF(SD!$C$41=SD!$V$3,BW185,SD!$C$41)))</f>
        <v/>
      </c>
      <c r="CA185" t="str" cm="1">
        <f t="array" ref="CA185">IF(A184=A185,"",IF(SD!$C$44="No T-Head",IF(SD!$C$42=SD!$Q$3,VLOOKUP(BX185,S90Range,3,FALSE),LEFT(SD!$C$42,FIND("-",SD!$C$42)-1)+(RIGHT(SD!$C$42,LEN(SD!$C$42)-FIND("-",SD!$C$42))/12)),IF(SD!$C$44="T-Head",_xlfn._xlws.FILTER(THead,(TCName=SD!$C$8)*(TSize=BX185)),IF(SD!$C$44="Level Wise",_xlfn.LET(_xlpm.result,_xlfn.XLOOKUP(B185,VDLevel,VDLevelStatus,"No"),IF(_xlpm.result="Yes",_xlfn._xlws.FILTER(THead,(TCName=SD!$C$8)*(TSize=BX185)),IF(SD!$C$42=SD!$Q$3,VLOOKUP(BX185,S90Range,3,FALSE),LEFT(SD!$C$42,FIND("-",SD!$C$42)-1)+(RIGHT(SD!$C$42,LEN(SD!$C$42)-FIND("-", SD!$C$42))/12)))),IF(SD!$C$44="BarSize Wise",_xlfn.LET(_xlpm.result,_xlfn.XLOOKUP(BX185,VDBarSize,VDBarSizeStatus,"No"),IF(_xlpm.result="Yes",_xlfn._xlws.FILTER(THead,(TCName=SD!$C$8)*(TSize=BX185)),IF(SD!$C$42=SD!$Q$3,VLOOKUP(BX185,S90Range,3,FALSE),LEFT(SD!$C$42,FIND("-",SD!$C$42)-1)+(RIGHT(SD!$C$42,LEN(SD!$C$42)-FIND("-",SD!$C$42))/12)))), "")))))</f>
        <v/>
      </c>
      <c r="CB185" t="str" cm="1">
        <f t="array" ref="CB185">_xlfn.LET(_xlpm.GRR,IF(AND(SD!$C$19=SD!$H$2,Grade!$G$1="Per level"),VLOOKUP(B185,Grade!$E$1:$F$200,2,FALSE),IF(AND(SD!$C$19=SD!$H$2,Grade!$G$1="Per Bar Size"),VLOOKUP(BX185,Grade!$B$1:$C$12,2,0),SD!$C$19)),_xlpm.is_coupler, K185="Coupler",_xlpm.condition1, SD!$C$43=SD!$W$2,_xlpm.data_j2_empty, Data!$J185="",_xlpm.lookup_table, IF(SD!$C$11="Create", Lap!$A$3:$BF$14, IF(SD!$C$11="Per Uploaded File", Lap!$A$19:$BF$30, "")),_xlpm.row_match, MATCH(BX185, Lap!$A$3:$A$14, 0),_xlpm.grade_offset, IF(IFERROR(FIND("Grade 60",_xlpm.GRR), 0) &gt; 0, 0, IF(IFERROR(FIND("Grade 80",_xlpm.GRR), 0), 1, IF(IFERROR(FIND("Grade 75",_xlpm.GRR), 0), 2, ""))),_xlpm.col_match, MATCH(VALUE(D185), Lap!$A$3:$BF$3, 0) + _xlpm.grade_offset,_xlpm.index_result, IFERROR(INDEX(_xlpm.lookup_table, _xlpm.row_match, _xlpm.col_match), Data!$J185),_xlpm.result_if_condition1, IF(_xlpm.data_j2_empty, _xlpm.index_result, Data!$J185),IF(_xlpm.is_coupler, 0, IF(_xlpm.condition1, _xlpm.result_if_condition1, SD!$C$43)))</f>
        <v>5-1</v>
      </c>
      <c r="CC185" s="24">
        <f t="shared" si="65"/>
        <v>5.083333333333333</v>
      </c>
      <c r="CD185">
        <f t="shared" si="66"/>
        <v>5.75</v>
      </c>
      <c r="CE185" t="str" cm="1">
        <f t="array" ref="CE185">IF(BY185="","",_xlfn._xlws.FILTER(SAC,(CName=SD!$C$8)*(EName="Vert Dowels")))</f>
        <v/>
      </c>
      <c r="CF185" t="str" cm="1">
        <f t="array" ref="CF185">IFERROR(IF(BY185="","",IF(K185="Coupler",_xlfn._xlws.FILTER(CCoupler,(CCName=SD!$C$8)*(CBSize=IF(A184=A185,W184&amp;W185,BX185&amp;W185))*(CCMFM="Male")),"")),"N/A")</f>
        <v/>
      </c>
      <c r="CG185" t="str">
        <f t="shared" si="67"/>
        <v/>
      </c>
      <c r="CH185" t="str">
        <f t="shared" si="68"/>
        <v/>
      </c>
      <c r="CI185" t="str">
        <f>_xlfn.LET(_xlpm.u3_value, U186,_xlpm.hyphen_pos,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K186="Coupler",_xlpm.coupler_value, IF(_xlpm.is_coupler, 0, _xlpm.calculated_value),_xlpm.final_value, _xlpm.calculated_value + SD!$E$13 + _xlpm.coupler_value,IF(CG185="", "", _xlpm.final_value))</f>
        <v/>
      </c>
      <c r="CJ185" t="str" cm="1">
        <f t="array" ref="CJ185">IF(CG185="","",_xlfn._xlws.FILTER(SAC,(CName=SD!$C$8)*(EName="Loose Dowels")))</f>
        <v/>
      </c>
      <c r="CK185" t="str" cm="1">
        <f t="array" ref="CK185">IFERROR(IF(CG185="","",IF(K186="Coupler",_xlfn._xlws.FILTER(CCoupler,(CCName=SD!$C$8)*(CBSize=IF(A185=A186,W185&amp;W186,""))*(CCMFM="Male")),"")),"N/A")</f>
        <v/>
      </c>
      <c r="CL185" t="str">
        <f>IFERROR(IF(AM185="Spiral","",IF(A184=A185,"",IF(SD!$C$37=0,"",SD!$C$37))),"")</f>
        <v/>
      </c>
      <c r="CN185">
        <f>IF(AM185="Spiral","",IFERROR(IF(SD!$C$36=0,"",SD!$C$36),""))</f>
        <v>5</v>
      </c>
      <c r="CP185" t="str">
        <f>IFERROR(IF(SD!$C$42=SD!$Q$3,'Take-off'!CA185,""),"")</f>
        <v/>
      </c>
      <c r="CR185">
        <f>IFERROR(IF(SD!$C$22=SD!$U$2,W185,SD!$C$22),"")</f>
        <v>0</v>
      </c>
      <c r="CS185" t="str" cm="1">
        <f t="array" ref="CS185">_xlfn.LET(_xlpm.GR,IF(AND(SD!$C$19=SD!$H$2,Grade!$G$1="Per level"),VLOOKUP(B185,Grade!$E$1:$F$200,2,FALSE),IF(AND(SD!$C$19=SD!$H$2,Grade!$G$1="Per Bar Size"),VLOOKUP(CR185,Grade!$B$1:$C$12,2,0),SD!$C$19)),IF(SD!$C$20=SD!$R$4,IF(A186=A185,"",INDEX(IF(_xlpm.GR=SD!$H$3,A615GR60,IF(_xlpm.GR=SD!$H$4,A615GR75,IF(_xlpm.GR=SD!$H$5,A615GR80,IF(_xlpm.GR=SD!H189,A615GR100,IF(_xlpm.GR=SD!$H$7,A706GR60,IF(_xlpm.GR=SD!$H$8,A706GR80)))))), MATCH(1, (BSize=CR185)*(BCName=SD!$C$8), 0))),""))</f>
        <v/>
      </c>
      <c r="CT185" t="str">
        <f>IF(A186=A185,"",IF(SD!$C$23="Match Vertical Bars ",X185,SD!$C$23))</f>
        <v/>
      </c>
      <c r="CU185" t="str" cm="1">
        <f t="array" ref="CU185">IF(A186=A185,"",IF(SD!$C$20="Top dowels",IF(SD!$E$25="No T-Head",IF(SD!$C$24=SD!$Q$3,VLOOKUP(CR185,S90Range,3,FALSE),LEFT(SD!$C$24,FIND("-",SD!$C$24)-1)+(RIGHT(SD!$C$24,LEN(SD!$C$24)-FIND("-",SD!$C$24))/12)),IF(SD!$E$25="T-Head",_xlfn._xlws.FILTER(THead,(TCName=SD!$C$8)*(TSize=CR185)),IF(SD!$E$25="Level Wise",_xlfn.LET(_xlpm.result,_xlfn.XLOOKUP(B185,TDLevel,TDLevelStatus,"No"),IF(_xlpm.result="Yes",_xlfn._xlws.FILTER(THead,(TCName=SD!$C$8)*(TSize=CR185)),IF(SD!$C$24=SD!$Q$3,VLOOKUP(CR185,S90Range,3,FALSE),LEFT(SD!$C$24,FIND("-",SD!$C$24)-1)+(RIGHT(SD!$C$24,LEN(SD!$C$24)-FIND("-", SD!$C$24))/12)))),IF(SD!$E$25="BarSize Wise",_xlfn.LET(_xlpm.result,_xlfn.XLOOKUP(CR185,TDBarSize,TDBarSizeStatus,"No"),IF(_xlpm.result="Yes",_xlfn._xlws.FILTER(THead,(TCName=SD!$C$8)*(TSize=CR185)),IF(SD!$C$24=SD!$Q$3,VLOOKUP(CR185,S90Range,3,FALSE),LEFT(SD!$C$24,FIND("-",SD!$C$24)-1)+(RIGHT(SD!$C$24,LEN(SD!$C$24)-FIND("-",SD!$C$24))/12)))), "")))),""))</f>
        <v/>
      </c>
      <c r="CV185" t="str">
        <f>_xlfn.LET(_xlpm.GRR,IF(AND(SD!$C$19=SD!$H$2,Grade!$G$1="Per level"),VLOOKUP(B185,Grade!$E$1:$F$200,2,FALSE),IF(AND(SD!$C$19=SD!$H$2,Grade!$G$1="Per Bar Size"),VLOOKUP(CR185,Grade!$B$1:$C$12,2,0),SD!$C$19)),IF(SD!$C$25=SD!$W$2,IF(Data!$J185="",IFERROR(INDEX(IF(SD!$C$11="Create",Lap!$A$3:$BF$14,IF(SD!$C$11="Per Uploaded File",Lap!$A$19:$BF$30,"")),MATCH(CR185,Lap!$A$3:$A$14,0),MATCH(VALUE(D185),Lap!$A$3:$BF$3,0)+IF(IFERROR(FIND("Grade 60",_xlpm.GRR),0)&gt;0,0,IF(IFERROR(FIND("Grade 80",_xlpm.GRR),0),1,IF(IFERROR(FIND("Grade 75",_xlpm.GRR),0),2,"")))),""),Data!J185),SD!$C$43))</f>
        <v>Match Lap</v>
      </c>
      <c r="CW185">
        <f t="shared" si="69"/>
        <v>0</v>
      </c>
      <c r="CX185">
        <f t="shared" si="70"/>
        <v>0</v>
      </c>
      <c r="CY185" t="str">
        <f t="shared" si="71"/>
        <v/>
      </c>
      <c r="DA185" t="str">
        <f t="shared" si="72"/>
        <v/>
      </c>
      <c r="DB185" t="str">
        <f t="shared" si="73"/>
        <v/>
      </c>
      <c r="DC185" s="24" t="str">
        <f t="shared" si="74"/>
        <v/>
      </c>
      <c r="DD185">
        <f t="shared" si="75"/>
        <v>10.583333333333334</v>
      </c>
      <c r="DE185" t="s">
        <v>785</v>
      </c>
      <c r="DF185" t="s">
        <v>67</v>
      </c>
      <c r="DG185" t="str">
        <f>VLOOKUP(W185,'Level Wise PSI'!$F$2:$G$12,2,FALSE)</f>
        <v>Double Lift</v>
      </c>
      <c r="DI185" t="str" cm="1">
        <f t="array" ref="DI185">_xlfn.LET(_xlpm.Coup,IFERROR(IF(BY185="","",IF(K185="Coupler",_xlfn._xlws.FILTER(CCFCoupler,(CCName=SD!$C$8)*(CBSize=IF(A184=A185,W184&amp;W185,BX185&amp;W185))),"")),"N/A"),IF(_xlpm.Coup=0,"",_xlpm.Coup))</f>
        <v/>
      </c>
      <c r="DJ185" t="str" cm="1">
        <f t="array" ref="DJ185">_xlfn.LET(_xlpm.Coup3,IFERROR(IF(CG185="","",IF(K186="Coupler",_xlfn._xlws.FILTER(CCFCoupler,(CCName=SD!$C$8)*(CBSize=IF(A185=A186,W185&amp;W186,""))),"")),"N/A"),IF(_xlpm.Coup3=0,"",_xlpm.Coup3))</f>
        <v/>
      </c>
      <c r="DK185" t="str" cm="1">
        <f t="array" ref="DK185">_xlfn.LET(_xlpm.Coup2,IFERROR(IF(A185&lt;&gt;A186,"",IF(DF185="No Lap","",IF(K186="Coupler",_xlfn._xlws.FILTER(CCFCoupler,(CCName=SD!$C$8)*(CBSize=IF(A184=A185,W185&amp;W186,W185&amp;W185))),""))),"N/A"),IF(_xlpm.Coup2=0,"",_xlpm.Coup2))</f>
        <v/>
      </c>
      <c r="DM185" t="str">
        <f>IF(AM185="Spiral","",IF(SD!$C$31=SD!$Y$3,SD!$E$32*2,""))</f>
        <v/>
      </c>
      <c r="DO185" s="24">
        <f t="shared" si="76"/>
        <v>2.5</v>
      </c>
      <c r="DQ185" t="str">
        <f t="shared" si="77"/>
        <v>Lig</v>
      </c>
      <c r="DR185" t="str">
        <f>IF(AM185="Spiral",((Y185-(SD!$E$12*2))/12),"")</f>
        <v/>
      </c>
      <c r="DS185" t="str">
        <f t="shared" si="78"/>
        <v/>
      </c>
      <c r="DT185" t="str">
        <f t="shared" si="79"/>
        <v/>
      </c>
      <c r="DU185" t="str">
        <f t="shared" si="80"/>
        <v/>
      </c>
    </row>
    <row r="186" spans="1:125" x14ac:dyDescent="0.25">
      <c r="A186">
        <v>64</v>
      </c>
      <c r="B186" t="s">
        <v>676</v>
      </c>
      <c r="C186" s="15">
        <v>2429</v>
      </c>
      <c r="D186" s="15">
        <v>10000</v>
      </c>
      <c r="E186" t="str">
        <f>IF(B186=Level!$A$2,SD!$C$14,SD!$C$13)</f>
        <v>0-8</v>
      </c>
      <c r="F186" s="15" t="s">
        <v>787</v>
      </c>
      <c r="G186" t="s">
        <v>742</v>
      </c>
      <c r="H186" t="str">
        <f>RIGHT(VLOOKUP(B186,Level!A:C,3,FALSE),LEN(VLOOKUP(B186,Level!A:C,3,FALSE))-1)</f>
        <v>10-7</v>
      </c>
      <c r="I186" t="s">
        <v>743</v>
      </c>
      <c r="J186" t="str">
        <f>IF(AND(SD!$C$19=SD!$H$2,Grade!$G$1="Per level"),VLOOKUP(B186,Grade!$E$1:$F$200,2,FALSE),IF(AND(SD!$C$19=SD!$H$2,Grade!$G$1="Per Bar Size"),VLOOKUP(W186,Grade!$B$1:$C$12,2,0),SD!$C$19))</f>
        <v>A615 Grade 60</v>
      </c>
      <c r="K186" t="s">
        <v>67</v>
      </c>
      <c r="L186" t="str">
        <f>IFERROR(IF(A186&lt;&gt;A187,"",IF(DF186="No Lap","",IF(K187="Lap",U186,IF(K187="Coupler",_xlfn._xlws.FILTER(CCoupler,(CCName=SD!$C$8)*(CBSize=IF(A185=A186,W186&amp;W187,W186&amp;W186))*(CCMFM="Male")),"")))),"N/A")</f>
        <v>5-1</v>
      </c>
      <c r="M186" t="str">
        <f t="shared" si="54"/>
        <v/>
      </c>
      <c r="N186" t="s">
        <v>719</v>
      </c>
      <c r="O186" t="s">
        <v>720</v>
      </c>
      <c r="P186" t="s">
        <v>719</v>
      </c>
      <c r="Q186" t="str">
        <f>IF(AND(SD!$C$29=SD!$P$2,Grade!$O$1="Per level"),VLOOKUP(B186,Grade!$M$1:$N$200,2,FALSE),IF(AND(SD!$C$29=SD!$P$2,Grade!$O$1="Per Bar Size"),VLOOKUP(LEFT(N186,FIND("@",N186)-2),Grade!$J$1:$K$12,2,0),SD!$C$29))</f>
        <v>A615 Grade 60</v>
      </c>
      <c r="R186" t="s">
        <v>742</v>
      </c>
      <c r="S186" s="57">
        <v>186</v>
      </c>
      <c r="U186" t="str">
        <f>IF(Data!$J186="",IFERROR(INDEX(IF(SD!$C$11="Create",Lap!$A$3:$BF$14,IF(SD!$C$11="Per Uploaded File",Lap!$A$19:$BF$30,"")),MATCH(W186,Lap!$A$3:$A$14,0),MATCH(VALUE(D186),Lap!$A$3:$BF$3,0)+IF(IFERROR(FIND("Grade 60",J186),0)&gt;0,0,IF(IFERROR(FIND("Grade 80",J186),0),1,IF(IFERROR(FIND("Grade 75",J186),0),2,"")))),""),Data!J186)</f>
        <v>5-1</v>
      </c>
      <c r="W186" t="s">
        <v>176</v>
      </c>
      <c r="X186">
        <v>6</v>
      </c>
      <c r="Y186" t="str">
        <f t="shared" si="55"/>
        <v>30</v>
      </c>
      <c r="Z186">
        <f t="shared" si="56"/>
        <v>0</v>
      </c>
      <c r="AA186" s="24">
        <f t="shared" si="57"/>
        <v>15.666666666666666</v>
      </c>
      <c r="BB186" t="e" cm="1">
        <f t="array" ref="BB186">_xlfn.LET(_xlpm.PartF,(_xlfn.LET(_xlpm.grade, Q186,_xlpm.gradeRange, IF(_xlpm.grade=SD!$H$3, A615GR60, IF(_xlpm.grade=SD!$H$4, A615GR75, IF(_xlpm.grade=SD!$H$5, A615GR80, IF(_xlpm.grade=SD!$H$6, A615GR100, IF(_xlpm.grade=SD!$H$7, A706GR60, IF(_xlpm.grade=SD!$H$8, A706GR80)))))),_xlpm.matchValue, MATCH(1, (SD!$AW:$AW=AS186)*(SD!$AX:$AX=SD!$C$8), 0),INDEX(_xlpm.gradeRange, _xlpm.matchValue))),IF(AM186="Spiral",CONCATENATE("SP",_xlpm.PartF),_xlpm.PartF))</f>
        <v>#N/A</v>
      </c>
      <c r="BC186" cm="1">
        <f t="array" ref="BC186">_xlfn.LET(_xlpm.leftPart, LEFT(O186, FIND("@", O186) - 2),_xlpm.grade,Q186,_xlpm.gradeRange,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6" cm="1">
        <f t="array" ref="BD186">_xlfn.LET(_xlpm.leftPart, LEFT(P186, FIND("@", P186) - 2),_xlpm.grade, Q186,_xlpm.gradeRange,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6">
        <f t="shared" si="58"/>
        <v>2.5</v>
      </c>
      <c r="BF186">
        <f>IF(SD!$C$32=SD!$I$2,BE186,IF(SD!$C$32=SD!$I$3,DO186,IF(SD!$C$32=SD!$I$5,BA186,IF(SD!$C$32=SD!$I$6,(LEFT(SD!$C$35,FIND("-",SD!$C$35)-1)+RIGHT(SD!$C$35,LEN(SD!$C$35)-FIND("-",SD!$C$35))/12),IF(SD!$C$32=SD!$I$4,(AU186-(BG186+BH186)))))))</f>
        <v>0</v>
      </c>
      <c r="BG186">
        <f>IF(SD!$C$33=SD!$I$2,BE186,IF(SD!$C$33=SD!$I$3,DO186,IF(SD!$C$33=SD!$I$5,BA186,IF(SD!$C$33=SD!$I$6,(LEFT(SD!$C$35,FIND("-",SD!$C$35)-1)+RIGHT(SD!$C$35,LEN(SD!$C$35)-FIND("-",SD!$C$35))/12),IF(SD!$C$33=SD!$I$4,(AU186-(BF186+BH186)))))))</f>
        <v>-1</v>
      </c>
      <c r="BH186">
        <f>IF(SD!$C$34=SD!$I$2,BE186,IF(SD!$C$34=SD!$I$3,DO186,IF(SD!$C$34=SD!$I$5,BA186,IF(SD!$C$34=SD!$I$6,(LEFT(SD!$C$35,FIND("-",SD!$C$35)-1)+RIGHT(SD!$C$35,LEN(SD!$C$35)-FIND("-",SD!$C$35))/12),IF(SD!$C$34=SD!$I$4,(AU186-(BF186+BG186)))))))</f>
        <v>1</v>
      </c>
      <c r="BJ186">
        <f>IF(AM186="Spiral","1",MAX(ROUNDUP(IF(SD!$C$32="",AT186,BF186/(LEFT(RIGHT(N186,LEN(N186)-FIND("@",N186)),LEN(RIGHT(N186,LEN(N186)-FIND("@",N186)))-1)/12)+1),0),0))</f>
        <v>1</v>
      </c>
      <c r="BK186">
        <f>MAX(ROUNDUP(IF(SD!$C$33="","",BG186/(LEFT(RIGHT(O186,LEN(O186)-FIND("@",O186)),LEN(RIGHT(O186,LEN(O186)-FIND("@",O186)))-1)/12)+1),0),0)</f>
        <v>0</v>
      </c>
      <c r="BL186">
        <f>MAX(ROUNDUP(IF(SD!$C$34="","",BH186/(LEFT(RIGHT(P186,LEN(P186)-FIND("@",P186)),LEN(RIGHT(P186,LEN(P186)-FIND("@",P186)))-1)/12)+1),0),0)</f>
        <v>3</v>
      </c>
      <c r="BN186" t="e">
        <f t="shared" si="59"/>
        <v>#N/A</v>
      </c>
      <c r="BO186" t="e">
        <f t="shared" si="60"/>
        <v>#N/A</v>
      </c>
      <c r="BP186" t="e">
        <f t="shared" si="61"/>
        <v>#N/A</v>
      </c>
      <c r="BQ186" s="24" t="e">
        <f>IF(AM186=TRUE,(((Y186-(SD!$E$12*2))*3.14159265359)+BN186+BO186+BP186)/12+AL186,SUM(AF186:AG186,BN186,BO186,BP186,AO186,AQ186)/12)</f>
        <v>#N/A</v>
      </c>
      <c r="BR186" t="e">
        <f t="shared" si="62"/>
        <v>#N/A</v>
      </c>
      <c r="BS186" t="e">
        <f t="shared" si="63"/>
        <v>#N/A</v>
      </c>
      <c r="BT186" t="e">
        <f t="shared" si="64"/>
        <v>#N/A</v>
      </c>
      <c r="BU186" s="24" t="e">
        <f>IF(AM186=TRUE,(((Y186-(SD!$E$12*2))*3.14159265359)+BR186+BS186+BT186)/12+AL186,SUM(AF186:AG186,BR186,BS186,BT186,AO186,AQ186)/12)</f>
        <v>#N/A</v>
      </c>
      <c r="BW186" t="str">
        <f>IFERROR(LEFT(Data!L186,FIND(" -",Data!L186)-1),"")</f>
        <v/>
      </c>
      <c r="BX186" t="str">
        <f>IFERROR(IF(SD!$C$40=SD!$U$2,W186,IF(SD!$C$40=SD!$U$3,RIGHT(Data!L186,LEN(Data!L186)-(FIND("-",Data!L186)+1)),SD!$C$40)),"")</f>
        <v>#10</v>
      </c>
      <c r="BY186" t="str" cm="1">
        <f t="array" ref="BY186">IFERROR(_xlfn.LET(_xlpm.GRR,IF(AND(SD!$C$19=SD!$H$2,Grade!$G$1="Per level"),VLOOKUP(B186,Grade!$E$1:$F$200,2,FALSE),IF(AND(SD!$C$19=SD!$H$2,Grade!$G$1="Per Bar Size"),VLOOKUP(BX186,Grade!$B$1:$C$12,2,0),SD!$C$19)),_xlpm.is_equal, A185=A186,_xlpm.grade_range, IF(_xlpm.GRR=SD!$H$3, A615GR60,IF(_xlpm.GRR=SD!$H$4, A615GR75,IF(_xlpm.GRR=SD!$H$5, A615GR80,IF(_xlpm.GRR=SD!H190, A615GR100,IF(_xlpm.GRR=SD!$H$7, A706GR60,IF(_xlpm.GRR=SD!$H$8, A706GR80)))))),_xlpm.match_result, MATCH(1, (BSize=BX186)*(BCName=SD!$C$8), 0),_xlpm.final_result, INDEX(_xlpm.grade_range, _xlpm.match_result),IF(_xlpm.is_equal, "", _xlpm.final_result)),"")</f>
        <v/>
      </c>
      <c r="BZ186" t="str">
        <f>IF(A185=A186,"",IF(SD!$C$41="Match Vertical Bars ",X186,IF(SD!$C$41=SD!$V$3,BW186,SD!$C$41)))</f>
        <v/>
      </c>
      <c r="CA186" t="str" cm="1">
        <f t="array" ref="CA186">IF(A185=A186,"",IF(SD!$C$44="No T-Head",IF(SD!$C$42=SD!$Q$3,VLOOKUP(BX186,S90Range,3,FALSE),LEFT(SD!$C$42,FIND("-",SD!$C$42)-1)+(RIGHT(SD!$C$42,LEN(SD!$C$42)-FIND("-",SD!$C$42))/12)),IF(SD!$C$44="T-Head",_xlfn._xlws.FILTER(THead,(TCName=SD!$C$8)*(TSize=BX186)),IF(SD!$C$44="Level Wise",_xlfn.LET(_xlpm.result,_xlfn.XLOOKUP(B186,VDLevel,VDLevelStatus,"No"),IF(_xlpm.result="Yes",_xlfn._xlws.FILTER(THead,(TCName=SD!$C$8)*(TSize=BX186)),IF(SD!$C$42=SD!$Q$3,VLOOKUP(BX186,S90Range,3,FALSE),LEFT(SD!$C$42,FIND("-",SD!$C$42)-1)+(RIGHT(SD!$C$42,LEN(SD!$C$42)-FIND("-", SD!$C$42))/12)))),IF(SD!$C$44="BarSize Wise",_xlfn.LET(_xlpm.result,_xlfn.XLOOKUP(BX186,VDBarSize,VDBarSizeStatus,"No"),IF(_xlpm.result="Yes",_xlfn._xlws.FILTER(THead,(TCName=SD!$C$8)*(TSize=BX186)),IF(SD!$C$42=SD!$Q$3,VLOOKUP(BX186,S90Range,3,FALSE),LEFT(SD!$C$42,FIND("-",SD!$C$42)-1)+(RIGHT(SD!$C$42,LEN(SD!$C$42)-FIND("-",SD!$C$42))/12)))), "")))))</f>
        <v/>
      </c>
      <c r="CB186" t="str" cm="1">
        <f t="array" ref="CB186">_xlfn.LET(_xlpm.GRR,IF(AND(SD!$C$19=SD!$H$2,Grade!$G$1="Per level"),VLOOKUP(B186,Grade!$E$1:$F$200,2,FALSE),IF(AND(SD!$C$19=SD!$H$2,Grade!$G$1="Per Bar Size"),VLOOKUP(BX186,Grade!$B$1:$C$12,2,0),SD!$C$19)),_xlpm.is_coupler, K186="Coupler",_xlpm.condition1, SD!$C$43=SD!$W$2,_xlpm.data_j2_empty, Data!$J186="",_xlpm.lookup_table, IF(SD!$C$11="Create", Lap!$A$3:$BF$14, IF(SD!$C$11="Per Uploaded File", Lap!$A$19:$BF$30, "")),_xlpm.row_match, MATCH(BX186, Lap!$A$3:$A$14, 0),_xlpm.grade_offset, IF(IFERROR(FIND("Grade 60",_xlpm.GRR), 0) &gt; 0, 0, IF(IFERROR(FIND("Grade 80",_xlpm.GRR), 0), 1, IF(IFERROR(FIND("Grade 75",_xlpm.GRR), 0), 2, ""))),_xlpm.col_match, MATCH(VALUE(D186), Lap!$A$3:$BF$3, 0) + _xlpm.grade_offset,_xlpm.index_result, IFERROR(INDEX(_xlpm.lookup_table, _xlpm.row_match, _xlpm.col_match), Data!$J186),_xlpm.result_if_condition1, IF(_xlpm.data_j2_empty, _xlpm.index_result, Data!$J186),IF(_xlpm.is_coupler, 0, IF(_xlpm.condition1, _xlpm.result_if_condition1, SD!$C$43)))</f>
        <v>5-1</v>
      </c>
      <c r="CC186" s="24">
        <f t="shared" si="65"/>
        <v>5.083333333333333</v>
      </c>
      <c r="CD186">
        <f t="shared" si="66"/>
        <v>5.75</v>
      </c>
      <c r="CE186" t="str" cm="1">
        <f t="array" ref="CE186">IF(BY186="","",_xlfn._xlws.FILTER(SAC,(CName=SD!$C$8)*(EName="Vert Dowels")))</f>
        <v/>
      </c>
      <c r="CF186" t="str" cm="1">
        <f t="array" ref="CF186">IFERROR(IF(BY186="","",IF(K186="Coupler",_xlfn._xlws.FILTER(CCoupler,(CCName=SD!$C$8)*(CBSize=IF(A185=A186,W185&amp;W186,BX186&amp;W186))*(CCMFM="Male")),"")),"N/A")</f>
        <v/>
      </c>
      <c r="CG186" t="str">
        <f t="shared" si="67"/>
        <v/>
      </c>
      <c r="CH186" t="str">
        <f t="shared" si="68"/>
        <v/>
      </c>
      <c r="CI186" t="str">
        <f>_xlfn.LET(_xlpm.u3_value, U187,_xlpm.hyphen_pos,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K187="Coupler",_xlpm.coupler_value, IF(_xlpm.is_coupler, 0, _xlpm.calculated_value),_xlpm.final_value, _xlpm.calculated_value + SD!$E$13 + _xlpm.coupler_value,IF(CG186="", "", _xlpm.final_value))</f>
        <v/>
      </c>
      <c r="CJ186" t="str" cm="1">
        <f t="array" ref="CJ186">IF(CG186="","",_xlfn._xlws.FILTER(SAC,(CName=SD!$C$8)*(EName="Loose Dowels")))</f>
        <v/>
      </c>
      <c r="CK186" t="str" cm="1">
        <f t="array" ref="CK186">IFERROR(IF(CG186="","",IF(K187="Coupler",_xlfn._xlws.FILTER(CCoupler,(CCName=SD!$C$8)*(CBSize=IF(A186=A187,W186&amp;W187,""))*(CCMFM="Male")),"")),"N/A")</f>
        <v/>
      </c>
      <c r="CL186" t="str">
        <f>IFERROR(IF(AM186="Spiral","",IF(A185=A186,"",IF(SD!$C$37=0,"",SD!$C$37))),"")</f>
        <v/>
      </c>
      <c r="CN186">
        <f>IF(AM186="Spiral","",IFERROR(IF(SD!$C$36=0,"",SD!$C$36),""))</f>
        <v>5</v>
      </c>
      <c r="CP186" t="str">
        <f>IFERROR(IF(SD!$C$42=SD!$Q$3,'Take-off'!CA186,""),"")</f>
        <v/>
      </c>
      <c r="CR186">
        <f>IFERROR(IF(SD!$C$22=SD!$U$2,W186,SD!$C$22),"")</f>
        <v>0</v>
      </c>
      <c r="CS186" t="str" cm="1">
        <f t="array" ref="CS186">_xlfn.LET(_xlpm.GR,IF(AND(SD!$C$19=SD!$H$2,Grade!$G$1="Per level"),VLOOKUP(B186,Grade!$E$1:$F$200,2,FALSE),IF(AND(SD!$C$19=SD!$H$2,Grade!$G$1="Per Bar Size"),VLOOKUP(CR186,Grade!$B$1:$C$12,2,0),SD!$C$19)),IF(SD!$C$20=SD!$R$4,IF(A187=A186,"",INDEX(IF(_xlpm.GR=SD!$H$3,A615GR60,IF(_xlpm.GR=SD!$H$4,A615GR75,IF(_xlpm.GR=SD!$H$5,A615GR80,IF(_xlpm.GR=SD!H190,A615GR100,IF(_xlpm.GR=SD!$H$7,A706GR60,IF(_xlpm.GR=SD!$H$8,A706GR80)))))), MATCH(1, (BSize=CR186)*(BCName=SD!$C$8), 0))),""))</f>
        <v/>
      </c>
      <c r="CT186" t="str">
        <f>IF(A187=A186,"",IF(SD!$C$23="Match Vertical Bars ",X186,SD!$C$23))</f>
        <v/>
      </c>
      <c r="CU186" t="str" cm="1">
        <f t="array" ref="CU186">IF(A187=A186,"",IF(SD!$C$20="Top dowels",IF(SD!$E$25="No T-Head",IF(SD!$C$24=SD!$Q$3,VLOOKUP(CR186,S90Range,3,FALSE),LEFT(SD!$C$24,FIND("-",SD!$C$24)-1)+(RIGHT(SD!$C$24,LEN(SD!$C$24)-FIND("-",SD!$C$24))/12)),IF(SD!$E$25="T-Head",_xlfn._xlws.FILTER(THead,(TCName=SD!$C$8)*(TSize=CR186)),IF(SD!$E$25="Level Wise",_xlfn.LET(_xlpm.result,_xlfn.XLOOKUP(B186,TDLevel,TDLevelStatus,"No"),IF(_xlpm.result="Yes",_xlfn._xlws.FILTER(THead,(TCName=SD!$C$8)*(TSize=CR186)),IF(SD!$C$24=SD!$Q$3,VLOOKUP(CR186,S90Range,3,FALSE),LEFT(SD!$C$24,FIND("-",SD!$C$24)-1)+(RIGHT(SD!$C$24,LEN(SD!$C$24)-FIND("-", SD!$C$24))/12)))),IF(SD!$E$25="BarSize Wise",_xlfn.LET(_xlpm.result,_xlfn.XLOOKUP(CR186,TDBarSize,TDBarSizeStatus,"No"),IF(_xlpm.result="Yes",_xlfn._xlws.FILTER(THead,(TCName=SD!$C$8)*(TSize=CR186)),IF(SD!$C$24=SD!$Q$3,VLOOKUP(CR186,S90Range,3,FALSE),LEFT(SD!$C$24,FIND("-",SD!$C$24)-1)+(RIGHT(SD!$C$24,LEN(SD!$C$24)-FIND("-",SD!$C$24))/12)))), "")))),""))</f>
        <v/>
      </c>
      <c r="CV186" t="str">
        <f>_xlfn.LET(_xlpm.GRR,IF(AND(SD!$C$19=SD!$H$2,Grade!$G$1="Per level"),VLOOKUP(B186,Grade!$E$1:$F$200,2,FALSE),IF(AND(SD!$C$19=SD!$H$2,Grade!$G$1="Per Bar Size"),VLOOKUP(CR186,Grade!$B$1:$C$12,2,0),SD!$C$19)),IF(SD!$C$25=SD!$W$2,IF(Data!$J186="",IFERROR(INDEX(IF(SD!$C$11="Create",Lap!$A$3:$BF$14,IF(SD!$C$11="Per Uploaded File",Lap!$A$19:$BF$30,"")),MATCH(CR186,Lap!$A$3:$A$14,0),MATCH(VALUE(D186),Lap!$A$3:$BF$3,0)+IF(IFERROR(FIND("Grade 60",_xlpm.GRR),0)&gt;0,0,IF(IFERROR(FIND("Grade 80",_xlpm.GRR),0),1,IF(IFERROR(FIND("Grade 75",_xlpm.GRR),0),2,"")))),""),Data!J186),SD!$C$43))</f>
        <v>Match Lap</v>
      </c>
      <c r="CW186">
        <f t="shared" si="69"/>
        <v>0</v>
      </c>
      <c r="CX186">
        <f t="shared" si="70"/>
        <v>0</v>
      </c>
      <c r="CY186" t="str">
        <f t="shared" si="71"/>
        <v/>
      </c>
      <c r="DA186" t="str">
        <f t="shared" si="72"/>
        <v/>
      </c>
      <c r="DB186" t="str">
        <f t="shared" si="73"/>
        <v/>
      </c>
      <c r="DC186" s="24" t="str">
        <f t="shared" si="74"/>
        <v/>
      </c>
      <c r="DD186">
        <f t="shared" si="75"/>
        <v>10.583333333333334</v>
      </c>
      <c r="DE186" t="s">
        <v>785</v>
      </c>
      <c r="DF186" t="s">
        <v>67</v>
      </c>
      <c r="DG186" t="str">
        <f>VLOOKUP(W186,'Level Wise PSI'!$F$2:$G$12,2,FALSE)</f>
        <v>Double Lift</v>
      </c>
      <c r="DI186" t="str" cm="1">
        <f t="array" ref="DI186">_xlfn.LET(_xlpm.Coup,IFERROR(IF(BY186="","",IF(K186="Coupler",_xlfn._xlws.FILTER(CCFCoupler,(CCName=SD!$C$8)*(CBSize=IF(A185=A186,W185&amp;W186,BX186&amp;W186))),"")),"N/A"),IF(_xlpm.Coup=0,"",_xlpm.Coup))</f>
        <v/>
      </c>
      <c r="DJ186" t="str" cm="1">
        <f t="array" ref="DJ186">_xlfn.LET(_xlpm.Coup3,IFERROR(IF(CG186="","",IF(K187="Coupler",_xlfn._xlws.FILTER(CCFCoupler,(CCName=SD!$C$8)*(CBSize=IF(A186=A187,W186&amp;W187,""))),"")),"N/A"),IF(_xlpm.Coup3=0,"",_xlpm.Coup3))</f>
        <v/>
      </c>
      <c r="DK186" t="str" cm="1">
        <f t="array" ref="DK186">_xlfn.LET(_xlpm.Coup2,IFERROR(IF(A186&lt;&gt;A187,"",IF(DF186="No Lap","",IF(K187="Coupler",_xlfn._xlws.FILTER(CCFCoupler,(CCName=SD!$C$8)*(CBSize=IF(A185=A186,W186&amp;W187,W186&amp;W186))),""))),"N/A"),IF(_xlpm.Coup2=0,"",_xlpm.Coup2))</f>
        <v/>
      </c>
      <c r="DM186" t="str">
        <f>IF(AM186="Spiral","",IF(SD!$C$31=SD!$Y$3,SD!$E$32*2,""))</f>
        <v/>
      </c>
      <c r="DO186" s="24">
        <f t="shared" si="76"/>
        <v>2.5</v>
      </c>
      <c r="DQ186" t="str">
        <f t="shared" si="77"/>
        <v>Lig</v>
      </c>
      <c r="DR186" t="str">
        <f>IF(AM186="Spiral",((Y186-(SD!$E$12*2))/12),"")</f>
        <v/>
      </c>
      <c r="DS186" t="str">
        <f t="shared" si="78"/>
        <v/>
      </c>
      <c r="DT186" t="str">
        <f t="shared" si="79"/>
        <v/>
      </c>
      <c r="DU186" t="str">
        <f t="shared" si="80"/>
        <v/>
      </c>
    </row>
    <row r="187" spans="1:125" x14ac:dyDescent="0.25">
      <c r="A187">
        <v>64</v>
      </c>
      <c r="B187" t="s">
        <v>678</v>
      </c>
      <c r="C187" s="15">
        <v>2429</v>
      </c>
      <c r="D187" s="15">
        <v>10000</v>
      </c>
      <c r="E187" t="str">
        <f>IF(B187=Level!$A$2,SD!$C$14,SD!$C$13)</f>
        <v>0-8</v>
      </c>
      <c r="F187" s="15" t="s">
        <v>787</v>
      </c>
      <c r="G187" t="s">
        <v>742</v>
      </c>
      <c r="H187" t="str">
        <f>RIGHT(VLOOKUP(B187,Level!A:C,3,FALSE),LEN(VLOOKUP(B187,Level!A:C,3,FALSE))-1)</f>
        <v>10-7</v>
      </c>
      <c r="I187" t="s">
        <v>743</v>
      </c>
      <c r="J187" t="str">
        <f>IF(AND(SD!$C$19=SD!$H$2,Grade!$G$1="Per level"),VLOOKUP(B187,Grade!$E$1:$F$200,2,FALSE),IF(AND(SD!$C$19=SD!$H$2,Grade!$G$1="Per Bar Size"),VLOOKUP(W187,Grade!$B$1:$C$12,2,0),SD!$C$19))</f>
        <v>A615 Grade 60</v>
      </c>
      <c r="K187" t="s">
        <v>67</v>
      </c>
      <c r="L187" t="str">
        <f>IFERROR(IF(A187&lt;&gt;A188,"",IF(DF187="No Lap","",IF(K188="Lap",U187,IF(K188="Coupler",_xlfn._xlws.FILTER(CCoupler,(CCName=SD!$C$8)*(CBSize=IF(A186=A187,W187&amp;W188,W187&amp;W187))*(CCMFM="Male")),"")))),"N/A")</f>
        <v>5-1</v>
      </c>
      <c r="M187" t="str">
        <f t="shared" si="54"/>
        <v/>
      </c>
      <c r="N187" t="s">
        <v>719</v>
      </c>
      <c r="O187" t="s">
        <v>720</v>
      </c>
      <c r="P187" t="s">
        <v>719</v>
      </c>
      <c r="Q187" t="str">
        <f>IF(AND(SD!$C$29=SD!$P$2,Grade!$O$1="Per level"),VLOOKUP(B187,Grade!$M$1:$N$200,2,FALSE),IF(AND(SD!$C$29=SD!$P$2,Grade!$O$1="Per Bar Size"),VLOOKUP(LEFT(N187,FIND("@",N187)-2),Grade!$J$1:$K$12,2,0),SD!$C$29))</f>
        <v>A615 Grade 60</v>
      </c>
      <c r="R187" t="s">
        <v>742</v>
      </c>
      <c r="S187" s="57">
        <v>187</v>
      </c>
      <c r="U187" t="str">
        <f>IF(Data!$J187="",IFERROR(INDEX(IF(SD!$C$11="Create",Lap!$A$3:$BF$14,IF(SD!$C$11="Per Uploaded File",Lap!$A$19:$BF$30,"")),MATCH(W187,Lap!$A$3:$A$14,0),MATCH(VALUE(D187),Lap!$A$3:$BF$3,0)+IF(IFERROR(FIND("Grade 60",J187),0)&gt;0,0,IF(IFERROR(FIND("Grade 80",J187),0),1,IF(IFERROR(FIND("Grade 75",J187),0),2,"")))),""),Data!J187)</f>
        <v>5-1</v>
      </c>
      <c r="W187" t="s">
        <v>176</v>
      </c>
      <c r="X187">
        <v>6</v>
      </c>
      <c r="Y187" t="str">
        <f t="shared" si="55"/>
        <v>30</v>
      </c>
      <c r="Z187">
        <f t="shared" si="56"/>
        <v>0</v>
      </c>
      <c r="AA187" s="24">
        <f t="shared" si="57"/>
        <v>15.666666666666666</v>
      </c>
      <c r="BB187" t="e" cm="1">
        <f t="array" ref="BB187">_xlfn.LET(_xlpm.PartF,(_xlfn.LET(_xlpm.grade, Q187,_xlpm.gradeRange, IF(_xlpm.grade=SD!$H$3, A615GR60, IF(_xlpm.grade=SD!$H$4, A615GR75, IF(_xlpm.grade=SD!$H$5, A615GR80, IF(_xlpm.grade=SD!$H$6, A615GR100, IF(_xlpm.grade=SD!$H$7, A706GR60, IF(_xlpm.grade=SD!$H$8, A706GR80)))))),_xlpm.matchValue, MATCH(1, (SD!$AW:$AW=AS187)*(SD!$AX:$AX=SD!$C$8), 0),INDEX(_xlpm.gradeRange, _xlpm.matchValue))),IF(AM187="Spiral",CONCATENATE("SP",_xlpm.PartF),_xlpm.PartF))</f>
        <v>#N/A</v>
      </c>
      <c r="BC187" cm="1">
        <f t="array" ref="BC187">_xlfn.LET(_xlpm.leftPart, LEFT(O187, FIND("@", O187) - 2),_xlpm.grade,Q187,_xlpm.gradeRange,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7" cm="1">
        <f t="array" ref="BD187">_xlfn.LET(_xlpm.leftPart, LEFT(P187, FIND("@", P187) - 2),_xlpm.grade, Q187,_xlpm.gradeRange,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7">
        <f t="shared" si="58"/>
        <v>2.5</v>
      </c>
      <c r="BF187">
        <f>IF(SD!$C$32=SD!$I$2,BE187,IF(SD!$C$32=SD!$I$3,DO187,IF(SD!$C$32=SD!$I$5,BA187,IF(SD!$C$32=SD!$I$6,(LEFT(SD!$C$35,FIND("-",SD!$C$35)-1)+RIGHT(SD!$C$35,LEN(SD!$C$35)-FIND("-",SD!$C$35))/12),IF(SD!$C$32=SD!$I$4,(AU187-(BG187+BH187)))))))</f>
        <v>0</v>
      </c>
      <c r="BG187">
        <f>IF(SD!$C$33=SD!$I$2,BE187,IF(SD!$C$33=SD!$I$3,DO187,IF(SD!$C$33=SD!$I$5,BA187,IF(SD!$C$33=SD!$I$6,(LEFT(SD!$C$35,FIND("-",SD!$C$35)-1)+RIGHT(SD!$C$35,LEN(SD!$C$35)-FIND("-",SD!$C$35))/12),IF(SD!$C$33=SD!$I$4,(AU187-(BF187+BH187)))))))</f>
        <v>-1</v>
      </c>
      <c r="BH187">
        <f>IF(SD!$C$34=SD!$I$2,BE187,IF(SD!$C$34=SD!$I$3,DO187,IF(SD!$C$34=SD!$I$5,BA187,IF(SD!$C$34=SD!$I$6,(LEFT(SD!$C$35,FIND("-",SD!$C$35)-1)+RIGHT(SD!$C$35,LEN(SD!$C$35)-FIND("-",SD!$C$35))/12),IF(SD!$C$34=SD!$I$4,(AU187-(BF187+BG187)))))))</f>
        <v>1</v>
      </c>
      <c r="BJ187">
        <f>IF(AM187="Spiral","1",MAX(ROUNDUP(IF(SD!$C$32="",AT187,BF187/(LEFT(RIGHT(N187,LEN(N187)-FIND("@",N187)),LEN(RIGHT(N187,LEN(N187)-FIND("@",N187)))-1)/12)+1),0),0))</f>
        <v>1</v>
      </c>
      <c r="BK187">
        <f>MAX(ROUNDUP(IF(SD!$C$33="","",BG187/(LEFT(RIGHT(O187,LEN(O187)-FIND("@",O187)),LEN(RIGHT(O187,LEN(O187)-FIND("@",O187)))-1)/12)+1),0),0)</f>
        <v>0</v>
      </c>
      <c r="BL187">
        <f>MAX(ROUNDUP(IF(SD!$C$34="","",BH187/(LEFT(RIGHT(P187,LEN(P187)-FIND("@",P187)),LEN(RIGHT(P187,LEN(P187)-FIND("@",P187)))-1)/12)+1),0),0)</f>
        <v>3</v>
      </c>
      <c r="BN187" t="e">
        <f t="shared" si="59"/>
        <v>#N/A</v>
      </c>
      <c r="BO187" t="e">
        <f t="shared" si="60"/>
        <v>#N/A</v>
      </c>
      <c r="BP187" t="e">
        <f t="shared" si="61"/>
        <v>#N/A</v>
      </c>
      <c r="BQ187" s="24" t="e">
        <f>IF(AM187=TRUE,(((Y187-(SD!$E$12*2))*3.14159265359)+BN187+BO187+BP187)/12+AL187,SUM(AF187:AG187,BN187,BO187,BP187,AO187,AQ187)/12)</f>
        <v>#N/A</v>
      </c>
      <c r="BR187" t="e">
        <f t="shared" si="62"/>
        <v>#N/A</v>
      </c>
      <c r="BS187" t="e">
        <f t="shared" si="63"/>
        <v>#N/A</v>
      </c>
      <c r="BT187" t="e">
        <f t="shared" si="64"/>
        <v>#N/A</v>
      </c>
      <c r="BU187" s="24" t="e">
        <f>IF(AM187=TRUE,(((Y187-(SD!$E$12*2))*3.14159265359)+BR187+BS187+BT187)/12+AL187,SUM(AF187:AG187,BR187,BS187,BT187,AO187,AQ187)/12)</f>
        <v>#N/A</v>
      </c>
      <c r="BW187" t="str">
        <f>IFERROR(LEFT(Data!L187,FIND(" -",Data!L187)-1),"")</f>
        <v/>
      </c>
      <c r="BX187" t="str">
        <f>IFERROR(IF(SD!$C$40=SD!$U$2,W187,IF(SD!$C$40=SD!$U$3,RIGHT(Data!L187,LEN(Data!L187)-(FIND("-",Data!L187)+1)),SD!$C$40)),"")</f>
        <v>#10</v>
      </c>
      <c r="BY187" t="str" cm="1">
        <f t="array" ref="BY187">IFERROR(_xlfn.LET(_xlpm.GRR,IF(AND(SD!$C$19=SD!$H$2,Grade!$G$1="Per level"),VLOOKUP(B187,Grade!$E$1:$F$200,2,FALSE),IF(AND(SD!$C$19=SD!$H$2,Grade!$G$1="Per Bar Size"),VLOOKUP(BX187,Grade!$B$1:$C$12,2,0),SD!$C$19)),_xlpm.is_equal, A186=A187,_xlpm.grade_range, IF(_xlpm.GRR=SD!$H$3, A615GR60,IF(_xlpm.GRR=SD!$H$4, A615GR75,IF(_xlpm.GRR=SD!$H$5, A615GR80,IF(_xlpm.GRR=SD!H191, A615GR100,IF(_xlpm.GRR=SD!$H$7, A706GR60,IF(_xlpm.GRR=SD!$H$8, A706GR80)))))),_xlpm.match_result, MATCH(1, (BSize=BX187)*(BCName=SD!$C$8), 0),_xlpm.final_result, INDEX(_xlpm.grade_range, _xlpm.match_result),IF(_xlpm.is_equal, "", _xlpm.final_result)),"")</f>
        <v/>
      </c>
      <c r="BZ187" t="str">
        <f>IF(A186=A187,"",IF(SD!$C$41="Match Vertical Bars ",X187,IF(SD!$C$41=SD!$V$3,BW187,SD!$C$41)))</f>
        <v/>
      </c>
      <c r="CA187" t="str" cm="1">
        <f t="array" ref="CA187">IF(A186=A187,"",IF(SD!$C$44="No T-Head",IF(SD!$C$42=SD!$Q$3,VLOOKUP(BX187,S90Range,3,FALSE),LEFT(SD!$C$42,FIND("-",SD!$C$42)-1)+(RIGHT(SD!$C$42,LEN(SD!$C$42)-FIND("-",SD!$C$42))/12)),IF(SD!$C$44="T-Head",_xlfn._xlws.FILTER(THead,(TCName=SD!$C$8)*(TSize=BX187)),IF(SD!$C$44="Level Wise",_xlfn.LET(_xlpm.result,_xlfn.XLOOKUP(B187,VDLevel,VDLevelStatus,"No"),IF(_xlpm.result="Yes",_xlfn._xlws.FILTER(THead,(TCName=SD!$C$8)*(TSize=BX187)),IF(SD!$C$42=SD!$Q$3,VLOOKUP(BX187,S90Range,3,FALSE),LEFT(SD!$C$42,FIND("-",SD!$C$42)-1)+(RIGHT(SD!$C$42,LEN(SD!$C$42)-FIND("-", SD!$C$42))/12)))),IF(SD!$C$44="BarSize Wise",_xlfn.LET(_xlpm.result,_xlfn.XLOOKUP(BX187,VDBarSize,VDBarSizeStatus,"No"),IF(_xlpm.result="Yes",_xlfn._xlws.FILTER(THead,(TCName=SD!$C$8)*(TSize=BX187)),IF(SD!$C$42=SD!$Q$3,VLOOKUP(BX187,S90Range,3,FALSE),LEFT(SD!$C$42,FIND("-",SD!$C$42)-1)+(RIGHT(SD!$C$42,LEN(SD!$C$42)-FIND("-",SD!$C$42))/12)))), "")))))</f>
        <v/>
      </c>
      <c r="CB187" t="str" cm="1">
        <f t="array" ref="CB187">_xlfn.LET(_xlpm.GRR,IF(AND(SD!$C$19=SD!$H$2,Grade!$G$1="Per level"),VLOOKUP(B187,Grade!$E$1:$F$200,2,FALSE),IF(AND(SD!$C$19=SD!$H$2,Grade!$G$1="Per Bar Size"),VLOOKUP(BX187,Grade!$B$1:$C$12,2,0),SD!$C$19)),_xlpm.is_coupler, K187="Coupler",_xlpm.condition1, SD!$C$43=SD!$W$2,_xlpm.data_j2_empty, Data!$J187="",_xlpm.lookup_table, IF(SD!$C$11="Create", Lap!$A$3:$BF$14, IF(SD!$C$11="Per Uploaded File", Lap!$A$19:$BF$30, "")),_xlpm.row_match, MATCH(BX187, Lap!$A$3:$A$14, 0),_xlpm.grade_offset, IF(IFERROR(FIND("Grade 60",_xlpm.GRR), 0) &gt; 0, 0, IF(IFERROR(FIND("Grade 80",_xlpm.GRR), 0), 1, IF(IFERROR(FIND("Grade 75",_xlpm.GRR), 0), 2, ""))),_xlpm.col_match, MATCH(VALUE(D187), Lap!$A$3:$BF$3, 0) + _xlpm.grade_offset,_xlpm.index_result, IFERROR(INDEX(_xlpm.lookup_table, _xlpm.row_match, _xlpm.col_match), Data!$J187),_xlpm.result_if_condition1, IF(_xlpm.data_j2_empty, _xlpm.index_result, Data!$J187),IF(_xlpm.is_coupler, 0, IF(_xlpm.condition1, _xlpm.result_if_condition1, SD!$C$43)))</f>
        <v>5-1</v>
      </c>
      <c r="CC187" s="24">
        <f t="shared" si="65"/>
        <v>5.083333333333333</v>
      </c>
      <c r="CD187">
        <f t="shared" si="66"/>
        <v>5.75</v>
      </c>
      <c r="CE187" t="str" cm="1">
        <f t="array" ref="CE187">IF(BY187="","",_xlfn._xlws.FILTER(SAC,(CName=SD!$C$8)*(EName="Vert Dowels")))</f>
        <v/>
      </c>
      <c r="CF187" t="str" cm="1">
        <f t="array" ref="CF187">IFERROR(IF(BY187="","",IF(K187="Coupler",_xlfn._xlws.FILTER(CCoupler,(CCName=SD!$C$8)*(CBSize=IF(A186=A187,W186&amp;W187,BX187&amp;W187))*(CCMFM="Male")),"")),"N/A")</f>
        <v/>
      </c>
      <c r="CG187" t="str">
        <f t="shared" si="67"/>
        <v/>
      </c>
      <c r="CH187" t="str">
        <f t="shared" si="68"/>
        <v/>
      </c>
      <c r="CI187" t="str">
        <f>_xlfn.LET(_xlpm.u3_value, U188,_xlpm.hyphen_pos,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K188="Coupler",_xlpm.coupler_value, IF(_xlpm.is_coupler, 0, _xlpm.calculated_value),_xlpm.final_value, _xlpm.calculated_value + SD!$E$13 + _xlpm.coupler_value,IF(CG187="", "", _xlpm.final_value))</f>
        <v/>
      </c>
      <c r="CJ187" t="str" cm="1">
        <f t="array" ref="CJ187">IF(CG187="","",_xlfn._xlws.FILTER(SAC,(CName=SD!$C$8)*(EName="Loose Dowels")))</f>
        <v/>
      </c>
      <c r="CK187" t="str" cm="1">
        <f t="array" ref="CK187">IFERROR(IF(CG187="","",IF(K188="Coupler",_xlfn._xlws.FILTER(CCoupler,(CCName=SD!$C$8)*(CBSize=IF(A187=A188,W187&amp;W188,""))*(CCMFM="Male")),"")),"N/A")</f>
        <v/>
      </c>
      <c r="CL187" t="str">
        <f>IFERROR(IF(AM187="Spiral","",IF(A186=A187,"",IF(SD!$C$37=0,"",SD!$C$37))),"")</f>
        <v/>
      </c>
      <c r="CN187">
        <f>IF(AM187="Spiral","",IFERROR(IF(SD!$C$36=0,"",SD!$C$36),""))</f>
        <v>5</v>
      </c>
      <c r="CP187" t="str">
        <f>IFERROR(IF(SD!$C$42=SD!$Q$3,'Take-off'!CA187,""),"")</f>
        <v/>
      </c>
      <c r="CR187">
        <f>IFERROR(IF(SD!$C$22=SD!$U$2,W187,SD!$C$22),"")</f>
        <v>0</v>
      </c>
      <c r="CS187" t="str" cm="1">
        <f t="array" ref="CS187">_xlfn.LET(_xlpm.GR,IF(AND(SD!$C$19=SD!$H$2,Grade!$G$1="Per level"),VLOOKUP(B187,Grade!$E$1:$F$200,2,FALSE),IF(AND(SD!$C$19=SD!$H$2,Grade!$G$1="Per Bar Size"),VLOOKUP(CR187,Grade!$B$1:$C$12,2,0),SD!$C$19)),IF(SD!$C$20=SD!$R$4,IF(A188=A187,"",INDEX(IF(_xlpm.GR=SD!$H$3,A615GR60,IF(_xlpm.GR=SD!$H$4,A615GR75,IF(_xlpm.GR=SD!$H$5,A615GR80,IF(_xlpm.GR=SD!H191,A615GR100,IF(_xlpm.GR=SD!$H$7,A706GR60,IF(_xlpm.GR=SD!$H$8,A706GR80)))))), MATCH(1, (BSize=CR187)*(BCName=SD!$C$8), 0))),""))</f>
        <v/>
      </c>
      <c r="CT187" t="str">
        <f>IF(A188=A187,"",IF(SD!$C$23="Match Vertical Bars ",X187,SD!$C$23))</f>
        <v/>
      </c>
      <c r="CU187" t="str" cm="1">
        <f t="array" ref="CU187">IF(A188=A187,"",IF(SD!$C$20="Top dowels",IF(SD!$E$25="No T-Head",IF(SD!$C$24=SD!$Q$3,VLOOKUP(CR187,S90Range,3,FALSE),LEFT(SD!$C$24,FIND("-",SD!$C$24)-1)+(RIGHT(SD!$C$24,LEN(SD!$C$24)-FIND("-",SD!$C$24))/12)),IF(SD!$E$25="T-Head",_xlfn._xlws.FILTER(THead,(TCName=SD!$C$8)*(TSize=CR187)),IF(SD!$E$25="Level Wise",_xlfn.LET(_xlpm.result,_xlfn.XLOOKUP(B187,TDLevel,TDLevelStatus,"No"),IF(_xlpm.result="Yes",_xlfn._xlws.FILTER(THead,(TCName=SD!$C$8)*(TSize=CR187)),IF(SD!$C$24=SD!$Q$3,VLOOKUP(CR187,S90Range,3,FALSE),LEFT(SD!$C$24,FIND("-",SD!$C$24)-1)+(RIGHT(SD!$C$24,LEN(SD!$C$24)-FIND("-", SD!$C$24))/12)))),IF(SD!$E$25="BarSize Wise",_xlfn.LET(_xlpm.result,_xlfn.XLOOKUP(CR187,TDBarSize,TDBarSizeStatus,"No"),IF(_xlpm.result="Yes",_xlfn._xlws.FILTER(THead,(TCName=SD!$C$8)*(TSize=CR187)),IF(SD!$C$24=SD!$Q$3,VLOOKUP(CR187,S90Range,3,FALSE),LEFT(SD!$C$24,FIND("-",SD!$C$24)-1)+(RIGHT(SD!$C$24,LEN(SD!$C$24)-FIND("-",SD!$C$24))/12)))), "")))),""))</f>
        <v/>
      </c>
      <c r="CV187" t="str">
        <f>_xlfn.LET(_xlpm.GRR,IF(AND(SD!$C$19=SD!$H$2,Grade!$G$1="Per level"),VLOOKUP(B187,Grade!$E$1:$F$200,2,FALSE),IF(AND(SD!$C$19=SD!$H$2,Grade!$G$1="Per Bar Size"),VLOOKUP(CR187,Grade!$B$1:$C$12,2,0),SD!$C$19)),IF(SD!$C$25=SD!$W$2,IF(Data!$J187="",IFERROR(INDEX(IF(SD!$C$11="Create",Lap!$A$3:$BF$14,IF(SD!$C$11="Per Uploaded File",Lap!$A$19:$BF$30,"")),MATCH(CR187,Lap!$A$3:$A$14,0),MATCH(VALUE(D187),Lap!$A$3:$BF$3,0)+IF(IFERROR(FIND("Grade 60",_xlpm.GRR),0)&gt;0,0,IF(IFERROR(FIND("Grade 80",_xlpm.GRR),0),1,IF(IFERROR(FIND("Grade 75",_xlpm.GRR),0),2,"")))),""),Data!J187),SD!$C$43))</f>
        <v>Match Lap</v>
      </c>
      <c r="CW187">
        <f t="shared" si="69"/>
        <v>0</v>
      </c>
      <c r="CX187">
        <f t="shared" si="70"/>
        <v>0</v>
      </c>
      <c r="CY187" t="str">
        <f t="shared" si="71"/>
        <v/>
      </c>
      <c r="DA187" t="str">
        <f t="shared" si="72"/>
        <v/>
      </c>
      <c r="DB187" t="str">
        <f t="shared" si="73"/>
        <v/>
      </c>
      <c r="DC187" s="24" t="str">
        <f t="shared" si="74"/>
        <v/>
      </c>
      <c r="DD187">
        <f t="shared" si="75"/>
        <v>10.583333333333334</v>
      </c>
      <c r="DE187" t="s">
        <v>785</v>
      </c>
      <c r="DF187" t="s">
        <v>67</v>
      </c>
      <c r="DG187" t="str">
        <f>VLOOKUP(W187,'Level Wise PSI'!$F$2:$G$12,2,FALSE)</f>
        <v>Double Lift</v>
      </c>
      <c r="DI187" t="str" cm="1">
        <f t="array" ref="DI187">_xlfn.LET(_xlpm.Coup,IFERROR(IF(BY187="","",IF(K187="Coupler",_xlfn._xlws.FILTER(CCFCoupler,(CCName=SD!$C$8)*(CBSize=IF(A186=A187,W186&amp;W187,BX187&amp;W187))),"")),"N/A"),IF(_xlpm.Coup=0,"",_xlpm.Coup))</f>
        <v/>
      </c>
      <c r="DJ187" t="str" cm="1">
        <f t="array" ref="DJ187">_xlfn.LET(_xlpm.Coup3,IFERROR(IF(CG187="","",IF(K188="Coupler",_xlfn._xlws.FILTER(CCFCoupler,(CCName=SD!$C$8)*(CBSize=IF(A187=A188,W187&amp;W188,""))),"")),"N/A"),IF(_xlpm.Coup3=0,"",_xlpm.Coup3))</f>
        <v/>
      </c>
      <c r="DK187" t="str" cm="1">
        <f t="array" ref="DK187">_xlfn.LET(_xlpm.Coup2,IFERROR(IF(A187&lt;&gt;A188,"",IF(DF187="No Lap","",IF(K188="Coupler",_xlfn._xlws.FILTER(CCFCoupler,(CCName=SD!$C$8)*(CBSize=IF(A186=A187,W187&amp;W188,W187&amp;W187))),""))),"N/A"),IF(_xlpm.Coup2=0,"",_xlpm.Coup2))</f>
        <v/>
      </c>
      <c r="DM187" t="str">
        <f>IF(AM187="Spiral","",IF(SD!$C$31=SD!$Y$3,SD!$E$32*2,""))</f>
        <v/>
      </c>
      <c r="DO187" s="24">
        <f t="shared" si="76"/>
        <v>2.5</v>
      </c>
      <c r="DQ187" t="str">
        <f t="shared" si="77"/>
        <v>Lig</v>
      </c>
      <c r="DR187" t="str">
        <f>IF(AM187="Spiral",((Y187-(SD!$E$12*2))/12),"")</f>
        <v/>
      </c>
      <c r="DS187" t="str">
        <f t="shared" si="78"/>
        <v/>
      </c>
      <c r="DT187" t="str">
        <f t="shared" si="79"/>
        <v/>
      </c>
      <c r="DU187" t="str">
        <f t="shared" si="80"/>
        <v/>
      </c>
    </row>
    <row r="188" spans="1:125" x14ac:dyDescent="0.25">
      <c r="A188">
        <v>64</v>
      </c>
      <c r="B188" t="s">
        <v>680</v>
      </c>
      <c r="C188" s="15">
        <v>2429</v>
      </c>
      <c r="D188" s="15">
        <v>10000</v>
      </c>
      <c r="E188" t="str">
        <f>IF(B188=Level!$A$2,SD!$C$14,SD!$C$13)</f>
        <v>0-8</v>
      </c>
      <c r="F188" s="15" t="s">
        <v>787</v>
      </c>
      <c r="G188" t="s">
        <v>742</v>
      </c>
      <c r="H188" t="str">
        <f>RIGHT(VLOOKUP(B188,Level!A:C,3,FALSE),LEN(VLOOKUP(B188,Level!A:C,3,FALSE))-1)</f>
        <v>10-7</v>
      </c>
      <c r="I188" t="s">
        <v>743</v>
      </c>
      <c r="J188" t="str">
        <f>IF(AND(SD!$C$19=SD!$H$2,Grade!$G$1="Per level"),VLOOKUP(B188,Grade!$E$1:$F$200,2,FALSE),IF(AND(SD!$C$19=SD!$H$2,Grade!$G$1="Per Bar Size"),VLOOKUP(W188,Grade!$B$1:$C$12,2,0),SD!$C$19))</f>
        <v>A615 Grade 60</v>
      </c>
      <c r="K188" t="s">
        <v>67</v>
      </c>
      <c r="L188" t="str">
        <f>IFERROR(IF(A188&lt;&gt;A189,"",IF(DF188="No Lap","",IF(K189="Lap",U188,IF(K189="Coupler",_xlfn._xlws.FILTER(CCoupler,(CCName=SD!$C$8)*(CBSize=IF(A187=A188,W188&amp;W189,W188&amp;W188))*(CCMFM="Male")),"")))),"N/A")</f>
        <v>5-1</v>
      </c>
      <c r="M188" t="str">
        <f t="shared" si="54"/>
        <v/>
      </c>
      <c r="N188" t="s">
        <v>719</v>
      </c>
      <c r="O188" t="s">
        <v>720</v>
      </c>
      <c r="P188" t="s">
        <v>719</v>
      </c>
      <c r="Q188" t="str">
        <f>IF(AND(SD!$C$29=SD!$P$2,Grade!$O$1="Per level"),VLOOKUP(B188,Grade!$M$1:$N$200,2,FALSE),IF(AND(SD!$C$29=SD!$P$2,Grade!$O$1="Per Bar Size"),VLOOKUP(LEFT(N188,FIND("@",N188)-2),Grade!$J$1:$K$12,2,0),SD!$C$29))</f>
        <v>A615 Grade 60</v>
      </c>
      <c r="R188" t="s">
        <v>742</v>
      </c>
      <c r="S188" s="57">
        <v>188</v>
      </c>
      <c r="U188" t="str">
        <f>IF(Data!$J188="",IFERROR(INDEX(IF(SD!$C$11="Create",Lap!$A$3:$BF$14,IF(SD!$C$11="Per Uploaded File",Lap!$A$19:$BF$30,"")),MATCH(W188,Lap!$A$3:$A$14,0),MATCH(VALUE(D188),Lap!$A$3:$BF$3,0)+IF(IFERROR(FIND("Grade 60",J188),0)&gt;0,0,IF(IFERROR(FIND("Grade 80",J188),0),1,IF(IFERROR(FIND("Grade 75",J188),0),2,"")))),""),Data!J188)</f>
        <v>5-1</v>
      </c>
      <c r="W188" t="s">
        <v>176</v>
      </c>
      <c r="X188">
        <v>6</v>
      </c>
      <c r="Y188" t="str">
        <f t="shared" si="55"/>
        <v>30</v>
      </c>
      <c r="Z188">
        <f t="shared" si="56"/>
        <v>0</v>
      </c>
      <c r="AA188" s="24">
        <f t="shared" si="57"/>
        <v>15.666666666666666</v>
      </c>
      <c r="BB188" t="e" cm="1">
        <f t="array" ref="BB188">_xlfn.LET(_xlpm.PartF,(_xlfn.LET(_xlpm.grade, Q188,_xlpm.gradeRange, IF(_xlpm.grade=SD!$H$3, A615GR60, IF(_xlpm.grade=SD!$H$4, A615GR75, IF(_xlpm.grade=SD!$H$5, A615GR80, IF(_xlpm.grade=SD!$H$6, A615GR100, IF(_xlpm.grade=SD!$H$7, A706GR60, IF(_xlpm.grade=SD!$H$8, A706GR80)))))),_xlpm.matchValue, MATCH(1, (SD!$AW:$AW=AS188)*(SD!$AX:$AX=SD!$C$8), 0),INDEX(_xlpm.gradeRange, _xlpm.matchValue))),IF(AM188="Spiral",CONCATENATE("SP",_xlpm.PartF),_xlpm.PartF))</f>
        <v>#N/A</v>
      </c>
      <c r="BC188" cm="1">
        <f t="array" ref="BC188">_xlfn.LET(_xlpm.leftPart, LEFT(O188, FIND("@", O188) - 2),_xlpm.grade,Q188,_xlpm.gradeRange,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8" cm="1">
        <f t="array" ref="BD188">_xlfn.LET(_xlpm.leftPart, LEFT(P188, FIND("@", P188) - 2),_xlpm.grade, Q188,_xlpm.gradeRange,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8">
        <f t="shared" si="58"/>
        <v>2.5</v>
      </c>
      <c r="BF188">
        <f>IF(SD!$C$32=SD!$I$2,BE188,IF(SD!$C$32=SD!$I$3,DO188,IF(SD!$C$32=SD!$I$5,BA188,IF(SD!$C$32=SD!$I$6,(LEFT(SD!$C$35,FIND("-",SD!$C$35)-1)+RIGHT(SD!$C$35,LEN(SD!$C$35)-FIND("-",SD!$C$35))/12),IF(SD!$C$32=SD!$I$4,(AU188-(BG188+BH188)))))))</f>
        <v>0</v>
      </c>
      <c r="BG188">
        <f>IF(SD!$C$33=SD!$I$2,BE188,IF(SD!$C$33=SD!$I$3,DO188,IF(SD!$C$33=SD!$I$5,BA188,IF(SD!$C$33=SD!$I$6,(LEFT(SD!$C$35,FIND("-",SD!$C$35)-1)+RIGHT(SD!$C$35,LEN(SD!$C$35)-FIND("-",SD!$C$35))/12),IF(SD!$C$33=SD!$I$4,(AU188-(BF188+BH188)))))))</f>
        <v>-1</v>
      </c>
      <c r="BH188">
        <f>IF(SD!$C$34=SD!$I$2,BE188,IF(SD!$C$34=SD!$I$3,DO188,IF(SD!$C$34=SD!$I$5,BA188,IF(SD!$C$34=SD!$I$6,(LEFT(SD!$C$35,FIND("-",SD!$C$35)-1)+RIGHT(SD!$C$35,LEN(SD!$C$35)-FIND("-",SD!$C$35))/12),IF(SD!$C$34=SD!$I$4,(AU188-(BF188+BG188)))))))</f>
        <v>1</v>
      </c>
      <c r="BJ188">
        <f>IF(AM188="Spiral","1",MAX(ROUNDUP(IF(SD!$C$32="",AT188,BF188/(LEFT(RIGHT(N188,LEN(N188)-FIND("@",N188)),LEN(RIGHT(N188,LEN(N188)-FIND("@",N188)))-1)/12)+1),0),0))</f>
        <v>1</v>
      </c>
      <c r="BK188">
        <f>MAX(ROUNDUP(IF(SD!$C$33="","",BG188/(LEFT(RIGHT(O188,LEN(O188)-FIND("@",O188)),LEN(RIGHT(O188,LEN(O188)-FIND("@",O188)))-1)/12)+1),0),0)</f>
        <v>0</v>
      </c>
      <c r="BL188">
        <f>MAX(ROUNDUP(IF(SD!$C$34="","",BH188/(LEFT(RIGHT(P188,LEN(P188)-FIND("@",P188)),LEN(RIGHT(P188,LEN(P188)-FIND("@",P188)))-1)/12)+1),0),0)</f>
        <v>3</v>
      </c>
      <c r="BN188" t="e">
        <f t="shared" si="59"/>
        <v>#N/A</v>
      </c>
      <c r="BO188" t="e">
        <f t="shared" si="60"/>
        <v>#N/A</v>
      </c>
      <c r="BP188" t="e">
        <f t="shared" si="61"/>
        <v>#N/A</v>
      </c>
      <c r="BQ188" s="24" t="e">
        <f>IF(AM188=TRUE,(((Y188-(SD!$E$12*2))*3.14159265359)+BN188+BO188+BP188)/12+AL188,SUM(AF188:AG188,BN188,BO188,BP188,AO188,AQ188)/12)</f>
        <v>#N/A</v>
      </c>
      <c r="BR188" t="e">
        <f t="shared" si="62"/>
        <v>#N/A</v>
      </c>
      <c r="BS188" t="e">
        <f t="shared" si="63"/>
        <v>#N/A</v>
      </c>
      <c r="BT188" t="e">
        <f t="shared" si="64"/>
        <v>#N/A</v>
      </c>
      <c r="BU188" s="24" t="e">
        <f>IF(AM188=TRUE,(((Y188-(SD!$E$12*2))*3.14159265359)+BR188+BS188+BT188)/12+AL188,SUM(AF188:AG188,BR188,BS188,BT188,AO188,AQ188)/12)</f>
        <v>#N/A</v>
      </c>
      <c r="BW188" t="str">
        <f>IFERROR(LEFT(Data!L188,FIND(" -",Data!L188)-1),"")</f>
        <v/>
      </c>
      <c r="BX188" t="str">
        <f>IFERROR(IF(SD!$C$40=SD!$U$2,W188,IF(SD!$C$40=SD!$U$3,RIGHT(Data!L188,LEN(Data!L188)-(FIND("-",Data!L188)+1)),SD!$C$40)),"")</f>
        <v>#10</v>
      </c>
      <c r="BY188" t="str" cm="1">
        <f t="array" ref="BY188">IFERROR(_xlfn.LET(_xlpm.GRR,IF(AND(SD!$C$19=SD!$H$2,Grade!$G$1="Per level"),VLOOKUP(B188,Grade!$E$1:$F$200,2,FALSE),IF(AND(SD!$C$19=SD!$H$2,Grade!$G$1="Per Bar Size"),VLOOKUP(BX188,Grade!$B$1:$C$12,2,0),SD!$C$19)),_xlpm.is_equal, A187=A188,_xlpm.grade_range, IF(_xlpm.GRR=SD!$H$3, A615GR60,IF(_xlpm.GRR=SD!$H$4, A615GR75,IF(_xlpm.GRR=SD!$H$5, A615GR80,IF(_xlpm.GRR=SD!H192, A615GR100,IF(_xlpm.GRR=SD!$H$7, A706GR60,IF(_xlpm.GRR=SD!$H$8, A706GR80)))))),_xlpm.match_result, MATCH(1, (BSize=BX188)*(BCName=SD!$C$8), 0),_xlpm.final_result, INDEX(_xlpm.grade_range, _xlpm.match_result),IF(_xlpm.is_equal, "", _xlpm.final_result)),"")</f>
        <v/>
      </c>
      <c r="BZ188" t="str">
        <f>IF(A187=A188,"",IF(SD!$C$41="Match Vertical Bars ",X188,IF(SD!$C$41=SD!$V$3,BW188,SD!$C$41)))</f>
        <v/>
      </c>
      <c r="CA188" t="str" cm="1">
        <f t="array" ref="CA188">IF(A187=A188,"",IF(SD!$C$44="No T-Head",IF(SD!$C$42=SD!$Q$3,VLOOKUP(BX188,S90Range,3,FALSE),LEFT(SD!$C$42,FIND("-",SD!$C$42)-1)+(RIGHT(SD!$C$42,LEN(SD!$C$42)-FIND("-",SD!$C$42))/12)),IF(SD!$C$44="T-Head",_xlfn._xlws.FILTER(THead,(TCName=SD!$C$8)*(TSize=BX188)),IF(SD!$C$44="Level Wise",_xlfn.LET(_xlpm.result,_xlfn.XLOOKUP(B188,VDLevel,VDLevelStatus,"No"),IF(_xlpm.result="Yes",_xlfn._xlws.FILTER(THead,(TCName=SD!$C$8)*(TSize=BX188)),IF(SD!$C$42=SD!$Q$3,VLOOKUP(BX188,S90Range,3,FALSE),LEFT(SD!$C$42,FIND("-",SD!$C$42)-1)+(RIGHT(SD!$C$42,LEN(SD!$C$42)-FIND("-", SD!$C$42))/12)))),IF(SD!$C$44="BarSize Wise",_xlfn.LET(_xlpm.result,_xlfn.XLOOKUP(BX188,VDBarSize,VDBarSizeStatus,"No"),IF(_xlpm.result="Yes",_xlfn._xlws.FILTER(THead,(TCName=SD!$C$8)*(TSize=BX188)),IF(SD!$C$42=SD!$Q$3,VLOOKUP(BX188,S90Range,3,FALSE),LEFT(SD!$C$42,FIND("-",SD!$C$42)-1)+(RIGHT(SD!$C$42,LEN(SD!$C$42)-FIND("-",SD!$C$42))/12)))), "")))))</f>
        <v/>
      </c>
      <c r="CB188" t="str" cm="1">
        <f t="array" ref="CB188">_xlfn.LET(_xlpm.GRR,IF(AND(SD!$C$19=SD!$H$2,Grade!$G$1="Per level"),VLOOKUP(B188,Grade!$E$1:$F$200,2,FALSE),IF(AND(SD!$C$19=SD!$H$2,Grade!$G$1="Per Bar Size"),VLOOKUP(BX188,Grade!$B$1:$C$12,2,0),SD!$C$19)),_xlpm.is_coupler, K188="Coupler",_xlpm.condition1, SD!$C$43=SD!$W$2,_xlpm.data_j2_empty, Data!$J188="",_xlpm.lookup_table, IF(SD!$C$11="Create", Lap!$A$3:$BF$14, IF(SD!$C$11="Per Uploaded File", Lap!$A$19:$BF$30, "")),_xlpm.row_match, MATCH(BX188, Lap!$A$3:$A$14, 0),_xlpm.grade_offset, IF(IFERROR(FIND("Grade 60",_xlpm.GRR), 0) &gt; 0, 0, IF(IFERROR(FIND("Grade 80",_xlpm.GRR), 0), 1, IF(IFERROR(FIND("Grade 75",_xlpm.GRR), 0), 2, ""))),_xlpm.col_match, MATCH(VALUE(D188), Lap!$A$3:$BF$3, 0) + _xlpm.grade_offset,_xlpm.index_result, IFERROR(INDEX(_xlpm.lookup_table, _xlpm.row_match, _xlpm.col_match), Data!$J188),_xlpm.result_if_condition1, IF(_xlpm.data_j2_empty, _xlpm.index_result, Data!$J188),IF(_xlpm.is_coupler, 0, IF(_xlpm.condition1, _xlpm.result_if_condition1, SD!$C$43)))</f>
        <v>5-1</v>
      </c>
      <c r="CC188" s="24">
        <f t="shared" si="65"/>
        <v>5.083333333333333</v>
      </c>
      <c r="CD188">
        <f t="shared" si="66"/>
        <v>5.75</v>
      </c>
      <c r="CE188" t="str" cm="1">
        <f t="array" ref="CE188">IF(BY188="","",_xlfn._xlws.FILTER(SAC,(CName=SD!$C$8)*(EName="Vert Dowels")))</f>
        <v/>
      </c>
      <c r="CF188" t="str" cm="1">
        <f t="array" ref="CF188">IFERROR(IF(BY188="","",IF(K188="Coupler",_xlfn._xlws.FILTER(CCoupler,(CCName=SD!$C$8)*(CBSize=IF(A187=A188,W187&amp;W188,BX188&amp;W188))*(CCMFM="Male")),"")),"N/A")</f>
        <v/>
      </c>
      <c r="CG188" t="str">
        <f t="shared" si="67"/>
        <v/>
      </c>
      <c r="CH188" t="str">
        <f t="shared" si="68"/>
        <v/>
      </c>
      <c r="CI188" t="str">
        <f>_xlfn.LET(_xlpm.u3_value, U189,_xlpm.hyphen_pos,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K189="Coupler",_xlpm.coupler_value, IF(_xlpm.is_coupler, 0, _xlpm.calculated_value),_xlpm.final_value, _xlpm.calculated_value + SD!$E$13 + _xlpm.coupler_value,IF(CG188="", "", _xlpm.final_value))</f>
        <v/>
      </c>
      <c r="CJ188" t="str" cm="1">
        <f t="array" ref="CJ188">IF(CG188="","",_xlfn._xlws.FILTER(SAC,(CName=SD!$C$8)*(EName="Loose Dowels")))</f>
        <v/>
      </c>
      <c r="CK188" t="str" cm="1">
        <f t="array" ref="CK188">IFERROR(IF(CG188="","",IF(K189="Coupler",_xlfn._xlws.FILTER(CCoupler,(CCName=SD!$C$8)*(CBSize=IF(A188=A189,W188&amp;W189,""))*(CCMFM="Male")),"")),"N/A")</f>
        <v/>
      </c>
      <c r="CL188" t="str">
        <f>IFERROR(IF(AM188="Spiral","",IF(A187=A188,"",IF(SD!$C$37=0,"",SD!$C$37))),"")</f>
        <v/>
      </c>
      <c r="CN188">
        <f>IF(AM188="Spiral","",IFERROR(IF(SD!$C$36=0,"",SD!$C$36),""))</f>
        <v>5</v>
      </c>
      <c r="CP188" t="str">
        <f>IFERROR(IF(SD!$C$42=SD!$Q$3,'Take-off'!CA188,""),"")</f>
        <v/>
      </c>
      <c r="CR188">
        <f>IFERROR(IF(SD!$C$22=SD!$U$2,W188,SD!$C$22),"")</f>
        <v>0</v>
      </c>
      <c r="CS188" t="str" cm="1">
        <f t="array" ref="CS188">_xlfn.LET(_xlpm.GR,IF(AND(SD!$C$19=SD!$H$2,Grade!$G$1="Per level"),VLOOKUP(B188,Grade!$E$1:$F$200,2,FALSE),IF(AND(SD!$C$19=SD!$H$2,Grade!$G$1="Per Bar Size"),VLOOKUP(CR188,Grade!$B$1:$C$12,2,0),SD!$C$19)),IF(SD!$C$20=SD!$R$4,IF(A189=A188,"",INDEX(IF(_xlpm.GR=SD!$H$3,A615GR60,IF(_xlpm.GR=SD!$H$4,A615GR75,IF(_xlpm.GR=SD!$H$5,A615GR80,IF(_xlpm.GR=SD!H192,A615GR100,IF(_xlpm.GR=SD!$H$7,A706GR60,IF(_xlpm.GR=SD!$H$8,A706GR80)))))), MATCH(1, (BSize=CR188)*(BCName=SD!$C$8), 0))),""))</f>
        <v/>
      </c>
      <c r="CT188" t="str">
        <f>IF(A189=A188,"",IF(SD!$C$23="Match Vertical Bars ",X188,SD!$C$23))</f>
        <v/>
      </c>
      <c r="CU188" t="str" cm="1">
        <f t="array" ref="CU188">IF(A189=A188,"",IF(SD!$C$20="Top dowels",IF(SD!$E$25="No T-Head",IF(SD!$C$24=SD!$Q$3,VLOOKUP(CR188,S90Range,3,FALSE),LEFT(SD!$C$24,FIND("-",SD!$C$24)-1)+(RIGHT(SD!$C$24,LEN(SD!$C$24)-FIND("-",SD!$C$24))/12)),IF(SD!$E$25="T-Head",_xlfn._xlws.FILTER(THead,(TCName=SD!$C$8)*(TSize=CR188)),IF(SD!$E$25="Level Wise",_xlfn.LET(_xlpm.result,_xlfn.XLOOKUP(B188,TDLevel,TDLevelStatus,"No"),IF(_xlpm.result="Yes",_xlfn._xlws.FILTER(THead,(TCName=SD!$C$8)*(TSize=CR188)),IF(SD!$C$24=SD!$Q$3,VLOOKUP(CR188,S90Range,3,FALSE),LEFT(SD!$C$24,FIND("-",SD!$C$24)-1)+(RIGHT(SD!$C$24,LEN(SD!$C$24)-FIND("-", SD!$C$24))/12)))),IF(SD!$E$25="BarSize Wise",_xlfn.LET(_xlpm.result,_xlfn.XLOOKUP(CR188,TDBarSize,TDBarSizeStatus,"No"),IF(_xlpm.result="Yes",_xlfn._xlws.FILTER(THead,(TCName=SD!$C$8)*(TSize=CR188)),IF(SD!$C$24=SD!$Q$3,VLOOKUP(CR188,S90Range,3,FALSE),LEFT(SD!$C$24,FIND("-",SD!$C$24)-1)+(RIGHT(SD!$C$24,LEN(SD!$C$24)-FIND("-",SD!$C$24))/12)))), "")))),""))</f>
        <v/>
      </c>
      <c r="CV188" t="str">
        <f>_xlfn.LET(_xlpm.GRR,IF(AND(SD!$C$19=SD!$H$2,Grade!$G$1="Per level"),VLOOKUP(B188,Grade!$E$1:$F$200,2,FALSE),IF(AND(SD!$C$19=SD!$H$2,Grade!$G$1="Per Bar Size"),VLOOKUP(CR188,Grade!$B$1:$C$12,2,0),SD!$C$19)),IF(SD!$C$25=SD!$W$2,IF(Data!$J188="",IFERROR(INDEX(IF(SD!$C$11="Create",Lap!$A$3:$BF$14,IF(SD!$C$11="Per Uploaded File",Lap!$A$19:$BF$30,"")),MATCH(CR188,Lap!$A$3:$A$14,0),MATCH(VALUE(D188),Lap!$A$3:$BF$3,0)+IF(IFERROR(FIND("Grade 60",_xlpm.GRR),0)&gt;0,0,IF(IFERROR(FIND("Grade 80",_xlpm.GRR),0),1,IF(IFERROR(FIND("Grade 75",_xlpm.GRR),0),2,"")))),""),Data!J188),SD!$C$43))</f>
        <v>Match Lap</v>
      </c>
      <c r="CW188">
        <f t="shared" si="69"/>
        <v>0</v>
      </c>
      <c r="CX188">
        <f t="shared" si="70"/>
        <v>0</v>
      </c>
      <c r="CY188" t="str">
        <f t="shared" si="71"/>
        <v/>
      </c>
      <c r="DA188" t="str">
        <f t="shared" si="72"/>
        <v/>
      </c>
      <c r="DB188" t="str">
        <f t="shared" si="73"/>
        <v/>
      </c>
      <c r="DC188" s="24" t="str">
        <f t="shared" si="74"/>
        <v/>
      </c>
      <c r="DD188">
        <f t="shared" si="75"/>
        <v>10.583333333333334</v>
      </c>
      <c r="DE188" t="s">
        <v>785</v>
      </c>
      <c r="DF188" t="s">
        <v>67</v>
      </c>
      <c r="DG188" t="str">
        <f>VLOOKUP(W188,'Level Wise PSI'!$F$2:$G$12,2,FALSE)</f>
        <v>Double Lift</v>
      </c>
      <c r="DI188" t="str" cm="1">
        <f t="array" ref="DI188">_xlfn.LET(_xlpm.Coup,IFERROR(IF(BY188="","",IF(K188="Coupler",_xlfn._xlws.FILTER(CCFCoupler,(CCName=SD!$C$8)*(CBSize=IF(A187=A188,W187&amp;W188,BX188&amp;W188))),"")),"N/A"),IF(_xlpm.Coup=0,"",_xlpm.Coup))</f>
        <v/>
      </c>
      <c r="DJ188" t="str" cm="1">
        <f t="array" ref="DJ188">_xlfn.LET(_xlpm.Coup3,IFERROR(IF(CG188="","",IF(K189="Coupler",_xlfn._xlws.FILTER(CCFCoupler,(CCName=SD!$C$8)*(CBSize=IF(A188=A189,W188&amp;W189,""))),"")),"N/A"),IF(_xlpm.Coup3=0,"",_xlpm.Coup3))</f>
        <v/>
      </c>
      <c r="DK188" t="str" cm="1">
        <f t="array" ref="DK188">_xlfn.LET(_xlpm.Coup2,IFERROR(IF(A188&lt;&gt;A189,"",IF(DF188="No Lap","",IF(K189="Coupler",_xlfn._xlws.FILTER(CCFCoupler,(CCName=SD!$C$8)*(CBSize=IF(A187=A188,W188&amp;W189,W188&amp;W188))),""))),"N/A"),IF(_xlpm.Coup2=0,"",_xlpm.Coup2))</f>
        <v/>
      </c>
      <c r="DM188" t="str">
        <f>IF(AM188="Spiral","",IF(SD!$C$31=SD!$Y$3,SD!$E$32*2,""))</f>
        <v/>
      </c>
      <c r="DO188" s="24">
        <f t="shared" si="76"/>
        <v>2.5</v>
      </c>
      <c r="DQ188" t="str">
        <f t="shared" si="77"/>
        <v>Lig</v>
      </c>
      <c r="DR188" t="str">
        <f>IF(AM188="Spiral",((Y188-(SD!$E$12*2))/12),"")</f>
        <v/>
      </c>
      <c r="DS188" t="str">
        <f t="shared" si="78"/>
        <v/>
      </c>
      <c r="DT188" t="str">
        <f t="shared" si="79"/>
        <v/>
      </c>
      <c r="DU188" t="str">
        <f t="shared" si="80"/>
        <v/>
      </c>
    </row>
    <row r="189" spans="1:125" x14ac:dyDescent="0.25">
      <c r="A189">
        <v>64</v>
      </c>
      <c r="B189" t="s">
        <v>682</v>
      </c>
      <c r="C189" s="15">
        <v>2429</v>
      </c>
      <c r="D189" s="15">
        <v>10000</v>
      </c>
      <c r="E189" t="str">
        <f>IF(B189=Level!$A$2,SD!$C$14,SD!$C$13)</f>
        <v>0-8</v>
      </c>
      <c r="F189" s="15" t="s">
        <v>787</v>
      </c>
      <c r="G189" t="s">
        <v>742</v>
      </c>
      <c r="H189" t="str">
        <f>RIGHT(VLOOKUP(B189,Level!A:C,3,FALSE),LEN(VLOOKUP(B189,Level!A:C,3,FALSE))-1)</f>
        <v>10-7</v>
      </c>
      <c r="I189" t="s">
        <v>743</v>
      </c>
      <c r="J189" t="str">
        <f>IF(AND(SD!$C$19=SD!$H$2,Grade!$G$1="Per level"),VLOOKUP(B189,Grade!$E$1:$F$200,2,FALSE),IF(AND(SD!$C$19=SD!$H$2,Grade!$G$1="Per Bar Size"),VLOOKUP(W189,Grade!$B$1:$C$12,2,0),SD!$C$19))</f>
        <v>A615 Grade 60</v>
      </c>
      <c r="K189" t="s">
        <v>67</v>
      </c>
      <c r="L189" t="str">
        <f>IFERROR(IF(A189&lt;&gt;A190,"",IF(DF189="No Lap","",IF(K190="Lap",U189,IF(K190="Coupler",_xlfn._xlws.FILTER(CCoupler,(CCName=SD!$C$8)*(CBSize=IF(A188=A189,W189&amp;W190,W189&amp;W189))*(CCMFM="Male")),"")))),"N/A")</f>
        <v>5-1</v>
      </c>
      <c r="M189" t="str">
        <f t="shared" si="54"/>
        <v/>
      </c>
      <c r="N189" t="s">
        <v>719</v>
      </c>
      <c r="O189" t="s">
        <v>720</v>
      </c>
      <c r="P189" t="s">
        <v>719</v>
      </c>
      <c r="Q189" t="str">
        <f>IF(AND(SD!$C$29=SD!$P$2,Grade!$O$1="Per level"),VLOOKUP(B189,Grade!$M$1:$N$200,2,FALSE),IF(AND(SD!$C$29=SD!$P$2,Grade!$O$1="Per Bar Size"),VLOOKUP(LEFT(N189,FIND("@",N189)-2),Grade!$J$1:$K$12,2,0),SD!$C$29))</f>
        <v>A615 Grade 60</v>
      </c>
      <c r="R189" t="s">
        <v>742</v>
      </c>
      <c r="S189" s="57">
        <v>189</v>
      </c>
      <c r="U189" t="str">
        <f>IF(Data!$J189="",IFERROR(INDEX(IF(SD!$C$11="Create",Lap!$A$3:$BF$14,IF(SD!$C$11="Per Uploaded File",Lap!$A$19:$BF$30,"")),MATCH(W189,Lap!$A$3:$A$14,0),MATCH(VALUE(D189),Lap!$A$3:$BF$3,0)+IF(IFERROR(FIND("Grade 60",J189),0)&gt;0,0,IF(IFERROR(FIND("Grade 80",J189),0),1,IF(IFERROR(FIND("Grade 75",J189),0),2,"")))),""),Data!J189)</f>
        <v>5-1</v>
      </c>
      <c r="W189" t="s">
        <v>176</v>
      </c>
      <c r="X189">
        <v>6</v>
      </c>
      <c r="Y189" t="str">
        <f t="shared" si="55"/>
        <v>30</v>
      </c>
      <c r="Z189">
        <f t="shared" si="56"/>
        <v>0</v>
      </c>
      <c r="AA189" s="24">
        <f t="shared" si="57"/>
        <v>15.666666666666666</v>
      </c>
      <c r="BB189" t="e" cm="1">
        <f t="array" ref="BB189">_xlfn.LET(_xlpm.PartF,(_xlfn.LET(_xlpm.grade, Q189,_xlpm.gradeRange, IF(_xlpm.grade=SD!$H$3, A615GR60, IF(_xlpm.grade=SD!$H$4, A615GR75, IF(_xlpm.grade=SD!$H$5, A615GR80, IF(_xlpm.grade=SD!$H$6, A615GR100, IF(_xlpm.grade=SD!$H$7, A706GR60, IF(_xlpm.grade=SD!$H$8, A706GR80)))))),_xlpm.matchValue, MATCH(1, (SD!$AW:$AW=AS189)*(SD!$AX:$AX=SD!$C$8), 0),INDEX(_xlpm.gradeRange, _xlpm.matchValue))),IF(AM189="Spiral",CONCATENATE("SP",_xlpm.PartF),_xlpm.PartF))</f>
        <v>#N/A</v>
      </c>
      <c r="BC189" cm="1">
        <f t="array" ref="BC189">_xlfn.LET(_xlpm.leftPart, LEFT(O189, FIND("@", O189) - 2),_xlpm.grade,Q189,_xlpm.gradeRange,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89" cm="1">
        <f t="array" ref="BD189">_xlfn.LET(_xlpm.leftPart, LEFT(P189, FIND("@", P189) - 2),_xlpm.grade, Q189,_xlpm.gradeRange,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89">
        <f t="shared" si="58"/>
        <v>2.5</v>
      </c>
      <c r="BF189">
        <f>IF(SD!$C$32=SD!$I$2,BE189,IF(SD!$C$32=SD!$I$3,DO189,IF(SD!$C$32=SD!$I$5,BA189,IF(SD!$C$32=SD!$I$6,(LEFT(SD!$C$35,FIND("-",SD!$C$35)-1)+RIGHT(SD!$C$35,LEN(SD!$C$35)-FIND("-",SD!$C$35))/12),IF(SD!$C$32=SD!$I$4,(AU189-(BG189+BH189)))))))</f>
        <v>0</v>
      </c>
      <c r="BG189">
        <f>IF(SD!$C$33=SD!$I$2,BE189,IF(SD!$C$33=SD!$I$3,DO189,IF(SD!$C$33=SD!$I$5,BA189,IF(SD!$C$33=SD!$I$6,(LEFT(SD!$C$35,FIND("-",SD!$C$35)-1)+RIGHT(SD!$C$35,LEN(SD!$C$35)-FIND("-",SD!$C$35))/12),IF(SD!$C$33=SD!$I$4,(AU189-(BF189+BH189)))))))</f>
        <v>-1</v>
      </c>
      <c r="BH189">
        <f>IF(SD!$C$34=SD!$I$2,BE189,IF(SD!$C$34=SD!$I$3,DO189,IF(SD!$C$34=SD!$I$5,BA189,IF(SD!$C$34=SD!$I$6,(LEFT(SD!$C$35,FIND("-",SD!$C$35)-1)+RIGHT(SD!$C$35,LEN(SD!$C$35)-FIND("-",SD!$C$35))/12),IF(SD!$C$34=SD!$I$4,(AU189-(BF189+BG189)))))))</f>
        <v>1</v>
      </c>
      <c r="BJ189">
        <f>IF(AM189="Spiral","1",MAX(ROUNDUP(IF(SD!$C$32="",AT189,BF189/(LEFT(RIGHT(N189,LEN(N189)-FIND("@",N189)),LEN(RIGHT(N189,LEN(N189)-FIND("@",N189)))-1)/12)+1),0),0))</f>
        <v>1</v>
      </c>
      <c r="BK189">
        <f>MAX(ROUNDUP(IF(SD!$C$33="","",BG189/(LEFT(RIGHT(O189,LEN(O189)-FIND("@",O189)),LEN(RIGHT(O189,LEN(O189)-FIND("@",O189)))-1)/12)+1),0),0)</f>
        <v>0</v>
      </c>
      <c r="BL189">
        <f>MAX(ROUNDUP(IF(SD!$C$34="","",BH189/(LEFT(RIGHT(P189,LEN(P189)-FIND("@",P189)),LEN(RIGHT(P189,LEN(P189)-FIND("@",P189)))-1)/12)+1),0),0)</f>
        <v>3</v>
      </c>
      <c r="BN189" t="e">
        <f t="shared" si="59"/>
        <v>#N/A</v>
      </c>
      <c r="BO189" t="e">
        <f t="shared" si="60"/>
        <v>#N/A</v>
      </c>
      <c r="BP189" t="e">
        <f t="shared" si="61"/>
        <v>#N/A</v>
      </c>
      <c r="BQ189" s="24" t="e">
        <f>IF(AM189=TRUE,(((Y189-(SD!$E$12*2))*3.14159265359)+BN189+BO189+BP189)/12+AL189,SUM(AF189:AG189,BN189,BO189,BP189,AO189,AQ189)/12)</f>
        <v>#N/A</v>
      </c>
      <c r="BR189" t="e">
        <f t="shared" si="62"/>
        <v>#N/A</v>
      </c>
      <c r="BS189" t="e">
        <f t="shared" si="63"/>
        <v>#N/A</v>
      </c>
      <c r="BT189" t="e">
        <f t="shared" si="64"/>
        <v>#N/A</v>
      </c>
      <c r="BU189" s="24" t="e">
        <f>IF(AM189=TRUE,(((Y189-(SD!$E$12*2))*3.14159265359)+BR189+BS189+BT189)/12+AL189,SUM(AF189:AG189,BR189,BS189,BT189,AO189,AQ189)/12)</f>
        <v>#N/A</v>
      </c>
      <c r="BW189" t="str">
        <f>IFERROR(LEFT(Data!L189,FIND(" -",Data!L189)-1),"")</f>
        <v/>
      </c>
      <c r="BX189" t="str">
        <f>IFERROR(IF(SD!$C$40=SD!$U$2,W189,IF(SD!$C$40=SD!$U$3,RIGHT(Data!L189,LEN(Data!L189)-(FIND("-",Data!L189)+1)),SD!$C$40)),"")</f>
        <v>#10</v>
      </c>
      <c r="BY189" t="str" cm="1">
        <f t="array" ref="BY189">IFERROR(_xlfn.LET(_xlpm.GRR,IF(AND(SD!$C$19=SD!$H$2,Grade!$G$1="Per level"),VLOOKUP(B189,Grade!$E$1:$F$200,2,FALSE),IF(AND(SD!$C$19=SD!$H$2,Grade!$G$1="Per Bar Size"),VLOOKUP(BX189,Grade!$B$1:$C$12,2,0),SD!$C$19)),_xlpm.is_equal, A188=A189,_xlpm.grade_range, IF(_xlpm.GRR=SD!$H$3, A615GR60,IF(_xlpm.GRR=SD!$H$4, A615GR75,IF(_xlpm.GRR=SD!$H$5, A615GR80,IF(_xlpm.GRR=SD!H193, A615GR100,IF(_xlpm.GRR=SD!$H$7, A706GR60,IF(_xlpm.GRR=SD!$H$8, A706GR80)))))),_xlpm.match_result, MATCH(1, (BSize=BX189)*(BCName=SD!$C$8), 0),_xlpm.final_result, INDEX(_xlpm.grade_range, _xlpm.match_result),IF(_xlpm.is_equal, "", _xlpm.final_result)),"")</f>
        <v/>
      </c>
      <c r="BZ189" t="str">
        <f>IF(A188=A189,"",IF(SD!$C$41="Match Vertical Bars ",X189,IF(SD!$C$41=SD!$V$3,BW189,SD!$C$41)))</f>
        <v/>
      </c>
      <c r="CA189" t="str" cm="1">
        <f t="array" ref="CA189">IF(A188=A189,"",IF(SD!$C$44="No T-Head",IF(SD!$C$42=SD!$Q$3,VLOOKUP(BX189,S90Range,3,FALSE),LEFT(SD!$C$42,FIND("-",SD!$C$42)-1)+(RIGHT(SD!$C$42,LEN(SD!$C$42)-FIND("-",SD!$C$42))/12)),IF(SD!$C$44="T-Head",_xlfn._xlws.FILTER(THead,(TCName=SD!$C$8)*(TSize=BX189)),IF(SD!$C$44="Level Wise",_xlfn.LET(_xlpm.result,_xlfn.XLOOKUP(B189,VDLevel,VDLevelStatus,"No"),IF(_xlpm.result="Yes",_xlfn._xlws.FILTER(THead,(TCName=SD!$C$8)*(TSize=BX189)),IF(SD!$C$42=SD!$Q$3,VLOOKUP(BX189,S90Range,3,FALSE),LEFT(SD!$C$42,FIND("-",SD!$C$42)-1)+(RIGHT(SD!$C$42,LEN(SD!$C$42)-FIND("-", SD!$C$42))/12)))),IF(SD!$C$44="BarSize Wise",_xlfn.LET(_xlpm.result,_xlfn.XLOOKUP(BX189,VDBarSize,VDBarSizeStatus,"No"),IF(_xlpm.result="Yes",_xlfn._xlws.FILTER(THead,(TCName=SD!$C$8)*(TSize=BX189)),IF(SD!$C$42=SD!$Q$3,VLOOKUP(BX189,S90Range,3,FALSE),LEFT(SD!$C$42,FIND("-",SD!$C$42)-1)+(RIGHT(SD!$C$42,LEN(SD!$C$42)-FIND("-",SD!$C$42))/12)))), "")))))</f>
        <v/>
      </c>
      <c r="CB189" t="str" cm="1">
        <f t="array" ref="CB189">_xlfn.LET(_xlpm.GRR,IF(AND(SD!$C$19=SD!$H$2,Grade!$G$1="Per level"),VLOOKUP(B189,Grade!$E$1:$F$200,2,FALSE),IF(AND(SD!$C$19=SD!$H$2,Grade!$G$1="Per Bar Size"),VLOOKUP(BX189,Grade!$B$1:$C$12,2,0),SD!$C$19)),_xlpm.is_coupler, K189="Coupler",_xlpm.condition1, SD!$C$43=SD!$W$2,_xlpm.data_j2_empty, Data!$J189="",_xlpm.lookup_table, IF(SD!$C$11="Create", Lap!$A$3:$BF$14, IF(SD!$C$11="Per Uploaded File", Lap!$A$19:$BF$30, "")),_xlpm.row_match, MATCH(BX189, Lap!$A$3:$A$14, 0),_xlpm.grade_offset, IF(IFERROR(FIND("Grade 60",_xlpm.GRR), 0) &gt; 0, 0, IF(IFERROR(FIND("Grade 80",_xlpm.GRR), 0), 1, IF(IFERROR(FIND("Grade 75",_xlpm.GRR), 0), 2, ""))),_xlpm.col_match, MATCH(VALUE(D189), Lap!$A$3:$BF$3, 0) + _xlpm.grade_offset,_xlpm.index_result, IFERROR(INDEX(_xlpm.lookup_table, _xlpm.row_match, _xlpm.col_match), Data!$J189),_xlpm.result_if_condition1, IF(_xlpm.data_j2_empty, _xlpm.index_result, Data!$J189),IF(_xlpm.is_coupler, 0, IF(_xlpm.condition1, _xlpm.result_if_condition1, SD!$C$43)))</f>
        <v>5-1</v>
      </c>
      <c r="CC189" s="24">
        <f t="shared" si="65"/>
        <v>5.083333333333333</v>
      </c>
      <c r="CD189">
        <f t="shared" si="66"/>
        <v>5.75</v>
      </c>
      <c r="CE189" t="str" cm="1">
        <f t="array" ref="CE189">IF(BY189="","",_xlfn._xlws.FILTER(SAC,(CName=SD!$C$8)*(EName="Vert Dowels")))</f>
        <v/>
      </c>
      <c r="CF189" t="str" cm="1">
        <f t="array" ref="CF189">IFERROR(IF(BY189="","",IF(K189="Coupler",_xlfn._xlws.FILTER(CCoupler,(CCName=SD!$C$8)*(CBSize=IF(A188=A189,W188&amp;W189,BX189&amp;W189))*(CCMFM="Male")),"")),"N/A")</f>
        <v/>
      </c>
      <c r="CG189" t="str">
        <f t="shared" si="67"/>
        <v/>
      </c>
      <c r="CH189" t="str">
        <f t="shared" si="68"/>
        <v/>
      </c>
      <c r="CI189" t="str">
        <f>_xlfn.LET(_xlpm.u3_value, U190,_xlpm.hyphen_pos,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K190="Coupler",_xlpm.coupler_value, IF(_xlpm.is_coupler, 0, _xlpm.calculated_value),_xlpm.final_value, _xlpm.calculated_value + SD!$E$13 + _xlpm.coupler_value,IF(CG189="", "", _xlpm.final_value))</f>
        <v/>
      </c>
      <c r="CJ189" t="str" cm="1">
        <f t="array" ref="CJ189">IF(CG189="","",_xlfn._xlws.FILTER(SAC,(CName=SD!$C$8)*(EName="Loose Dowels")))</f>
        <v/>
      </c>
      <c r="CK189" t="str" cm="1">
        <f t="array" ref="CK189">IFERROR(IF(CG189="","",IF(K190="Coupler",_xlfn._xlws.FILTER(CCoupler,(CCName=SD!$C$8)*(CBSize=IF(A189=A190,W189&amp;W190,""))*(CCMFM="Male")),"")),"N/A")</f>
        <v/>
      </c>
      <c r="CL189" t="str">
        <f>IFERROR(IF(AM189="Spiral","",IF(A188=A189,"",IF(SD!$C$37=0,"",SD!$C$37))),"")</f>
        <v/>
      </c>
      <c r="CN189">
        <f>IF(AM189="Spiral","",IFERROR(IF(SD!$C$36=0,"",SD!$C$36),""))</f>
        <v>5</v>
      </c>
      <c r="CP189" t="str">
        <f>IFERROR(IF(SD!$C$42=SD!$Q$3,'Take-off'!CA189,""),"")</f>
        <v/>
      </c>
      <c r="CR189">
        <f>IFERROR(IF(SD!$C$22=SD!$U$2,W189,SD!$C$22),"")</f>
        <v>0</v>
      </c>
      <c r="CS189" t="str" cm="1">
        <f t="array" ref="CS189">_xlfn.LET(_xlpm.GR,IF(AND(SD!$C$19=SD!$H$2,Grade!$G$1="Per level"),VLOOKUP(B189,Grade!$E$1:$F$200,2,FALSE),IF(AND(SD!$C$19=SD!$H$2,Grade!$G$1="Per Bar Size"),VLOOKUP(CR189,Grade!$B$1:$C$12,2,0),SD!$C$19)),IF(SD!$C$20=SD!$R$4,IF(A190=A189,"",INDEX(IF(_xlpm.GR=SD!$H$3,A615GR60,IF(_xlpm.GR=SD!$H$4,A615GR75,IF(_xlpm.GR=SD!$H$5,A615GR80,IF(_xlpm.GR=SD!H193,A615GR100,IF(_xlpm.GR=SD!$H$7,A706GR60,IF(_xlpm.GR=SD!$H$8,A706GR80)))))), MATCH(1, (BSize=CR189)*(BCName=SD!$C$8), 0))),""))</f>
        <v/>
      </c>
      <c r="CT189" t="str">
        <f>IF(A190=A189,"",IF(SD!$C$23="Match Vertical Bars ",X189,SD!$C$23))</f>
        <v/>
      </c>
      <c r="CU189" t="str" cm="1">
        <f t="array" ref="CU189">IF(A190=A189,"",IF(SD!$C$20="Top dowels",IF(SD!$E$25="No T-Head",IF(SD!$C$24=SD!$Q$3,VLOOKUP(CR189,S90Range,3,FALSE),LEFT(SD!$C$24,FIND("-",SD!$C$24)-1)+(RIGHT(SD!$C$24,LEN(SD!$C$24)-FIND("-",SD!$C$24))/12)),IF(SD!$E$25="T-Head",_xlfn._xlws.FILTER(THead,(TCName=SD!$C$8)*(TSize=CR189)),IF(SD!$E$25="Level Wise",_xlfn.LET(_xlpm.result,_xlfn.XLOOKUP(B189,TDLevel,TDLevelStatus,"No"),IF(_xlpm.result="Yes",_xlfn._xlws.FILTER(THead,(TCName=SD!$C$8)*(TSize=CR189)),IF(SD!$C$24=SD!$Q$3,VLOOKUP(CR189,S90Range,3,FALSE),LEFT(SD!$C$24,FIND("-",SD!$C$24)-1)+(RIGHT(SD!$C$24,LEN(SD!$C$24)-FIND("-", SD!$C$24))/12)))),IF(SD!$E$25="BarSize Wise",_xlfn.LET(_xlpm.result,_xlfn.XLOOKUP(CR189,TDBarSize,TDBarSizeStatus,"No"),IF(_xlpm.result="Yes",_xlfn._xlws.FILTER(THead,(TCName=SD!$C$8)*(TSize=CR189)),IF(SD!$C$24=SD!$Q$3,VLOOKUP(CR189,S90Range,3,FALSE),LEFT(SD!$C$24,FIND("-",SD!$C$24)-1)+(RIGHT(SD!$C$24,LEN(SD!$C$24)-FIND("-",SD!$C$24))/12)))), "")))),""))</f>
        <v/>
      </c>
      <c r="CV189" t="str">
        <f>_xlfn.LET(_xlpm.GRR,IF(AND(SD!$C$19=SD!$H$2,Grade!$G$1="Per level"),VLOOKUP(B189,Grade!$E$1:$F$200,2,FALSE),IF(AND(SD!$C$19=SD!$H$2,Grade!$G$1="Per Bar Size"),VLOOKUP(CR189,Grade!$B$1:$C$12,2,0),SD!$C$19)),IF(SD!$C$25=SD!$W$2,IF(Data!$J189="",IFERROR(INDEX(IF(SD!$C$11="Create",Lap!$A$3:$BF$14,IF(SD!$C$11="Per Uploaded File",Lap!$A$19:$BF$30,"")),MATCH(CR189,Lap!$A$3:$A$14,0),MATCH(VALUE(D189),Lap!$A$3:$BF$3,0)+IF(IFERROR(FIND("Grade 60",_xlpm.GRR),0)&gt;0,0,IF(IFERROR(FIND("Grade 80",_xlpm.GRR),0),1,IF(IFERROR(FIND("Grade 75",_xlpm.GRR),0),2,"")))),""),Data!J189),SD!$C$43))</f>
        <v>Match Lap</v>
      </c>
      <c r="CW189">
        <f t="shared" si="69"/>
        <v>0</v>
      </c>
      <c r="CX189">
        <f t="shared" si="70"/>
        <v>0</v>
      </c>
      <c r="CY189" t="str">
        <f t="shared" si="71"/>
        <v/>
      </c>
      <c r="DA189" t="str">
        <f t="shared" si="72"/>
        <v/>
      </c>
      <c r="DB189" t="str">
        <f t="shared" si="73"/>
        <v/>
      </c>
      <c r="DC189" s="24" t="str">
        <f t="shared" si="74"/>
        <v/>
      </c>
      <c r="DD189">
        <f t="shared" si="75"/>
        <v>10.583333333333334</v>
      </c>
      <c r="DE189" t="s">
        <v>785</v>
      </c>
      <c r="DF189" t="s">
        <v>67</v>
      </c>
      <c r="DG189" t="str">
        <f>VLOOKUP(W189,'Level Wise PSI'!$F$2:$G$12,2,FALSE)</f>
        <v>Double Lift</v>
      </c>
      <c r="DI189" t="str" cm="1">
        <f t="array" ref="DI189">_xlfn.LET(_xlpm.Coup,IFERROR(IF(BY189="","",IF(K189="Coupler",_xlfn._xlws.FILTER(CCFCoupler,(CCName=SD!$C$8)*(CBSize=IF(A188=A189,W188&amp;W189,BX189&amp;W189))),"")),"N/A"),IF(_xlpm.Coup=0,"",_xlpm.Coup))</f>
        <v/>
      </c>
      <c r="DJ189" t="str" cm="1">
        <f t="array" ref="DJ189">_xlfn.LET(_xlpm.Coup3,IFERROR(IF(CG189="","",IF(K190="Coupler",_xlfn._xlws.FILTER(CCFCoupler,(CCName=SD!$C$8)*(CBSize=IF(A189=A190,W189&amp;W190,""))),"")),"N/A"),IF(_xlpm.Coup3=0,"",_xlpm.Coup3))</f>
        <v/>
      </c>
      <c r="DK189" t="str" cm="1">
        <f t="array" ref="DK189">_xlfn.LET(_xlpm.Coup2,IFERROR(IF(A189&lt;&gt;A190,"",IF(DF189="No Lap","",IF(K190="Coupler",_xlfn._xlws.FILTER(CCFCoupler,(CCName=SD!$C$8)*(CBSize=IF(A188=A189,W189&amp;W190,W189&amp;W189))),""))),"N/A"),IF(_xlpm.Coup2=0,"",_xlpm.Coup2))</f>
        <v/>
      </c>
      <c r="DM189" t="str">
        <f>IF(AM189="Spiral","",IF(SD!$C$31=SD!$Y$3,SD!$E$32*2,""))</f>
        <v/>
      </c>
      <c r="DO189" s="24">
        <f t="shared" si="76"/>
        <v>2.5</v>
      </c>
      <c r="DQ189" t="str">
        <f t="shared" si="77"/>
        <v>Lig</v>
      </c>
      <c r="DR189" t="str">
        <f>IF(AM189="Spiral",((Y189-(SD!$E$12*2))/12),"")</f>
        <v/>
      </c>
      <c r="DS189" t="str">
        <f t="shared" si="78"/>
        <v/>
      </c>
      <c r="DT189" t="str">
        <f t="shared" si="79"/>
        <v/>
      </c>
      <c r="DU189" t="str">
        <f t="shared" si="80"/>
        <v/>
      </c>
    </row>
    <row r="190" spans="1:125" x14ac:dyDescent="0.25">
      <c r="A190">
        <v>64</v>
      </c>
      <c r="B190" t="s">
        <v>684</v>
      </c>
      <c r="C190" s="15">
        <v>2429</v>
      </c>
      <c r="D190" s="15">
        <v>10000</v>
      </c>
      <c r="E190" t="str">
        <f>IF(B190=Level!$A$2,SD!$C$14,SD!$C$13)</f>
        <v>0-8</v>
      </c>
      <c r="F190" s="15" t="s">
        <v>787</v>
      </c>
      <c r="G190" t="s">
        <v>742</v>
      </c>
      <c r="H190" t="str">
        <f>RIGHT(VLOOKUP(B190,Level!A:C,3,FALSE),LEN(VLOOKUP(B190,Level!A:C,3,FALSE))-1)</f>
        <v>10-7</v>
      </c>
      <c r="I190" t="s">
        <v>743</v>
      </c>
      <c r="J190" t="str">
        <f>IF(AND(SD!$C$19=SD!$H$2,Grade!$G$1="Per level"),VLOOKUP(B190,Grade!$E$1:$F$200,2,FALSE),IF(AND(SD!$C$19=SD!$H$2,Grade!$G$1="Per Bar Size"),VLOOKUP(W190,Grade!$B$1:$C$12,2,0),SD!$C$19))</f>
        <v>A615 Grade 60</v>
      </c>
      <c r="K190" t="s">
        <v>67</v>
      </c>
      <c r="L190" t="str">
        <f>IFERROR(IF(A190&lt;&gt;A191,"",IF(DF190="No Lap","",IF(K191="Lap",U190,IF(K191="Coupler",_xlfn._xlws.FILTER(CCoupler,(CCName=SD!$C$8)*(CBSize=IF(A189=A190,W190&amp;W191,W190&amp;W190))*(CCMFM="Male")),"")))),"N/A")</f>
        <v>5-1</v>
      </c>
      <c r="M190" t="str">
        <f t="shared" si="54"/>
        <v/>
      </c>
      <c r="N190" t="s">
        <v>719</v>
      </c>
      <c r="O190" t="s">
        <v>720</v>
      </c>
      <c r="P190" t="s">
        <v>719</v>
      </c>
      <c r="Q190" t="str">
        <f>IF(AND(SD!$C$29=SD!$P$2,Grade!$O$1="Per level"),VLOOKUP(B190,Grade!$M$1:$N$200,2,FALSE),IF(AND(SD!$C$29=SD!$P$2,Grade!$O$1="Per Bar Size"),VLOOKUP(LEFT(N190,FIND("@",N190)-2),Grade!$J$1:$K$12,2,0),SD!$C$29))</f>
        <v>A615 Grade 60</v>
      </c>
      <c r="R190" t="s">
        <v>742</v>
      </c>
      <c r="S190" s="57">
        <v>190</v>
      </c>
      <c r="U190" t="str">
        <f>IF(Data!$J190="",IFERROR(INDEX(IF(SD!$C$11="Create",Lap!$A$3:$BF$14,IF(SD!$C$11="Per Uploaded File",Lap!$A$19:$BF$30,"")),MATCH(W190,Lap!$A$3:$A$14,0),MATCH(VALUE(D190),Lap!$A$3:$BF$3,0)+IF(IFERROR(FIND("Grade 60",J190),0)&gt;0,0,IF(IFERROR(FIND("Grade 80",J190),0),1,IF(IFERROR(FIND("Grade 75",J190),0),2,"")))),""),Data!J190)</f>
        <v>5-1</v>
      </c>
      <c r="W190" t="s">
        <v>176</v>
      </c>
      <c r="X190">
        <v>6</v>
      </c>
      <c r="Y190" t="str">
        <f t="shared" si="55"/>
        <v>30</v>
      </c>
      <c r="Z190">
        <f t="shared" si="56"/>
        <v>0</v>
      </c>
      <c r="AA190" s="24">
        <f t="shared" si="57"/>
        <v>15.666666666666666</v>
      </c>
      <c r="BB190" t="e" cm="1">
        <f t="array" ref="BB190">_xlfn.LET(_xlpm.PartF,(_xlfn.LET(_xlpm.grade, Q190,_xlpm.gradeRange, IF(_xlpm.grade=SD!$H$3, A615GR60, IF(_xlpm.grade=SD!$H$4, A615GR75, IF(_xlpm.grade=SD!$H$5, A615GR80, IF(_xlpm.grade=SD!$H$6, A615GR100, IF(_xlpm.grade=SD!$H$7, A706GR60, IF(_xlpm.grade=SD!$H$8, A706GR80)))))),_xlpm.matchValue, MATCH(1, (SD!$AW:$AW=AS190)*(SD!$AX:$AX=SD!$C$8), 0),INDEX(_xlpm.gradeRange, _xlpm.matchValue))),IF(AM190="Spiral",CONCATENATE("SP",_xlpm.PartF),_xlpm.PartF))</f>
        <v>#N/A</v>
      </c>
      <c r="BC190" cm="1">
        <f t="array" ref="BC190">_xlfn.LET(_xlpm.leftPart, LEFT(O190, FIND("@", O190) - 2),_xlpm.grade,Q190,_xlpm.gradeRange,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0" cm="1">
        <f t="array" ref="BD190">_xlfn.LET(_xlpm.leftPart, LEFT(P190, FIND("@", P190) - 2),_xlpm.grade, Q190,_xlpm.gradeRange,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0">
        <f t="shared" si="58"/>
        <v>2.5</v>
      </c>
      <c r="BF190">
        <f>IF(SD!$C$32=SD!$I$2,BE190,IF(SD!$C$32=SD!$I$3,DO190,IF(SD!$C$32=SD!$I$5,BA190,IF(SD!$C$32=SD!$I$6,(LEFT(SD!$C$35,FIND("-",SD!$C$35)-1)+RIGHT(SD!$C$35,LEN(SD!$C$35)-FIND("-",SD!$C$35))/12),IF(SD!$C$32=SD!$I$4,(AU190-(BG190+BH190)))))))</f>
        <v>0</v>
      </c>
      <c r="BG190">
        <f>IF(SD!$C$33=SD!$I$2,BE190,IF(SD!$C$33=SD!$I$3,DO190,IF(SD!$C$33=SD!$I$5,BA190,IF(SD!$C$33=SD!$I$6,(LEFT(SD!$C$35,FIND("-",SD!$C$35)-1)+RIGHT(SD!$C$35,LEN(SD!$C$35)-FIND("-",SD!$C$35))/12),IF(SD!$C$33=SD!$I$4,(AU190-(BF190+BH190)))))))</f>
        <v>-1</v>
      </c>
      <c r="BH190">
        <f>IF(SD!$C$34=SD!$I$2,BE190,IF(SD!$C$34=SD!$I$3,DO190,IF(SD!$C$34=SD!$I$5,BA190,IF(SD!$C$34=SD!$I$6,(LEFT(SD!$C$35,FIND("-",SD!$C$35)-1)+RIGHT(SD!$C$35,LEN(SD!$C$35)-FIND("-",SD!$C$35))/12),IF(SD!$C$34=SD!$I$4,(AU190-(BF190+BG190)))))))</f>
        <v>1</v>
      </c>
      <c r="BJ190">
        <f>IF(AM190="Spiral","1",MAX(ROUNDUP(IF(SD!$C$32="",AT190,BF190/(LEFT(RIGHT(N190,LEN(N190)-FIND("@",N190)),LEN(RIGHT(N190,LEN(N190)-FIND("@",N190)))-1)/12)+1),0),0))</f>
        <v>1</v>
      </c>
      <c r="BK190">
        <f>MAX(ROUNDUP(IF(SD!$C$33="","",BG190/(LEFT(RIGHT(O190,LEN(O190)-FIND("@",O190)),LEN(RIGHT(O190,LEN(O190)-FIND("@",O190)))-1)/12)+1),0),0)</f>
        <v>0</v>
      </c>
      <c r="BL190">
        <f>MAX(ROUNDUP(IF(SD!$C$34="","",BH190/(LEFT(RIGHT(P190,LEN(P190)-FIND("@",P190)),LEN(RIGHT(P190,LEN(P190)-FIND("@",P190)))-1)/12)+1),0),0)</f>
        <v>3</v>
      </c>
      <c r="BN190" t="e">
        <f t="shared" si="59"/>
        <v>#N/A</v>
      </c>
      <c r="BO190" t="e">
        <f t="shared" si="60"/>
        <v>#N/A</v>
      </c>
      <c r="BP190" t="e">
        <f t="shared" si="61"/>
        <v>#N/A</v>
      </c>
      <c r="BQ190" s="24" t="e">
        <f>IF(AM190=TRUE,(((Y190-(SD!$E$12*2))*3.14159265359)+BN190+BO190+BP190)/12+AL190,SUM(AF190:AG190,BN190,BO190,BP190,AO190,AQ190)/12)</f>
        <v>#N/A</v>
      </c>
      <c r="BR190" t="e">
        <f t="shared" si="62"/>
        <v>#N/A</v>
      </c>
      <c r="BS190" t="e">
        <f t="shared" si="63"/>
        <v>#N/A</v>
      </c>
      <c r="BT190" t="e">
        <f t="shared" si="64"/>
        <v>#N/A</v>
      </c>
      <c r="BU190" s="24" t="e">
        <f>IF(AM190=TRUE,(((Y190-(SD!$E$12*2))*3.14159265359)+BR190+BS190+BT190)/12+AL190,SUM(AF190:AG190,BR190,BS190,BT190,AO190,AQ190)/12)</f>
        <v>#N/A</v>
      </c>
      <c r="BW190" t="str">
        <f>IFERROR(LEFT(Data!L190,FIND(" -",Data!L190)-1),"")</f>
        <v/>
      </c>
      <c r="BX190" t="str">
        <f>IFERROR(IF(SD!$C$40=SD!$U$2,W190,IF(SD!$C$40=SD!$U$3,RIGHT(Data!L190,LEN(Data!L190)-(FIND("-",Data!L190)+1)),SD!$C$40)),"")</f>
        <v>#10</v>
      </c>
      <c r="BY190" t="str" cm="1">
        <f t="array" ref="BY190">IFERROR(_xlfn.LET(_xlpm.GRR,IF(AND(SD!$C$19=SD!$H$2,Grade!$G$1="Per level"),VLOOKUP(B190,Grade!$E$1:$F$200,2,FALSE),IF(AND(SD!$C$19=SD!$H$2,Grade!$G$1="Per Bar Size"),VLOOKUP(BX190,Grade!$B$1:$C$12,2,0),SD!$C$19)),_xlpm.is_equal, A189=A190,_xlpm.grade_range, IF(_xlpm.GRR=SD!$H$3, A615GR60,IF(_xlpm.GRR=SD!$H$4, A615GR75,IF(_xlpm.GRR=SD!$H$5, A615GR80,IF(_xlpm.GRR=SD!H194, A615GR100,IF(_xlpm.GRR=SD!$H$7, A706GR60,IF(_xlpm.GRR=SD!$H$8, A706GR80)))))),_xlpm.match_result, MATCH(1, (BSize=BX190)*(BCName=SD!$C$8), 0),_xlpm.final_result, INDEX(_xlpm.grade_range, _xlpm.match_result),IF(_xlpm.is_equal, "", _xlpm.final_result)),"")</f>
        <v/>
      </c>
      <c r="BZ190" t="str">
        <f>IF(A189=A190,"",IF(SD!$C$41="Match Vertical Bars ",X190,IF(SD!$C$41=SD!$V$3,BW190,SD!$C$41)))</f>
        <v/>
      </c>
      <c r="CA190" t="str" cm="1">
        <f t="array" ref="CA190">IF(A189=A190,"",IF(SD!$C$44="No T-Head",IF(SD!$C$42=SD!$Q$3,VLOOKUP(BX190,S90Range,3,FALSE),LEFT(SD!$C$42,FIND("-",SD!$C$42)-1)+(RIGHT(SD!$C$42,LEN(SD!$C$42)-FIND("-",SD!$C$42))/12)),IF(SD!$C$44="T-Head",_xlfn._xlws.FILTER(THead,(TCName=SD!$C$8)*(TSize=BX190)),IF(SD!$C$44="Level Wise",_xlfn.LET(_xlpm.result,_xlfn.XLOOKUP(B190,VDLevel,VDLevelStatus,"No"),IF(_xlpm.result="Yes",_xlfn._xlws.FILTER(THead,(TCName=SD!$C$8)*(TSize=BX190)),IF(SD!$C$42=SD!$Q$3,VLOOKUP(BX190,S90Range,3,FALSE),LEFT(SD!$C$42,FIND("-",SD!$C$42)-1)+(RIGHT(SD!$C$42,LEN(SD!$C$42)-FIND("-", SD!$C$42))/12)))),IF(SD!$C$44="BarSize Wise",_xlfn.LET(_xlpm.result,_xlfn.XLOOKUP(BX190,VDBarSize,VDBarSizeStatus,"No"),IF(_xlpm.result="Yes",_xlfn._xlws.FILTER(THead,(TCName=SD!$C$8)*(TSize=BX190)),IF(SD!$C$42=SD!$Q$3,VLOOKUP(BX190,S90Range,3,FALSE),LEFT(SD!$C$42,FIND("-",SD!$C$42)-1)+(RIGHT(SD!$C$42,LEN(SD!$C$42)-FIND("-",SD!$C$42))/12)))), "")))))</f>
        <v/>
      </c>
      <c r="CB190" t="str" cm="1">
        <f t="array" ref="CB190">_xlfn.LET(_xlpm.GRR,IF(AND(SD!$C$19=SD!$H$2,Grade!$G$1="Per level"),VLOOKUP(B190,Grade!$E$1:$F$200,2,FALSE),IF(AND(SD!$C$19=SD!$H$2,Grade!$G$1="Per Bar Size"),VLOOKUP(BX190,Grade!$B$1:$C$12,2,0),SD!$C$19)),_xlpm.is_coupler, K190="Coupler",_xlpm.condition1, SD!$C$43=SD!$W$2,_xlpm.data_j2_empty, Data!$J190="",_xlpm.lookup_table, IF(SD!$C$11="Create", Lap!$A$3:$BF$14, IF(SD!$C$11="Per Uploaded File", Lap!$A$19:$BF$30, "")),_xlpm.row_match, MATCH(BX190, Lap!$A$3:$A$14, 0),_xlpm.grade_offset, IF(IFERROR(FIND("Grade 60",_xlpm.GRR), 0) &gt; 0, 0, IF(IFERROR(FIND("Grade 80",_xlpm.GRR), 0), 1, IF(IFERROR(FIND("Grade 75",_xlpm.GRR), 0), 2, ""))),_xlpm.col_match, MATCH(VALUE(D190), Lap!$A$3:$BF$3, 0) + _xlpm.grade_offset,_xlpm.index_result, IFERROR(INDEX(_xlpm.lookup_table, _xlpm.row_match, _xlpm.col_match), Data!$J190),_xlpm.result_if_condition1, IF(_xlpm.data_j2_empty, _xlpm.index_result, Data!$J190),IF(_xlpm.is_coupler, 0, IF(_xlpm.condition1, _xlpm.result_if_condition1, SD!$C$43)))</f>
        <v>5-1</v>
      </c>
      <c r="CC190" s="24">
        <f t="shared" si="65"/>
        <v>5.083333333333333</v>
      </c>
      <c r="CD190">
        <f t="shared" si="66"/>
        <v>5.75</v>
      </c>
      <c r="CE190" t="str" cm="1">
        <f t="array" ref="CE190">IF(BY190="","",_xlfn._xlws.FILTER(SAC,(CName=SD!$C$8)*(EName="Vert Dowels")))</f>
        <v/>
      </c>
      <c r="CF190" t="str" cm="1">
        <f t="array" ref="CF190">IFERROR(IF(BY190="","",IF(K190="Coupler",_xlfn._xlws.FILTER(CCoupler,(CCName=SD!$C$8)*(CBSize=IF(A189=A190,W189&amp;W190,BX190&amp;W190))*(CCMFM="Male")),"")),"N/A")</f>
        <v/>
      </c>
      <c r="CG190" t="str">
        <f t="shared" si="67"/>
        <v/>
      </c>
      <c r="CH190" t="str">
        <f t="shared" si="68"/>
        <v/>
      </c>
      <c r="CI190" t="str">
        <f>_xlfn.LET(_xlpm.u3_value, U191,_xlpm.hyphen_pos,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K191="Coupler",_xlpm.coupler_value, IF(_xlpm.is_coupler, 0, _xlpm.calculated_value),_xlpm.final_value, _xlpm.calculated_value + SD!$E$13 + _xlpm.coupler_value,IF(CG190="", "", _xlpm.final_value))</f>
        <v/>
      </c>
      <c r="CJ190" t="str" cm="1">
        <f t="array" ref="CJ190">IF(CG190="","",_xlfn._xlws.FILTER(SAC,(CName=SD!$C$8)*(EName="Loose Dowels")))</f>
        <v/>
      </c>
      <c r="CK190" t="str" cm="1">
        <f t="array" ref="CK190">IFERROR(IF(CG190="","",IF(K191="Coupler",_xlfn._xlws.FILTER(CCoupler,(CCName=SD!$C$8)*(CBSize=IF(A190=A191,W190&amp;W191,""))*(CCMFM="Male")),"")),"N/A")</f>
        <v/>
      </c>
      <c r="CL190" t="str">
        <f>IFERROR(IF(AM190="Spiral","",IF(A189=A190,"",IF(SD!$C$37=0,"",SD!$C$37))),"")</f>
        <v/>
      </c>
      <c r="CN190">
        <f>IF(AM190="Spiral","",IFERROR(IF(SD!$C$36=0,"",SD!$C$36),""))</f>
        <v>5</v>
      </c>
      <c r="CP190" t="str">
        <f>IFERROR(IF(SD!$C$42=SD!$Q$3,'Take-off'!CA190,""),"")</f>
        <v/>
      </c>
      <c r="CR190">
        <f>IFERROR(IF(SD!$C$22=SD!$U$2,W190,SD!$C$22),"")</f>
        <v>0</v>
      </c>
      <c r="CS190" t="str" cm="1">
        <f t="array" ref="CS190">_xlfn.LET(_xlpm.GR,IF(AND(SD!$C$19=SD!$H$2,Grade!$G$1="Per level"),VLOOKUP(B190,Grade!$E$1:$F$200,2,FALSE),IF(AND(SD!$C$19=SD!$H$2,Grade!$G$1="Per Bar Size"),VLOOKUP(CR190,Grade!$B$1:$C$12,2,0),SD!$C$19)),IF(SD!$C$20=SD!$R$4,IF(A191=A190,"",INDEX(IF(_xlpm.GR=SD!$H$3,A615GR60,IF(_xlpm.GR=SD!$H$4,A615GR75,IF(_xlpm.GR=SD!$H$5,A615GR80,IF(_xlpm.GR=SD!H194,A615GR100,IF(_xlpm.GR=SD!$H$7,A706GR60,IF(_xlpm.GR=SD!$H$8,A706GR80)))))), MATCH(1, (BSize=CR190)*(BCName=SD!$C$8), 0))),""))</f>
        <v/>
      </c>
      <c r="CT190" t="str">
        <f>IF(A191=A190,"",IF(SD!$C$23="Match Vertical Bars ",X190,SD!$C$23))</f>
        <v/>
      </c>
      <c r="CU190" t="str" cm="1">
        <f t="array" ref="CU190">IF(A191=A190,"",IF(SD!$C$20="Top dowels",IF(SD!$E$25="No T-Head",IF(SD!$C$24=SD!$Q$3,VLOOKUP(CR190,S90Range,3,FALSE),LEFT(SD!$C$24,FIND("-",SD!$C$24)-1)+(RIGHT(SD!$C$24,LEN(SD!$C$24)-FIND("-",SD!$C$24))/12)),IF(SD!$E$25="T-Head",_xlfn._xlws.FILTER(THead,(TCName=SD!$C$8)*(TSize=CR190)),IF(SD!$E$25="Level Wise",_xlfn.LET(_xlpm.result,_xlfn.XLOOKUP(B190,TDLevel,TDLevelStatus,"No"),IF(_xlpm.result="Yes",_xlfn._xlws.FILTER(THead,(TCName=SD!$C$8)*(TSize=CR190)),IF(SD!$C$24=SD!$Q$3,VLOOKUP(CR190,S90Range,3,FALSE),LEFT(SD!$C$24,FIND("-",SD!$C$24)-1)+(RIGHT(SD!$C$24,LEN(SD!$C$24)-FIND("-", SD!$C$24))/12)))),IF(SD!$E$25="BarSize Wise",_xlfn.LET(_xlpm.result,_xlfn.XLOOKUP(CR190,TDBarSize,TDBarSizeStatus,"No"),IF(_xlpm.result="Yes",_xlfn._xlws.FILTER(THead,(TCName=SD!$C$8)*(TSize=CR190)),IF(SD!$C$24=SD!$Q$3,VLOOKUP(CR190,S90Range,3,FALSE),LEFT(SD!$C$24,FIND("-",SD!$C$24)-1)+(RIGHT(SD!$C$24,LEN(SD!$C$24)-FIND("-",SD!$C$24))/12)))), "")))),""))</f>
        <v/>
      </c>
      <c r="CV190" t="str">
        <f>_xlfn.LET(_xlpm.GRR,IF(AND(SD!$C$19=SD!$H$2,Grade!$G$1="Per level"),VLOOKUP(B190,Grade!$E$1:$F$200,2,FALSE),IF(AND(SD!$C$19=SD!$H$2,Grade!$G$1="Per Bar Size"),VLOOKUP(CR190,Grade!$B$1:$C$12,2,0),SD!$C$19)),IF(SD!$C$25=SD!$W$2,IF(Data!$J190="",IFERROR(INDEX(IF(SD!$C$11="Create",Lap!$A$3:$BF$14,IF(SD!$C$11="Per Uploaded File",Lap!$A$19:$BF$30,"")),MATCH(CR190,Lap!$A$3:$A$14,0),MATCH(VALUE(D190),Lap!$A$3:$BF$3,0)+IF(IFERROR(FIND("Grade 60",_xlpm.GRR),0)&gt;0,0,IF(IFERROR(FIND("Grade 80",_xlpm.GRR),0),1,IF(IFERROR(FIND("Grade 75",_xlpm.GRR),0),2,"")))),""),Data!J190),SD!$C$43))</f>
        <v>Match Lap</v>
      </c>
      <c r="CW190">
        <f t="shared" si="69"/>
        <v>0</v>
      </c>
      <c r="CX190">
        <f t="shared" si="70"/>
        <v>0</v>
      </c>
      <c r="CY190" t="str">
        <f t="shared" si="71"/>
        <v/>
      </c>
      <c r="DA190" t="str">
        <f t="shared" si="72"/>
        <v/>
      </c>
      <c r="DB190" t="str">
        <f t="shared" si="73"/>
        <v/>
      </c>
      <c r="DC190" s="24" t="str">
        <f t="shared" si="74"/>
        <v/>
      </c>
      <c r="DD190">
        <f t="shared" si="75"/>
        <v>10.583333333333334</v>
      </c>
      <c r="DE190" t="s">
        <v>785</v>
      </c>
      <c r="DF190" t="s">
        <v>67</v>
      </c>
      <c r="DG190" t="str">
        <f>VLOOKUP(W190,'Level Wise PSI'!$F$2:$G$12,2,FALSE)</f>
        <v>Double Lift</v>
      </c>
      <c r="DI190" t="str" cm="1">
        <f t="array" ref="DI190">_xlfn.LET(_xlpm.Coup,IFERROR(IF(BY190="","",IF(K190="Coupler",_xlfn._xlws.FILTER(CCFCoupler,(CCName=SD!$C$8)*(CBSize=IF(A189=A190,W189&amp;W190,BX190&amp;W190))),"")),"N/A"),IF(_xlpm.Coup=0,"",_xlpm.Coup))</f>
        <v/>
      </c>
      <c r="DJ190" t="str" cm="1">
        <f t="array" ref="DJ190">_xlfn.LET(_xlpm.Coup3,IFERROR(IF(CG190="","",IF(K191="Coupler",_xlfn._xlws.FILTER(CCFCoupler,(CCName=SD!$C$8)*(CBSize=IF(A190=A191,W190&amp;W191,""))),"")),"N/A"),IF(_xlpm.Coup3=0,"",_xlpm.Coup3))</f>
        <v/>
      </c>
      <c r="DK190" t="str" cm="1">
        <f t="array" ref="DK190">_xlfn.LET(_xlpm.Coup2,IFERROR(IF(A190&lt;&gt;A191,"",IF(DF190="No Lap","",IF(K191="Coupler",_xlfn._xlws.FILTER(CCFCoupler,(CCName=SD!$C$8)*(CBSize=IF(A189=A190,W190&amp;W191,W190&amp;W190))),""))),"N/A"),IF(_xlpm.Coup2=0,"",_xlpm.Coup2))</f>
        <v/>
      </c>
      <c r="DM190" t="str">
        <f>IF(AM190="Spiral","",IF(SD!$C$31=SD!$Y$3,SD!$E$32*2,""))</f>
        <v/>
      </c>
      <c r="DO190" s="24">
        <f t="shared" si="76"/>
        <v>2.5</v>
      </c>
      <c r="DQ190" t="str">
        <f t="shared" si="77"/>
        <v>Lig</v>
      </c>
      <c r="DR190" t="str">
        <f>IF(AM190="Spiral",((Y190-(SD!$E$12*2))/12),"")</f>
        <v/>
      </c>
      <c r="DS190" t="str">
        <f t="shared" si="78"/>
        <v/>
      </c>
      <c r="DT190" t="str">
        <f t="shared" si="79"/>
        <v/>
      </c>
      <c r="DU190" t="str">
        <f t="shared" si="80"/>
        <v/>
      </c>
    </row>
    <row r="191" spans="1:125" x14ac:dyDescent="0.25">
      <c r="A191">
        <v>64</v>
      </c>
      <c r="B191" t="s">
        <v>686</v>
      </c>
      <c r="C191" s="15">
        <v>2429</v>
      </c>
      <c r="D191" s="15">
        <v>10000</v>
      </c>
      <c r="E191" t="str">
        <f>IF(B191=Level!$A$2,SD!$C$14,SD!$C$13)</f>
        <v>0-8</v>
      </c>
      <c r="F191" s="15" t="s">
        <v>787</v>
      </c>
      <c r="G191" t="s">
        <v>742</v>
      </c>
      <c r="H191" t="str">
        <f>RIGHT(VLOOKUP(B191,Level!A:C,3,FALSE),LEN(VLOOKUP(B191,Level!A:C,3,FALSE))-1)</f>
        <v>10-7</v>
      </c>
      <c r="I191" t="s">
        <v>743</v>
      </c>
      <c r="J191" t="str">
        <f>IF(AND(SD!$C$19=SD!$H$2,Grade!$G$1="Per level"),VLOOKUP(B191,Grade!$E$1:$F$200,2,FALSE),IF(AND(SD!$C$19=SD!$H$2,Grade!$G$1="Per Bar Size"),VLOOKUP(W191,Grade!$B$1:$C$12,2,0),SD!$C$19))</f>
        <v>A615 Grade 60</v>
      </c>
      <c r="K191" t="s">
        <v>67</v>
      </c>
      <c r="L191" t="str">
        <f>IFERROR(IF(A191&lt;&gt;A192,"",IF(DF191="No Lap","",IF(K192="Lap",U191,IF(K192="Coupler",_xlfn._xlws.FILTER(CCoupler,(CCName=SD!$C$8)*(CBSize=IF(A190=A191,W191&amp;W192,W191&amp;W191))*(CCMFM="Male")),"")))),"N/A")</f>
        <v>5-1</v>
      </c>
      <c r="M191" t="str">
        <f t="shared" si="54"/>
        <v/>
      </c>
      <c r="N191" t="s">
        <v>719</v>
      </c>
      <c r="O191" t="s">
        <v>720</v>
      </c>
      <c r="P191" t="s">
        <v>719</v>
      </c>
      <c r="Q191" t="str">
        <f>IF(AND(SD!$C$29=SD!$P$2,Grade!$O$1="Per level"),VLOOKUP(B191,Grade!$M$1:$N$200,2,FALSE),IF(AND(SD!$C$29=SD!$P$2,Grade!$O$1="Per Bar Size"),VLOOKUP(LEFT(N191,FIND("@",N191)-2),Grade!$J$1:$K$12,2,0),SD!$C$29))</f>
        <v>A615 Grade 60</v>
      </c>
      <c r="R191" t="s">
        <v>742</v>
      </c>
      <c r="S191" s="57">
        <v>191</v>
      </c>
      <c r="U191" t="str">
        <f>IF(Data!$J191="",IFERROR(INDEX(IF(SD!$C$11="Create",Lap!$A$3:$BF$14,IF(SD!$C$11="Per Uploaded File",Lap!$A$19:$BF$30,"")),MATCH(W191,Lap!$A$3:$A$14,0),MATCH(VALUE(D191),Lap!$A$3:$BF$3,0)+IF(IFERROR(FIND("Grade 60",J191),0)&gt;0,0,IF(IFERROR(FIND("Grade 80",J191),0),1,IF(IFERROR(FIND("Grade 75",J191),0),2,"")))),""),Data!J191)</f>
        <v>5-1</v>
      </c>
      <c r="W191" t="s">
        <v>176</v>
      </c>
      <c r="X191">
        <v>6</v>
      </c>
      <c r="Y191" t="str">
        <f t="shared" si="55"/>
        <v>30</v>
      </c>
      <c r="Z191">
        <f t="shared" si="56"/>
        <v>0</v>
      </c>
      <c r="AA191" s="24">
        <f t="shared" si="57"/>
        <v>15.666666666666666</v>
      </c>
      <c r="BB191" t="e" cm="1">
        <f t="array" ref="BB191">_xlfn.LET(_xlpm.PartF,(_xlfn.LET(_xlpm.grade, Q191,_xlpm.gradeRange, IF(_xlpm.grade=SD!$H$3, A615GR60, IF(_xlpm.grade=SD!$H$4, A615GR75, IF(_xlpm.grade=SD!$H$5, A615GR80, IF(_xlpm.grade=SD!$H$6, A615GR100, IF(_xlpm.grade=SD!$H$7, A706GR60, IF(_xlpm.grade=SD!$H$8, A706GR80)))))),_xlpm.matchValue, MATCH(1, (SD!$AW:$AW=AS191)*(SD!$AX:$AX=SD!$C$8), 0),INDEX(_xlpm.gradeRange, _xlpm.matchValue))),IF(AM191="Spiral",CONCATENATE("SP",_xlpm.PartF),_xlpm.PartF))</f>
        <v>#N/A</v>
      </c>
      <c r="BC191" cm="1">
        <f t="array" ref="BC191">_xlfn.LET(_xlpm.leftPart, LEFT(O191, FIND("@", O191) - 2),_xlpm.grade,Q191,_xlpm.gradeRange,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1" cm="1">
        <f t="array" ref="BD191">_xlfn.LET(_xlpm.leftPart, LEFT(P191, FIND("@", P191) - 2),_xlpm.grade, Q191,_xlpm.gradeRange,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1">
        <f t="shared" si="58"/>
        <v>2.5</v>
      </c>
      <c r="BF191">
        <f>IF(SD!$C$32=SD!$I$2,BE191,IF(SD!$C$32=SD!$I$3,DO191,IF(SD!$C$32=SD!$I$5,BA191,IF(SD!$C$32=SD!$I$6,(LEFT(SD!$C$35,FIND("-",SD!$C$35)-1)+RIGHT(SD!$C$35,LEN(SD!$C$35)-FIND("-",SD!$C$35))/12),IF(SD!$C$32=SD!$I$4,(AU191-(BG191+BH191)))))))</f>
        <v>0</v>
      </c>
      <c r="BG191">
        <f>IF(SD!$C$33=SD!$I$2,BE191,IF(SD!$C$33=SD!$I$3,DO191,IF(SD!$C$33=SD!$I$5,BA191,IF(SD!$C$33=SD!$I$6,(LEFT(SD!$C$35,FIND("-",SD!$C$35)-1)+RIGHT(SD!$C$35,LEN(SD!$C$35)-FIND("-",SD!$C$35))/12),IF(SD!$C$33=SD!$I$4,(AU191-(BF191+BH191)))))))</f>
        <v>-1</v>
      </c>
      <c r="BH191">
        <f>IF(SD!$C$34=SD!$I$2,BE191,IF(SD!$C$34=SD!$I$3,DO191,IF(SD!$C$34=SD!$I$5,BA191,IF(SD!$C$34=SD!$I$6,(LEFT(SD!$C$35,FIND("-",SD!$C$35)-1)+RIGHT(SD!$C$35,LEN(SD!$C$35)-FIND("-",SD!$C$35))/12),IF(SD!$C$34=SD!$I$4,(AU191-(BF191+BG191)))))))</f>
        <v>1</v>
      </c>
      <c r="BJ191">
        <f>IF(AM191="Spiral","1",MAX(ROUNDUP(IF(SD!$C$32="",AT191,BF191/(LEFT(RIGHT(N191,LEN(N191)-FIND("@",N191)),LEN(RIGHT(N191,LEN(N191)-FIND("@",N191)))-1)/12)+1),0),0))</f>
        <v>1</v>
      </c>
      <c r="BK191">
        <f>MAX(ROUNDUP(IF(SD!$C$33="","",BG191/(LEFT(RIGHT(O191,LEN(O191)-FIND("@",O191)),LEN(RIGHT(O191,LEN(O191)-FIND("@",O191)))-1)/12)+1),0),0)</f>
        <v>0</v>
      </c>
      <c r="BL191">
        <f>MAX(ROUNDUP(IF(SD!$C$34="","",BH191/(LEFT(RIGHT(P191,LEN(P191)-FIND("@",P191)),LEN(RIGHT(P191,LEN(P191)-FIND("@",P191)))-1)/12)+1),0),0)</f>
        <v>3</v>
      </c>
      <c r="BN191" t="e">
        <f t="shared" si="59"/>
        <v>#N/A</v>
      </c>
      <c r="BO191" t="e">
        <f t="shared" si="60"/>
        <v>#N/A</v>
      </c>
      <c r="BP191" t="e">
        <f t="shared" si="61"/>
        <v>#N/A</v>
      </c>
      <c r="BQ191" s="24" t="e">
        <f>IF(AM191=TRUE,(((Y191-(SD!$E$12*2))*3.14159265359)+BN191+BO191+BP191)/12+AL191,SUM(AF191:AG191,BN191,BO191,BP191,AO191,AQ191)/12)</f>
        <v>#N/A</v>
      </c>
      <c r="BR191" t="e">
        <f t="shared" si="62"/>
        <v>#N/A</v>
      </c>
      <c r="BS191" t="e">
        <f t="shared" si="63"/>
        <v>#N/A</v>
      </c>
      <c r="BT191" t="e">
        <f t="shared" si="64"/>
        <v>#N/A</v>
      </c>
      <c r="BU191" s="24" t="e">
        <f>IF(AM191=TRUE,(((Y191-(SD!$E$12*2))*3.14159265359)+BR191+BS191+BT191)/12+AL191,SUM(AF191:AG191,BR191,BS191,BT191,AO191,AQ191)/12)</f>
        <v>#N/A</v>
      </c>
      <c r="BW191" t="str">
        <f>IFERROR(LEFT(Data!L191,FIND(" -",Data!L191)-1),"")</f>
        <v/>
      </c>
      <c r="BX191" t="str">
        <f>IFERROR(IF(SD!$C$40=SD!$U$2,W191,IF(SD!$C$40=SD!$U$3,RIGHT(Data!L191,LEN(Data!L191)-(FIND("-",Data!L191)+1)),SD!$C$40)),"")</f>
        <v>#10</v>
      </c>
      <c r="BY191" t="str" cm="1">
        <f t="array" ref="BY191">IFERROR(_xlfn.LET(_xlpm.GRR,IF(AND(SD!$C$19=SD!$H$2,Grade!$G$1="Per level"),VLOOKUP(B191,Grade!$E$1:$F$200,2,FALSE),IF(AND(SD!$C$19=SD!$H$2,Grade!$G$1="Per Bar Size"),VLOOKUP(BX191,Grade!$B$1:$C$12,2,0),SD!$C$19)),_xlpm.is_equal, A190=A191,_xlpm.grade_range, IF(_xlpm.GRR=SD!$H$3, A615GR60,IF(_xlpm.GRR=SD!$H$4, A615GR75,IF(_xlpm.GRR=SD!$H$5, A615GR80,IF(_xlpm.GRR=SD!H195, A615GR100,IF(_xlpm.GRR=SD!$H$7, A706GR60,IF(_xlpm.GRR=SD!$H$8, A706GR80)))))),_xlpm.match_result, MATCH(1, (BSize=BX191)*(BCName=SD!$C$8), 0),_xlpm.final_result, INDEX(_xlpm.grade_range, _xlpm.match_result),IF(_xlpm.is_equal, "", _xlpm.final_result)),"")</f>
        <v/>
      </c>
      <c r="BZ191" t="str">
        <f>IF(A190=A191,"",IF(SD!$C$41="Match Vertical Bars ",X191,IF(SD!$C$41=SD!$V$3,BW191,SD!$C$41)))</f>
        <v/>
      </c>
      <c r="CA191" t="str" cm="1">
        <f t="array" ref="CA191">IF(A190=A191,"",IF(SD!$C$44="No T-Head",IF(SD!$C$42=SD!$Q$3,VLOOKUP(BX191,S90Range,3,FALSE),LEFT(SD!$C$42,FIND("-",SD!$C$42)-1)+(RIGHT(SD!$C$42,LEN(SD!$C$42)-FIND("-",SD!$C$42))/12)),IF(SD!$C$44="T-Head",_xlfn._xlws.FILTER(THead,(TCName=SD!$C$8)*(TSize=BX191)),IF(SD!$C$44="Level Wise",_xlfn.LET(_xlpm.result,_xlfn.XLOOKUP(B191,VDLevel,VDLevelStatus,"No"),IF(_xlpm.result="Yes",_xlfn._xlws.FILTER(THead,(TCName=SD!$C$8)*(TSize=BX191)),IF(SD!$C$42=SD!$Q$3,VLOOKUP(BX191,S90Range,3,FALSE),LEFT(SD!$C$42,FIND("-",SD!$C$42)-1)+(RIGHT(SD!$C$42,LEN(SD!$C$42)-FIND("-", SD!$C$42))/12)))),IF(SD!$C$44="BarSize Wise",_xlfn.LET(_xlpm.result,_xlfn.XLOOKUP(BX191,VDBarSize,VDBarSizeStatus,"No"),IF(_xlpm.result="Yes",_xlfn._xlws.FILTER(THead,(TCName=SD!$C$8)*(TSize=BX191)),IF(SD!$C$42=SD!$Q$3,VLOOKUP(BX191,S90Range,3,FALSE),LEFT(SD!$C$42,FIND("-",SD!$C$42)-1)+(RIGHT(SD!$C$42,LEN(SD!$C$42)-FIND("-",SD!$C$42))/12)))), "")))))</f>
        <v/>
      </c>
      <c r="CB191" t="str" cm="1">
        <f t="array" ref="CB191">_xlfn.LET(_xlpm.GRR,IF(AND(SD!$C$19=SD!$H$2,Grade!$G$1="Per level"),VLOOKUP(B191,Grade!$E$1:$F$200,2,FALSE),IF(AND(SD!$C$19=SD!$H$2,Grade!$G$1="Per Bar Size"),VLOOKUP(BX191,Grade!$B$1:$C$12,2,0),SD!$C$19)),_xlpm.is_coupler, K191="Coupler",_xlpm.condition1, SD!$C$43=SD!$W$2,_xlpm.data_j2_empty, Data!$J191="",_xlpm.lookup_table, IF(SD!$C$11="Create", Lap!$A$3:$BF$14, IF(SD!$C$11="Per Uploaded File", Lap!$A$19:$BF$30, "")),_xlpm.row_match, MATCH(BX191, Lap!$A$3:$A$14, 0),_xlpm.grade_offset, IF(IFERROR(FIND("Grade 60",_xlpm.GRR), 0) &gt; 0, 0, IF(IFERROR(FIND("Grade 80",_xlpm.GRR), 0), 1, IF(IFERROR(FIND("Grade 75",_xlpm.GRR), 0), 2, ""))),_xlpm.col_match, MATCH(VALUE(D191), Lap!$A$3:$BF$3, 0) + _xlpm.grade_offset,_xlpm.index_result, IFERROR(INDEX(_xlpm.lookup_table, _xlpm.row_match, _xlpm.col_match), Data!$J191),_xlpm.result_if_condition1, IF(_xlpm.data_j2_empty, _xlpm.index_result, Data!$J191),IF(_xlpm.is_coupler, 0, IF(_xlpm.condition1, _xlpm.result_if_condition1, SD!$C$43)))</f>
        <v>5-1</v>
      </c>
      <c r="CC191" s="24">
        <f t="shared" si="65"/>
        <v>5.083333333333333</v>
      </c>
      <c r="CD191">
        <f t="shared" si="66"/>
        <v>5.75</v>
      </c>
      <c r="CE191" t="str" cm="1">
        <f t="array" ref="CE191">IF(BY191="","",_xlfn._xlws.FILTER(SAC,(CName=SD!$C$8)*(EName="Vert Dowels")))</f>
        <v/>
      </c>
      <c r="CF191" t="str" cm="1">
        <f t="array" ref="CF191">IFERROR(IF(BY191="","",IF(K191="Coupler",_xlfn._xlws.FILTER(CCoupler,(CCName=SD!$C$8)*(CBSize=IF(A190=A191,W190&amp;W191,BX191&amp;W191))*(CCMFM="Male")),"")),"N/A")</f>
        <v/>
      </c>
      <c r="CG191" t="str">
        <f t="shared" si="67"/>
        <v/>
      </c>
      <c r="CH191" t="str">
        <f t="shared" si="68"/>
        <v/>
      </c>
      <c r="CI191" t="str">
        <f>_xlfn.LET(_xlpm.u3_value, U192,_xlpm.hyphen_pos,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K192="Coupler",_xlpm.coupler_value, IF(_xlpm.is_coupler, 0, _xlpm.calculated_value),_xlpm.final_value, _xlpm.calculated_value + SD!$E$13 + _xlpm.coupler_value,IF(CG191="", "", _xlpm.final_value))</f>
        <v/>
      </c>
      <c r="CJ191" t="str" cm="1">
        <f t="array" ref="CJ191">IF(CG191="","",_xlfn._xlws.FILTER(SAC,(CName=SD!$C$8)*(EName="Loose Dowels")))</f>
        <v/>
      </c>
      <c r="CK191" t="str" cm="1">
        <f t="array" ref="CK191">IFERROR(IF(CG191="","",IF(K192="Coupler",_xlfn._xlws.FILTER(CCoupler,(CCName=SD!$C$8)*(CBSize=IF(A191=A192,W191&amp;W192,""))*(CCMFM="Male")),"")),"N/A")</f>
        <v/>
      </c>
      <c r="CL191" t="str">
        <f>IFERROR(IF(AM191="Spiral","",IF(A190=A191,"",IF(SD!$C$37=0,"",SD!$C$37))),"")</f>
        <v/>
      </c>
      <c r="CN191">
        <f>IF(AM191="Spiral","",IFERROR(IF(SD!$C$36=0,"",SD!$C$36),""))</f>
        <v>5</v>
      </c>
      <c r="CP191" t="str">
        <f>IFERROR(IF(SD!$C$42=SD!$Q$3,'Take-off'!CA191,""),"")</f>
        <v/>
      </c>
      <c r="CR191">
        <f>IFERROR(IF(SD!$C$22=SD!$U$2,W191,SD!$C$22),"")</f>
        <v>0</v>
      </c>
      <c r="CS191" t="str" cm="1">
        <f t="array" ref="CS191">_xlfn.LET(_xlpm.GR,IF(AND(SD!$C$19=SD!$H$2,Grade!$G$1="Per level"),VLOOKUP(B191,Grade!$E$1:$F$200,2,FALSE),IF(AND(SD!$C$19=SD!$H$2,Grade!$G$1="Per Bar Size"),VLOOKUP(CR191,Grade!$B$1:$C$12,2,0),SD!$C$19)),IF(SD!$C$20=SD!$R$4,IF(A192=A191,"",INDEX(IF(_xlpm.GR=SD!$H$3,A615GR60,IF(_xlpm.GR=SD!$H$4,A615GR75,IF(_xlpm.GR=SD!$H$5,A615GR80,IF(_xlpm.GR=SD!H195,A615GR100,IF(_xlpm.GR=SD!$H$7,A706GR60,IF(_xlpm.GR=SD!$H$8,A706GR80)))))), MATCH(1, (BSize=CR191)*(BCName=SD!$C$8), 0))),""))</f>
        <v/>
      </c>
      <c r="CT191" t="str">
        <f>IF(A192=A191,"",IF(SD!$C$23="Match Vertical Bars ",X191,SD!$C$23))</f>
        <v/>
      </c>
      <c r="CU191" t="str" cm="1">
        <f t="array" ref="CU191">IF(A192=A191,"",IF(SD!$C$20="Top dowels",IF(SD!$E$25="No T-Head",IF(SD!$C$24=SD!$Q$3,VLOOKUP(CR191,S90Range,3,FALSE),LEFT(SD!$C$24,FIND("-",SD!$C$24)-1)+(RIGHT(SD!$C$24,LEN(SD!$C$24)-FIND("-",SD!$C$24))/12)),IF(SD!$E$25="T-Head",_xlfn._xlws.FILTER(THead,(TCName=SD!$C$8)*(TSize=CR191)),IF(SD!$E$25="Level Wise",_xlfn.LET(_xlpm.result,_xlfn.XLOOKUP(B191,TDLevel,TDLevelStatus,"No"),IF(_xlpm.result="Yes",_xlfn._xlws.FILTER(THead,(TCName=SD!$C$8)*(TSize=CR191)),IF(SD!$C$24=SD!$Q$3,VLOOKUP(CR191,S90Range,3,FALSE),LEFT(SD!$C$24,FIND("-",SD!$C$24)-1)+(RIGHT(SD!$C$24,LEN(SD!$C$24)-FIND("-", SD!$C$24))/12)))),IF(SD!$E$25="BarSize Wise",_xlfn.LET(_xlpm.result,_xlfn.XLOOKUP(CR191,TDBarSize,TDBarSizeStatus,"No"),IF(_xlpm.result="Yes",_xlfn._xlws.FILTER(THead,(TCName=SD!$C$8)*(TSize=CR191)),IF(SD!$C$24=SD!$Q$3,VLOOKUP(CR191,S90Range,3,FALSE),LEFT(SD!$C$24,FIND("-",SD!$C$24)-1)+(RIGHT(SD!$C$24,LEN(SD!$C$24)-FIND("-",SD!$C$24))/12)))), "")))),""))</f>
        <v/>
      </c>
      <c r="CV191" t="str">
        <f>_xlfn.LET(_xlpm.GRR,IF(AND(SD!$C$19=SD!$H$2,Grade!$G$1="Per level"),VLOOKUP(B191,Grade!$E$1:$F$200,2,FALSE),IF(AND(SD!$C$19=SD!$H$2,Grade!$G$1="Per Bar Size"),VLOOKUP(CR191,Grade!$B$1:$C$12,2,0),SD!$C$19)),IF(SD!$C$25=SD!$W$2,IF(Data!$J191="",IFERROR(INDEX(IF(SD!$C$11="Create",Lap!$A$3:$BF$14,IF(SD!$C$11="Per Uploaded File",Lap!$A$19:$BF$30,"")),MATCH(CR191,Lap!$A$3:$A$14,0),MATCH(VALUE(D191),Lap!$A$3:$BF$3,0)+IF(IFERROR(FIND("Grade 60",_xlpm.GRR),0)&gt;0,0,IF(IFERROR(FIND("Grade 80",_xlpm.GRR),0),1,IF(IFERROR(FIND("Grade 75",_xlpm.GRR),0),2,"")))),""),Data!J191),SD!$C$43))</f>
        <v>Match Lap</v>
      </c>
      <c r="CW191">
        <f t="shared" si="69"/>
        <v>0</v>
      </c>
      <c r="CX191">
        <f t="shared" si="70"/>
        <v>0</v>
      </c>
      <c r="CY191" t="str">
        <f t="shared" si="71"/>
        <v/>
      </c>
      <c r="DA191" t="str">
        <f t="shared" si="72"/>
        <v/>
      </c>
      <c r="DB191" t="str">
        <f t="shared" si="73"/>
        <v/>
      </c>
      <c r="DC191" s="24" t="str">
        <f t="shared" si="74"/>
        <v/>
      </c>
      <c r="DD191">
        <f t="shared" si="75"/>
        <v>10.583333333333334</v>
      </c>
      <c r="DE191" t="s">
        <v>785</v>
      </c>
      <c r="DF191" t="s">
        <v>67</v>
      </c>
      <c r="DG191" t="str">
        <f>VLOOKUP(W191,'Level Wise PSI'!$F$2:$G$12,2,FALSE)</f>
        <v>Double Lift</v>
      </c>
      <c r="DI191" t="str" cm="1">
        <f t="array" ref="DI191">_xlfn.LET(_xlpm.Coup,IFERROR(IF(BY191="","",IF(K191="Coupler",_xlfn._xlws.FILTER(CCFCoupler,(CCName=SD!$C$8)*(CBSize=IF(A190=A191,W190&amp;W191,BX191&amp;W191))),"")),"N/A"),IF(_xlpm.Coup=0,"",_xlpm.Coup))</f>
        <v/>
      </c>
      <c r="DJ191" t="str" cm="1">
        <f t="array" ref="DJ191">_xlfn.LET(_xlpm.Coup3,IFERROR(IF(CG191="","",IF(K192="Coupler",_xlfn._xlws.FILTER(CCFCoupler,(CCName=SD!$C$8)*(CBSize=IF(A191=A192,W191&amp;W192,""))),"")),"N/A"),IF(_xlpm.Coup3=0,"",_xlpm.Coup3))</f>
        <v/>
      </c>
      <c r="DK191" t="str" cm="1">
        <f t="array" ref="DK191">_xlfn.LET(_xlpm.Coup2,IFERROR(IF(A191&lt;&gt;A192,"",IF(DF191="No Lap","",IF(K192="Coupler",_xlfn._xlws.FILTER(CCFCoupler,(CCName=SD!$C$8)*(CBSize=IF(A190=A191,W191&amp;W192,W191&amp;W191))),""))),"N/A"),IF(_xlpm.Coup2=0,"",_xlpm.Coup2))</f>
        <v/>
      </c>
      <c r="DM191" t="str">
        <f>IF(AM191="Spiral","",IF(SD!$C$31=SD!$Y$3,SD!$E$32*2,""))</f>
        <v/>
      </c>
      <c r="DO191" s="24">
        <f t="shared" si="76"/>
        <v>2.5</v>
      </c>
      <c r="DQ191" t="str">
        <f t="shared" si="77"/>
        <v>Lig</v>
      </c>
      <c r="DR191" t="str">
        <f>IF(AM191="Spiral",((Y191-(SD!$E$12*2))/12),"")</f>
        <v/>
      </c>
      <c r="DS191" t="str">
        <f t="shared" si="78"/>
        <v/>
      </c>
      <c r="DT191" t="str">
        <f t="shared" si="79"/>
        <v/>
      </c>
      <c r="DU191" t="str">
        <f t="shared" si="80"/>
        <v/>
      </c>
    </row>
    <row r="192" spans="1:125" x14ac:dyDescent="0.25">
      <c r="A192">
        <v>64</v>
      </c>
      <c r="B192" t="s">
        <v>688</v>
      </c>
      <c r="C192" s="15">
        <v>2429</v>
      </c>
      <c r="D192" s="15">
        <v>10000</v>
      </c>
      <c r="E192" t="str">
        <f>IF(B192=Level!$A$2,SD!$C$14,SD!$C$13)</f>
        <v>0-8</v>
      </c>
      <c r="F192" s="15" t="s">
        <v>787</v>
      </c>
      <c r="G192" t="s">
        <v>742</v>
      </c>
      <c r="H192" t="str">
        <f>RIGHT(VLOOKUP(B192,Level!A:C,3,FALSE),LEN(VLOOKUP(B192,Level!A:C,3,FALSE))-1)</f>
        <v>10-7</v>
      </c>
      <c r="I192" t="s">
        <v>744</v>
      </c>
      <c r="J192" t="str">
        <f>IF(AND(SD!$C$19=SD!$H$2,Grade!$G$1="Per level"),VLOOKUP(B192,Grade!$E$1:$F$200,2,FALSE),IF(AND(SD!$C$19=SD!$H$2,Grade!$G$1="Per Bar Size"),VLOOKUP(W192,Grade!$B$1:$C$12,2,0),SD!$C$19))</f>
        <v>A615 Grade 60</v>
      </c>
      <c r="K192" t="s">
        <v>67</v>
      </c>
      <c r="L192" t="str">
        <f>IFERROR(IF(A192&lt;&gt;A193,"",IF(DF192="No Lap","",IF(K193="Lap",U192,IF(K193="Coupler",_xlfn._xlws.FILTER(CCoupler,(CCName=SD!$C$8)*(CBSize=IF(A191=A192,W192&amp;W193,W192&amp;W192))*(CCMFM="Male")),"")))),"N/A")</f>
        <v/>
      </c>
      <c r="M192" t="str">
        <f t="shared" si="54"/>
        <v/>
      </c>
      <c r="N192" t="s">
        <v>719</v>
      </c>
      <c r="O192" t="s">
        <v>720</v>
      </c>
      <c r="P192" t="s">
        <v>719</v>
      </c>
      <c r="Q192" t="str">
        <f>IF(AND(SD!$C$29=SD!$P$2,Grade!$O$1="Per level"),VLOOKUP(B192,Grade!$M$1:$N$200,2,FALSE),IF(AND(SD!$C$29=SD!$P$2,Grade!$O$1="Per Bar Size"),VLOOKUP(LEFT(N192,FIND("@",N192)-2),Grade!$J$1:$K$12,2,0),SD!$C$29))</f>
        <v>A615 Grade 60</v>
      </c>
      <c r="R192" t="s">
        <v>742</v>
      </c>
      <c r="S192" s="57">
        <v>192</v>
      </c>
      <c r="U192" t="str">
        <f>IF(Data!$J192="",IFERROR(INDEX(IF(SD!$C$11="Create",Lap!$A$3:$BF$14,IF(SD!$C$11="Per Uploaded File",Lap!$A$19:$BF$30,"")),MATCH(W192,Lap!$A$3:$A$14,0),MATCH(VALUE(D192),Lap!$A$3:$BF$3,0)+IF(IFERROR(FIND("Grade 60",J192),0)&gt;0,0,IF(IFERROR(FIND("Grade 80",J192),0),1,IF(IFERROR(FIND("Grade 75",J192),0),2,"")))),""),Data!J192)</f>
        <v>4-0</v>
      </c>
      <c r="W192" t="s">
        <v>151</v>
      </c>
      <c r="X192">
        <v>10</v>
      </c>
      <c r="Y192" t="str">
        <f t="shared" si="55"/>
        <v>30</v>
      </c>
      <c r="Z192">
        <f t="shared" si="56"/>
        <v>0</v>
      </c>
      <c r="AA192" s="24">
        <f t="shared" si="57"/>
        <v>10.583333333333334</v>
      </c>
      <c r="BB192" t="e" cm="1">
        <f t="array" ref="BB192">_xlfn.LET(_xlpm.PartF,(_xlfn.LET(_xlpm.grade, Q192,_xlpm.gradeRange, IF(_xlpm.grade=SD!$H$3, A615GR60, IF(_xlpm.grade=SD!$H$4, A615GR75, IF(_xlpm.grade=SD!$H$5, A615GR80, IF(_xlpm.grade=SD!$H$6, A615GR100, IF(_xlpm.grade=SD!$H$7, A706GR60, IF(_xlpm.grade=SD!$H$8, A706GR80)))))),_xlpm.matchValue, MATCH(1, (SD!$AW:$AW=AS192)*(SD!$AX:$AX=SD!$C$8), 0),INDEX(_xlpm.gradeRange, _xlpm.matchValue))),IF(AM192="Spiral",CONCATENATE("SP",_xlpm.PartF),_xlpm.PartF))</f>
        <v>#N/A</v>
      </c>
      <c r="BC192" cm="1">
        <f t="array" ref="BC192">_xlfn.LET(_xlpm.leftPart, LEFT(O192, FIND("@", O192) - 2),_xlpm.grade,Q192,_xlpm.gradeRange,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2" cm="1">
        <f t="array" ref="BD192">_xlfn.LET(_xlpm.leftPart, LEFT(P192, FIND("@", P192) - 2),_xlpm.grade, Q192,_xlpm.gradeRange,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2">
        <f t="shared" si="58"/>
        <v>2.5</v>
      </c>
      <c r="BF192">
        <f>IF(SD!$C$32=SD!$I$2,BE192,IF(SD!$C$32=SD!$I$3,DO192,IF(SD!$C$32=SD!$I$5,BA192,IF(SD!$C$32=SD!$I$6,(LEFT(SD!$C$35,FIND("-",SD!$C$35)-1)+RIGHT(SD!$C$35,LEN(SD!$C$35)-FIND("-",SD!$C$35))/12),IF(SD!$C$32=SD!$I$4,(AU192-(BG192+BH192)))))))</f>
        <v>0</v>
      </c>
      <c r="BG192">
        <f>IF(SD!$C$33=SD!$I$2,BE192,IF(SD!$C$33=SD!$I$3,DO192,IF(SD!$C$33=SD!$I$5,BA192,IF(SD!$C$33=SD!$I$6,(LEFT(SD!$C$35,FIND("-",SD!$C$35)-1)+RIGHT(SD!$C$35,LEN(SD!$C$35)-FIND("-",SD!$C$35))/12),IF(SD!$C$33=SD!$I$4,(AU192-(BF192+BH192)))))))</f>
        <v>-1</v>
      </c>
      <c r="BH192">
        <f>IF(SD!$C$34=SD!$I$2,BE192,IF(SD!$C$34=SD!$I$3,DO192,IF(SD!$C$34=SD!$I$5,BA192,IF(SD!$C$34=SD!$I$6,(LEFT(SD!$C$35,FIND("-",SD!$C$35)-1)+RIGHT(SD!$C$35,LEN(SD!$C$35)-FIND("-",SD!$C$35))/12),IF(SD!$C$34=SD!$I$4,(AU192-(BF192+BG192)))))))</f>
        <v>1</v>
      </c>
      <c r="BJ192">
        <f>IF(AM192="Spiral","1",MAX(ROUNDUP(IF(SD!$C$32="",AT192,BF192/(LEFT(RIGHT(N192,LEN(N192)-FIND("@",N192)),LEN(RIGHT(N192,LEN(N192)-FIND("@",N192)))-1)/12)+1),0),0))</f>
        <v>1</v>
      </c>
      <c r="BK192">
        <f>MAX(ROUNDUP(IF(SD!$C$33="","",BG192/(LEFT(RIGHT(O192,LEN(O192)-FIND("@",O192)),LEN(RIGHT(O192,LEN(O192)-FIND("@",O192)))-1)/12)+1),0),0)</f>
        <v>0</v>
      </c>
      <c r="BL192">
        <f>MAX(ROUNDUP(IF(SD!$C$34="","",BH192/(LEFT(RIGHT(P192,LEN(P192)-FIND("@",P192)),LEN(RIGHT(P192,LEN(P192)-FIND("@",P192)))-1)/12)+1),0),0)</f>
        <v>3</v>
      </c>
      <c r="BN192" t="e">
        <f t="shared" si="59"/>
        <v>#N/A</v>
      </c>
      <c r="BO192" t="e">
        <f t="shared" si="60"/>
        <v>#N/A</v>
      </c>
      <c r="BP192" t="e">
        <f t="shared" si="61"/>
        <v>#N/A</v>
      </c>
      <c r="BQ192" s="24" t="e">
        <f>IF(AM192=TRUE,(((Y192-(SD!$E$12*2))*3.14159265359)+BN192+BO192+BP192)/12+AL192,SUM(AF192:AG192,BN192,BO192,BP192,AO192,AQ192)/12)</f>
        <v>#N/A</v>
      </c>
      <c r="BR192" t="e">
        <f t="shared" si="62"/>
        <v>#N/A</v>
      </c>
      <c r="BS192" t="e">
        <f t="shared" si="63"/>
        <v>#N/A</v>
      </c>
      <c r="BT192" t="e">
        <f t="shared" si="64"/>
        <v>#N/A</v>
      </c>
      <c r="BU192" s="24" t="e">
        <f>IF(AM192=TRUE,(((Y192-(SD!$E$12*2))*3.14159265359)+BR192+BS192+BT192)/12+AL192,SUM(AF192:AG192,BR192,BS192,BT192,AO192,AQ192)/12)</f>
        <v>#N/A</v>
      </c>
      <c r="BW192" t="str">
        <f>IFERROR(LEFT(Data!L192,FIND(" -",Data!L192)-1),"")</f>
        <v/>
      </c>
      <c r="BX192" t="str">
        <f>IFERROR(IF(SD!$C$40=SD!$U$2,W192,IF(SD!$C$40=SD!$U$3,RIGHT(Data!L192,LEN(Data!L192)-(FIND("-",Data!L192)+1)),SD!$C$40)),"")</f>
        <v>#8</v>
      </c>
      <c r="BY192" t="str" cm="1">
        <f t="array" ref="BY192">IFERROR(_xlfn.LET(_xlpm.GRR,IF(AND(SD!$C$19=SD!$H$2,Grade!$G$1="Per level"),VLOOKUP(B192,Grade!$E$1:$F$200,2,FALSE),IF(AND(SD!$C$19=SD!$H$2,Grade!$G$1="Per Bar Size"),VLOOKUP(BX192,Grade!$B$1:$C$12,2,0),SD!$C$19)),_xlpm.is_equal, A191=A192,_xlpm.grade_range, IF(_xlpm.GRR=SD!$H$3, A615GR60,IF(_xlpm.GRR=SD!$H$4, A615GR75,IF(_xlpm.GRR=SD!$H$5, A615GR80,IF(_xlpm.GRR=SD!H196, A615GR100,IF(_xlpm.GRR=SD!$H$7, A706GR60,IF(_xlpm.GRR=SD!$H$8, A706GR80)))))),_xlpm.match_result, MATCH(1, (BSize=BX192)*(BCName=SD!$C$8), 0),_xlpm.final_result, INDEX(_xlpm.grade_range, _xlpm.match_result),IF(_xlpm.is_equal, "", _xlpm.final_result)),"")</f>
        <v/>
      </c>
      <c r="BZ192" t="str">
        <f>IF(A191=A192,"",IF(SD!$C$41="Match Vertical Bars ",X192,IF(SD!$C$41=SD!$V$3,BW192,SD!$C$41)))</f>
        <v/>
      </c>
      <c r="CA192" t="str" cm="1">
        <f t="array" ref="CA192">IF(A191=A192,"",IF(SD!$C$44="No T-Head",IF(SD!$C$42=SD!$Q$3,VLOOKUP(BX192,S90Range,3,FALSE),LEFT(SD!$C$42,FIND("-",SD!$C$42)-1)+(RIGHT(SD!$C$42,LEN(SD!$C$42)-FIND("-",SD!$C$42))/12)),IF(SD!$C$44="T-Head",_xlfn._xlws.FILTER(THead,(TCName=SD!$C$8)*(TSize=BX192)),IF(SD!$C$44="Level Wise",_xlfn.LET(_xlpm.result,_xlfn.XLOOKUP(B192,VDLevel,VDLevelStatus,"No"),IF(_xlpm.result="Yes",_xlfn._xlws.FILTER(THead,(TCName=SD!$C$8)*(TSize=BX192)),IF(SD!$C$42=SD!$Q$3,VLOOKUP(BX192,S90Range,3,FALSE),LEFT(SD!$C$42,FIND("-",SD!$C$42)-1)+(RIGHT(SD!$C$42,LEN(SD!$C$42)-FIND("-", SD!$C$42))/12)))),IF(SD!$C$44="BarSize Wise",_xlfn.LET(_xlpm.result,_xlfn.XLOOKUP(BX192,VDBarSize,VDBarSizeStatus,"No"),IF(_xlpm.result="Yes",_xlfn._xlws.FILTER(THead,(TCName=SD!$C$8)*(TSize=BX192)),IF(SD!$C$42=SD!$Q$3,VLOOKUP(BX192,S90Range,3,FALSE),LEFT(SD!$C$42,FIND("-",SD!$C$42)-1)+(RIGHT(SD!$C$42,LEN(SD!$C$42)-FIND("-",SD!$C$42))/12)))), "")))))</f>
        <v/>
      </c>
      <c r="CB192" t="str" cm="1">
        <f t="array" ref="CB192">_xlfn.LET(_xlpm.GRR,IF(AND(SD!$C$19=SD!$H$2,Grade!$G$1="Per level"),VLOOKUP(B192,Grade!$E$1:$F$200,2,FALSE),IF(AND(SD!$C$19=SD!$H$2,Grade!$G$1="Per Bar Size"),VLOOKUP(BX192,Grade!$B$1:$C$12,2,0),SD!$C$19)),_xlpm.is_coupler, K192="Coupler",_xlpm.condition1, SD!$C$43=SD!$W$2,_xlpm.data_j2_empty, Data!$J192="",_xlpm.lookup_table, IF(SD!$C$11="Create", Lap!$A$3:$BF$14, IF(SD!$C$11="Per Uploaded File", Lap!$A$19:$BF$30, "")),_xlpm.row_match, MATCH(BX192, Lap!$A$3:$A$14, 0),_xlpm.grade_offset, IF(IFERROR(FIND("Grade 60",_xlpm.GRR), 0) &gt; 0, 0, IF(IFERROR(FIND("Grade 80",_xlpm.GRR), 0), 1, IF(IFERROR(FIND("Grade 75",_xlpm.GRR), 0), 2, ""))),_xlpm.col_match, MATCH(VALUE(D192), Lap!$A$3:$BF$3, 0) + _xlpm.grade_offset,_xlpm.index_result, IFERROR(INDEX(_xlpm.lookup_table, _xlpm.row_match, _xlpm.col_match), Data!$J192),_xlpm.result_if_condition1, IF(_xlpm.data_j2_empty, _xlpm.index_result, Data!$J192),IF(_xlpm.is_coupler, 0, IF(_xlpm.condition1, _xlpm.result_if_condition1, SD!$C$43)))</f>
        <v>4-0</v>
      </c>
      <c r="CC192" s="24">
        <f t="shared" si="65"/>
        <v>4</v>
      </c>
      <c r="CD192">
        <f t="shared" si="66"/>
        <v>4.666666666666667</v>
      </c>
      <c r="CE192" t="str" cm="1">
        <f t="array" ref="CE192">IF(BY192="","",_xlfn._xlws.FILTER(SAC,(CName=SD!$C$8)*(EName="Vert Dowels")))</f>
        <v/>
      </c>
      <c r="CF192" t="str" cm="1">
        <f t="array" ref="CF192">IFERROR(IF(BY192="","",IF(K192="Coupler",_xlfn._xlws.FILTER(CCoupler,(CCName=SD!$C$8)*(CBSize=IF(A191=A192,W191&amp;W192,BX192&amp;W192))*(CCMFM="Male")),"")),"N/A")</f>
        <v/>
      </c>
      <c r="CG192" t="str">
        <f t="shared" si="67"/>
        <v/>
      </c>
      <c r="CH192" t="str">
        <f t="shared" si="68"/>
        <v/>
      </c>
      <c r="CI192" t="str">
        <f>_xlfn.LET(_xlpm.u3_value, U193,_xlpm.hyphen_pos,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K193="Coupler",_xlpm.coupler_value, IF(_xlpm.is_coupler, 0, _xlpm.calculated_value),_xlpm.final_value, _xlpm.calculated_value + SD!$E$13 + _xlpm.coupler_value,IF(CG192="", "", _xlpm.final_value))</f>
        <v/>
      </c>
      <c r="CJ192" t="str" cm="1">
        <f t="array" ref="CJ192">IF(CG192="","",_xlfn._xlws.FILTER(SAC,(CName=SD!$C$8)*(EName="Loose Dowels")))</f>
        <v/>
      </c>
      <c r="CK192" t="str" cm="1">
        <f t="array" ref="CK192">IFERROR(IF(CG192="","",IF(K193="Coupler",_xlfn._xlws.FILTER(CCoupler,(CCName=SD!$C$8)*(CBSize=IF(A192=A193,W192&amp;W193,""))*(CCMFM="Male")),"")),"N/A")</f>
        <v/>
      </c>
      <c r="CL192" t="str">
        <f>IFERROR(IF(AM192="Spiral","",IF(A191=A192,"",IF(SD!$C$37=0,"",SD!$C$37))),"")</f>
        <v/>
      </c>
      <c r="CN192">
        <f>IF(AM192="Spiral","",IFERROR(IF(SD!$C$36=0,"",SD!$C$36),""))</f>
        <v>5</v>
      </c>
      <c r="CP192" t="str">
        <f>IFERROR(IF(SD!$C$42=SD!$Q$3,'Take-off'!CA192,""),"")</f>
        <v/>
      </c>
      <c r="CR192">
        <f>IFERROR(IF(SD!$C$22=SD!$U$2,W192,SD!$C$22),"")</f>
        <v>0</v>
      </c>
      <c r="CS192" t="str" cm="1">
        <f t="array" ref="CS192">_xlfn.LET(_xlpm.GR,IF(AND(SD!$C$19=SD!$H$2,Grade!$G$1="Per level"),VLOOKUP(B192,Grade!$E$1:$F$200,2,FALSE),IF(AND(SD!$C$19=SD!$H$2,Grade!$G$1="Per Bar Size"),VLOOKUP(CR192,Grade!$B$1:$C$12,2,0),SD!$C$19)),IF(SD!$C$20=SD!$R$4,IF(A193=A192,"",INDEX(IF(_xlpm.GR=SD!$H$3,A615GR60,IF(_xlpm.GR=SD!$H$4,A615GR75,IF(_xlpm.GR=SD!$H$5,A615GR80,IF(_xlpm.GR=SD!H196,A615GR100,IF(_xlpm.GR=SD!$H$7,A706GR60,IF(_xlpm.GR=SD!$H$8,A706GR80)))))), MATCH(1, (BSize=CR192)*(BCName=SD!$C$8), 0))),""))</f>
        <v/>
      </c>
      <c r="CT192">
        <f>IF(A193=A192,"",IF(SD!$C$23="Match Vertical Bars ",X192,SD!$C$23))</f>
        <v>0</v>
      </c>
      <c r="CU192" t="str" cm="1">
        <f t="array" ref="CU192">IF(A193=A192,"",IF(SD!$C$20="Top dowels",IF(SD!$E$25="No T-Head",IF(SD!$C$24=SD!$Q$3,VLOOKUP(CR192,S90Range,3,FALSE),LEFT(SD!$C$24,FIND("-",SD!$C$24)-1)+(RIGHT(SD!$C$24,LEN(SD!$C$24)-FIND("-",SD!$C$24))/12)),IF(SD!$E$25="T-Head",_xlfn._xlws.FILTER(THead,(TCName=SD!$C$8)*(TSize=CR192)),IF(SD!$E$25="Level Wise",_xlfn.LET(_xlpm.result,_xlfn.XLOOKUP(B192,TDLevel,TDLevelStatus,"No"),IF(_xlpm.result="Yes",_xlfn._xlws.FILTER(THead,(TCName=SD!$C$8)*(TSize=CR192)),IF(SD!$C$24=SD!$Q$3,VLOOKUP(CR192,S90Range,3,FALSE),LEFT(SD!$C$24,FIND("-",SD!$C$24)-1)+(RIGHT(SD!$C$24,LEN(SD!$C$24)-FIND("-", SD!$C$24))/12)))),IF(SD!$E$25="BarSize Wise",_xlfn.LET(_xlpm.result,_xlfn.XLOOKUP(CR192,TDBarSize,TDBarSizeStatus,"No"),IF(_xlpm.result="Yes",_xlfn._xlws.FILTER(THead,(TCName=SD!$C$8)*(TSize=CR192)),IF(SD!$C$24=SD!$Q$3,VLOOKUP(CR192,S90Range,3,FALSE),LEFT(SD!$C$24,FIND("-",SD!$C$24)-1)+(RIGHT(SD!$C$24,LEN(SD!$C$24)-FIND("-",SD!$C$24))/12)))), "")))),""))</f>
        <v/>
      </c>
      <c r="CV192" t="str">
        <f>_xlfn.LET(_xlpm.GRR,IF(AND(SD!$C$19=SD!$H$2,Grade!$G$1="Per level"),VLOOKUP(B192,Grade!$E$1:$F$200,2,FALSE),IF(AND(SD!$C$19=SD!$H$2,Grade!$G$1="Per Bar Size"),VLOOKUP(CR192,Grade!$B$1:$C$12,2,0),SD!$C$19)),IF(SD!$C$25=SD!$W$2,IF(Data!$J192="",IFERROR(INDEX(IF(SD!$C$11="Create",Lap!$A$3:$BF$14,IF(SD!$C$11="Per Uploaded File",Lap!$A$19:$BF$30,"")),MATCH(CR192,Lap!$A$3:$A$14,0),MATCH(VALUE(D192),Lap!$A$3:$BF$3,0)+IF(IFERROR(FIND("Grade 60",_xlpm.GRR),0)&gt;0,0,IF(IFERROR(FIND("Grade 80",_xlpm.GRR),0),1,IF(IFERROR(FIND("Grade 75",_xlpm.GRR),0),2,"")))),""),Data!J192),SD!$C$43))</f>
        <v>Match Lap</v>
      </c>
      <c r="CW192">
        <f t="shared" si="69"/>
        <v>0</v>
      </c>
      <c r="CX192">
        <f t="shared" si="70"/>
        <v>0</v>
      </c>
      <c r="CY192" t="str">
        <f t="shared" si="71"/>
        <v/>
      </c>
      <c r="DA192" t="str">
        <f t="shared" si="72"/>
        <v/>
      </c>
      <c r="DB192" t="str">
        <f t="shared" si="73"/>
        <v/>
      </c>
      <c r="DC192" s="24" t="str">
        <f t="shared" si="74"/>
        <v/>
      </c>
      <c r="DD192">
        <f t="shared" si="75"/>
        <v>10.583333333333334</v>
      </c>
      <c r="DE192" t="s">
        <v>785</v>
      </c>
      <c r="DF192" t="s">
        <v>67</v>
      </c>
      <c r="DG192" t="str">
        <f>VLOOKUP(W192,'Level Wise PSI'!$F$2:$G$12,2,FALSE)</f>
        <v>Double Lift</v>
      </c>
      <c r="DI192" t="str" cm="1">
        <f t="array" ref="DI192">_xlfn.LET(_xlpm.Coup,IFERROR(IF(BY192="","",IF(K192="Coupler",_xlfn._xlws.FILTER(CCFCoupler,(CCName=SD!$C$8)*(CBSize=IF(A191=A192,W191&amp;W192,BX192&amp;W192))),"")),"N/A"),IF(_xlpm.Coup=0,"",_xlpm.Coup))</f>
        <v/>
      </c>
      <c r="DJ192" t="str" cm="1">
        <f t="array" ref="DJ192">_xlfn.LET(_xlpm.Coup3,IFERROR(IF(CG192="","",IF(K193="Coupler",_xlfn._xlws.FILTER(CCFCoupler,(CCName=SD!$C$8)*(CBSize=IF(A192=A193,W192&amp;W193,""))),"")),"N/A"),IF(_xlpm.Coup3=0,"",_xlpm.Coup3))</f>
        <v/>
      </c>
      <c r="DK192" t="str" cm="1">
        <f t="array" ref="DK192">_xlfn.LET(_xlpm.Coup2,IFERROR(IF(A192&lt;&gt;A193,"",IF(DF192="No Lap","",IF(K193="Coupler",_xlfn._xlws.FILTER(CCFCoupler,(CCName=SD!$C$8)*(CBSize=IF(A191=A192,W192&amp;W193,W192&amp;W192))),""))),"N/A"),IF(_xlpm.Coup2=0,"",_xlpm.Coup2))</f>
        <v/>
      </c>
      <c r="DM192" t="str">
        <f>IF(AM192="Spiral","",IF(SD!$C$31=SD!$Y$3,SD!$E$32*2,""))</f>
        <v/>
      </c>
      <c r="DO192" s="24">
        <f t="shared" si="76"/>
        <v>2.5</v>
      </c>
      <c r="DQ192" t="str">
        <f t="shared" si="77"/>
        <v>Lig</v>
      </c>
      <c r="DR192" t="str">
        <f>IF(AM192="Spiral",((Y192-(SD!$E$12*2))/12),"")</f>
        <v/>
      </c>
      <c r="DS192" t="str">
        <f t="shared" si="78"/>
        <v/>
      </c>
      <c r="DT192" t="str">
        <f t="shared" si="79"/>
        <v/>
      </c>
      <c r="DU192" t="str">
        <f t="shared" si="80"/>
        <v/>
      </c>
    </row>
    <row r="193" spans="1:125" x14ac:dyDescent="0.25">
      <c r="A193">
        <v>65</v>
      </c>
      <c r="B193" t="s">
        <v>667</v>
      </c>
      <c r="C193" s="15">
        <v>2429</v>
      </c>
      <c r="D193" s="15">
        <v>10000</v>
      </c>
      <c r="E193" s="15" t="s">
        <v>708</v>
      </c>
      <c r="F193" s="15" t="s">
        <v>787</v>
      </c>
      <c r="G193" t="s">
        <v>740</v>
      </c>
      <c r="H193" t="str">
        <f>RIGHT(VLOOKUP(B193,Level!A:C,3,FALSE),LEN(VLOOKUP(B193,Level!A:C,3,FALSE))-1)</f>
        <v>10-7</v>
      </c>
      <c r="I193" t="s">
        <v>741</v>
      </c>
      <c r="J193" t="str">
        <f>IF(AND(SD!$C$19=SD!$H$2,Grade!$G$1="Per level"),VLOOKUP(B193,Grade!$E$1:$F$200,2,FALSE),IF(AND(SD!$C$19=SD!$H$2,Grade!$G$1="Per Bar Size"),VLOOKUP(W193,Grade!$B$1:$C$12,2,0),SD!$C$19))</f>
        <v>A615 Grade 60</v>
      </c>
      <c r="K193" t="s">
        <v>67</v>
      </c>
      <c r="L193" t="str">
        <f>IFERROR(IF(A193&lt;&gt;A194,"",IF(DF193="No Lap","",IF(K194="Lap",U193,IF(K194="Coupler",_xlfn._xlws.FILTER(CCoupler,(CCName=SD!$C$8)*(CBSize=IF(A192=A193,W193&amp;W194,W193&amp;W193))*(CCMFM="Male")),"")))),"N/A")</f>
        <v>5-1</v>
      </c>
      <c r="M193" t="str">
        <f t="shared" si="54"/>
        <v/>
      </c>
      <c r="N193" t="s">
        <v>719</v>
      </c>
      <c r="O193" t="s">
        <v>720</v>
      </c>
      <c r="P193" t="s">
        <v>719</v>
      </c>
      <c r="Q193" t="str">
        <f>IF(AND(SD!$C$29=SD!$P$2,Grade!$O$1="Per level"),VLOOKUP(B193,Grade!$M$1:$N$200,2,FALSE),IF(AND(SD!$C$29=SD!$P$2,Grade!$O$1="Per Bar Size"),VLOOKUP(LEFT(N193,FIND("@",N193)-2),Grade!$J$1:$K$12,2,0),SD!$C$29))</f>
        <v>A615 Grade 60</v>
      </c>
      <c r="R193" t="s">
        <v>740</v>
      </c>
      <c r="S193" s="57">
        <v>193</v>
      </c>
      <c r="U193" t="str">
        <f>IF(Data!$J193="",IFERROR(INDEX(IF(SD!$C$11="Create",Lap!$A$3:$BF$14,IF(SD!$C$11="Per Uploaded File",Lap!$A$19:$BF$30,"")),MATCH(W193,Lap!$A$3:$A$14,0),MATCH(VALUE(D193),Lap!$A$3:$BF$3,0)+IF(IFERROR(FIND("Grade 60",J193),0)&gt;0,0,IF(IFERROR(FIND("Grade 80",J193),0),1,IF(IFERROR(FIND("Grade 75",J193),0),2,"")))),""),Data!J193)</f>
        <v>5-1</v>
      </c>
      <c r="W193" t="s">
        <v>176</v>
      </c>
      <c r="X193">
        <v>10</v>
      </c>
      <c r="Y193" t="str">
        <f t="shared" si="55"/>
        <v>36</v>
      </c>
      <c r="Z193">
        <f t="shared" si="56"/>
        <v>0</v>
      </c>
      <c r="AA193" s="24">
        <f t="shared" si="57"/>
        <v>15.666666666666666</v>
      </c>
      <c r="BB193" t="e" cm="1">
        <f t="array" ref="BB193">_xlfn.LET(_xlpm.PartF,(_xlfn.LET(_xlpm.grade, Q193,_xlpm.gradeRange, IF(_xlpm.grade=SD!$H$3, A615GR60, IF(_xlpm.grade=SD!$H$4, A615GR75, IF(_xlpm.grade=SD!$H$5, A615GR80, IF(_xlpm.grade=SD!$H$6, A615GR100, IF(_xlpm.grade=SD!$H$7, A706GR60, IF(_xlpm.grade=SD!$H$8, A706GR80)))))),_xlpm.matchValue, MATCH(1, (SD!$AW:$AW=AS193)*(SD!$AX:$AX=SD!$C$8), 0),INDEX(_xlpm.gradeRange, _xlpm.matchValue))),IF(AM193="Spiral",CONCATENATE("SP",_xlpm.PartF),_xlpm.PartF))</f>
        <v>#N/A</v>
      </c>
      <c r="BC193" cm="1">
        <f t="array" ref="BC193">_xlfn.LET(_xlpm.leftPart, LEFT(O193, FIND("@", O193) - 2),_xlpm.grade,Q193,_xlpm.gradeRange,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3" cm="1">
        <f t="array" ref="BD193">_xlfn.LET(_xlpm.leftPart, LEFT(P193, FIND("@", P193) - 2),_xlpm.grade, Q193,_xlpm.gradeRange,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3">
        <f t="shared" si="58"/>
        <v>3</v>
      </c>
      <c r="BF193">
        <f>IF(SD!$C$32=SD!$I$2,BE193,IF(SD!$C$32=SD!$I$3,DO193,IF(SD!$C$32=SD!$I$5,BA193,IF(SD!$C$32=SD!$I$6,(LEFT(SD!$C$35,FIND("-",SD!$C$35)-1)+RIGHT(SD!$C$35,LEN(SD!$C$35)-FIND("-",SD!$C$35))/12),IF(SD!$C$32=SD!$I$4,(AU193-(BG193+BH193)))))))</f>
        <v>0</v>
      </c>
      <c r="BG193">
        <f>IF(SD!$C$33=SD!$I$2,BE193,IF(SD!$C$33=SD!$I$3,DO193,IF(SD!$C$33=SD!$I$5,BA193,IF(SD!$C$33=SD!$I$6,(LEFT(SD!$C$35,FIND("-",SD!$C$35)-1)+RIGHT(SD!$C$35,LEN(SD!$C$35)-FIND("-",SD!$C$35))/12),IF(SD!$C$33=SD!$I$4,(AU193-(BF193+BH193)))))))</f>
        <v>-1</v>
      </c>
      <c r="BH193">
        <f>IF(SD!$C$34=SD!$I$2,BE193,IF(SD!$C$34=SD!$I$3,DO193,IF(SD!$C$34=SD!$I$5,BA193,IF(SD!$C$34=SD!$I$6,(LEFT(SD!$C$35,FIND("-",SD!$C$35)-1)+RIGHT(SD!$C$35,LEN(SD!$C$35)-FIND("-",SD!$C$35))/12),IF(SD!$C$34=SD!$I$4,(AU193-(BF193+BG193)))))))</f>
        <v>1</v>
      </c>
      <c r="BJ193">
        <f>IF(AM193="Spiral","1",MAX(ROUNDUP(IF(SD!$C$32="",AT193,BF193/(LEFT(RIGHT(N193,LEN(N193)-FIND("@",N193)),LEN(RIGHT(N193,LEN(N193)-FIND("@",N193)))-1)/12)+1),0),0))</f>
        <v>1</v>
      </c>
      <c r="BK193">
        <f>MAX(ROUNDUP(IF(SD!$C$33="","",BG193/(LEFT(RIGHT(O193,LEN(O193)-FIND("@",O193)),LEN(RIGHT(O193,LEN(O193)-FIND("@",O193)))-1)/12)+1),0),0)</f>
        <v>0</v>
      </c>
      <c r="BL193">
        <f>MAX(ROUNDUP(IF(SD!$C$34="","",BH193/(LEFT(RIGHT(P193,LEN(P193)-FIND("@",P193)),LEN(RIGHT(P193,LEN(P193)-FIND("@",P193)))-1)/12)+1),0),0)</f>
        <v>3</v>
      </c>
      <c r="BN193" t="e">
        <f t="shared" si="59"/>
        <v>#N/A</v>
      </c>
      <c r="BO193" t="e">
        <f t="shared" si="60"/>
        <v>#N/A</v>
      </c>
      <c r="BP193" t="e">
        <f t="shared" si="61"/>
        <v>#N/A</v>
      </c>
      <c r="BQ193" s="24" t="e">
        <f>IF(AM193=TRUE,(((Y193-(SD!$E$12*2))*3.14159265359)+BN193+BO193+BP193)/12+AL193,SUM(AF193:AG193,BN193,BO193,BP193,AO193,AQ193)/12)</f>
        <v>#N/A</v>
      </c>
      <c r="BR193" t="e">
        <f t="shared" si="62"/>
        <v>#N/A</v>
      </c>
      <c r="BS193" t="e">
        <f t="shared" si="63"/>
        <v>#N/A</v>
      </c>
      <c r="BT193" t="e">
        <f t="shared" si="64"/>
        <v>#N/A</v>
      </c>
      <c r="BU193" s="24" t="e">
        <f>IF(AM193=TRUE,(((Y193-(SD!$E$12*2))*3.14159265359)+BR193+BS193+BT193)/12+AL193,SUM(AF193:AG193,BR193,BS193,BT193,AO193,AQ193)/12)</f>
        <v>#N/A</v>
      </c>
      <c r="BW193" t="str">
        <f>IFERROR(LEFT(Data!L193,FIND(" -",Data!L193)-1),"")</f>
        <v/>
      </c>
      <c r="BX193" t="str">
        <f>IFERROR(IF(SD!$C$40=SD!$U$2,W193,IF(SD!$C$40=SD!$U$3,RIGHT(Data!L193,LEN(Data!L193)-(FIND("-",Data!L193)+1)),SD!$C$40)),"")</f>
        <v>#10</v>
      </c>
      <c r="BY193" cm="1">
        <f t="array" ref="BY193">IFERROR(_xlfn.LET(_xlpm.GRR,IF(AND(SD!$C$19=SD!$H$2,Grade!$G$1="Per level"),VLOOKUP(B193,Grade!$E$1:$F$200,2,FALSE),IF(AND(SD!$C$19=SD!$H$2,Grade!$G$1="Per Bar Size"),VLOOKUP(BX193,Grade!$B$1:$C$12,2,0),SD!$C$19)),_xlpm.is_equal, A192=A193,_xlpm.grade_range, IF(_xlpm.GRR=SD!$H$3, A615GR60,IF(_xlpm.GRR=SD!$H$4, A615GR75,IF(_xlpm.GRR=SD!$H$5, A615GR80,IF(_xlpm.GRR=SD!H197, A615GR100,IF(_xlpm.GRR=SD!$H$7, A706GR60,IF(_xlpm.GRR=SD!$H$8, A706GR80)))))),_xlpm.match_result, MATCH(1, (BSize=BX193)*(BCName=SD!$C$8), 0),_xlpm.final_result, INDEX(_xlpm.grade_range, _xlpm.match_result),IF(_xlpm.is_equal, "", _xlpm.final_result)),"")</f>
        <v>10</v>
      </c>
      <c r="BZ193">
        <f>IF(A192=A193,"",IF(SD!$C$41="Match Vertical Bars ",X193,IF(SD!$C$41=SD!$V$3,BW193,SD!$C$41)))</f>
        <v>10</v>
      </c>
      <c r="CA193" cm="1">
        <f t="array" ref="CA193">IF(A192=A193,"",IF(SD!$C$44="No T-Head",IF(SD!$C$42=SD!$Q$3,VLOOKUP(BX193,S90Range,3,FALSE),LEFT(SD!$C$42,FIND("-",SD!$C$42)-1)+(RIGHT(SD!$C$42,LEN(SD!$C$42)-FIND("-",SD!$C$42))/12)),IF(SD!$C$44="T-Head",_xlfn._xlws.FILTER(THead,(TCName=SD!$C$8)*(TSize=BX193)),IF(SD!$C$44="Level Wise",_xlfn.LET(_xlpm.result,_xlfn.XLOOKUP(B193,VDLevel,VDLevelStatus,"No"),IF(_xlpm.result="Yes",_xlfn._xlws.FILTER(THead,(TCName=SD!$C$8)*(TSize=BX193)),IF(SD!$C$42=SD!$Q$3,VLOOKUP(BX193,S90Range,3,FALSE),LEFT(SD!$C$42,FIND("-",SD!$C$42)-1)+(RIGHT(SD!$C$42,LEN(SD!$C$42)-FIND("-", SD!$C$42))/12)))),IF(SD!$C$44="BarSize Wise",_xlfn.LET(_xlpm.result,_xlfn.XLOOKUP(BX193,VDBarSize,VDBarSizeStatus,"No"),IF(_xlpm.result="Yes",_xlfn._xlws.FILTER(THead,(TCName=SD!$C$8)*(TSize=BX193)),IF(SD!$C$42=SD!$Q$3,VLOOKUP(BX193,S90Range,3,FALSE),LEFT(SD!$C$42,FIND("-",SD!$C$42)-1)+(RIGHT(SD!$C$42,LEN(SD!$C$42)-FIND("-",SD!$C$42))/12)))), "")))))</f>
        <v>1.8333333333333335</v>
      </c>
      <c r="CB193" t="str" cm="1">
        <f t="array" ref="CB193">_xlfn.LET(_xlpm.GRR,IF(AND(SD!$C$19=SD!$H$2,Grade!$G$1="Per level"),VLOOKUP(B193,Grade!$E$1:$F$200,2,FALSE),IF(AND(SD!$C$19=SD!$H$2,Grade!$G$1="Per Bar Size"),VLOOKUP(BX193,Grade!$B$1:$C$12,2,0),SD!$C$19)),_xlpm.is_coupler, K193="Coupler",_xlpm.condition1, SD!$C$43=SD!$W$2,_xlpm.data_j2_empty, Data!$J193="",_xlpm.lookup_table, IF(SD!$C$11="Create", Lap!$A$3:$BF$14, IF(SD!$C$11="Per Uploaded File", Lap!$A$19:$BF$30, "")),_xlpm.row_match, MATCH(BX193, Lap!$A$3:$A$14, 0),_xlpm.grade_offset, IF(IFERROR(FIND("Grade 60",_xlpm.GRR), 0) &gt; 0, 0, IF(IFERROR(FIND("Grade 80",_xlpm.GRR), 0), 1, IF(IFERROR(FIND("Grade 75",_xlpm.GRR), 0), 2, ""))),_xlpm.col_match, MATCH(VALUE(D193), Lap!$A$3:$BF$3, 0) + _xlpm.grade_offset,_xlpm.index_result, IFERROR(INDEX(_xlpm.lookup_table, _xlpm.row_match, _xlpm.col_match), Data!$J193),_xlpm.result_if_condition1, IF(_xlpm.data_j2_empty, _xlpm.index_result, Data!$J193),IF(_xlpm.is_coupler, 0, IF(_xlpm.condition1, _xlpm.result_if_condition1, SD!$C$43)))</f>
        <v>5-1</v>
      </c>
      <c r="CC193" s="24">
        <f t="shared" si="65"/>
        <v>5.083333333333333</v>
      </c>
      <c r="CD193">
        <f t="shared" si="66"/>
        <v>11.916666666666666</v>
      </c>
      <c r="CE193" t="str" cm="1">
        <f t="array" ref="CE193">IF(BY193="","",_xlfn._xlws.FILTER(SAC,(CName=SD!$C$8)*(EName="Vert Dowels")))</f>
        <v>2200 CD</v>
      </c>
      <c r="CF193" t="str" cm="1">
        <f t="array" ref="CF193">IFERROR(IF(BY193="","",IF(K193="Coupler",_xlfn._xlws.FILTER(CCoupler,(CCName=SD!$C$8)*(CBSize=IF(A192=A193,W192&amp;W193,BX193&amp;W193))*(CCMFM="Male")),"")),"N/A")</f>
        <v/>
      </c>
      <c r="CG193" t="str">
        <f t="shared" si="67"/>
        <v/>
      </c>
      <c r="CH193" t="str">
        <f t="shared" si="68"/>
        <v/>
      </c>
      <c r="CI193" t="str">
        <f>_xlfn.LET(_xlpm.u3_value, U194,_xlpm.hyphen_pos,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K194="Coupler",_xlpm.coupler_value, IF(_xlpm.is_coupler, 0, _xlpm.calculated_value),_xlpm.final_value, _xlpm.calculated_value + SD!$E$13 + _xlpm.coupler_value,IF(CG193="", "", _xlpm.final_value))</f>
        <v/>
      </c>
      <c r="CJ193" t="str" cm="1">
        <f t="array" ref="CJ193">IF(CG193="","",_xlfn._xlws.FILTER(SAC,(CName=SD!$C$8)*(EName="Loose Dowels")))</f>
        <v/>
      </c>
      <c r="CK193" t="str" cm="1">
        <f t="array" ref="CK193">IFERROR(IF(CG193="","",IF(K194="Coupler",_xlfn._xlws.FILTER(CCoupler,(CCName=SD!$C$8)*(CBSize=IF(A193=A194,W193&amp;W194,""))*(CCMFM="Male")),"")),"N/A")</f>
        <v/>
      </c>
      <c r="CL193">
        <f>IFERROR(IF(AM193="Spiral","",IF(A192=A193,"",IF(SD!$C$37=0,"",SD!$C$37))),"")</f>
        <v>3</v>
      </c>
      <c r="CN193">
        <f>IF(AM193="Spiral","",IFERROR(IF(SD!$C$36=0,"",SD!$C$36),""))</f>
        <v>5</v>
      </c>
      <c r="CP193">
        <f>IFERROR(IF(SD!$C$42=SD!$Q$3,'Take-off'!CA193,""),"")</f>
        <v>1.8333333333333335</v>
      </c>
      <c r="CR193">
        <f>IFERROR(IF(SD!$C$22=SD!$U$2,W193,SD!$C$22),"")</f>
        <v>0</v>
      </c>
      <c r="CS193" t="str" cm="1">
        <f t="array" ref="CS193">_xlfn.LET(_xlpm.GR,IF(AND(SD!$C$19=SD!$H$2,Grade!$G$1="Per level"),VLOOKUP(B193,Grade!$E$1:$F$200,2,FALSE),IF(AND(SD!$C$19=SD!$H$2,Grade!$G$1="Per Bar Size"),VLOOKUP(CR193,Grade!$B$1:$C$12,2,0),SD!$C$19)),IF(SD!$C$20=SD!$R$4,IF(A194=A193,"",INDEX(IF(_xlpm.GR=SD!$H$3,A615GR60,IF(_xlpm.GR=SD!$H$4,A615GR75,IF(_xlpm.GR=SD!$H$5,A615GR80,IF(_xlpm.GR=SD!H197,A615GR100,IF(_xlpm.GR=SD!$H$7,A706GR60,IF(_xlpm.GR=SD!$H$8,A706GR80)))))), MATCH(1, (BSize=CR193)*(BCName=SD!$C$8), 0))),""))</f>
        <v/>
      </c>
      <c r="CT193" t="str">
        <f>IF(A194=A193,"",IF(SD!$C$23="Match Vertical Bars ",X193,SD!$C$23))</f>
        <v/>
      </c>
      <c r="CU193" t="str" cm="1">
        <f t="array" ref="CU193">IF(A194=A193,"",IF(SD!$C$20="Top dowels",IF(SD!$E$25="No T-Head",IF(SD!$C$24=SD!$Q$3,VLOOKUP(CR193,S90Range,3,FALSE),LEFT(SD!$C$24,FIND("-",SD!$C$24)-1)+(RIGHT(SD!$C$24,LEN(SD!$C$24)-FIND("-",SD!$C$24))/12)),IF(SD!$E$25="T-Head",_xlfn._xlws.FILTER(THead,(TCName=SD!$C$8)*(TSize=CR193)),IF(SD!$E$25="Level Wise",_xlfn.LET(_xlpm.result,_xlfn.XLOOKUP(B193,TDLevel,TDLevelStatus,"No"),IF(_xlpm.result="Yes",_xlfn._xlws.FILTER(THead,(TCName=SD!$C$8)*(TSize=CR193)),IF(SD!$C$24=SD!$Q$3,VLOOKUP(CR193,S90Range,3,FALSE),LEFT(SD!$C$24,FIND("-",SD!$C$24)-1)+(RIGHT(SD!$C$24,LEN(SD!$C$24)-FIND("-", SD!$C$24))/12)))),IF(SD!$E$25="BarSize Wise",_xlfn.LET(_xlpm.result,_xlfn.XLOOKUP(CR193,TDBarSize,TDBarSizeStatus,"No"),IF(_xlpm.result="Yes",_xlfn._xlws.FILTER(THead,(TCName=SD!$C$8)*(TSize=CR193)),IF(SD!$C$24=SD!$Q$3,VLOOKUP(CR193,S90Range,3,FALSE),LEFT(SD!$C$24,FIND("-",SD!$C$24)-1)+(RIGHT(SD!$C$24,LEN(SD!$C$24)-FIND("-",SD!$C$24))/12)))), "")))),""))</f>
        <v/>
      </c>
      <c r="CV193" t="str">
        <f>_xlfn.LET(_xlpm.GRR,IF(AND(SD!$C$19=SD!$H$2,Grade!$G$1="Per level"),VLOOKUP(B193,Grade!$E$1:$F$200,2,FALSE),IF(AND(SD!$C$19=SD!$H$2,Grade!$G$1="Per Bar Size"),VLOOKUP(CR193,Grade!$B$1:$C$12,2,0),SD!$C$19)),IF(SD!$C$25=SD!$W$2,IF(Data!$J193="",IFERROR(INDEX(IF(SD!$C$11="Create",Lap!$A$3:$BF$14,IF(SD!$C$11="Per Uploaded File",Lap!$A$19:$BF$30,"")),MATCH(CR193,Lap!$A$3:$A$14,0),MATCH(VALUE(D193),Lap!$A$3:$BF$3,0)+IF(IFERROR(FIND("Grade 60",_xlpm.GRR),0)&gt;0,0,IF(IFERROR(FIND("Grade 80",_xlpm.GRR),0),1,IF(IFERROR(FIND("Grade 75",_xlpm.GRR),0),2,"")))),""),Data!J193),SD!$C$43))</f>
        <v>Match Lap</v>
      </c>
      <c r="CW193">
        <f t="shared" si="69"/>
        <v>0</v>
      </c>
      <c r="CX193">
        <f t="shared" si="70"/>
        <v>0</v>
      </c>
      <c r="CY193" t="str">
        <f t="shared" si="71"/>
        <v/>
      </c>
      <c r="DA193">
        <f t="shared" si="72"/>
        <v>65</v>
      </c>
      <c r="DB193" t="str">
        <f t="shared" si="73"/>
        <v>116-5</v>
      </c>
      <c r="DC193" s="24">
        <f t="shared" si="74"/>
        <v>116.41666666666666</v>
      </c>
      <c r="DD193">
        <f t="shared" si="75"/>
        <v>10.583333333333334</v>
      </c>
      <c r="DE193" t="s">
        <v>785</v>
      </c>
      <c r="DF193" t="s">
        <v>67</v>
      </c>
      <c r="DG193" t="str">
        <f>VLOOKUP(W193,'Level Wise PSI'!$F$2:$G$12,2,FALSE)</f>
        <v>Double Lift</v>
      </c>
      <c r="DI193" t="str" cm="1">
        <f t="array" ref="DI193">_xlfn.LET(_xlpm.Coup,IFERROR(IF(BY193="","",IF(K193="Coupler",_xlfn._xlws.FILTER(CCFCoupler,(CCName=SD!$C$8)*(CBSize=IF(A192=A193,W192&amp;W193,BX193&amp;W193))),"")),"N/A"),IF(_xlpm.Coup=0,"",_xlpm.Coup))</f>
        <v/>
      </c>
      <c r="DJ193" t="str" cm="1">
        <f t="array" ref="DJ193">_xlfn.LET(_xlpm.Coup3,IFERROR(IF(CG193="","",IF(K194="Coupler",_xlfn._xlws.FILTER(CCFCoupler,(CCName=SD!$C$8)*(CBSize=IF(A193=A194,W193&amp;W194,""))),"")),"N/A"),IF(_xlpm.Coup3=0,"",_xlpm.Coup3))</f>
        <v/>
      </c>
      <c r="DK193" t="str" cm="1">
        <f t="array" ref="DK193">_xlfn.LET(_xlpm.Coup2,IFERROR(IF(A193&lt;&gt;A194,"",IF(DF193="No Lap","",IF(K194="Coupler",_xlfn._xlws.FILTER(CCFCoupler,(CCName=SD!$C$8)*(CBSize=IF(A192=A193,W193&amp;W194,W193&amp;W193))),""))),"N/A"),IF(_xlpm.Coup2=0,"",_xlpm.Coup2))</f>
        <v/>
      </c>
      <c r="DM193" t="str">
        <f>IF(AM193="Spiral","",IF(SD!$C$31=SD!$Y$3,SD!$E$32*2,""))</f>
        <v/>
      </c>
      <c r="DO193" s="24">
        <f t="shared" si="76"/>
        <v>3</v>
      </c>
      <c r="DQ193" t="str">
        <f t="shared" si="77"/>
        <v>Lig</v>
      </c>
      <c r="DR193" t="str">
        <f>IF(AM193="Spiral",((Y193-(SD!$E$12*2))/12),"")</f>
        <v/>
      </c>
      <c r="DS193" t="str">
        <f t="shared" si="78"/>
        <v/>
      </c>
      <c r="DT193" t="str">
        <f t="shared" si="79"/>
        <v/>
      </c>
      <c r="DU193" t="str">
        <f t="shared" si="80"/>
        <v/>
      </c>
    </row>
    <row r="194" spans="1:125" x14ac:dyDescent="0.25">
      <c r="A194">
        <v>65</v>
      </c>
      <c r="B194" t="s">
        <v>670</v>
      </c>
      <c r="C194" s="15">
        <v>2429</v>
      </c>
      <c r="D194" s="15">
        <v>10000</v>
      </c>
      <c r="E194" t="str">
        <f>IF(B194=Level!$A$2,SD!$C$14,SD!$C$13)</f>
        <v>0-8</v>
      </c>
      <c r="F194" s="15" t="s">
        <v>787</v>
      </c>
      <c r="G194" t="s">
        <v>742</v>
      </c>
      <c r="H194" t="str">
        <f>RIGHT(VLOOKUP(B194,Level!A:C,3,FALSE),LEN(VLOOKUP(B194,Level!A:C,3,FALSE))-1)</f>
        <v>10-7</v>
      </c>
      <c r="I194" t="s">
        <v>743</v>
      </c>
      <c r="J194" t="str">
        <f>IF(AND(SD!$C$19=SD!$H$2,Grade!$G$1="Per level"),VLOOKUP(B194,Grade!$E$1:$F$200,2,FALSE),IF(AND(SD!$C$19=SD!$H$2,Grade!$G$1="Per Bar Size"),VLOOKUP(W194,Grade!$B$1:$C$12,2,0),SD!$C$19))</f>
        <v>A615 Grade 60</v>
      </c>
      <c r="K194" t="s">
        <v>67</v>
      </c>
      <c r="L194" t="str">
        <f>IFERROR(IF(A194&lt;&gt;A195,"",IF(DF194="No Lap","",IF(K195="Lap",U194,IF(K195="Coupler",_xlfn._xlws.FILTER(CCoupler,(CCName=SD!$C$8)*(CBSize=IF(A193=A194,W194&amp;W195,W194&amp;W194))*(CCMFM="Male")),"")))),"N/A")</f>
        <v>5-1</v>
      </c>
      <c r="M194" t="str">
        <f t="shared" ref="M194:M228" si="81">IF(A194=A195,IF(AND(IF(A194=A195,ABS(Y194-Y195),"0")&gt;6,IF(A194=A195,ABS(Z194-Z195),"0")&gt;6),I195,IF(OR(IF(A194=A195,ABS(Y194-Y195),"0")&gt;6,IF(A194=A195,ABS(Z194-Z195),"0")&gt;6),CONCATENATE(ROUNDUP(X195/2,0)," - ",W195),"")),"")</f>
        <v/>
      </c>
      <c r="N194" t="s">
        <v>719</v>
      </c>
      <c r="O194" t="s">
        <v>720</v>
      </c>
      <c r="P194" t="s">
        <v>719</v>
      </c>
      <c r="Q194" t="str">
        <f>IF(AND(SD!$C$29=SD!$P$2,Grade!$O$1="Per level"),VLOOKUP(B194,Grade!$M$1:$N$200,2,FALSE),IF(AND(SD!$C$29=SD!$P$2,Grade!$O$1="Per Bar Size"),VLOOKUP(LEFT(N194,FIND("@",N194)-2),Grade!$J$1:$K$12,2,0),SD!$C$29))</f>
        <v>A615 Grade 60</v>
      </c>
      <c r="R194" t="s">
        <v>742</v>
      </c>
      <c r="S194" s="57">
        <v>194</v>
      </c>
      <c r="U194" t="str">
        <f>IF(Data!$J194="",IFERROR(INDEX(IF(SD!$C$11="Create",Lap!$A$3:$BF$14,IF(SD!$C$11="Per Uploaded File",Lap!$A$19:$BF$30,"")),MATCH(W194,Lap!$A$3:$A$14,0),MATCH(VALUE(D194),Lap!$A$3:$BF$3,0)+IF(IFERROR(FIND("Grade 60",J194),0)&gt;0,0,IF(IFERROR(FIND("Grade 80",J194),0),1,IF(IFERROR(FIND("Grade 75",J194),0),2,"")))),""),Data!J194)</f>
        <v>5-1</v>
      </c>
      <c r="W194" t="s">
        <v>176</v>
      </c>
      <c r="X194">
        <v>6</v>
      </c>
      <c r="Y194" t="str">
        <f t="shared" ref="Y194:Y228" si="82">IFERROR(LEFT(G194,FIND(" dia",G194)-2),LEFT(G194,FIND("x",G194)-1))</f>
        <v>30</v>
      </c>
      <c r="Z194">
        <f t="shared" ref="Z194:Z228" si="83">IFERROR(IF(FIND("dia",G194)&gt;0,0,ERROR.TYPE(#VALUE!)),RIGHT(G194,LEN(G194)-FIND("x",G194)))</f>
        <v>0</v>
      </c>
      <c r="AA194" s="24">
        <f t="shared" ref="AA194:AA228" si="84">IF(OR(K195="Coupler",A194&lt;&gt;A195),LEFT(H194,FIND("-",H194)-1)+(RIGHT(H194,LEN(H194)-FIND("-",H194))/12),LEFT(H194,FIND("-",H194)-1)+IFERROR(LEFT(L194,FIND("-",L194)-1),"0")+(RIGHT(H194,LEN(H194)-FIND("-",H194))+IFERROR(RIGHT(L194,LEN(L194)-FIND("-",L194)),"0"))/12)+IFERROR(IF(ISNUMBER(AE194),AE194,0),0)</f>
        <v>15.666666666666666</v>
      </c>
      <c r="BB194" t="e" cm="1">
        <f t="array" ref="BB194">_xlfn.LET(_xlpm.PartF,(_xlfn.LET(_xlpm.grade, Q194,_xlpm.gradeRange, IF(_xlpm.grade=SD!$H$3, A615GR60, IF(_xlpm.grade=SD!$H$4, A615GR75, IF(_xlpm.grade=SD!$H$5, A615GR80, IF(_xlpm.grade=SD!$H$6, A615GR100, IF(_xlpm.grade=SD!$H$7, A706GR60, IF(_xlpm.grade=SD!$H$8, A706GR80)))))),_xlpm.matchValue, MATCH(1, (SD!$AW:$AW=AS194)*(SD!$AX:$AX=SD!$C$8), 0),INDEX(_xlpm.gradeRange, _xlpm.matchValue))),IF(AM194="Spiral",CONCATENATE("SP",_xlpm.PartF),_xlpm.PartF))</f>
        <v>#N/A</v>
      </c>
      <c r="BC194" cm="1">
        <f t="array" ref="BC194">_xlfn.LET(_xlpm.leftPart, LEFT(O194, FIND("@", O194) - 2),_xlpm.grade,Q194,_xlpm.gradeRange,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4" cm="1">
        <f t="array" ref="BD194">_xlfn.LET(_xlpm.leftPart, LEFT(P194, FIND("@", P194) - 2),_xlpm.grade, Q194,_xlpm.gradeRange,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4">
        <f t="shared" ref="BE194:BE228" si="85">_xlfn.LET(_xlpm.auDiv6, AU194 / 6,_xlpm.maxValue, MAX(_xlpm.auDiv6 * 12, _xlfn.NUMBERVALUE(Y194), _xlfn.NUMBERVALUE(Z194), 18),_xlpm.maxValue / 12)</f>
        <v>2.5</v>
      </c>
      <c r="BF194">
        <f>IF(SD!$C$32=SD!$I$2,BE194,IF(SD!$C$32=SD!$I$3,DO194,IF(SD!$C$32=SD!$I$5,BA194,IF(SD!$C$32=SD!$I$6,(LEFT(SD!$C$35,FIND("-",SD!$C$35)-1)+RIGHT(SD!$C$35,LEN(SD!$C$35)-FIND("-",SD!$C$35))/12),IF(SD!$C$32=SD!$I$4,(AU194-(BG194+BH194)))))))</f>
        <v>0</v>
      </c>
      <c r="BG194">
        <f>IF(SD!$C$33=SD!$I$2,BE194,IF(SD!$C$33=SD!$I$3,DO194,IF(SD!$C$33=SD!$I$5,BA194,IF(SD!$C$33=SD!$I$6,(LEFT(SD!$C$35,FIND("-",SD!$C$35)-1)+RIGHT(SD!$C$35,LEN(SD!$C$35)-FIND("-",SD!$C$35))/12),IF(SD!$C$33=SD!$I$4,(AU194-(BF194+BH194)))))))</f>
        <v>-1</v>
      </c>
      <c r="BH194">
        <f>IF(SD!$C$34=SD!$I$2,BE194,IF(SD!$C$34=SD!$I$3,DO194,IF(SD!$C$34=SD!$I$5,BA194,IF(SD!$C$34=SD!$I$6,(LEFT(SD!$C$35,FIND("-",SD!$C$35)-1)+RIGHT(SD!$C$35,LEN(SD!$C$35)-FIND("-",SD!$C$35))/12),IF(SD!$C$34=SD!$I$4,(AU194-(BF194+BG194)))))))</f>
        <v>1</v>
      </c>
      <c r="BJ194">
        <f>IF(AM194="Spiral","1",MAX(ROUNDUP(IF(SD!$C$32="",AT194,BF194/(LEFT(RIGHT(N194,LEN(N194)-FIND("@",N194)),LEN(RIGHT(N194,LEN(N194)-FIND("@",N194)))-1)/12)+1),0),0))</f>
        <v>1</v>
      </c>
      <c r="BK194">
        <f>MAX(ROUNDUP(IF(SD!$C$33="","",BG194/(LEFT(RIGHT(O194,LEN(O194)-FIND("@",O194)),LEN(RIGHT(O194,LEN(O194)-FIND("@",O194)))-1)/12)+1),0),0)</f>
        <v>0</v>
      </c>
      <c r="BL194">
        <f>MAX(ROUNDUP(IF(SD!$C$34="","",BH194/(LEFT(RIGHT(P194,LEN(P194)-FIND("@",P194)),LEN(RIGHT(P194,LEN(P194)-FIND("@",P194)))-1)/12)+1),0),0)</f>
        <v>3</v>
      </c>
      <c r="BN194" t="e">
        <f t="shared" ref="BN194:BN228" si="86">_xlfn.LET(_xlpm.o_value, LEFT(O194, FIND("@", O194) - 2),_xlpm.vlookup1, INDEX(Ties_Type01, MATCH(AD194, INDEX(Ties_Type01, , 1), 0), 4),_xlpm.vlookup2, INDEX(S90Range, MATCH(_xlpm.o_value, INDEX(S90Range, , 1), 0), 4),_xlpm.result, (_xlpm.vlookup1 * _xlpm.vlookup2) * 12,_xlpm.result)</f>
        <v>#N/A</v>
      </c>
      <c r="BO194" t="e">
        <f t="shared" ref="BO194:BO228" si="87">_xlfn.LET(_xlpm.o_value, LEFT(O194, FIND("@", O194) - 2),_xlpm.index1, INDEX(Ties_Type01, MATCH(AD194, INDEX(Ties_Type01, , 1), 0), 5),_xlpm.index2, INDEX(S135Range, MATCH(_xlpm.o_value, INDEX(S135Range, , 1), 0), 3),_xlpm.result, (_xlpm.index1 * _xlpm.index2) * 12,_xlpm.result)</f>
        <v>#N/A</v>
      </c>
      <c r="BP194" t="e">
        <f t="shared" ref="BP194:BP228" si="88">_xlfn.LET(_xlpm.o_value, LEFT(O194, FIND("@", O194) - 2),_xlpm.index1, INDEX(Ties_Type01, MATCH(AD194, INDEX(Ties_Type01, , 1), 0), 6),_xlpm.index2, INDEX(S180Range, MATCH(_xlpm.o_value, INDEX(S180Range, , 1), 0), 3),_xlpm.result, (_xlpm.index1 * _xlpm.index2) * 12,_xlpm.result)</f>
        <v>#N/A</v>
      </c>
      <c r="BQ194" s="24" t="e">
        <f>IF(AM194=TRUE,(((Y194-(SD!$E$12*2))*3.14159265359)+BN194+BO194+BP194)/12+AL194,SUM(AF194:AG194,BN194,BO194,BP194,AO194,AQ194)/12)</f>
        <v>#N/A</v>
      </c>
      <c r="BR194" t="e">
        <f t="shared" ref="BR194:BR228" si="89">_xlfn.LET(_xlpm.p_value, LEFT(P194, FIND("@", P194) - 2),_xlpm.index1, INDEX(Ties_Type01, MATCH(AD194, INDEX(Ties_Type01, , 1), 0), 4),_xlpm.index2, INDEX(S90Range, MATCH(_xlpm.p_value, INDEX(S90Range, , 1), 0), 4),_xlpm.result, (_xlpm.index1 * _xlpm.index2) * 12,_xlpm.result)</f>
        <v>#N/A</v>
      </c>
      <c r="BS194" t="e">
        <f t="shared" ref="BS194:BS228" si="90">_xlfn.LET(_xlpm.p_value, LEFT(P194, FIND("@", P194) - 2),_xlpm.index1, INDEX(Ties_Type01, MATCH(AD194, INDEX(Ties_Type01, , 1), 0), 5),_xlpm.index2, INDEX(S135Range, MATCH(_xlpm.p_value, INDEX(S135Range, , 1), 0), 3),_xlpm.result, (_xlpm.index1 * _xlpm.index2) * 12,_xlpm.result)</f>
        <v>#N/A</v>
      </c>
      <c r="BT194" t="e">
        <f t="shared" ref="BT194:BT228" si="91">_xlfn.LET(_xlpm.p_value, LEFT(P194, FIND("@", P194) - 2),_xlpm.index1, INDEX(Ties_Type01, MATCH(AD194, INDEX(Ties_Type01, , 1), 0), 6),_xlpm.index2, INDEX(S180Range, MATCH(_xlpm.p_value, INDEX(S180Range, , 1), 0), 3),_xlpm.result, (_xlpm.index1 * _xlpm.index2) * 12,_xlpm.result)</f>
        <v>#N/A</v>
      </c>
      <c r="BU194" s="24" t="e">
        <f>IF(AM194=TRUE,(((Y194-(SD!$E$12*2))*3.14159265359)+BR194+BS194+BT194)/12+AL194,SUM(AF194:AG194,BR194,BS194,BT194,AO194,AQ194)/12)</f>
        <v>#N/A</v>
      </c>
      <c r="BW194" t="str">
        <f>IFERROR(LEFT(Data!L194,FIND(" -",Data!L194)-1),"")</f>
        <v/>
      </c>
      <c r="BX194" t="str">
        <f>IFERROR(IF(SD!$C$40=SD!$U$2,W194,IF(SD!$C$40=SD!$U$3,RIGHT(Data!L194,LEN(Data!L194)-(FIND("-",Data!L194)+1)),SD!$C$40)),"")</f>
        <v>#10</v>
      </c>
      <c r="BY194" t="str" cm="1">
        <f t="array" ref="BY194">IFERROR(_xlfn.LET(_xlpm.GRR,IF(AND(SD!$C$19=SD!$H$2,Grade!$G$1="Per level"),VLOOKUP(B194,Grade!$E$1:$F$200,2,FALSE),IF(AND(SD!$C$19=SD!$H$2,Grade!$G$1="Per Bar Size"),VLOOKUP(BX194,Grade!$B$1:$C$12,2,0),SD!$C$19)),_xlpm.is_equal, A193=A194,_xlpm.grade_range, IF(_xlpm.GRR=SD!$H$3, A615GR60,IF(_xlpm.GRR=SD!$H$4, A615GR75,IF(_xlpm.GRR=SD!$H$5, A615GR80,IF(_xlpm.GRR=SD!H198, A615GR100,IF(_xlpm.GRR=SD!$H$7, A706GR60,IF(_xlpm.GRR=SD!$H$8, A706GR80)))))),_xlpm.match_result, MATCH(1, (BSize=BX194)*(BCName=SD!$C$8), 0),_xlpm.final_result, INDEX(_xlpm.grade_range, _xlpm.match_result),IF(_xlpm.is_equal, "", _xlpm.final_result)),"")</f>
        <v/>
      </c>
      <c r="BZ194" t="str">
        <f>IF(A193=A194,"",IF(SD!$C$41="Match Vertical Bars ",X194,IF(SD!$C$41=SD!$V$3,BW194,SD!$C$41)))</f>
        <v/>
      </c>
      <c r="CA194" t="str" cm="1">
        <f t="array" ref="CA194">IF(A193=A194,"",IF(SD!$C$44="No T-Head",IF(SD!$C$42=SD!$Q$3,VLOOKUP(BX194,S90Range,3,FALSE),LEFT(SD!$C$42,FIND("-",SD!$C$42)-1)+(RIGHT(SD!$C$42,LEN(SD!$C$42)-FIND("-",SD!$C$42))/12)),IF(SD!$C$44="T-Head",_xlfn._xlws.FILTER(THead,(TCName=SD!$C$8)*(TSize=BX194)),IF(SD!$C$44="Level Wise",_xlfn.LET(_xlpm.result,_xlfn.XLOOKUP(B194,VDLevel,VDLevelStatus,"No"),IF(_xlpm.result="Yes",_xlfn._xlws.FILTER(THead,(TCName=SD!$C$8)*(TSize=BX194)),IF(SD!$C$42=SD!$Q$3,VLOOKUP(BX194,S90Range,3,FALSE),LEFT(SD!$C$42,FIND("-",SD!$C$42)-1)+(RIGHT(SD!$C$42,LEN(SD!$C$42)-FIND("-", SD!$C$42))/12)))),IF(SD!$C$44="BarSize Wise",_xlfn.LET(_xlpm.result,_xlfn.XLOOKUP(BX194,VDBarSize,VDBarSizeStatus,"No"),IF(_xlpm.result="Yes",_xlfn._xlws.FILTER(THead,(TCName=SD!$C$8)*(TSize=BX194)),IF(SD!$C$42=SD!$Q$3,VLOOKUP(BX194,S90Range,3,FALSE),LEFT(SD!$C$42,FIND("-",SD!$C$42)-1)+(RIGHT(SD!$C$42,LEN(SD!$C$42)-FIND("-",SD!$C$42))/12)))), "")))))</f>
        <v/>
      </c>
      <c r="CB194" t="str" cm="1">
        <f t="array" ref="CB194">_xlfn.LET(_xlpm.GRR,IF(AND(SD!$C$19=SD!$H$2,Grade!$G$1="Per level"),VLOOKUP(B194,Grade!$E$1:$F$200,2,FALSE),IF(AND(SD!$C$19=SD!$H$2,Grade!$G$1="Per Bar Size"),VLOOKUP(BX194,Grade!$B$1:$C$12,2,0),SD!$C$19)),_xlpm.is_coupler, K194="Coupler",_xlpm.condition1, SD!$C$43=SD!$W$2,_xlpm.data_j2_empty, Data!$J194="",_xlpm.lookup_table, IF(SD!$C$11="Create", Lap!$A$3:$BF$14, IF(SD!$C$11="Per Uploaded File", Lap!$A$19:$BF$30, "")),_xlpm.row_match, MATCH(BX194, Lap!$A$3:$A$14, 0),_xlpm.grade_offset, IF(IFERROR(FIND("Grade 60",_xlpm.GRR), 0) &gt; 0, 0, IF(IFERROR(FIND("Grade 80",_xlpm.GRR), 0), 1, IF(IFERROR(FIND("Grade 75",_xlpm.GRR), 0), 2, ""))),_xlpm.col_match, MATCH(VALUE(D194), Lap!$A$3:$BF$3, 0) + _xlpm.grade_offset,_xlpm.index_result, IFERROR(INDEX(_xlpm.lookup_table, _xlpm.row_match, _xlpm.col_match), Data!$J194),_xlpm.result_if_condition1, IF(_xlpm.data_j2_empty, _xlpm.index_result, Data!$J194),IF(_xlpm.is_coupler, 0, IF(_xlpm.condition1, _xlpm.result_if_condition1, SD!$C$43)))</f>
        <v>5-1</v>
      </c>
      <c r="CC194" s="24">
        <f t="shared" ref="CC194:CC228" si="92">_xlfn.LET(_xlpm.cb_value, CB194,_xlpm.is_number, ISNUMBER(_xlpm.cb_value),_xlpm.hyphen_pos, FIND("-", _xlpm.cb_value),_xlpm.left_part, LEFT(_xlpm.cb_value, _xlpm.hyphen_pos - 1),_xlpm.right_part, RIGHT(_xlpm.cb_value, LEN(_xlpm.cb_value) - _xlpm.hyphen_pos) / 12,_xlpm.calculated_value, _xlpm.left_part + _xlpm.right_part,_xlpm.result, IF(_xlpm.is_number, _xlpm.cb_value, _xlpm.calculated_value),IFERROR(_xlpm.result, 0))</f>
        <v>5.083333333333333</v>
      </c>
      <c r="CD194">
        <f t="shared" ref="CD194:CD228" si="93">_xlfn.LET(_xlpm.dep,(LEFT(E194,FIND("-",E194)-1)+(RIGHT(E194,LEN(E194)-FIND("-",E194))/12)),IF(ISNUMBER(CA194),CA194+CC194+_xlpm.dep,CC194+_xlpm.dep))</f>
        <v>5.75</v>
      </c>
      <c r="CE194" t="str" cm="1">
        <f t="array" ref="CE194">IF(BY194="","",_xlfn._xlws.FILTER(SAC,(CName=SD!$C$8)*(EName="Vert Dowels")))</f>
        <v/>
      </c>
      <c r="CF194" t="str" cm="1">
        <f t="array" ref="CF194">IFERROR(IF(BY194="","",IF(K194="Coupler",_xlfn._xlws.FILTER(CCoupler,(CCName=SD!$C$8)*(CBSize=IF(A193=A194,W193&amp;W194,BX194&amp;W194))*(CCMFM="Male")),"")),"N/A")</f>
        <v/>
      </c>
      <c r="CG194" t="str">
        <f t="shared" ref="CG194:CG228" si="94">IFERROR(LEFT(M194,FIND(" -",M194)-1),"")</f>
        <v/>
      </c>
      <c r="CH194" t="str">
        <f t="shared" ref="CH194:CH228" si="95">IF(CG194="","",AZ195)</f>
        <v/>
      </c>
      <c r="CI194" t="str">
        <f>_xlfn.LET(_xlpm.u3_value, U195,_xlpm.hyphen_pos,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K195="Coupler",_xlpm.coupler_value, IF(_xlpm.is_coupler, 0, _xlpm.calculated_value),_xlpm.final_value, _xlpm.calculated_value + SD!$E$13 + _xlpm.coupler_value,IF(CG194="", "", _xlpm.final_value))</f>
        <v/>
      </c>
      <c r="CJ194" t="str" cm="1">
        <f t="array" ref="CJ194">IF(CG194="","",_xlfn._xlws.FILTER(SAC,(CName=SD!$C$8)*(EName="Loose Dowels")))</f>
        <v/>
      </c>
      <c r="CK194" t="str" cm="1">
        <f t="array" ref="CK194">IFERROR(IF(CG194="","",IF(K195="Coupler",_xlfn._xlws.FILTER(CCoupler,(CCName=SD!$C$8)*(CBSize=IF(A194=A195,W194&amp;W195,""))*(CCMFM="Male")),"")),"N/A")</f>
        <v/>
      </c>
      <c r="CL194" t="str">
        <f>IFERROR(IF(AM194="Spiral","",IF(A193=A194,"",IF(SD!$C$37=0,"",SD!$C$37))),"")</f>
        <v/>
      </c>
      <c r="CN194">
        <f>IF(AM194="Spiral","",IFERROR(IF(SD!$C$36=0,"",SD!$C$36),""))</f>
        <v>5</v>
      </c>
      <c r="CP194" t="str">
        <f>IFERROR(IF(SD!$C$42=SD!$Q$3,'Take-off'!CA194,""),"")</f>
        <v/>
      </c>
      <c r="CR194">
        <f>IFERROR(IF(SD!$C$22=SD!$U$2,W194,SD!$C$22),"")</f>
        <v>0</v>
      </c>
      <c r="CS194" t="str" cm="1">
        <f t="array" ref="CS194">_xlfn.LET(_xlpm.GR,IF(AND(SD!$C$19=SD!$H$2,Grade!$G$1="Per level"),VLOOKUP(B194,Grade!$E$1:$F$200,2,FALSE),IF(AND(SD!$C$19=SD!$H$2,Grade!$G$1="Per Bar Size"),VLOOKUP(CR194,Grade!$B$1:$C$12,2,0),SD!$C$19)),IF(SD!$C$20=SD!$R$4,IF(A195=A194,"",INDEX(IF(_xlpm.GR=SD!$H$3,A615GR60,IF(_xlpm.GR=SD!$H$4,A615GR75,IF(_xlpm.GR=SD!$H$5,A615GR80,IF(_xlpm.GR=SD!H198,A615GR100,IF(_xlpm.GR=SD!$H$7,A706GR60,IF(_xlpm.GR=SD!$H$8,A706GR80)))))), MATCH(1, (BSize=CR194)*(BCName=SD!$C$8), 0))),""))</f>
        <v/>
      </c>
      <c r="CT194" t="str">
        <f>IF(A195=A194,"",IF(SD!$C$23="Match Vertical Bars ",X194,SD!$C$23))</f>
        <v/>
      </c>
      <c r="CU194" t="str" cm="1">
        <f t="array" ref="CU194">IF(A195=A194,"",IF(SD!$C$20="Top dowels",IF(SD!$E$25="No T-Head",IF(SD!$C$24=SD!$Q$3,VLOOKUP(CR194,S90Range,3,FALSE),LEFT(SD!$C$24,FIND("-",SD!$C$24)-1)+(RIGHT(SD!$C$24,LEN(SD!$C$24)-FIND("-",SD!$C$24))/12)),IF(SD!$E$25="T-Head",_xlfn._xlws.FILTER(THead,(TCName=SD!$C$8)*(TSize=CR194)),IF(SD!$E$25="Level Wise",_xlfn.LET(_xlpm.result,_xlfn.XLOOKUP(B194,TDLevel,TDLevelStatus,"No"),IF(_xlpm.result="Yes",_xlfn._xlws.FILTER(THead,(TCName=SD!$C$8)*(TSize=CR194)),IF(SD!$C$24=SD!$Q$3,VLOOKUP(CR194,S90Range,3,FALSE),LEFT(SD!$C$24,FIND("-",SD!$C$24)-1)+(RIGHT(SD!$C$24,LEN(SD!$C$24)-FIND("-", SD!$C$24))/12)))),IF(SD!$E$25="BarSize Wise",_xlfn.LET(_xlpm.result,_xlfn.XLOOKUP(CR194,TDBarSize,TDBarSizeStatus,"No"),IF(_xlpm.result="Yes",_xlfn._xlws.FILTER(THead,(TCName=SD!$C$8)*(TSize=CR194)),IF(SD!$C$24=SD!$Q$3,VLOOKUP(CR194,S90Range,3,FALSE),LEFT(SD!$C$24,FIND("-",SD!$C$24)-1)+(RIGHT(SD!$C$24,LEN(SD!$C$24)-FIND("-",SD!$C$24))/12)))), "")))),""))</f>
        <v/>
      </c>
      <c r="CV194" t="str">
        <f>_xlfn.LET(_xlpm.GRR,IF(AND(SD!$C$19=SD!$H$2,Grade!$G$1="Per level"),VLOOKUP(B194,Grade!$E$1:$F$200,2,FALSE),IF(AND(SD!$C$19=SD!$H$2,Grade!$G$1="Per Bar Size"),VLOOKUP(CR194,Grade!$B$1:$C$12,2,0),SD!$C$19)),IF(SD!$C$25=SD!$W$2,IF(Data!$J194="",IFERROR(INDEX(IF(SD!$C$11="Create",Lap!$A$3:$BF$14,IF(SD!$C$11="Per Uploaded File",Lap!$A$19:$BF$30,"")),MATCH(CR194,Lap!$A$3:$A$14,0),MATCH(VALUE(D194),Lap!$A$3:$BF$3,0)+IF(IFERROR(FIND("Grade 60",_xlpm.GRR),0)&gt;0,0,IF(IFERROR(FIND("Grade 80",_xlpm.GRR),0),1,IF(IFERROR(FIND("Grade 75",_xlpm.GRR),0),2,"")))),""),Data!J194),SD!$C$43))</f>
        <v>Match Lap</v>
      </c>
      <c r="CW194">
        <f t="shared" ref="CW194:CW228" si="96">IFERROR(IF(ISNUMBER(CV194),CV194,LEFT(CV194,FIND("-",CV194)-1)+(RIGHT(CV194,LEN(CV194)-FIND("-",CV194))/12)),0)</f>
        <v>0</v>
      </c>
      <c r="CX194">
        <f t="shared" ref="CX194:CX228" si="97">IF(ISNUMBER(CU194),CU194+CW194,CW194)</f>
        <v>0</v>
      </c>
      <c r="CY194" t="str">
        <f t="shared" ref="CY194:CY228" si="98">IF(NOT(ISNUMBER(CU194)), CU194, "")</f>
        <v/>
      </c>
      <c r="DA194" t="str">
        <f t="shared" ref="DA194:DA228" si="99">IFERROR(IF(A193=A194,"",A194),"")</f>
        <v/>
      </c>
      <c r="DB194" t="str">
        <f t="shared" ref="DB194:DB228" si="100">IFERROR(IF(DA194="","",INT(DC194) &amp; "-" &amp; ROUND((DC194-INT(DC194))*12, 0)),"")</f>
        <v/>
      </c>
      <c r="DC194" s="24" t="str">
        <f t="shared" ref="DC194:DC228" si="101">IF(DA194="","",SUMIF(A:A,DA194,DD:DD))</f>
        <v/>
      </c>
      <c r="DD194">
        <f t="shared" ref="DD194:DD228" si="102">IFERROR(LEFT(H194,FIND("-",H194)-1)+(RIGHT(H194,LEN(H194)-FIND("-",H194)))/12,"")</f>
        <v>10.583333333333334</v>
      </c>
      <c r="DE194" t="s">
        <v>785</v>
      </c>
      <c r="DF194" t="s">
        <v>67</v>
      </c>
      <c r="DG194" t="str">
        <f>VLOOKUP(W194,'Level Wise PSI'!$F$2:$G$12,2,FALSE)</f>
        <v>Double Lift</v>
      </c>
      <c r="DI194" t="str" cm="1">
        <f t="array" ref="DI194">_xlfn.LET(_xlpm.Coup,IFERROR(IF(BY194="","",IF(K194="Coupler",_xlfn._xlws.FILTER(CCFCoupler,(CCName=SD!$C$8)*(CBSize=IF(A193=A194,W193&amp;W194,BX194&amp;W194))),"")),"N/A"),IF(_xlpm.Coup=0,"",_xlpm.Coup))</f>
        <v/>
      </c>
      <c r="DJ194" t="str" cm="1">
        <f t="array" ref="DJ194">_xlfn.LET(_xlpm.Coup3,IFERROR(IF(CG194="","",IF(K195="Coupler",_xlfn._xlws.FILTER(CCFCoupler,(CCName=SD!$C$8)*(CBSize=IF(A194=A195,W194&amp;W195,""))),"")),"N/A"),IF(_xlpm.Coup3=0,"",_xlpm.Coup3))</f>
        <v/>
      </c>
      <c r="DK194" t="str" cm="1">
        <f t="array" ref="DK194">_xlfn.LET(_xlpm.Coup2,IFERROR(IF(A194&lt;&gt;A195,"",IF(DF194="No Lap","",IF(K195="Coupler",_xlfn._xlws.FILTER(CCFCoupler,(CCName=SD!$C$8)*(CBSize=IF(A193=A194,W194&amp;W195,W194&amp;W194))),""))),"N/A"),IF(_xlpm.Coup2=0,"",_xlpm.Coup2))</f>
        <v/>
      </c>
      <c r="DM194" t="str">
        <f>IF(AM194="Spiral","",IF(SD!$C$31=SD!$Y$3,SD!$E$32*2,""))</f>
        <v/>
      </c>
      <c r="DO194" s="24">
        <f t="shared" ref="DO194:DO228" si="103">_xlfn.LET(_xlpm.auDiv6, AU194 / 8,_xlpm.maxValue, MAX(_xlpm.auDiv6 * 12, _xlfn.NUMBERVALUE(Y194), _xlfn.NUMBERVALUE(Z194), 18),_xlpm.maxValue / 12)</f>
        <v>2.5</v>
      </c>
      <c r="DQ194" t="str">
        <f t="shared" ref="DQ194:DQ228" si="104">IF(AM194="Spiral","Spi","Lig")</f>
        <v>Lig</v>
      </c>
      <c r="DR194" t="str">
        <f>IF(AM194="Spiral",((Y194-(SD!$E$12*2))/12),"")</f>
        <v/>
      </c>
      <c r="DS194" t="str">
        <f t="shared" ref="DS194:DS228" si="105">IF(AM194="Spiral",(LEFT(RIGHT(N194,LEN(N194)-FIND("@",N194)),LEN(RIGHT(N194,LEN(N194)-FIND("@",N194)))-1)/12),"")</f>
        <v/>
      </c>
      <c r="DT194" t="str">
        <f t="shared" ref="DT194:DT228" si="106">IF(AM194="Spiral",AQ194,"")</f>
        <v/>
      </c>
      <c r="DU194" t="str">
        <f t="shared" ref="DU194:DU228" si="107">IF(AM194="Spiral","BT","")</f>
        <v/>
      </c>
    </row>
    <row r="195" spans="1:125" x14ac:dyDescent="0.25">
      <c r="A195">
        <v>65</v>
      </c>
      <c r="B195" t="s">
        <v>672</v>
      </c>
      <c r="C195" s="15">
        <v>2429</v>
      </c>
      <c r="D195" s="15">
        <v>10000</v>
      </c>
      <c r="E195" t="str">
        <f>IF(B195=Level!$A$2,SD!$C$14,SD!$C$13)</f>
        <v>0-8</v>
      </c>
      <c r="F195" s="15" t="s">
        <v>787</v>
      </c>
      <c r="G195" t="s">
        <v>742</v>
      </c>
      <c r="H195" t="str">
        <f>RIGHT(VLOOKUP(B195,Level!A:C,3,FALSE),LEN(VLOOKUP(B195,Level!A:C,3,FALSE))-1)</f>
        <v>10-7</v>
      </c>
      <c r="I195" t="s">
        <v>743</v>
      </c>
      <c r="J195" t="str">
        <f>IF(AND(SD!$C$19=SD!$H$2,Grade!$G$1="Per level"),VLOOKUP(B195,Grade!$E$1:$F$200,2,FALSE),IF(AND(SD!$C$19=SD!$H$2,Grade!$G$1="Per Bar Size"),VLOOKUP(W195,Grade!$B$1:$C$12,2,0),SD!$C$19))</f>
        <v>A615 Grade 60</v>
      </c>
      <c r="K195" t="s">
        <v>67</v>
      </c>
      <c r="L195" t="str">
        <f>IFERROR(IF(A195&lt;&gt;A196,"",IF(DF195="No Lap","",IF(K196="Lap",U195,IF(K196="Coupler",_xlfn._xlws.FILTER(CCoupler,(CCName=SD!$C$8)*(CBSize=IF(A194=A195,W195&amp;W196,W195&amp;W195))*(CCMFM="Male")),"")))),"N/A")</f>
        <v>5-1</v>
      </c>
      <c r="M195" t="str">
        <f t="shared" si="81"/>
        <v/>
      </c>
      <c r="N195" t="s">
        <v>719</v>
      </c>
      <c r="O195" t="s">
        <v>720</v>
      </c>
      <c r="P195" t="s">
        <v>719</v>
      </c>
      <c r="Q195" t="str">
        <f>IF(AND(SD!$C$29=SD!$P$2,Grade!$O$1="Per level"),VLOOKUP(B195,Grade!$M$1:$N$200,2,FALSE),IF(AND(SD!$C$29=SD!$P$2,Grade!$O$1="Per Bar Size"),VLOOKUP(LEFT(N195,FIND("@",N195)-2),Grade!$J$1:$K$12,2,0),SD!$C$29))</f>
        <v>A615 Grade 60</v>
      </c>
      <c r="R195" t="s">
        <v>742</v>
      </c>
      <c r="S195" s="57">
        <v>195</v>
      </c>
      <c r="U195" t="str">
        <f>IF(Data!$J195="",IFERROR(INDEX(IF(SD!$C$11="Create",Lap!$A$3:$BF$14,IF(SD!$C$11="Per Uploaded File",Lap!$A$19:$BF$30,"")),MATCH(W195,Lap!$A$3:$A$14,0),MATCH(VALUE(D195),Lap!$A$3:$BF$3,0)+IF(IFERROR(FIND("Grade 60",J195),0)&gt;0,0,IF(IFERROR(FIND("Grade 80",J195),0),1,IF(IFERROR(FIND("Grade 75",J195),0),2,"")))),""),Data!J195)</f>
        <v>5-1</v>
      </c>
      <c r="W195" t="s">
        <v>176</v>
      </c>
      <c r="X195">
        <v>6</v>
      </c>
      <c r="Y195" t="str">
        <f t="shared" si="82"/>
        <v>30</v>
      </c>
      <c r="Z195">
        <f t="shared" si="83"/>
        <v>0</v>
      </c>
      <c r="AA195" s="24">
        <f t="shared" si="84"/>
        <v>15.666666666666666</v>
      </c>
      <c r="BB195" t="e" cm="1">
        <f t="array" ref="BB195">_xlfn.LET(_xlpm.PartF,(_xlfn.LET(_xlpm.grade, Q195,_xlpm.gradeRange, IF(_xlpm.grade=SD!$H$3, A615GR60, IF(_xlpm.grade=SD!$H$4, A615GR75, IF(_xlpm.grade=SD!$H$5, A615GR80, IF(_xlpm.grade=SD!$H$6, A615GR100, IF(_xlpm.grade=SD!$H$7, A706GR60, IF(_xlpm.grade=SD!$H$8, A706GR80)))))),_xlpm.matchValue, MATCH(1, (SD!$AW:$AW=AS195)*(SD!$AX:$AX=SD!$C$8), 0),INDEX(_xlpm.gradeRange, _xlpm.matchValue))),IF(AM195="Spiral",CONCATENATE("SP",_xlpm.PartF),_xlpm.PartF))</f>
        <v>#N/A</v>
      </c>
      <c r="BC195" cm="1">
        <f t="array" ref="BC195">_xlfn.LET(_xlpm.leftPart, LEFT(O195, FIND("@", O195) - 2),_xlpm.grade,Q195,_xlpm.gradeRange,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5" cm="1">
        <f t="array" ref="BD195">_xlfn.LET(_xlpm.leftPart, LEFT(P195, FIND("@", P195) - 2),_xlpm.grade, Q195,_xlpm.gradeRange,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5">
        <f t="shared" si="85"/>
        <v>2.5</v>
      </c>
      <c r="BF195">
        <f>IF(SD!$C$32=SD!$I$2,BE195,IF(SD!$C$32=SD!$I$3,DO195,IF(SD!$C$32=SD!$I$5,BA195,IF(SD!$C$32=SD!$I$6,(LEFT(SD!$C$35,FIND("-",SD!$C$35)-1)+RIGHT(SD!$C$35,LEN(SD!$C$35)-FIND("-",SD!$C$35))/12),IF(SD!$C$32=SD!$I$4,(AU195-(BG195+BH195)))))))</f>
        <v>0</v>
      </c>
      <c r="BG195">
        <f>IF(SD!$C$33=SD!$I$2,BE195,IF(SD!$C$33=SD!$I$3,DO195,IF(SD!$C$33=SD!$I$5,BA195,IF(SD!$C$33=SD!$I$6,(LEFT(SD!$C$35,FIND("-",SD!$C$35)-1)+RIGHT(SD!$C$35,LEN(SD!$C$35)-FIND("-",SD!$C$35))/12),IF(SD!$C$33=SD!$I$4,(AU195-(BF195+BH195)))))))</f>
        <v>-1</v>
      </c>
      <c r="BH195">
        <f>IF(SD!$C$34=SD!$I$2,BE195,IF(SD!$C$34=SD!$I$3,DO195,IF(SD!$C$34=SD!$I$5,BA195,IF(SD!$C$34=SD!$I$6,(LEFT(SD!$C$35,FIND("-",SD!$C$35)-1)+RIGHT(SD!$C$35,LEN(SD!$C$35)-FIND("-",SD!$C$35))/12),IF(SD!$C$34=SD!$I$4,(AU195-(BF195+BG195)))))))</f>
        <v>1</v>
      </c>
      <c r="BJ195">
        <f>IF(AM195="Spiral","1",MAX(ROUNDUP(IF(SD!$C$32="",AT195,BF195/(LEFT(RIGHT(N195,LEN(N195)-FIND("@",N195)),LEN(RIGHT(N195,LEN(N195)-FIND("@",N195)))-1)/12)+1),0),0))</f>
        <v>1</v>
      </c>
      <c r="BK195">
        <f>MAX(ROUNDUP(IF(SD!$C$33="","",BG195/(LEFT(RIGHT(O195,LEN(O195)-FIND("@",O195)),LEN(RIGHT(O195,LEN(O195)-FIND("@",O195)))-1)/12)+1),0),0)</f>
        <v>0</v>
      </c>
      <c r="BL195">
        <f>MAX(ROUNDUP(IF(SD!$C$34="","",BH195/(LEFT(RIGHT(P195,LEN(P195)-FIND("@",P195)),LEN(RIGHT(P195,LEN(P195)-FIND("@",P195)))-1)/12)+1),0),0)</f>
        <v>3</v>
      </c>
      <c r="BN195" t="e">
        <f t="shared" si="86"/>
        <v>#N/A</v>
      </c>
      <c r="BO195" t="e">
        <f t="shared" si="87"/>
        <v>#N/A</v>
      </c>
      <c r="BP195" t="e">
        <f t="shared" si="88"/>
        <v>#N/A</v>
      </c>
      <c r="BQ195" s="24" t="e">
        <f>IF(AM195=TRUE,(((Y195-(SD!$E$12*2))*3.14159265359)+BN195+BO195+BP195)/12+AL195,SUM(AF195:AG195,BN195,BO195,BP195,AO195,AQ195)/12)</f>
        <v>#N/A</v>
      </c>
      <c r="BR195" t="e">
        <f t="shared" si="89"/>
        <v>#N/A</v>
      </c>
      <c r="BS195" t="e">
        <f t="shared" si="90"/>
        <v>#N/A</v>
      </c>
      <c r="BT195" t="e">
        <f t="shared" si="91"/>
        <v>#N/A</v>
      </c>
      <c r="BU195" s="24" t="e">
        <f>IF(AM195=TRUE,(((Y195-(SD!$E$12*2))*3.14159265359)+BR195+BS195+BT195)/12+AL195,SUM(AF195:AG195,BR195,BS195,BT195,AO195,AQ195)/12)</f>
        <v>#N/A</v>
      </c>
      <c r="BW195" t="str">
        <f>IFERROR(LEFT(Data!L195,FIND(" -",Data!L195)-1),"")</f>
        <v/>
      </c>
      <c r="BX195" t="str">
        <f>IFERROR(IF(SD!$C$40=SD!$U$2,W195,IF(SD!$C$40=SD!$U$3,RIGHT(Data!L195,LEN(Data!L195)-(FIND("-",Data!L195)+1)),SD!$C$40)),"")</f>
        <v>#10</v>
      </c>
      <c r="BY195" t="str" cm="1">
        <f t="array" ref="BY195">IFERROR(_xlfn.LET(_xlpm.GRR,IF(AND(SD!$C$19=SD!$H$2,Grade!$G$1="Per level"),VLOOKUP(B195,Grade!$E$1:$F$200,2,FALSE),IF(AND(SD!$C$19=SD!$H$2,Grade!$G$1="Per Bar Size"),VLOOKUP(BX195,Grade!$B$1:$C$12,2,0),SD!$C$19)),_xlpm.is_equal, A194=A195,_xlpm.grade_range, IF(_xlpm.GRR=SD!$H$3, A615GR60,IF(_xlpm.GRR=SD!$H$4, A615GR75,IF(_xlpm.GRR=SD!$H$5, A615GR80,IF(_xlpm.GRR=SD!H199, A615GR100,IF(_xlpm.GRR=SD!$H$7, A706GR60,IF(_xlpm.GRR=SD!$H$8, A706GR80)))))),_xlpm.match_result, MATCH(1, (BSize=BX195)*(BCName=SD!$C$8), 0),_xlpm.final_result, INDEX(_xlpm.grade_range, _xlpm.match_result),IF(_xlpm.is_equal, "", _xlpm.final_result)),"")</f>
        <v/>
      </c>
      <c r="BZ195" t="str">
        <f>IF(A194=A195,"",IF(SD!$C$41="Match Vertical Bars ",X195,IF(SD!$C$41=SD!$V$3,BW195,SD!$C$41)))</f>
        <v/>
      </c>
      <c r="CA195" t="str" cm="1">
        <f t="array" ref="CA195">IF(A194=A195,"",IF(SD!$C$44="No T-Head",IF(SD!$C$42=SD!$Q$3,VLOOKUP(BX195,S90Range,3,FALSE),LEFT(SD!$C$42,FIND("-",SD!$C$42)-1)+(RIGHT(SD!$C$42,LEN(SD!$C$42)-FIND("-",SD!$C$42))/12)),IF(SD!$C$44="T-Head",_xlfn._xlws.FILTER(THead,(TCName=SD!$C$8)*(TSize=BX195)),IF(SD!$C$44="Level Wise",_xlfn.LET(_xlpm.result,_xlfn.XLOOKUP(B195,VDLevel,VDLevelStatus,"No"),IF(_xlpm.result="Yes",_xlfn._xlws.FILTER(THead,(TCName=SD!$C$8)*(TSize=BX195)),IF(SD!$C$42=SD!$Q$3,VLOOKUP(BX195,S90Range,3,FALSE),LEFT(SD!$C$42,FIND("-",SD!$C$42)-1)+(RIGHT(SD!$C$42,LEN(SD!$C$42)-FIND("-", SD!$C$42))/12)))),IF(SD!$C$44="BarSize Wise",_xlfn.LET(_xlpm.result,_xlfn.XLOOKUP(BX195,VDBarSize,VDBarSizeStatus,"No"),IF(_xlpm.result="Yes",_xlfn._xlws.FILTER(THead,(TCName=SD!$C$8)*(TSize=BX195)),IF(SD!$C$42=SD!$Q$3,VLOOKUP(BX195,S90Range,3,FALSE),LEFT(SD!$C$42,FIND("-",SD!$C$42)-1)+(RIGHT(SD!$C$42,LEN(SD!$C$42)-FIND("-",SD!$C$42))/12)))), "")))))</f>
        <v/>
      </c>
      <c r="CB195" t="str" cm="1">
        <f t="array" ref="CB195">_xlfn.LET(_xlpm.GRR,IF(AND(SD!$C$19=SD!$H$2,Grade!$G$1="Per level"),VLOOKUP(B195,Grade!$E$1:$F$200,2,FALSE),IF(AND(SD!$C$19=SD!$H$2,Grade!$G$1="Per Bar Size"),VLOOKUP(BX195,Grade!$B$1:$C$12,2,0),SD!$C$19)),_xlpm.is_coupler, K195="Coupler",_xlpm.condition1, SD!$C$43=SD!$W$2,_xlpm.data_j2_empty, Data!$J195="",_xlpm.lookup_table, IF(SD!$C$11="Create", Lap!$A$3:$BF$14, IF(SD!$C$11="Per Uploaded File", Lap!$A$19:$BF$30, "")),_xlpm.row_match, MATCH(BX195, Lap!$A$3:$A$14, 0),_xlpm.grade_offset, IF(IFERROR(FIND("Grade 60",_xlpm.GRR), 0) &gt; 0, 0, IF(IFERROR(FIND("Grade 80",_xlpm.GRR), 0), 1, IF(IFERROR(FIND("Grade 75",_xlpm.GRR), 0), 2, ""))),_xlpm.col_match, MATCH(VALUE(D195), Lap!$A$3:$BF$3, 0) + _xlpm.grade_offset,_xlpm.index_result, IFERROR(INDEX(_xlpm.lookup_table, _xlpm.row_match, _xlpm.col_match), Data!$J195),_xlpm.result_if_condition1, IF(_xlpm.data_j2_empty, _xlpm.index_result, Data!$J195),IF(_xlpm.is_coupler, 0, IF(_xlpm.condition1, _xlpm.result_if_condition1, SD!$C$43)))</f>
        <v>5-1</v>
      </c>
      <c r="CC195" s="24">
        <f t="shared" si="92"/>
        <v>5.083333333333333</v>
      </c>
      <c r="CD195">
        <f t="shared" si="93"/>
        <v>5.75</v>
      </c>
      <c r="CE195" t="str" cm="1">
        <f t="array" ref="CE195">IF(BY195="","",_xlfn._xlws.FILTER(SAC,(CName=SD!$C$8)*(EName="Vert Dowels")))</f>
        <v/>
      </c>
      <c r="CF195" t="str" cm="1">
        <f t="array" ref="CF195">IFERROR(IF(BY195="","",IF(K195="Coupler",_xlfn._xlws.FILTER(CCoupler,(CCName=SD!$C$8)*(CBSize=IF(A194=A195,W194&amp;W195,BX195&amp;W195))*(CCMFM="Male")),"")),"N/A")</f>
        <v/>
      </c>
      <c r="CG195" t="str">
        <f t="shared" si="94"/>
        <v/>
      </c>
      <c r="CH195" t="str">
        <f t="shared" si="95"/>
        <v/>
      </c>
      <c r="CI195" t="str">
        <f>_xlfn.LET(_xlpm.u3_value, U196,_xlpm.hyphen_pos,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K196="Coupler",_xlpm.coupler_value, IF(_xlpm.is_coupler, 0, _xlpm.calculated_value),_xlpm.final_value, _xlpm.calculated_value + SD!$E$13 + _xlpm.coupler_value,IF(CG195="", "", _xlpm.final_value))</f>
        <v/>
      </c>
      <c r="CJ195" t="str" cm="1">
        <f t="array" ref="CJ195">IF(CG195="","",_xlfn._xlws.FILTER(SAC,(CName=SD!$C$8)*(EName="Loose Dowels")))</f>
        <v/>
      </c>
      <c r="CK195" t="str" cm="1">
        <f t="array" ref="CK195">IFERROR(IF(CG195="","",IF(K196="Coupler",_xlfn._xlws.FILTER(CCoupler,(CCName=SD!$C$8)*(CBSize=IF(A195=A196,W195&amp;W196,""))*(CCMFM="Male")),"")),"N/A")</f>
        <v/>
      </c>
      <c r="CL195" t="str">
        <f>IFERROR(IF(AM195="Spiral","",IF(A194=A195,"",IF(SD!$C$37=0,"",SD!$C$37))),"")</f>
        <v/>
      </c>
      <c r="CN195">
        <f>IF(AM195="Spiral","",IFERROR(IF(SD!$C$36=0,"",SD!$C$36),""))</f>
        <v>5</v>
      </c>
      <c r="CP195" t="str">
        <f>IFERROR(IF(SD!$C$42=SD!$Q$3,'Take-off'!CA195,""),"")</f>
        <v/>
      </c>
      <c r="CR195">
        <f>IFERROR(IF(SD!$C$22=SD!$U$2,W195,SD!$C$22),"")</f>
        <v>0</v>
      </c>
      <c r="CS195" t="str" cm="1">
        <f t="array" ref="CS195">_xlfn.LET(_xlpm.GR,IF(AND(SD!$C$19=SD!$H$2,Grade!$G$1="Per level"),VLOOKUP(B195,Grade!$E$1:$F$200,2,FALSE),IF(AND(SD!$C$19=SD!$H$2,Grade!$G$1="Per Bar Size"),VLOOKUP(CR195,Grade!$B$1:$C$12,2,0),SD!$C$19)),IF(SD!$C$20=SD!$R$4,IF(A196=A195,"",INDEX(IF(_xlpm.GR=SD!$H$3,A615GR60,IF(_xlpm.GR=SD!$H$4,A615GR75,IF(_xlpm.GR=SD!$H$5,A615GR80,IF(_xlpm.GR=SD!H199,A615GR100,IF(_xlpm.GR=SD!$H$7,A706GR60,IF(_xlpm.GR=SD!$H$8,A706GR80)))))), MATCH(1, (BSize=CR195)*(BCName=SD!$C$8), 0))),""))</f>
        <v/>
      </c>
      <c r="CT195" t="str">
        <f>IF(A196=A195,"",IF(SD!$C$23="Match Vertical Bars ",X195,SD!$C$23))</f>
        <v/>
      </c>
      <c r="CU195" t="str" cm="1">
        <f t="array" ref="CU195">IF(A196=A195,"",IF(SD!$C$20="Top dowels",IF(SD!$E$25="No T-Head",IF(SD!$C$24=SD!$Q$3,VLOOKUP(CR195,S90Range,3,FALSE),LEFT(SD!$C$24,FIND("-",SD!$C$24)-1)+(RIGHT(SD!$C$24,LEN(SD!$C$24)-FIND("-",SD!$C$24))/12)),IF(SD!$E$25="T-Head",_xlfn._xlws.FILTER(THead,(TCName=SD!$C$8)*(TSize=CR195)),IF(SD!$E$25="Level Wise",_xlfn.LET(_xlpm.result,_xlfn.XLOOKUP(B195,TDLevel,TDLevelStatus,"No"),IF(_xlpm.result="Yes",_xlfn._xlws.FILTER(THead,(TCName=SD!$C$8)*(TSize=CR195)),IF(SD!$C$24=SD!$Q$3,VLOOKUP(CR195,S90Range,3,FALSE),LEFT(SD!$C$24,FIND("-",SD!$C$24)-1)+(RIGHT(SD!$C$24,LEN(SD!$C$24)-FIND("-", SD!$C$24))/12)))),IF(SD!$E$25="BarSize Wise",_xlfn.LET(_xlpm.result,_xlfn.XLOOKUP(CR195,TDBarSize,TDBarSizeStatus,"No"),IF(_xlpm.result="Yes",_xlfn._xlws.FILTER(THead,(TCName=SD!$C$8)*(TSize=CR195)),IF(SD!$C$24=SD!$Q$3,VLOOKUP(CR195,S90Range,3,FALSE),LEFT(SD!$C$24,FIND("-",SD!$C$24)-1)+(RIGHT(SD!$C$24,LEN(SD!$C$24)-FIND("-",SD!$C$24))/12)))), "")))),""))</f>
        <v/>
      </c>
      <c r="CV195" t="str">
        <f>_xlfn.LET(_xlpm.GRR,IF(AND(SD!$C$19=SD!$H$2,Grade!$G$1="Per level"),VLOOKUP(B195,Grade!$E$1:$F$200,2,FALSE),IF(AND(SD!$C$19=SD!$H$2,Grade!$G$1="Per Bar Size"),VLOOKUP(CR195,Grade!$B$1:$C$12,2,0),SD!$C$19)),IF(SD!$C$25=SD!$W$2,IF(Data!$J195="",IFERROR(INDEX(IF(SD!$C$11="Create",Lap!$A$3:$BF$14,IF(SD!$C$11="Per Uploaded File",Lap!$A$19:$BF$30,"")),MATCH(CR195,Lap!$A$3:$A$14,0),MATCH(VALUE(D195),Lap!$A$3:$BF$3,0)+IF(IFERROR(FIND("Grade 60",_xlpm.GRR),0)&gt;0,0,IF(IFERROR(FIND("Grade 80",_xlpm.GRR),0),1,IF(IFERROR(FIND("Grade 75",_xlpm.GRR),0),2,"")))),""),Data!J195),SD!$C$43))</f>
        <v>Match Lap</v>
      </c>
      <c r="CW195">
        <f t="shared" si="96"/>
        <v>0</v>
      </c>
      <c r="CX195">
        <f t="shared" si="97"/>
        <v>0</v>
      </c>
      <c r="CY195" t="str">
        <f t="shared" si="98"/>
        <v/>
      </c>
      <c r="DA195" t="str">
        <f t="shared" si="99"/>
        <v/>
      </c>
      <c r="DB195" t="str">
        <f t="shared" si="100"/>
        <v/>
      </c>
      <c r="DC195" s="24" t="str">
        <f t="shared" si="101"/>
        <v/>
      </c>
      <c r="DD195">
        <f t="shared" si="102"/>
        <v>10.583333333333334</v>
      </c>
      <c r="DE195" t="s">
        <v>785</v>
      </c>
      <c r="DF195" t="s">
        <v>67</v>
      </c>
      <c r="DG195" t="str">
        <f>VLOOKUP(W195,'Level Wise PSI'!$F$2:$G$12,2,FALSE)</f>
        <v>Double Lift</v>
      </c>
      <c r="DI195" t="str" cm="1">
        <f t="array" ref="DI195">_xlfn.LET(_xlpm.Coup,IFERROR(IF(BY195="","",IF(K195="Coupler",_xlfn._xlws.FILTER(CCFCoupler,(CCName=SD!$C$8)*(CBSize=IF(A194=A195,W194&amp;W195,BX195&amp;W195))),"")),"N/A"),IF(_xlpm.Coup=0,"",_xlpm.Coup))</f>
        <v/>
      </c>
      <c r="DJ195" t="str" cm="1">
        <f t="array" ref="DJ195">_xlfn.LET(_xlpm.Coup3,IFERROR(IF(CG195="","",IF(K196="Coupler",_xlfn._xlws.FILTER(CCFCoupler,(CCName=SD!$C$8)*(CBSize=IF(A195=A196,W195&amp;W196,""))),"")),"N/A"),IF(_xlpm.Coup3=0,"",_xlpm.Coup3))</f>
        <v/>
      </c>
      <c r="DK195" t="str" cm="1">
        <f t="array" ref="DK195">_xlfn.LET(_xlpm.Coup2,IFERROR(IF(A195&lt;&gt;A196,"",IF(DF195="No Lap","",IF(K196="Coupler",_xlfn._xlws.FILTER(CCFCoupler,(CCName=SD!$C$8)*(CBSize=IF(A194=A195,W195&amp;W196,W195&amp;W195))),""))),"N/A"),IF(_xlpm.Coup2=0,"",_xlpm.Coup2))</f>
        <v/>
      </c>
      <c r="DM195" t="str">
        <f>IF(AM195="Spiral","",IF(SD!$C$31=SD!$Y$3,SD!$E$32*2,""))</f>
        <v/>
      </c>
      <c r="DO195" s="24">
        <f t="shared" si="103"/>
        <v>2.5</v>
      </c>
      <c r="DQ195" t="str">
        <f t="shared" si="104"/>
        <v>Lig</v>
      </c>
      <c r="DR195" t="str">
        <f>IF(AM195="Spiral",((Y195-(SD!$E$12*2))/12),"")</f>
        <v/>
      </c>
      <c r="DS195" t="str">
        <f t="shared" si="105"/>
        <v/>
      </c>
      <c r="DT195" t="str">
        <f t="shared" si="106"/>
        <v/>
      </c>
      <c r="DU195" t="str">
        <f t="shared" si="107"/>
        <v/>
      </c>
    </row>
    <row r="196" spans="1:125" x14ac:dyDescent="0.25">
      <c r="A196">
        <v>65</v>
      </c>
      <c r="B196" t="s">
        <v>674</v>
      </c>
      <c r="C196" s="15">
        <v>2429</v>
      </c>
      <c r="D196" s="15">
        <v>10000</v>
      </c>
      <c r="E196" t="str">
        <f>IF(B196=Level!$A$2,SD!$C$14,SD!$C$13)</f>
        <v>0-8</v>
      </c>
      <c r="F196" s="15" t="s">
        <v>787</v>
      </c>
      <c r="G196" t="s">
        <v>742</v>
      </c>
      <c r="H196" t="str">
        <f>RIGHT(VLOOKUP(B196,Level!A:C,3,FALSE),LEN(VLOOKUP(B196,Level!A:C,3,FALSE))-1)</f>
        <v>10-7</v>
      </c>
      <c r="I196" t="s">
        <v>743</v>
      </c>
      <c r="J196" t="str">
        <f>IF(AND(SD!$C$19=SD!$H$2,Grade!$G$1="Per level"),VLOOKUP(B196,Grade!$E$1:$F$200,2,FALSE),IF(AND(SD!$C$19=SD!$H$2,Grade!$G$1="Per Bar Size"),VLOOKUP(W196,Grade!$B$1:$C$12,2,0),SD!$C$19))</f>
        <v>A615 Grade 60</v>
      </c>
      <c r="K196" t="s">
        <v>67</v>
      </c>
      <c r="L196" t="str">
        <f>IFERROR(IF(A196&lt;&gt;A197,"",IF(DF196="No Lap","",IF(K197="Lap",U196,IF(K197="Coupler",_xlfn._xlws.FILTER(CCoupler,(CCName=SD!$C$8)*(CBSize=IF(A195=A196,W196&amp;W197,W196&amp;W196))*(CCMFM="Male")),"")))),"N/A")</f>
        <v>5-1</v>
      </c>
      <c r="M196" t="str">
        <f t="shared" si="81"/>
        <v/>
      </c>
      <c r="N196" t="s">
        <v>719</v>
      </c>
      <c r="O196" t="s">
        <v>720</v>
      </c>
      <c r="P196" t="s">
        <v>719</v>
      </c>
      <c r="Q196" t="str">
        <f>IF(AND(SD!$C$29=SD!$P$2,Grade!$O$1="Per level"),VLOOKUP(B196,Grade!$M$1:$N$200,2,FALSE),IF(AND(SD!$C$29=SD!$P$2,Grade!$O$1="Per Bar Size"),VLOOKUP(LEFT(N196,FIND("@",N196)-2),Grade!$J$1:$K$12,2,0),SD!$C$29))</f>
        <v>A615 Grade 60</v>
      </c>
      <c r="R196" t="s">
        <v>742</v>
      </c>
      <c r="S196" s="57">
        <v>196</v>
      </c>
      <c r="U196" t="str">
        <f>IF(Data!$J196="",IFERROR(INDEX(IF(SD!$C$11="Create",Lap!$A$3:$BF$14,IF(SD!$C$11="Per Uploaded File",Lap!$A$19:$BF$30,"")),MATCH(W196,Lap!$A$3:$A$14,0),MATCH(VALUE(D196),Lap!$A$3:$BF$3,0)+IF(IFERROR(FIND("Grade 60",J196),0)&gt;0,0,IF(IFERROR(FIND("Grade 80",J196),0),1,IF(IFERROR(FIND("Grade 75",J196),0),2,"")))),""),Data!J196)</f>
        <v>5-1</v>
      </c>
      <c r="W196" t="s">
        <v>176</v>
      </c>
      <c r="X196">
        <v>6</v>
      </c>
      <c r="Y196" t="str">
        <f t="shared" si="82"/>
        <v>30</v>
      </c>
      <c r="Z196">
        <f t="shared" si="83"/>
        <v>0</v>
      </c>
      <c r="AA196" s="24">
        <f t="shared" si="84"/>
        <v>15.666666666666666</v>
      </c>
      <c r="BB196" t="e" cm="1">
        <f t="array" ref="BB196">_xlfn.LET(_xlpm.PartF,(_xlfn.LET(_xlpm.grade, Q196,_xlpm.gradeRange, IF(_xlpm.grade=SD!$H$3, A615GR60, IF(_xlpm.grade=SD!$H$4, A615GR75, IF(_xlpm.grade=SD!$H$5, A615GR80, IF(_xlpm.grade=SD!$H$6, A615GR100, IF(_xlpm.grade=SD!$H$7, A706GR60, IF(_xlpm.grade=SD!$H$8, A706GR80)))))),_xlpm.matchValue, MATCH(1, (SD!$AW:$AW=AS196)*(SD!$AX:$AX=SD!$C$8), 0),INDEX(_xlpm.gradeRange, _xlpm.matchValue))),IF(AM196="Spiral",CONCATENATE("SP",_xlpm.PartF),_xlpm.PartF))</f>
        <v>#N/A</v>
      </c>
      <c r="BC196" cm="1">
        <f t="array" ref="BC196">_xlfn.LET(_xlpm.leftPart, LEFT(O196, FIND("@", O196) - 2),_xlpm.grade,Q196,_xlpm.gradeRange,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6" cm="1">
        <f t="array" ref="BD196">_xlfn.LET(_xlpm.leftPart, LEFT(P196, FIND("@", P196) - 2),_xlpm.grade, Q196,_xlpm.gradeRange,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6">
        <f t="shared" si="85"/>
        <v>2.5</v>
      </c>
      <c r="BF196">
        <f>IF(SD!$C$32=SD!$I$2,BE196,IF(SD!$C$32=SD!$I$3,DO196,IF(SD!$C$32=SD!$I$5,BA196,IF(SD!$C$32=SD!$I$6,(LEFT(SD!$C$35,FIND("-",SD!$C$35)-1)+RIGHT(SD!$C$35,LEN(SD!$C$35)-FIND("-",SD!$C$35))/12),IF(SD!$C$32=SD!$I$4,(AU196-(BG196+BH196)))))))</f>
        <v>0</v>
      </c>
      <c r="BG196">
        <f>IF(SD!$C$33=SD!$I$2,BE196,IF(SD!$C$33=SD!$I$3,DO196,IF(SD!$C$33=SD!$I$5,BA196,IF(SD!$C$33=SD!$I$6,(LEFT(SD!$C$35,FIND("-",SD!$C$35)-1)+RIGHT(SD!$C$35,LEN(SD!$C$35)-FIND("-",SD!$C$35))/12),IF(SD!$C$33=SD!$I$4,(AU196-(BF196+BH196)))))))</f>
        <v>-1</v>
      </c>
      <c r="BH196">
        <f>IF(SD!$C$34=SD!$I$2,BE196,IF(SD!$C$34=SD!$I$3,DO196,IF(SD!$C$34=SD!$I$5,BA196,IF(SD!$C$34=SD!$I$6,(LEFT(SD!$C$35,FIND("-",SD!$C$35)-1)+RIGHT(SD!$C$35,LEN(SD!$C$35)-FIND("-",SD!$C$35))/12),IF(SD!$C$34=SD!$I$4,(AU196-(BF196+BG196)))))))</f>
        <v>1</v>
      </c>
      <c r="BJ196">
        <f>IF(AM196="Spiral","1",MAX(ROUNDUP(IF(SD!$C$32="",AT196,BF196/(LEFT(RIGHT(N196,LEN(N196)-FIND("@",N196)),LEN(RIGHT(N196,LEN(N196)-FIND("@",N196)))-1)/12)+1),0),0))</f>
        <v>1</v>
      </c>
      <c r="BK196">
        <f>MAX(ROUNDUP(IF(SD!$C$33="","",BG196/(LEFT(RIGHT(O196,LEN(O196)-FIND("@",O196)),LEN(RIGHT(O196,LEN(O196)-FIND("@",O196)))-1)/12)+1),0),0)</f>
        <v>0</v>
      </c>
      <c r="BL196">
        <f>MAX(ROUNDUP(IF(SD!$C$34="","",BH196/(LEFT(RIGHT(P196,LEN(P196)-FIND("@",P196)),LEN(RIGHT(P196,LEN(P196)-FIND("@",P196)))-1)/12)+1),0),0)</f>
        <v>3</v>
      </c>
      <c r="BN196" t="e">
        <f t="shared" si="86"/>
        <v>#N/A</v>
      </c>
      <c r="BO196" t="e">
        <f t="shared" si="87"/>
        <v>#N/A</v>
      </c>
      <c r="BP196" t="e">
        <f t="shared" si="88"/>
        <v>#N/A</v>
      </c>
      <c r="BQ196" s="24" t="e">
        <f>IF(AM196=TRUE,(((Y196-(SD!$E$12*2))*3.14159265359)+BN196+BO196+BP196)/12+AL196,SUM(AF196:AG196,BN196,BO196,BP196,AO196,AQ196)/12)</f>
        <v>#N/A</v>
      </c>
      <c r="BR196" t="e">
        <f t="shared" si="89"/>
        <v>#N/A</v>
      </c>
      <c r="BS196" t="e">
        <f t="shared" si="90"/>
        <v>#N/A</v>
      </c>
      <c r="BT196" t="e">
        <f t="shared" si="91"/>
        <v>#N/A</v>
      </c>
      <c r="BU196" s="24" t="e">
        <f>IF(AM196=TRUE,(((Y196-(SD!$E$12*2))*3.14159265359)+BR196+BS196+BT196)/12+AL196,SUM(AF196:AG196,BR196,BS196,BT196,AO196,AQ196)/12)</f>
        <v>#N/A</v>
      </c>
      <c r="BW196" t="str">
        <f>IFERROR(LEFT(Data!L196,FIND(" -",Data!L196)-1),"")</f>
        <v/>
      </c>
      <c r="BX196" t="str">
        <f>IFERROR(IF(SD!$C$40=SD!$U$2,W196,IF(SD!$C$40=SD!$U$3,RIGHT(Data!L196,LEN(Data!L196)-(FIND("-",Data!L196)+1)),SD!$C$40)),"")</f>
        <v>#10</v>
      </c>
      <c r="BY196" t="str" cm="1">
        <f t="array" ref="BY196">IFERROR(_xlfn.LET(_xlpm.GRR,IF(AND(SD!$C$19=SD!$H$2,Grade!$G$1="Per level"),VLOOKUP(B196,Grade!$E$1:$F$200,2,FALSE),IF(AND(SD!$C$19=SD!$H$2,Grade!$G$1="Per Bar Size"),VLOOKUP(BX196,Grade!$B$1:$C$12,2,0),SD!$C$19)),_xlpm.is_equal, A195=A196,_xlpm.grade_range, IF(_xlpm.GRR=SD!$H$3, A615GR60,IF(_xlpm.GRR=SD!$H$4, A615GR75,IF(_xlpm.GRR=SD!$H$5, A615GR80,IF(_xlpm.GRR=SD!H200, A615GR100,IF(_xlpm.GRR=SD!$H$7, A706GR60,IF(_xlpm.GRR=SD!$H$8, A706GR80)))))),_xlpm.match_result, MATCH(1, (BSize=BX196)*(BCName=SD!$C$8), 0),_xlpm.final_result, INDEX(_xlpm.grade_range, _xlpm.match_result),IF(_xlpm.is_equal, "", _xlpm.final_result)),"")</f>
        <v/>
      </c>
      <c r="BZ196" t="str">
        <f>IF(A195=A196,"",IF(SD!$C$41="Match Vertical Bars ",X196,IF(SD!$C$41=SD!$V$3,BW196,SD!$C$41)))</f>
        <v/>
      </c>
      <c r="CA196" t="str" cm="1">
        <f t="array" ref="CA196">IF(A195=A196,"",IF(SD!$C$44="No T-Head",IF(SD!$C$42=SD!$Q$3,VLOOKUP(BX196,S90Range,3,FALSE),LEFT(SD!$C$42,FIND("-",SD!$C$42)-1)+(RIGHT(SD!$C$42,LEN(SD!$C$42)-FIND("-",SD!$C$42))/12)),IF(SD!$C$44="T-Head",_xlfn._xlws.FILTER(THead,(TCName=SD!$C$8)*(TSize=BX196)),IF(SD!$C$44="Level Wise",_xlfn.LET(_xlpm.result,_xlfn.XLOOKUP(B196,VDLevel,VDLevelStatus,"No"),IF(_xlpm.result="Yes",_xlfn._xlws.FILTER(THead,(TCName=SD!$C$8)*(TSize=BX196)),IF(SD!$C$42=SD!$Q$3,VLOOKUP(BX196,S90Range,3,FALSE),LEFT(SD!$C$42,FIND("-",SD!$C$42)-1)+(RIGHT(SD!$C$42,LEN(SD!$C$42)-FIND("-", SD!$C$42))/12)))),IF(SD!$C$44="BarSize Wise",_xlfn.LET(_xlpm.result,_xlfn.XLOOKUP(BX196,VDBarSize,VDBarSizeStatus,"No"),IF(_xlpm.result="Yes",_xlfn._xlws.FILTER(THead,(TCName=SD!$C$8)*(TSize=BX196)),IF(SD!$C$42=SD!$Q$3,VLOOKUP(BX196,S90Range,3,FALSE),LEFT(SD!$C$42,FIND("-",SD!$C$42)-1)+(RIGHT(SD!$C$42,LEN(SD!$C$42)-FIND("-",SD!$C$42))/12)))), "")))))</f>
        <v/>
      </c>
      <c r="CB196" t="str" cm="1">
        <f t="array" ref="CB196">_xlfn.LET(_xlpm.GRR,IF(AND(SD!$C$19=SD!$H$2,Grade!$G$1="Per level"),VLOOKUP(B196,Grade!$E$1:$F$200,2,FALSE),IF(AND(SD!$C$19=SD!$H$2,Grade!$G$1="Per Bar Size"),VLOOKUP(BX196,Grade!$B$1:$C$12,2,0),SD!$C$19)),_xlpm.is_coupler, K196="Coupler",_xlpm.condition1, SD!$C$43=SD!$W$2,_xlpm.data_j2_empty, Data!$J196="",_xlpm.lookup_table, IF(SD!$C$11="Create", Lap!$A$3:$BF$14, IF(SD!$C$11="Per Uploaded File", Lap!$A$19:$BF$30, "")),_xlpm.row_match, MATCH(BX196, Lap!$A$3:$A$14, 0),_xlpm.grade_offset, IF(IFERROR(FIND("Grade 60",_xlpm.GRR), 0) &gt; 0, 0, IF(IFERROR(FIND("Grade 80",_xlpm.GRR), 0), 1, IF(IFERROR(FIND("Grade 75",_xlpm.GRR), 0), 2, ""))),_xlpm.col_match, MATCH(VALUE(D196), Lap!$A$3:$BF$3, 0) + _xlpm.grade_offset,_xlpm.index_result, IFERROR(INDEX(_xlpm.lookup_table, _xlpm.row_match, _xlpm.col_match), Data!$J196),_xlpm.result_if_condition1, IF(_xlpm.data_j2_empty, _xlpm.index_result, Data!$J196),IF(_xlpm.is_coupler, 0, IF(_xlpm.condition1, _xlpm.result_if_condition1, SD!$C$43)))</f>
        <v>5-1</v>
      </c>
      <c r="CC196" s="24">
        <f t="shared" si="92"/>
        <v>5.083333333333333</v>
      </c>
      <c r="CD196">
        <f t="shared" si="93"/>
        <v>5.75</v>
      </c>
      <c r="CE196" t="str" cm="1">
        <f t="array" ref="CE196">IF(BY196="","",_xlfn._xlws.FILTER(SAC,(CName=SD!$C$8)*(EName="Vert Dowels")))</f>
        <v/>
      </c>
      <c r="CF196" t="str" cm="1">
        <f t="array" ref="CF196">IFERROR(IF(BY196="","",IF(K196="Coupler",_xlfn._xlws.FILTER(CCoupler,(CCName=SD!$C$8)*(CBSize=IF(A195=A196,W195&amp;W196,BX196&amp;W196))*(CCMFM="Male")),"")),"N/A")</f>
        <v/>
      </c>
      <c r="CG196" t="str">
        <f t="shared" si="94"/>
        <v/>
      </c>
      <c r="CH196" t="str">
        <f t="shared" si="95"/>
        <v/>
      </c>
      <c r="CI196" t="str">
        <f>_xlfn.LET(_xlpm.u3_value, U197,_xlpm.hyphen_pos,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K197="Coupler",_xlpm.coupler_value, IF(_xlpm.is_coupler, 0, _xlpm.calculated_value),_xlpm.final_value, _xlpm.calculated_value + SD!$E$13 + _xlpm.coupler_value,IF(CG196="", "", _xlpm.final_value))</f>
        <v/>
      </c>
      <c r="CJ196" t="str" cm="1">
        <f t="array" ref="CJ196">IF(CG196="","",_xlfn._xlws.FILTER(SAC,(CName=SD!$C$8)*(EName="Loose Dowels")))</f>
        <v/>
      </c>
      <c r="CK196" t="str" cm="1">
        <f t="array" ref="CK196">IFERROR(IF(CG196="","",IF(K197="Coupler",_xlfn._xlws.FILTER(CCoupler,(CCName=SD!$C$8)*(CBSize=IF(A196=A197,W196&amp;W197,""))*(CCMFM="Male")),"")),"N/A")</f>
        <v/>
      </c>
      <c r="CL196" t="str">
        <f>IFERROR(IF(AM196="Spiral","",IF(A195=A196,"",IF(SD!$C$37=0,"",SD!$C$37))),"")</f>
        <v/>
      </c>
      <c r="CN196">
        <f>IF(AM196="Spiral","",IFERROR(IF(SD!$C$36=0,"",SD!$C$36),""))</f>
        <v>5</v>
      </c>
      <c r="CP196" t="str">
        <f>IFERROR(IF(SD!$C$42=SD!$Q$3,'Take-off'!CA196,""),"")</f>
        <v/>
      </c>
      <c r="CR196">
        <f>IFERROR(IF(SD!$C$22=SD!$U$2,W196,SD!$C$22),"")</f>
        <v>0</v>
      </c>
      <c r="CS196" t="str" cm="1">
        <f t="array" ref="CS196">_xlfn.LET(_xlpm.GR,IF(AND(SD!$C$19=SD!$H$2,Grade!$G$1="Per level"),VLOOKUP(B196,Grade!$E$1:$F$200,2,FALSE),IF(AND(SD!$C$19=SD!$H$2,Grade!$G$1="Per Bar Size"),VLOOKUP(CR196,Grade!$B$1:$C$12,2,0),SD!$C$19)),IF(SD!$C$20=SD!$R$4,IF(A197=A196,"",INDEX(IF(_xlpm.GR=SD!$H$3,A615GR60,IF(_xlpm.GR=SD!$H$4,A615GR75,IF(_xlpm.GR=SD!$H$5,A615GR80,IF(_xlpm.GR=SD!H200,A615GR100,IF(_xlpm.GR=SD!$H$7,A706GR60,IF(_xlpm.GR=SD!$H$8,A706GR80)))))), MATCH(1, (BSize=CR196)*(BCName=SD!$C$8), 0))),""))</f>
        <v/>
      </c>
      <c r="CT196" t="str">
        <f>IF(A197=A196,"",IF(SD!$C$23="Match Vertical Bars ",X196,SD!$C$23))</f>
        <v/>
      </c>
      <c r="CU196" t="str" cm="1">
        <f t="array" ref="CU196">IF(A197=A196,"",IF(SD!$C$20="Top dowels",IF(SD!$E$25="No T-Head",IF(SD!$C$24=SD!$Q$3,VLOOKUP(CR196,S90Range,3,FALSE),LEFT(SD!$C$24,FIND("-",SD!$C$24)-1)+(RIGHT(SD!$C$24,LEN(SD!$C$24)-FIND("-",SD!$C$24))/12)),IF(SD!$E$25="T-Head",_xlfn._xlws.FILTER(THead,(TCName=SD!$C$8)*(TSize=CR196)),IF(SD!$E$25="Level Wise",_xlfn.LET(_xlpm.result,_xlfn.XLOOKUP(B196,TDLevel,TDLevelStatus,"No"),IF(_xlpm.result="Yes",_xlfn._xlws.FILTER(THead,(TCName=SD!$C$8)*(TSize=CR196)),IF(SD!$C$24=SD!$Q$3,VLOOKUP(CR196,S90Range,3,FALSE),LEFT(SD!$C$24,FIND("-",SD!$C$24)-1)+(RIGHT(SD!$C$24,LEN(SD!$C$24)-FIND("-", SD!$C$24))/12)))),IF(SD!$E$25="BarSize Wise",_xlfn.LET(_xlpm.result,_xlfn.XLOOKUP(CR196,TDBarSize,TDBarSizeStatus,"No"),IF(_xlpm.result="Yes",_xlfn._xlws.FILTER(THead,(TCName=SD!$C$8)*(TSize=CR196)),IF(SD!$C$24=SD!$Q$3,VLOOKUP(CR196,S90Range,3,FALSE),LEFT(SD!$C$24,FIND("-",SD!$C$24)-1)+(RIGHT(SD!$C$24,LEN(SD!$C$24)-FIND("-",SD!$C$24))/12)))), "")))),""))</f>
        <v/>
      </c>
      <c r="CV196" t="str">
        <f>_xlfn.LET(_xlpm.GRR,IF(AND(SD!$C$19=SD!$H$2,Grade!$G$1="Per level"),VLOOKUP(B196,Grade!$E$1:$F$200,2,FALSE),IF(AND(SD!$C$19=SD!$H$2,Grade!$G$1="Per Bar Size"),VLOOKUP(CR196,Grade!$B$1:$C$12,2,0),SD!$C$19)),IF(SD!$C$25=SD!$W$2,IF(Data!$J196="",IFERROR(INDEX(IF(SD!$C$11="Create",Lap!$A$3:$BF$14,IF(SD!$C$11="Per Uploaded File",Lap!$A$19:$BF$30,"")),MATCH(CR196,Lap!$A$3:$A$14,0),MATCH(VALUE(D196),Lap!$A$3:$BF$3,0)+IF(IFERROR(FIND("Grade 60",_xlpm.GRR),0)&gt;0,0,IF(IFERROR(FIND("Grade 80",_xlpm.GRR),0),1,IF(IFERROR(FIND("Grade 75",_xlpm.GRR),0),2,"")))),""),Data!J196),SD!$C$43))</f>
        <v>Match Lap</v>
      </c>
      <c r="CW196">
        <f t="shared" si="96"/>
        <v>0</v>
      </c>
      <c r="CX196">
        <f t="shared" si="97"/>
        <v>0</v>
      </c>
      <c r="CY196" t="str">
        <f t="shared" si="98"/>
        <v/>
      </c>
      <c r="DA196" t="str">
        <f t="shared" si="99"/>
        <v/>
      </c>
      <c r="DB196" t="str">
        <f t="shared" si="100"/>
        <v/>
      </c>
      <c r="DC196" s="24" t="str">
        <f t="shared" si="101"/>
        <v/>
      </c>
      <c r="DD196">
        <f t="shared" si="102"/>
        <v>10.583333333333334</v>
      </c>
      <c r="DE196" t="s">
        <v>785</v>
      </c>
      <c r="DF196" t="s">
        <v>67</v>
      </c>
      <c r="DG196" t="str">
        <f>VLOOKUP(W196,'Level Wise PSI'!$F$2:$G$12,2,FALSE)</f>
        <v>Double Lift</v>
      </c>
      <c r="DI196" t="str" cm="1">
        <f t="array" ref="DI196">_xlfn.LET(_xlpm.Coup,IFERROR(IF(BY196="","",IF(K196="Coupler",_xlfn._xlws.FILTER(CCFCoupler,(CCName=SD!$C$8)*(CBSize=IF(A195=A196,W195&amp;W196,BX196&amp;W196))),"")),"N/A"),IF(_xlpm.Coup=0,"",_xlpm.Coup))</f>
        <v/>
      </c>
      <c r="DJ196" t="str" cm="1">
        <f t="array" ref="DJ196">_xlfn.LET(_xlpm.Coup3,IFERROR(IF(CG196="","",IF(K197="Coupler",_xlfn._xlws.FILTER(CCFCoupler,(CCName=SD!$C$8)*(CBSize=IF(A196=A197,W196&amp;W197,""))),"")),"N/A"),IF(_xlpm.Coup3=0,"",_xlpm.Coup3))</f>
        <v/>
      </c>
      <c r="DK196" t="str" cm="1">
        <f t="array" ref="DK196">_xlfn.LET(_xlpm.Coup2,IFERROR(IF(A196&lt;&gt;A197,"",IF(DF196="No Lap","",IF(K197="Coupler",_xlfn._xlws.FILTER(CCFCoupler,(CCName=SD!$C$8)*(CBSize=IF(A195=A196,W196&amp;W197,W196&amp;W196))),""))),"N/A"),IF(_xlpm.Coup2=0,"",_xlpm.Coup2))</f>
        <v/>
      </c>
      <c r="DM196" t="str">
        <f>IF(AM196="Spiral","",IF(SD!$C$31=SD!$Y$3,SD!$E$32*2,""))</f>
        <v/>
      </c>
      <c r="DO196" s="24">
        <f t="shared" si="103"/>
        <v>2.5</v>
      </c>
      <c r="DQ196" t="str">
        <f t="shared" si="104"/>
        <v>Lig</v>
      </c>
      <c r="DR196" t="str">
        <f>IF(AM196="Spiral",((Y196-(SD!$E$12*2))/12),"")</f>
        <v/>
      </c>
      <c r="DS196" t="str">
        <f t="shared" si="105"/>
        <v/>
      </c>
      <c r="DT196" t="str">
        <f t="shared" si="106"/>
        <v/>
      </c>
      <c r="DU196" t="str">
        <f t="shared" si="107"/>
        <v/>
      </c>
    </row>
    <row r="197" spans="1:125" x14ac:dyDescent="0.25">
      <c r="A197">
        <v>65</v>
      </c>
      <c r="B197" t="s">
        <v>676</v>
      </c>
      <c r="C197" s="15">
        <v>2429</v>
      </c>
      <c r="D197" s="15">
        <v>10000</v>
      </c>
      <c r="E197" t="str">
        <f>IF(B197=Level!$A$2,SD!$C$14,SD!$C$13)</f>
        <v>0-8</v>
      </c>
      <c r="F197" s="15" t="s">
        <v>787</v>
      </c>
      <c r="G197" t="s">
        <v>742</v>
      </c>
      <c r="H197" t="str">
        <f>RIGHT(VLOOKUP(B197,Level!A:C,3,FALSE),LEN(VLOOKUP(B197,Level!A:C,3,FALSE))-1)</f>
        <v>10-7</v>
      </c>
      <c r="I197" t="s">
        <v>743</v>
      </c>
      <c r="J197" t="str">
        <f>IF(AND(SD!$C$19=SD!$H$2,Grade!$G$1="Per level"),VLOOKUP(B197,Grade!$E$1:$F$200,2,FALSE),IF(AND(SD!$C$19=SD!$H$2,Grade!$G$1="Per Bar Size"),VLOOKUP(W197,Grade!$B$1:$C$12,2,0),SD!$C$19))</f>
        <v>A615 Grade 60</v>
      </c>
      <c r="K197" t="s">
        <v>67</v>
      </c>
      <c r="L197" t="str">
        <f>IFERROR(IF(A197&lt;&gt;A198,"",IF(DF197="No Lap","",IF(K198="Lap",U197,IF(K198="Coupler",_xlfn._xlws.FILTER(CCoupler,(CCName=SD!$C$8)*(CBSize=IF(A196=A197,W197&amp;W198,W197&amp;W197))*(CCMFM="Male")),"")))),"N/A")</f>
        <v>5-1</v>
      </c>
      <c r="M197" t="str">
        <f t="shared" si="81"/>
        <v/>
      </c>
      <c r="N197" t="s">
        <v>719</v>
      </c>
      <c r="O197" t="s">
        <v>720</v>
      </c>
      <c r="P197" t="s">
        <v>719</v>
      </c>
      <c r="Q197" t="str">
        <f>IF(AND(SD!$C$29=SD!$P$2,Grade!$O$1="Per level"),VLOOKUP(B197,Grade!$M$1:$N$200,2,FALSE),IF(AND(SD!$C$29=SD!$P$2,Grade!$O$1="Per Bar Size"),VLOOKUP(LEFT(N197,FIND("@",N197)-2),Grade!$J$1:$K$12,2,0),SD!$C$29))</f>
        <v>A615 Grade 60</v>
      </c>
      <c r="R197" t="s">
        <v>742</v>
      </c>
      <c r="S197" s="57">
        <v>197</v>
      </c>
      <c r="U197" t="str">
        <f>IF(Data!$J197="",IFERROR(INDEX(IF(SD!$C$11="Create",Lap!$A$3:$BF$14,IF(SD!$C$11="Per Uploaded File",Lap!$A$19:$BF$30,"")),MATCH(W197,Lap!$A$3:$A$14,0),MATCH(VALUE(D197),Lap!$A$3:$BF$3,0)+IF(IFERROR(FIND("Grade 60",J197),0)&gt;0,0,IF(IFERROR(FIND("Grade 80",J197),0),1,IF(IFERROR(FIND("Grade 75",J197),0),2,"")))),""),Data!J197)</f>
        <v>5-1</v>
      </c>
      <c r="W197" t="s">
        <v>176</v>
      </c>
      <c r="X197">
        <v>6</v>
      </c>
      <c r="Y197" t="str">
        <f t="shared" si="82"/>
        <v>30</v>
      </c>
      <c r="Z197">
        <f t="shared" si="83"/>
        <v>0</v>
      </c>
      <c r="AA197" s="24">
        <f t="shared" si="84"/>
        <v>15.666666666666666</v>
      </c>
      <c r="BB197" t="e" cm="1">
        <f t="array" ref="BB197">_xlfn.LET(_xlpm.PartF,(_xlfn.LET(_xlpm.grade, Q197,_xlpm.gradeRange, IF(_xlpm.grade=SD!$H$3, A615GR60, IF(_xlpm.grade=SD!$H$4, A615GR75, IF(_xlpm.grade=SD!$H$5, A615GR80, IF(_xlpm.grade=SD!$H$6, A615GR100, IF(_xlpm.grade=SD!$H$7, A706GR60, IF(_xlpm.grade=SD!$H$8, A706GR80)))))),_xlpm.matchValue, MATCH(1, (SD!$AW:$AW=AS197)*(SD!$AX:$AX=SD!$C$8), 0),INDEX(_xlpm.gradeRange, _xlpm.matchValue))),IF(AM197="Spiral",CONCATENATE("SP",_xlpm.PartF),_xlpm.PartF))</f>
        <v>#N/A</v>
      </c>
      <c r="BC197" cm="1">
        <f t="array" ref="BC197">_xlfn.LET(_xlpm.leftPart, LEFT(O197, FIND("@", O197) - 2),_xlpm.grade,Q197,_xlpm.gradeRange,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7" cm="1">
        <f t="array" ref="BD197">_xlfn.LET(_xlpm.leftPart, LEFT(P197, FIND("@", P197) - 2),_xlpm.grade, Q197,_xlpm.gradeRange,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7">
        <f t="shared" si="85"/>
        <v>2.5</v>
      </c>
      <c r="BF197">
        <f>IF(SD!$C$32=SD!$I$2,BE197,IF(SD!$C$32=SD!$I$3,DO197,IF(SD!$C$32=SD!$I$5,BA197,IF(SD!$C$32=SD!$I$6,(LEFT(SD!$C$35,FIND("-",SD!$C$35)-1)+RIGHT(SD!$C$35,LEN(SD!$C$35)-FIND("-",SD!$C$35))/12),IF(SD!$C$32=SD!$I$4,(AU197-(BG197+BH197)))))))</f>
        <v>0</v>
      </c>
      <c r="BG197">
        <f>IF(SD!$C$33=SD!$I$2,BE197,IF(SD!$C$33=SD!$I$3,DO197,IF(SD!$C$33=SD!$I$5,BA197,IF(SD!$C$33=SD!$I$6,(LEFT(SD!$C$35,FIND("-",SD!$C$35)-1)+RIGHT(SD!$C$35,LEN(SD!$C$35)-FIND("-",SD!$C$35))/12),IF(SD!$C$33=SD!$I$4,(AU197-(BF197+BH197)))))))</f>
        <v>-1</v>
      </c>
      <c r="BH197">
        <f>IF(SD!$C$34=SD!$I$2,BE197,IF(SD!$C$34=SD!$I$3,DO197,IF(SD!$C$34=SD!$I$5,BA197,IF(SD!$C$34=SD!$I$6,(LEFT(SD!$C$35,FIND("-",SD!$C$35)-1)+RIGHT(SD!$C$35,LEN(SD!$C$35)-FIND("-",SD!$C$35))/12),IF(SD!$C$34=SD!$I$4,(AU197-(BF197+BG197)))))))</f>
        <v>1</v>
      </c>
      <c r="BJ197">
        <f>IF(AM197="Spiral","1",MAX(ROUNDUP(IF(SD!$C$32="",AT197,BF197/(LEFT(RIGHT(N197,LEN(N197)-FIND("@",N197)),LEN(RIGHT(N197,LEN(N197)-FIND("@",N197)))-1)/12)+1),0),0))</f>
        <v>1</v>
      </c>
      <c r="BK197">
        <f>MAX(ROUNDUP(IF(SD!$C$33="","",BG197/(LEFT(RIGHT(O197,LEN(O197)-FIND("@",O197)),LEN(RIGHT(O197,LEN(O197)-FIND("@",O197)))-1)/12)+1),0),0)</f>
        <v>0</v>
      </c>
      <c r="BL197">
        <f>MAX(ROUNDUP(IF(SD!$C$34="","",BH197/(LEFT(RIGHT(P197,LEN(P197)-FIND("@",P197)),LEN(RIGHT(P197,LEN(P197)-FIND("@",P197)))-1)/12)+1),0),0)</f>
        <v>3</v>
      </c>
      <c r="BN197" t="e">
        <f t="shared" si="86"/>
        <v>#N/A</v>
      </c>
      <c r="BO197" t="e">
        <f t="shared" si="87"/>
        <v>#N/A</v>
      </c>
      <c r="BP197" t="e">
        <f t="shared" si="88"/>
        <v>#N/A</v>
      </c>
      <c r="BQ197" s="24" t="e">
        <f>IF(AM197=TRUE,(((Y197-(SD!$E$12*2))*3.14159265359)+BN197+BO197+BP197)/12+AL197,SUM(AF197:AG197,BN197,BO197,BP197,AO197,AQ197)/12)</f>
        <v>#N/A</v>
      </c>
      <c r="BR197" t="e">
        <f t="shared" si="89"/>
        <v>#N/A</v>
      </c>
      <c r="BS197" t="e">
        <f t="shared" si="90"/>
        <v>#N/A</v>
      </c>
      <c r="BT197" t="e">
        <f t="shared" si="91"/>
        <v>#N/A</v>
      </c>
      <c r="BU197" s="24" t="e">
        <f>IF(AM197=TRUE,(((Y197-(SD!$E$12*2))*3.14159265359)+BR197+BS197+BT197)/12+AL197,SUM(AF197:AG197,BR197,BS197,BT197,AO197,AQ197)/12)</f>
        <v>#N/A</v>
      </c>
      <c r="BW197" t="str">
        <f>IFERROR(LEFT(Data!L197,FIND(" -",Data!L197)-1),"")</f>
        <v/>
      </c>
      <c r="BX197" t="str">
        <f>IFERROR(IF(SD!$C$40=SD!$U$2,W197,IF(SD!$C$40=SD!$U$3,RIGHT(Data!L197,LEN(Data!L197)-(FIND("-",Data!L197)+1)),SD!$C$40)),"")</f>
        <v>#10</v>
      </c>
      <c r="BY197" t="str" cm="1">
        <f t="array" ref="BY197">IFERROR(_xlfn.LET(_xlpm.GRR,IF(AND(SD!$C$19=SD!$H$2,Grade!$G$1="Per level"),VLOOKUP(B197,Grade!$E$1:$F$200,2,FALSE),IF(AND(SD!$C$19=SD!$H$2,Grade!$G$1="Per Bar Size"),VLOOKUP(BX197,Grade!$B$1:$C$12,2,0),SD!$C$19)),_xlpm.is_equal, A196=A197,_xlpm.grade_range, IF(_xlpm.GRR=SD!$H$3, A615GR60,IF(_xlpm.GRR=SD!$H$4, A615GR75,IF(_xlpm.GRR=SD!$H$5, A615GR80,IF(_xlpm.GRR=SD!H201, A615GR100,IF(_xlpm.GRR=SD!$H$7, A706GR60,IF(_xlpm.GRR=SD!$H$8, A706GR80)))))),_xlpm.match_result, MATCH(1, (BSize=BX197)*(BCName=SD!$C$8), 0),_xlpm.final_result, INDEX(_xlpm.grade_range, _xlpm.match_result),IF(_xlpm.is_equal, "", _xlpm.final_result)),"")</f>
        <v/>
      </c>
      <c r="BZ197" t="str">
        <f>IF(A196=A197,"",IF(SD!$C$41="Match Vertical Bars ",X197,IF(SD!$C$41=SD!$V$3,BW197,SD!$C$41)))</f>
        <v/>
      </c>
      <c r="CA197" t="str" cm="1">
        <f t="array" ref="CA197">IF(A196=A197,"",IF(SD!$C$44="No T-Head",IF(SD!$C$42=SD!$Q$3,VLOOKUP(BX197,S90Range,3,FALSE),LEFT(SD!$C$42,FIND("-",SD!$C$42)-1)+(RIGHT(SD!$C$42,LEN(SD!$C$42)-FIND("-",SD!$C$42))/12)),IF(SD!$C$44="T-Head",_xlfn._xlws.FILTER(THead,(TCName=SD!$C$8)*(TSize=BX197)),IF(SD!$C$44="Level Wise",_xlfn.LET(_xlpm.result,_xlfn.XLOOKUP(B197,VDLevel,VDLevelStatus,"No"),IF(_xlpm.result="Yes",_xlfn._xlws.FILTER(THead,(TCName=SD!$C$8)*(TSize=BX197)),IF(SD!$C$42=SD!$Q$3,VLOOKUP(BX197,S90Range,3,FALSE),LEFT(SD!$C$42,FIND("-",SD!$C$42)-1)+(RIGHT(SD!$C$42,LEN(SD!$C$42)-FIND("-", SD!$C$42))/12)))),IF(SD!$C$44="BarSize Wise",_xlfn.LET(_xlpm.result,_xlfn.XLOOKUP(BX197,VDBarSize,VDBarSizeStatus,"No"),IF(_xlpm.result="Yes",_xlfn._xlws.FILTER(THead,(TCName=SD!$C$8)*(TSize=BX197)),IF(SD!$C$42=SD!$Q$3,VLOOKUP(BX197,S90Range,3,FALSE),LEFT(SD!$C$42,FIND("-",SD!$C$42)-1)+(RIGHT(SD!$C$42,LEN(SD!$C$42)-FIND("-",SD!$C$42))/12)))), "")))))</f>
        <v/>
      </c>
      <c r="CB197" t="str" cm="1">
        <f t="array" ref="CB197">_xlfn.LET(_xlpm.GRR,IF(AND(SD!$C$19=SD!$H$2,Grade!$G$1="Per level"),VLOOKUP(B197,Grade!$E$1:$F$200,2,FALSE),IF(AND(SD!$C$19=SD!$H$2,Grade!$G$1="Per Bar Size"),VLOOKUP(BX197,Grade!$B$1:$C$12,2,0),SD!$C$19)),_xlpm.is_coupler, K197="Coupler",_xlpm.condition1, SD!$C$43=SD!$W$2,_xlpm.data_j2_empty, Data!$J197="",_xlpm.lookup_table, IF(SD!$C$11="Create", Lap!$A$3:$BF$14, IF(SD!$C$11="Per Uploaded File", Lap!$A$19:$BF$30, "")),_xlpm.row_match, MATCH(BX197, Lap!$A$3:$A$14, 0),_xlpm.grade_offset, IF(IFERROR(FIND("Grade 60",_xlpm.GRR), 0) &gt; 0, 0, IF(IFERROR(FIND("Grade 80",_xlpm.GRR), 0), 1, IF(IFERROR(FIND("Grade 75",_xlpm.GRR), 0), 2, ""))),_xlpm.col_match, MATCH(VALUE(D197), Lap!$A$3:$BF$3, 0) + _xlpm.grade_offset,_xlpm.index_result, IFERROR(INDEX(_xlpm.lookup_table, _xlpm.row_match, _xlpm.col_match), Data!$J197),_xlpm.result_if_condition1, IF(_xlpm.data_j2_empty, _xlpm.index_result, Data!$J197),IF(_xlpm.is_coupler, 0, IF(_xlpm.condition1, _xlpm.result_if_condition1, SD!$C$43)))</f>
        <v>5-1</v>
      </c>
      <c r="CC197" s="24">
        <f t="shared" si="92"/>
        <v>5.083333333333333</v>
      </c>
      <c r="CD197">
        <f t="shared" si="93"/>
        <v>5.75</v>
      </c>
      <c r="CE197" t="str" cm="1">
        <f t="array" ref="CE197">IF(BY197="","",_xlfn._xlws.FILTER(SAC,(CName=SD!$C$8)*(EName="Vert Dowels")))</f>
        <v/>
      </c>
      <c r="CF197" t="str" cm="1">
        <f t="array" ref="CF197">IFERROR(IF(BY197="","",IF(K197="Coupler",_xlfn._xlws.FILTER(CCoupler,(CCName=SD!$C$8)*(CBSize=IF(A196=A197,W196&amp;W197,BX197&amp;W197))*(CCMFM="Male")),"")),"N/A")</f>
        <v/>
      </c>
      <c r="CG197" t="str">
        <f t="shared" si="94"/>
        <v/>
      </c>
      <c r="CH197" t="str">
        <f t="shared" si="95"/>
        <v/>
      </c>
      <c r="CI197" t="str">
        <f>_xlfn.LET(_xlpm.u3_value, U198,_xlpm.hyphen_pos,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K198="Coupler",_xlpm.coupler_value, IF(_xlpm.is_coupler, 0, _xlpm.calculated_value),_xlpm.final_value, _xlpm.calculated_value + SD!$E$13 + _xlpm.coupler_value,IF(CG197="", "", _xlpm.final_value))</f>
        <v/>
      </c>
      <c r="CJ197" t="str" cm="1">
        <f t="array" ref="CJ197">IF(CG197="","",_xlfn._xlws.FILTER(SAC,(CName=SD!$C$8)*(EName="Loose Dowels")))</f>
        <v/>
      </c>
      <c r="CK197" t="str" cm="1">
        <f t="array" ref="CK197">IFERROR(IF(CG197="","",IF(K198="Coupler",_xlfn._xlws.FILTER(CCoupler,(CCName=SD!$C$8)*(CBSize=IF(A197=A198,W197&amp;W198,""))*(CCMFM="Male")),"")),"N/A")</f>
        <v/>
      </c>
      <c r="CL197" t="str">
        <f>IFERROR(IF(AM197="Spiral","",IF(A196=A197,"",IF(SD!$C$37=0,"",SD!$C$37))),"")</f>
        <v/>
      </c>
      <c r="CN197">
        <f>IF(AM197="Spiral","",IFERROR(IF(SD!$C$36=0,"",SD!$C$36),""))</f>
        <v>5</v>
      </c>
      <c r="CP197" t="str">
        <f>IFERROR(IF(SD!$C$42=SD!$Q$3,'Take-off'!CA197,""),"")</f>
        <v/>
      </c>
      <c r="CR197">
        <f>IFERROR(IF(SD!$C$22=SD!$U$2,W197,SD!$C$22),"")</f>
        <v>0</v>
      </c>
      <c r="CS197" t="str" cm="1">
        <f t="array" ref="CS197">_xlfn.LET(_xlpm.GR,IF(AND(SD!$C$19=SD!$H$2,Grade!$G$1="Per level"),VLOOKUP(B197,Grade!$E$1:$F$200,2,FALSE),IF(AND(SD!$C$19=SD!$H$2,Grade!$G$1="Per Bar Size"),VLOOKUP(CR197,Grade!$B$1:$C$12,2,0),SD!$C$19)),IF(SD!$C$20=SD!$R$4,IF(A198=A197,"",INDEX(IF(_xlpm.GR=SD!$H$3,A615GR60,IF(_xlpm.GR=SD!$H$4,A615GR75,IF(_xlpm.GR=SD!$H$5,A615GR80,IF(_xlpm.GR=SD!H201,A615GR100,IF(_xlpm.GR=SD!$H$7,A706GR60,IF(_xlpm.GR=SD!$H$8,A706GR80)))))), MATCH(1, (BSize=CR197)*(BCName=SD!$C$8), 0))),""))</f>
        <v/>
      </c>
      <c r="CT197" t="str">
        <f>IF(A198=A197,"",IF(SD!$C$23="Match Vertical Bars ",X197,SD!$C$23))</f>
        <v/>
      </c>
      <c r="CU197" t="str" cm="1">
        <f t="array" ref="CU197">IF(A198=A197,"",IF(SD!$C$20="Top dowels",IF(SD!$E$25="No T-Head",IF(SD!$C$24=SD!$Q$3,VLOOKUP(CR197,S90Range,3,FALSE),LEFT(SD!$C$24,FIND("-",SD!$C$24)-1)+(RIGHT(SD!$C$24,LEN(SD!$C$24)-FIND("-",SD!$C$24))/12)),IF(SD!$E$25="T-Head",_xlfn._xlws.FILTER(THead,(TCName=SD!$C$8)*(TSize=CR197)),IF(SD!$E$25="Level Wise",_xlfn.LET(_xlpm.result,_xlfn.XLOOKUP(B197,TDLevel,TDLevelStatus,"No"),IF(_xlpm.result="Yes",_xlfn._xlws.FILTER(THead,(TCName=SD!$C$8)*(TSize=CR197)),IF(SD!$C$24=SD!$Q$3,VLOOKUP(CR197,S90Range,3,FALSE),LEFT(SD!$C$24,FIND("-",SD!$C$24)-1)+(RIGHT(SD!$C$24,LEN(SD!$C$24)-FIND("-", SD!$C$24))/12)))),IF(SD!$E$25="BarSize Wise",_xlfn.LET(_xlpm.result,_xlfn.XLOOKUP(CR197,TDBarSize,TDBarSizeStatus,"No"),IF(_xlpm.result="Yes",_xlfn._xlws.FILTER(THead,(TCName=SD!$C$8)*(TSize=CR197)),IF(SD!$C$24=SD!$Q$3,VLOOKUP(CR197,S90Range,3,FALSE),LEFT(SD!$C$24,FIND("-",SD!$C$24)-1)+(RIGHT(SD!$C$24,LEN(SD!$C$24)-FIND("-",SD!$C$24))/12)))), "")))),""))</f>
        <v/>
      </c>
      <c r="CV197" t="str">
        <f>_xlfn.LET(_xlpm.GRR,IF(AND(SD!$C$19=SD!$H$2,Grade!$G$1="Per level"),VLOOKUP(B197,Grade!$E$1:$F$200,2,FALSE),IF(AND(SD!$C$19=SD!$H$2,Grade!$G$1="Per Bar Size"),VLOOKUP(CR197,Grade!$B$1:$C$12,2,0),SD!$C$19)),IF(SD!$C$25=SD!$W$2,IF(Data!$J197="",IFERROR(INDEX(IF(SD!$C$11="Create",Lap!$A$3:$BF$14,IF(SD!$C$11="Per Uploaded File",Lap!$A$19:$BF$30,"")),MATCH(CR197,Lap!$A$3:$A$14,0),MATCH(VALUE(D197),Lap!$A$3:$BF$3,0)+IF(IFERROR(FIND("Grade 60",_xlpm.GRR),0)&gt;0,0,IF(IFERROR(FIND("Grade 80",_xlpm.GRR),0),1,IF(IFERROR(FIND("Grade 75",_xlpm.GRR),0),2,"")))),""),Data!J197),SD!$C$43))</f>
        <v>Match Lap</v>
      </c>
      <c r="CW197">
        <f t="shared" si="96"/>
        <v>0</v>
      </c>
      <c r="CX197">
        <f t="shared" si="97"/>
        <v>0</v>
      </c>
      <c r="CY197" t="str">
        <f t="shared" si="98"/>
        <v/>
      </c>
      <c r="DA197" t="str">
        <f t="shared" si="99"/>
        <v/>
      </c>
      <c r="DB197" t="str">
        <f t="shared" si="100"/>
        <v/>
      </c>
      <c r="DC197" s="24" t="str">
        <f t="shared" si="101"/>
        <v/>
      </c>
      <c r="DD197">
        <f t="shared" si="102"/>
        <v>10.583333333333334</v>
      </c>
      <c r="DE197" t="s">
        <v>785</v>
      </c>
      <c r="DF197" t="s">
        <v>67</v>
      </c>
      <c r="DG197" t="str">
        <f>VLOOKUP(W197,'Level Wise PSI'!$F$2:$G$12,2,FALSE)</f>
        <v>Double Lift</v>
      </c>
      <c r="DI197" t="str" cm="1">
        <f t="array" ref="DI197">_xlfn.LET(_xlpm.Coup,IFERROR(IF(BY197="","",IF(K197="Coupler",_xlfn._xlws.FILTER(CCFCoupler,(CCName=SD!$C$8)*(CBSize=IF(A196=A197,W196&amp;W197,BX197&amp;W197))),"")),"N/A"),IF(_xlpm.Coup=0,"",_xlpm.Coup))</f>
        <v/>
      </c>
      <c r="DJ197" t="str" cm="1">
        <f t="array" ref="DJ197">_xlfn.LET(_xlpm.Coup3,IFERROR(IF(CG197="","",IF(K198="Coupler",_xlfn._xlws.FILTER(CCFCoupler,(CCName=SD!$C$8)*(CBSize=IF(A197=A198,W197&amp;W198,""))),"")),"N/A"),IF(_xlpm.Coup3=0,"",_xlpm.Coup3))</f>
        <v/>
      </c>
      <c r="DK197" t="str" cm="1">
        <f t="array" ref="DK197">_xlfn.LET(_xlpm.Coup2,IFERROR(IF(A197&lt;&gt;A198,"",IF(DF197="No Lap","",IF(K198="Coupler",_xlfn._xlws.FILTER(CCFCoupler,(CCName=SD!$C$8)*(CBSize=IF(A196=A197,W197&amp;W198,W197&amp;W197))),""))),"N/A"),IF(_xlpm.Coup2=0,"",_xlpm.Coup2))</f>
        <v/>
      </c>
      <c r="DM197" t="str">
        <f>IF(AM197="Spiral","",IF(SD!$C$31=SD!$Y$3,SD!$E$32*2,""))</f>
        <v/>
      </c>
      <c r="DO197" s="24">
        <f t="shared" si="103"/>
        <v>2.5</v>
      </c>
      <c r="DQ197" t="str">
        <f t="shared" si="104"/>
        <v>Lig</v>
      </c>
      <c r="DR197" t="str">
        <f>IF(AM197="Spiral",((Y197-(SD!$E$12*2))/12),"")</f>
        <v/>
      </c>
      <c r="DS197" t="str">
        <f t="shared" si="105"/>
        <v/>
      </c>
      <c r="DT197" t="str">
        <f t="shared" si="106"/>
        <v/>
      </c>
      <c r="DU197" t="str">
        <f t="shared" si="107"/>
        <v/>
      </c>
    </row>
    <row r="198" spans="1:125" x14ac:dyDescent="0.25">
      <c r="A198">
        <v>65</v>
      </c>
      <c r="B198" t="s">
        <v>678</v>
      </c>
      <c r="C198" s="15">
        <v>2429</v>
      </c>
      <c r="D198" s="15">
        <v>10000</v>
      </c>
      <c r="E198" t="str">
        <f>IF(B198=Level!$A$2,SD!$C$14,SD!$C$13)</f>
        <v>0-8</v>
      </c>
      <c r="F198" s="15" t="s">
        <v>787</v>
      </c>
      <c r="G198" t="s">
        <v>742</v>
      </c>
      <c r="H198" t="str">
        <f>RIGHT(VLOOKUP(B198,Level!A:C,3,FALSE),LEN(VLOOKUP(B198,Level!A:C,3,FALSE))-1)</f>
        <v>10-7</v>
      </c>
      <c r="I198" t="s">
        <v>743</v>
      </c>
      <c r="J198" t="str">
        <f>IF(AND(SD!$C$19=SD!$H$2,Grade!$G$1="Per level"),VLOOKUP(B198,Grade!$E$1:$F$200,2,FALSE),IF(AND(SD!$C$19=SD!$H$2,Grade!$G$1="Per Bar Size"),VLOOKUP(W198,Grade!$B$1:$C$12,2,0),SD!$C$19))</f>
        <v>A615 Grade 60</v>
      </c>
      <c r="K198" t="s">
        <v>67</v>
      </c>
      <c r="L198" t="str">
        <f>IFERROR(IF(A198&lt;&gt;A199,"",IF(DF198="No Lap","",IF(K199="Lap",U198,IF(K199="Coupler",_xlfn._xlws.FILTER(CCoupler,(CCName=SD!$C$8)*(CBSize=IF(A197=A198,W198&amp;W199,W198&amp;W198))*(CCMFM="Male")),"")))),"N/A")</f>
        <v>5-1</v>
      </c>
      <c r="M198" t="str">
        <f t="shared" si="81"/>
        <v/>
      </c>
      <c r="N198" t="s">
        <v>719</v>
      </c>
      <c r="O198" t="s">
        <v>720</v>
      </c>
      <c r="P198" t="s">
        <v>719</v>
      </c>
      <c r="Q198" t="str">
        <f>IF(AND(SD!$C$29=SD!$P$2,Grade!$O$1="Per level"),VLOOKUP(B198,Grade!$M$1:$N$200,2,FALSE),IF(AND(SD!$C$29=SD!$P$2,Grade!$O$1="Per Bar Size"),VLOOKUP(LEFT(N198,FIND("@",N198)-2),Grade!$J$1:$K$12,2,0),SD!$C$29))</f>
        <v>A615 Grade 60</v>
      </c>
      <c r="R198" t="s">
        <v>742</v>
      </c>
      <c r="S198" s="57">
        <v>198</v>
      </c>
      <c r="U198" t="str">
        <f>IF(Data!$J198="",IFERROR(INDEX(IF(SD!$C$11="Create",Lap!$A$3:$BF$14,IF(SD!$C$11="Per Uploaded File",Lap!$A$19:$BF$30,"")),MATCH(W198,Lap!$A$3:$A$14,0),MATCH(VALUE(D198),Lap!$A$3:$BF$3,0)+IF(IFERROR(FIND("Grade 60",J198),0)&gt;0,0,IF(IFERROR(FIND("Grade 80",J198),0),1,IF(IFERROR(FIND("Grade 75",J198),0),2,"")))),""),Data!J198)</f>
        <v>5-1</v>
      </c>
      <c r="W198" t="s">
        <v>176</v>
      </c>
      <c r="X198">
        <v>6</v>
      </c>
      <c r="Y198" t="str">
        <f t="shared" si="82"/>
        <v>30</v>
      </c>
      <c r="Z198">
        <f t="shared" si="83"/>
        <v>0</v>
      </c>
      <c r="AA198" s="24">
        <f t="shared" si="84"/>
        <v>15.666666666666666</v>
      </c>
      <c r="BB198" t="e" cm="1">
        <f t="array" ref="BB198">_xlfn.LET(_xlpm.PartF,(_xlfn.LET(_xlpm.grade, Q198,_xlpm.gradeRange, IF(_xlpm.grade=SD!$H$3, A615GR60, IF(_xlpm.grade=SD!$H$4, A615GR75, IF(_xlpm.grade=SD!$H$5, A615GR80, IF(_xlpm.grade=SD!$H$6, A615GR100, IF(_xlpm.grade=SD!$H$7, A706GR60, IF(_xlpm.grade=SD!$H$8, A706GR80)))))),_xlpm.matchValue, MATCH(1, (SD!$AW:$AW=AS198)*(SD!$AX:$AX=SD!$C$8), 0),INDEX(_xlpm.gradeRange, _xlpm.matchValue))),IF(AM198="Spiral",CONCATENATE("SP",_xlpm.PartF),_xlpm.PartF))</f>
        <v>#N/A</v>
      </c>
      <c r="BC198" cm="1">
        <f t="array" ref="BC198">_xlfn.LET(_xlpm.leftPart, LEFT(O198, FIND("@", O198) - 2),_xlpm.grade,Q198,_xlpm.gradeRange,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8" cm="1">
        <f t="array" ref="BD198">_xlfn.LET(_xlpm.leftPart, LEFT(P198, FIND("@", P198) - 2),_xlpm.grade, Q198,_xlpm.gradeRange,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8">
        <f t="shared" si="85"/>
        <v>2.5</v>
      </c>
      <c r="BF198">
        <f>IF(SD!$C$32=SD!$I$2,BE198,IF(SD!$C$32=SD!$I$3,DO198,IF(SD!$C$32=SD!$I$5,BA198,IF(SD!$C$32=SD!$I$6,(LEFT(SD!$C$35,FIND("-",SD!$C$35)-1)+RIGHT(SD!$C$35,LEN(SD!$C$35)-FIND("-",SD!$C$35))/12),IF(SD!$C$32=SD!$I$4,(AU198-(BG198+BH198)))))))</f>
        <v>0</v>
      </c>
      <c r="BG198">
        <f>IF(SD!$C$33=SD!$I$2,BE198,IF(SD!$C$33=SD!$I$3,DO198,IF(SD!$C$33=SD!$I$5,BA198,IF(SD!$C$33=SD!$I$6,(LEFT(SD!$C$35,FIND("-",SD!$C$35)-1)+RIGHT(SD!$C$35,LEN(SD!$C$35)-FIND("-",SD!$C$35))/12),IF(SD!$C$33=SD!$I$4,(AU198-(BF198+BH198)))))))</f>
        <v>-1</v>
      </c>
      <c r="BH198">
        <f>IF(SD!$C$34=SD!$I$2,BE198,IF(SD!$C$34=SD!$I$3,DO198,IF(SD!$C$34=SD!$I$5,BA198,IF(SD!$C$34=SD!$I$6,(LEFT(SD!$C$35,FIND("-",SD!$C$35)-1)+RIGHT(SD!$C$35,LEN(SD!$C$35)-FIND("-",SD!$C$35))/12),IF(SD!$C$34=SD!$I$4,(AU198-(BF198+BG198)))))))</f>
        <v>1</v>
      </c>
      <c r="BJ198">
        <f>IF(AM198="Spiral","1",MAX(ROUNDUP(IF(SD!$C$32="",AT198,BF198/(LEFT(RIGHT(N198,LEN(N198)-FIND("@",N198)),LEN(RIGHT(N198,LEN(N198)-FIND("@",N198)))-1)/12)+1),0),0))</f>
        <v>1</v>
      </c>
      <c r="BK198">
        <f>MAX(ROUNDUP(IF(SD!$C$33="","",BG198/(LEFT(RIGHT(O198,LEN(O198)-FIND("@",O198)),LEN(RIGHT(O198,LEN(O198)-FIND("@",O198)))-1)/12)+1),0),0)</f>
        <v>0</v>
      </c>
      <c r="BL198">
        <f>MAX(ROUNDUP(IF(SD!$C$34="","",BH198/(LEFT(RIGHT(P198,LEN(P198)-FIND("@",P198)),LEN(RIGHT(P198,LEN(P198)-FIND("@",P198)))-1)/12)+1),0),0)</f>
        <v>3</v>
      </c>
      <c r="BN198" t="e">
        <f t="shared" si="86"/>
        <v>#N/A</v>
      </c>
      <c r="BO198" t="e">
        <f t="shared" si="87"/>
        <v>#N/A</v>
      </c>
      <c r="BP198" t="e">
        <f t="shared" si="88"/>
        <v>#N/A</v>
      </c>
      <c r="BQ198" s="24" t="e">
        <f>IF(AM198=TRUE,(((Y198-(SD!$E$12*2))*3.14159265359)+BN198+BO198+BP198)/12+AL198,SUM(AF198:AG198,BN198,BO198,BP198,AO198,AQ198)/12)</f>
        <v>#N/A</v>
      </c>
      <c r="BR198" t="e">
        <f t="shared" si="89"/>
        <v>#N/A</v>
      </c>
      <c r="BS198" t="e">
        <f t="shared" si="90"/>
        <v>#N/A</v>
      </c>
      <c r="BT198" t="e">
        <f t="shared" si="91"/>
        <v>#N/A</v>
      </c>
      <c r="BU198" s="24" t="e">
        <f>IF(AM198=TRUE,(((Y198-(SD!$E$12*2))*3.14159265359)+BR198+BS198+BT198)/12+AL198,SUM(AF198:AG198,BR198,BS198,BT198,AO198,AQ198)/12)</f>
        <v>#N/A</v>
      </c>
      <c r="BW198" t="str">
        <f>IFERROR(LEFT(Data!L198,FIND(" -",Data!L198)-1),"")</f>
        <v/>
      </c>
      <c r="BX198" t="str">
        <f>IFERROR(IF(SD!$C$40=SD!$U$2,W198,IF(SD!$C$40=SD!$U$3,RIGHT(Data!L198,LEN(Data!L198)-(FIND("-",Data!L198)+1)),SD!$C$40)),"")</f>
        <v>#10</v>
      </c>
      <c r="BY198" t="str" cm="1">
        <f t="array" ref="BY198">IFERROR(_xlfn.LET(_xlpm.GRR,IF(AND(SD!$C$19=SD!$H$2,Grade!$G$1="Per level"),VLOOKUP(B198,Grade!$E$1:$F$200,2,FALSE),IF(AND(SD!$C$19=SD!$H$2,Grade!$G$1="Per Bar Size"),VLOOKUP(BX198,Grade!$B$1:$C$12,2,0),SD!$C$19)),_xlpm.is_equal, A197=A198,_xlpm.grade_range, IF(_xlpm.GRR=SD!$H$3, A615GR60,IF(_xlpm.GRR=SD!$H$4, A615GR75,IF(_xlpm.GRR=SD!$H$5, A615GR80,IF(_xlpm.GRR=SD!H202, A615GR100,IF(_xlpm.GRR=SD!$H$7, A706GR60,IF(_xlpm.GRR=SD!$H$8, A706GR80)))))),_xlpm.match_result, MATCH(1, (BSize=BX198)*(BCName=SD!$C$8), 0),_xlpm.final_result, INDEX(_xlpm.grade_range, _xlpm.match_result),IF(_xlpm.is_equal, "", _xlpm.final_result)),"")</f>
        <v/>
      </c>
      <c r="BZ198" t="str">
        <f>IF(A197=A198,"",IF(SD!$C$41="Match Vertical Bars ",X198,IF(SD!$C$41=SD!$V$3,BW198,SD!$C$41)))</f>
        <v/>
      </c>
      <c r="CA198" t="str" cm="1">
        <f t="array" ref="CA198">IF(A197=A198,"",IF(SD!$C$44="No T-Head",IF(SD!$C$42=SD!$Q$3,VLOOKUP(BX198,S90Range,3,FALSE),LEFT(SD!$C$42,FIND("-",SD!$C$42)-1)+(RIGHT(SD!$C$42,LEN(SD!$C$42)-FIND("-",SD!$C$42))/12)),IF(SD!$C$44="T-Head",_xlfn._xlws.FILTER(THead,(TCName=SD!$C$8)*(TSize=BX198)),IF(SD!$C$44="Level Wise",_xlfn.LET(_xlpm.result,_xlfn.XLOOKUP(B198,VDLevel,VDLevelStatus,"No"),IF(_xlpm.result="Yes",_xlfn._xlws.FILTER(THead,(TCName=SD!$C$8)*(TSize=BX198)),IF(SD!$C$42=SD!$Q$3,VLOOKUP(BX198,S90Range,3,FALSE),LEFT(SD!$C$42,FIND("-",SD!$C$42)-1)+(RIGHT(SD!$C$42,LEN(SD!$C$42)-FIND("-", SD!$C$42))/12)))),IF(SD!$C$44="BarSize Wise",_xlfn.LET(_xlpm.result,_xlfn.XLOOKUP(BX198,VDBarSize,VDBarSizeStatus,"No"),IF(_xlpm.result="Yes",_xlfn._xlws.FILTER(THead,(TCName=SD!$C$8)*(TSize=BX198)),IF(SD!$C$42=SD!$Q$3,VLOOKUP(BX198,S90Range,3,FALSE),LEFT(SD!$C$42,FIND("-",SD!$C$42)-1)+(RIGHT(SD!$C$42,LEN(SD!$C$42)-FIND("-",SD!$C$42))/12)))), "")))))</f>
        <v/>
      </c>
      <c r="CB198" t="str" cm="1">
        <f t="array" ref="CB198">_xlfn.LET(_xlpm.GRR,IF(AND(SD!$C$19=SD!$H$2,Grade!$G$1="Per level"),VLOOKUP(B198,Grade!$E$1:$F$200,2,FALSE),IF(AND(SD!$C$19=SD!$H$2,Grade!$G$1="Per Bar Size"),VLOOKUP(BX198,Grade!$B$1:$C$12,2,0),SD!$C$19)),_xlpm.is_coupler, K198="Coupler",_xlpm.condition1, SD!$C$43=SD!$W$2,_xlpm.data_j2_empty, Data!$J198="",_xlpm.lookup_table, IF(SD!$C$11="Create", Lap!$A$3:$BF$14, IF(SD!$C$11="Per Uploaded File", Lap!$A$19:$BF$30, "")),_xlpm.row_match, MATCH(BX198, Lap!$A$3:$A$14, 0),_xlpm.grade_offset, IF(IFERROR(FIND("Grade 60",_xlpm.GRR), 0) &gt; 0, 0, IF(IFERROR(FIND("Grade 80",_xlpm.GRR), 0), 1, IF(IFERROR(FIND("Grade 75",_xlpm.GRR), 0), 2, ""))),_xlpm.col_match, MATCH(VALUE(D198), Lap!$A$3:$BF$3, 0) + _xlpm.grade_offset,_xlpm.index_result, IFERROR(INDEX(_xlpm.lookup_table, _xlpm.row_match, _xlpm.col_match), Data!$J198),_xlpm.result_if_condition1, IF(_xlpm.data_j2_empty, _xlpm.index_result, Data!$J198),IF(_xlpm.is_coupler, 0, IF(_xlpm.condition1, _xlpm.result_if_condition1, SD!$C$43)))</f>
        <v>5-1</v>
      </c>
      <c r="CC198" s="24">
        <f t="shared" si="92"/>
        <v>5.083333333333333</v>
      </c>
      <c r="CD198">
        <f t="shared" si="93"/>
        <v>5.75</v>
      </c>
      <c r="CE198" t="str" cm="1">
        <f t="array" ref="CE198">IF(BY198="","",_xlfn._xlws.FILTER(SAC,(CName=SD!$C$8)*(EName="Vert Dowels")))</f>
        <v/>
      </c>
      <c r="CF198" t="str" cm="1">
        <f t="array" ref="CF198">IFERROR(IF(BY198="","",IF(K198="Coupler",_xlfn._xlws.FILTER(CCoupler,(CCName=SD!$C$8)*(CBSize=IF(A197=A198,W197&amp;W198,BX198&amp;W198))*(CCMFM="Male")),"")),"N/A")</f>
        <v/>
      </c>
      <c r="CG198" t="str">
        <f t="shared" si="94"/>
        <v/>
      </c>
      <c r="CH198" t="str">
        <f t="shared" si="95"/>
        <v/>
      </c>
      <c r="CI198" t="str">
        <f>_xlfn.LET(_xlpm.u3_value, U199,_xlpm.hyphen_pos,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K199="Coupler",_xlpm.coupler_value, IF(_xlpm.is_coupler, 0, _xlpm.calculated_value),_xlpm.final_value, _xlpm.calculated_value + SD!$E$13 + _xlpm.coupler_value,IF(CG198="", "", _xlpm.final_value))</f>
        <v/>
      </c>
      <c r="CJ198" t="str" cm="1">
        <f t="array" ref="CJ198">IF(CG198="","",_xlfn._xlws.FILTER(SAC,(CName=SD!$C$8)*(EName="Loose Dowels")))</f>
        <v/>
      </c>
      <c r="CK198" t="str" cm="1">
        <f t="array" ref="CK198">IFERROR(IF(CG198="","",IF(K199="Coupler",_xlfn._xlws.FILTER(CCoupler,(CCName=SD!$C$8)*(CBSize=IF(A198=A199,W198&amp;W199,""))*(CCMFM="Male")),"")),"N/A")</f>
        <v/>
      </c>
      <c r="CL198" t="str">
        <f>IFERROR(IF(AM198="Spiral","",IF(A197=A198,"",IF(SD!$C$37=0,"",SD!$C$37))),"")</f>
        <v/>
      </c>
      <c r="CN198">
        <f>IF(AM198="Spiral","",IFERROR(IF(SD!$C$36=0,"",SD!$C$36),""))</f>
        <v>5</v>
      </c>
      <c r="CP198" t="str">
        <f>IFERROR(IF(SD!$C$42=SD!$Q$3,'Take-off'!CA198,""),"")</f>
        <v/>
      </c>
      <c r="CR198">
        <f>IFERROR(IF(SD!$C$22=SD!$U$2,W198,SD!$C$22),"")</f>
        <v>0</v>
      </c>
      <c r="CS198" t="str" cm="1">
        <f t="array" ref="CS198">_xlfn.LET(_xlpm.GR,IF(AND(SD!$C$19=SD!$H$2,Grade!$G$1="Per level"),VLOOKUP(B198,Grade!$E$1:$F$200,2,FALSE),IF(AND(SD!$C$19=SD!$H$2,Grade!$G$1="Per Bar Size"),VLOOKUP(CR198,Grade!$B$1:$C$12,2,0),SD!$C$19)),IF(SD!$C$20=SD!$R$4,IF(A199=A198,"",INDEX(IF(_xlpm.GR=SD!$H$3,A615GR60,IF(_xlpm.GR=SD!$H$4,A615GR75,IF(_xlpm.GR=SD!$H$5,A615GR80,IF(_xlpm.GR=SD!H202,A615GR100,IF(_xlpm.GR=SD!$H$7,A706GR60,IF(_xlpm.GR=SD!$H$8,A706GR80)))))), MATCH(1, (BSize=CR198)*(BCName=SD!$C$8), 0))),""))</f>
        <v/>
      </c>
      <c r="CT198" t="str">
        <f>IF(A199=A198,"",IF(SD!$C$23="Match Vertical Bars ",X198,SD!$C$23))</f>
        <v/>
      </c>
      <c r="CU198" t="str" cm="1">
        <f t="array" ref="CU198">IF(A199=A198,"",IF(SD!$C$20="Top dowels",IF(SD!$E$25="No T-Head",IF(SD!$C$24=SD!$Q$3,VLOOKUP(CR198,S90Range,3,FALSE),LEFT(SD!$C$24,FIND("-",SD!$C$24)-1)+(RIGHT(SD!$C$24,LEN(SD!$C$24)-FIND("-",SD!$C$24))/12)),IF(SD!$E$25="T-Head",_xlfn._xlws.FILTER(THead,(TCName=SD!$C$8)*(TSize=CR198)),IF(SD!$E$25="Level Wise",_xlfn.LET(_xlpm.result,_xlfn.XLOOKUP(B198,TDLevel,TDLevelStatus,"No"),IF(_xlpm.result="Yes",_xlfn._xlws.FILTER(THead,(TCName=SD!$C$8)*(TSize=CR198)),IF(SD!$C$24=SD!$Q$3,VLOOKUP(CR198,S90Range,3,FALSE),LEFT(SD!$C$24,FIND("-",SD!$C$24)-1)+(RIGHT(SD!$C$24,LEN(SD!$C$24)-FIND("-", SD!$C$24))/12)))),IF(SD!$E$25="BarSize Wise",_xlfn.LET(_xlpm.result,_xlfn.XLOOKUP(CR198,TDBarSize,TDBarSizeStatus,"No"),IF(_xlpm.result="Yes",_xlfn._xlws.FILTER(THead,(TCName=SD!$C$8)*(TSize=CR198)),IF(SD!$C$24=SD!$Q$3,VLOOKUP(CR198,S90Range,3,FALSE),LEFT(SD!$C$24,FIND("-",SD!$C$24)-1)+(RIGHT(SD!$C$24,LEN(SD!$C$24)-FIND("-",SD!$C$24))/12)))), "")))),""))</f>
        <v/>
      </c>
      <c r="CV198" t="str">
        <f>_xlfn.LET(_xlpm.GRR,IF(AND(SD!$C$19=SD!$H$2,Grade!$G$1="Per level"),VLOOKUP(B198,Grade!$E$1:$F$200,2,FALSE),IF(AND(SD!$C$19=SD!$H$2,Grade!$G$1="Per Bar Size"),VLOOKUP(CR198,Grade!$B$1:$C$12,2,0),SD!$C$19)),IF(SD!$C$25=SD!$W$2,IF(Data!$J198="",IFERROR(INDEX(IF(SD!$C$11="Create",Lap!$A$3:$BF$14,IF(SD!$C$11="Per Uploaded File",Lap!$A$19:$BF$30,"")),MATCH(CR198,Lap!$A$3:$A$14,0),MATCH(VALUE(D198),Lap!$A$3:$BF$3,0)+IF(IFERROR(FIND("Grade 60",_xlpm.GRR),0)&gt;0,0,IF(IFERROR(FIND("Grade 80",_xlpm.GRR),0),1,IF(IFERROR(FIND("Grade 75",_xlpm.GRR),0),2,"")))),""),Data!J198),SD!$C$43))</f>
        <v>Match Lap</v>
      </c>
      <c r="CW198">
        <f t="shared" si="96"/>
        <v>0</v>
      </c>
      <c r="CX198">
        <f t="shared" si="97"/>
        <v>0</v>
      </c>
      <c r="CY198" t="str">
        <f t="shared" si="98"/>
        <v/>
      </c>
      <c r="DA198" t="str">
        <f t="shared" si="99"/>
        <v/>
      </c>
      <c r="DB198" t="str">
        <f t="shared" si="100"/>
        <v/>
      </c>
      <c r="DC198" s="24" t="str">
        <f t="shared" si="101"/>
        <v/>
      </c>
      <c r="DD198">
        <f t="shared" si="102"/>
        <v>10.583333333333334</v>
      </c>
      <c r="DE198" t="s">
        <v>785</v>
      </c>
      <c r="DF198" t="s">
        <v>67</v>
      </c>
      <c r="DG198" t="str">
        <f>VLOOKUP(W198,'Level Wise PSI'!$F$2:$G$12,2,FALSE)</f>
        <v>Double Lift</v>
      </c>
      <c r="DI198" t="str" cm="1">
        <f t="array" ref="DI198">_xlfn.LET(_xlpm.Coup,IFERROR(IF(BY198="","",IF(K198="Coupler",_xlfn._xlws.FILTER(CCFCoupler,(CCName=SD!$C$8)*(CBSize=IF(A197=A198,W197&amp;W198,BX198&amp;W198))),"")),"N/A"),IF(_xlpm.Coup=0,"",_xlpm.Coup))</f>
        <v/>
      </c>
      <c r="DJ198" t="str" cm="1">
        <f t="array" ref="DJ198">_xlfn.LET(_xlpm.Coup3,IFERROR(IF(CG198="","",IF(K199="Coupler",_xlfn._xlws.FILTER(CCFCoupler,(CCName=SD!$C$8)*(CBSize=IF(A198=A199,W198&amp;W199,""))),"")),"N/A"),IF(_xlpm.Coup3=0,"",_xlpm.Coup3))</f>
        <v/>
      </c>
      <c r="DK198" t="str" cm="1">
        <f t="array" ref="DK198">_xlfn.LET(_xlpm.Coup2,IFERROR(IF(A198&lt;&gt;A199,"",IF(DF198="No Lap","",IF(K199="Coupler",_xlfn._xlws.FILTER(CCFCoupler,(CCName=SD!$C$8)*(CBSize=IF(A197=A198,W198&amp;W199,W198&amp;W198))),""))),"N/A"),IF(_xlpm.Coup2=0,"",_xlpm.Coup2))</f>
        <v/>
      </c>
      <c r="DM198" t="str">
        <f>IF(AM198="Spiral","",IF(SD!$C$31=SD!$Y$3,SD!$E$32*2,""))</f>
        <v/>
      </c>
      <c r="DO198" s="24">
        <f t="shared" si="103"/>
        <v>2.5</v>
      </c>
      <c r="DQ198" t="str">
        <f t="shared" si="104"/>
        <v>Lig</v>
      </c>
      <c r="DR198" t="str">
        <f>IF(AM198="Spiral",((Y198-(SD!$E$12*2))/12),"")</f>
        <v/>
      </c>
      <c r="DS198" t="str">
        <f t="shared" si="105"/>
        <v/>
      </c>
      <c r="DT198" t="str">
        <f t="shared" si="106"/>
        <v/>
      </c>
      <c r="DU198" t="str">
        <f t="shared" si="107"/>
        <v/>
      </c>
    </row>
    <row r="199" spans="1:125" x14ac:dyDescent="0.25">
      <c r="A199">
        <v>65</v>
      </c>
      <c r="B199" t="s">
        <v>680</v>
      </c>
      <c r="C199" s="15">
        <v>2429</v>
      </c>
      <c r="D199" s="15">
        <v>10000</v>
      </c>
      <c r="E199" t="str">
        <f>IF(B199=Level!$A$2,SD!$C$14,SD!$C$13)</f>
        <v>0-8</v>
      </c>
      <c r="F199" s="15" t="s">
        <v>787</v>
      </c>
      <c r="G199" t="s">
        <v>742</v>
      </c>
      <c r="H199" t="str">
        <f>RIGHT(VLOOKUP(B199,Level!A:C,3,FALSE),LEN(VLOOKUP(B199,Level!A:C,3,FALSE))-1)</f>
        <v>10-7</v>
      </c>
      <c r="I199" t="s">
        <v>743</v>
      </c>
      <c r="J199" t="str">
        <f>IF(AND(SD!$C$19=SD!$H$2,Grade!$G$1="Per level"),VLOOKUP(B199,Grade!$E$1:$F$200,2,FALSE),IF(AND(SD!$C$19=SD!$H$2,Grade!$G$1="Per Bar Size"),VLOOKUP(W199,Grade!$B$1:$C$12,2,0),SD!$C$19))</f>
        <v>A615 Grade 60</v>
      </c>
      <c r="K199" t="s">
        <v>67</v>
      </c>
      <c r="L199" t="str">
        <f>IFERROR(IF(A199&lt;&gt;A200,"",IF(DF199="No Lap","",IF(K200="Lap",U199,IF(K200="Coupler",_xlfn._xlws.FILTER(CCoupler,(CCName=SD!$C$8)*(CBSize=IF(A198=A199,W199&amp;W200,W199&amp;W199))*(CCMFM="Male")),"")))),"N/A")</f>
        <v>5-1</v>
      </c>
      <c r="M199" t="str">
        <f t="shared" si="81"/>
        <v/>
      </c>
      <c r="N199" t="s">
        <v>719</v>
      </c>
      <c r="O199" t="s">
        <v>720</v>
      </c>
      <c r="P199" t="s">
        <v>719</v>
      </c>
      <c r="Q199" t="str">
        <f>IF(AND(SD!$C$29=SD!$P$2,Grade!$O$1="Per level"),VLOOKUP(B199,Grade!$M$1:$N$200,2,FALSE),IF(AND(SD!$C$29=SD!$P$2,Grade!$O$1="Per Bar Size"),VLOOKUP(LEFT(N199,FIND("@",N199)-2),Grade!$J$1:$K$12,2,0),SD!$C$29))</f>
        <v>A615 Grade 60</v>
      </c>
      <c r="R199" t="s">
        <v>742</v>
      </c>
      <c r="S199" s="57">
        <v>199</v>
      </c>
      <c r="U199" t="str">
        <f>IF(Data!$J199="",IFERROR(INDEX(IF(SD!$C$11="Create",Lap!$A$3:$BF$14,IF(SD!$C$11="Per Uploaded File",Lap!$A$19:$BF$30,"")),MATCH(W199,Lap!$A$3:$A$14,0),MATCH(VALUE(D199),Lap!$A$3:$BF$3,0)+IF(IFERROR(FIND("Grade 60",J199),0)&gt;0,0,IF(IFERROR(FIND("Grade 80",J199),0),1,IF(IFERROR(FIND("Grade 75",J199),0),2,"")))),""),Data!J199)</f>
        <v>5-1</v>
      </c>
      <c r="W199" t="s">
        <v>176</v>
      </c>
      <c r="X199">
        <v>6</v>
      </c>
      <c r="Y199" t="str">
        <f t="shared" si="82"/>
        <v>30</v>
      </c>
      <c r="Z199">
        <f t="shared" si="83"/>
        <v>0</v>
      </c>
      <c r="AA199" s="24">
        <f t="shared" si="84"/>
        <v>15.666666666666666</v>
      </c>
      <c r="BB199" t="e" cm="1">
        <f t="array" ref="BB199">_xlfn.LET(_xlpm.PartF,(_xlfn.LET(_xlpm.grade, Q199,_xlpm.gradeRange, IF(_xlpm.grade=SD!$H$3, A615GR60, IF(_xlpm.grade=SD!$H$4, A615GR75, IF(_xlpm.grade=SD!$H$5, A615GR80, IF(_xlpm.grade=SD!$H$6, A615GR100, IF(_xlpm.grade=SD!$H$7, A706GR60, IF(_xlpm.grade=SD!$H$8, A706GR80)))))),_xlpm.matchValue, MATCH(1, (SD!$AW:$AW=AS199)*(SD!$AX:$AX=SD!$C$8), 0),INDEX(_xlpm.gradeRange, _xlpm.matchValue))),IF(AM199="Spiral",CONCATENATE("SP",_xlpm.PartF),_xlpm.PartF))</f>
        <v>#N/A</v>
      </c>
      <c r="BC199" cm="1">
        <f t="array" ref="BC199">_xlfn.LET(_xlpm.leftPart, LEFT(O199, FIND("@", O199) - 2),_xlpm.grade,Q199,_xlpm.gradeRange,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199" cm="1">
        <f t="array" ref="BD199">_xlfn.LET(_xlpm.leftPart, LEFT(P199, FIND("@", P199) - 2),_xlpm.grade, Q199,_xlpm.gradeRange,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199">
        <f t="shared" si="85"/>
        <v>2.5</v>
      </c>
      <c r="BF199">
        <f>IF(SD!$C$32=SD!$I$2,BE199,IF(SD!$C$32=SD!$I$3,DO199,IF(SD!$C$32=SD!$I$5,BA199,IF(SD!$C$32=SD!$I$6,(LEFT(SD!$C$35,FIND("-",SD!$C$35)-1)+RIGHT(SD!$C$35,LEN(SD!$C$35)-FIND("-",SD!$C$35))/12),IF(SD!$C$32=SD!$I$4,(AU199-(BG199+BH199)))))))</f>
        <v>0</v>
      </c>
      <c r="BG199">
        <f>IF(SD!$C$33=SD!$I$2,BE199,IF(SD!$C$33=SD!$I$3,DO199,IF(SD!$C$33=SD!$I$5,BA199,IF(SD!$C$33=SD!$I$6,(LEFT(SD!$C$35,FIND("-",SD!$C$35)-1)+RIGHT(SD!$C$35,LEN(SD!$C$35)-FIND("-",SD!$C$35))/12),IF(SD!$C$33=SD!$I$4,(AU199-(BF199+BH199)))))))</f>
        <v>-1</v>
      </c>
      <c r="BH199">
        <f>IF(SD!$C$34=SD!$I$2,BE199,IF(SD!$C$34=SD!$I$3,DO199,IF(SD!$C$34=SD!$I$5,BA199,IF(SD!$C$34=SD!$I$6,(LEFT(SD!$C$35,FIND("-",SD!$C$35)-1)+RIGHT(SD!$C$35,LEN(SD!$C$35)-FIND("-",SD!$C$35))/12),IF(SD!$C$34=SD!$I$4,(AU199-(BF199+BG199)))))))</f>
        <v>1</v>
      </c>
      <c r="BJ199">
        <f>IF(AM199="Spiral","1",MAX(ROUNDUP(IF(SD!$C$32="",AT199,BF199/(LEFT(RIGHT(N199,LEN(N199)-FIND("@",N199)),LEN(RIGHT(N199,LEN(N199)-FIND("@",N199)))-1)/12)+1),0),0))</f>
        <v>1</v>
      </c>
      <c r="BK199">
        <f>MAX(ROUNDUP(IF(SD!$C$33="","",BG199/(LEFT(RIGHT(O199,LEN(O199)-FIND("@",O199)),LEN(RIGHT(O199,LEN(O199)-FIND("@",O199)))-1)/12)+1),0),0)</f>
        <v>0</v>
      </c>
      <c r="BL199">
        <f>MAX(ROUNDUP(IF(SD!$C$34="","",BH199/(LEFT(RIGHT(P199,LEN(P199)-FIND("@",P199)),LEN(RIGHT(P199,LEN(P199)-FIND("@",P199)))-1)/12)+1),0),0)</f>
        <v>3</v>
      </c>
      <c r="BN199" t="e">
        <f t="shared" si="86"/>
        <v>#N/A</v>
      </c>
      <c r="BO199" t="e">
        <f t="shared" si="87"/>
        <v>#N/A</v>
      </c>
      <c r="BP199" t="e">
        <f t="shared" si="88"/>
        <v>#N/A</v>
      </c>
      <c r="BQ199" s="24" t="e">
        <f>IF(AM199=TRUE,(((Y199-(SD!$E$12*2))*3.14159265359)+BN199+BO199+BP199)/12+AL199,SUM(AF199:AG199,BN199,BO199,BP199,AO199,AQ199)/12)</f>
        <v>#N/A</v>
      </c>
      <c r="BR199" t="e">
        <f t="shared" si="89"/>
        <v>#N/A</v>
      </c>
      <c r="BS199" t="e">
        <f t="shared" si="90"/>
        <v>#N/A</v>
      </c>
      <c r="BT199" t="e">
        <f t="shared" si="91"/>
        <v>#N/A</v>
      </c>
      <c r="BU199" s="24" t="e">
        <f>IF(AM199=TRUE,(((Y199-(SD!$E$12*2))*3.14159265359)+BR199+BS199+BT199)/12+AL199,SUM(AF199:AG199,BR199,BS199,BT199,AO199,AQ199)/12)</f>
        <v>#N/A</v>
      </c>
      <c r="BW199" t="str">
        <f>IFERROR(LEFT(Data!L199,FIND(" -",Data!L199)-1),"")</f>
        <v/>
      </c>
      <c r="BX199" t="str">
        <f>IFERROR(IF(SD!$C$40=SD!$U$2,W199,IF(SD!$C$40=SD!$U$3,RIGHT(Data!L199,LEN(Data!L199)-(FIND("-",Data!L199)+1)),SD!$C$40)),"")</f>
        <v>#10</v>
      </c>
      <c r="BY199" t="str" cm="1">
        <f t="array" ref="BY199">IFERROR(_xlfn.LET(_xlpm.GRR,IF(AND(SD!$C$19=SD!$H$2,Grade!$G$1="Per level"),VLOOKUP(B199,Grade!$E$1:$F$200,2,FALSE),IF(AND(SD!$C$19=SD!$H$2,Grade!$G$1="Per Bar Size"),VLOOKUP(BX199,Grade!$B$1:$C$12,2,0),SD!$C$19)),_xlpm.is_equal, A198=A199,_xlpm.grade_range, IF(_xlpm.GRR=SD!$H$3, A615GR60,IF(_xlpm.GRR=SD!$H$4, A615GR75,IF(_xlpm.GRR=SD!$H$5, A615GR80,IF(_xlpm.GRR=SD!H203, A615GR100,IF(_xlpm.GRR=SD!$H$7, A706GR60,IF(_xlpm.GRR=SD!$H$8, A706GR80)))))),_xlpm.match_result, MATCH(1, (BSize=BX199)*(BCName=SD!$C$8), 0),_xlpm.final_result, INDEX(_xlpm.grade_range, _xlpm.match_result),IF(_xlpm.is_equal, "", _xlpm.final_result)),"")</f>
        <v/>
      </c>
      <c r="BZ199" t="str">
        <f>IF(A198=A199,"",IF(SD!$C$41="Match Vertical Bars ",X199,IF(SD!$C$41=SD!$V$3,BW199,SD!$C$41)))</f>
        <v/>
      </c>
      <c r="CA199" t="str" cm="1">
        <f t="array" ref="CA199">IF(A198=A199,"",IF(SD!$C$44="No T-Head",IF(SD!$C$42=SD!$Q$3,VLOOKUP(BX199,S90Range,3,FALSE),LEFT(SD!$C$42,FIND("-",SD!$C$42)-1)+(RIGHT(SD!$C$42,LEN(SD!$C$42)-FIND("-",SD!$C$42))/12)),IF(SD!$C$44="T-Head",_xlfn._xlws.FILTER(THead,(TCName=SD!$C$8)*(TSize=BX199)),IF(SD!$C$44="Level Wise",_xlfn.LET(_xlpm.result,_xlfn.XLOOKUP(B199,VDLevel,VDLevelStatus,"No"),IF(_xlpm.result="Yes",_xlfn._xlws.FILTER(THead,(TCName=SD!$C$8)*(TSize=BX199)),IF(SD!$C$42=SD!$Q$3,VLOOKUP(BX199,S90Range,3,FALSE),LEFT(SD!$C$42,FIND("-",SD!$C$42)-1)+(RIGHT(SD!$C$42,LEN(SD!$C$42)-FIND("-", SD!$C$42))/12)))),IF(SD!$C$44="BarSize Wise",_xlfn.LET(_xlpm.result,_xlfn.XLOOKUP(BX199,VDBarSize,VDBarSizeStatus,"No"),IF(_xlpm.result="Yes",_xlfn._xlws.FILTER(THead,(TCName=SD!$C$8)*(TSize=BX199)),IF(SD!$C$42=SD!$Q$3,VLOOKUP(BX199,S90Range,3,FALSE),LEFT(SD!$C$42,FIND("-",SD!$C$42)-1)+(RIGHT(SD!$C$42,LEN(SD!$C$42)-FIND("-",SD!$C$42))/12)))), "")))))</f>
        <v/>
      </c>
      <c r="CB199" t="str" cm="1">
        <f t="array" ref="CB199">_xlfn.LET(_xlpm.GRR,IF(AND(SD!$C$19=SD!$H$2,Grade!$G$1="Per level"),VLOOKUP(B199,Grade!$E$1:$F$200,2,FALSE),IF(AND(SD!$C$19=SD!$H$2,Grade!$G$1="Per Bar Size"),VLOOKUP(BX199,Grade!$B$1:$C$12,2,0),SD!$C$19)),_xlpm.is_coupler, K199="Coupler",_xlpm.condition1, SD!$C$43=SD!$W$2,_xlpm.data_j2_empty, Data!$J199="",_xlpm.lookup_table, IF(SD!$C$11="Create", Lap!$A$3:$BF$14, IF(SD!$C$11="Per Uploaded File", Lap!$A$19:$BF$30, "")),_xlpm.row_match, MATCH(BX199, Lap!$A$3:$A$14, 0),_xlpm.grade_offset, IF(IFERROR(FIND("Grade 60",_xlpm.GRR), 0) &gt; 0, 0, IF(IFERROR(FIND("Grade 80",_xlpm.GRR), 0), 1, IF(IFERROR(FIND("Grade 75",_xlpm.GRR), 0), 2, ""))),_xlpm.col_match, MATCH(VALUE(D199), Lap!$A$3:$BF$3, 0) + _xlpm.grade_offset,_xlpm.index_result, IFERROR(INDEX(_xlpm.lookup_table, _xlpm.row_match, _xlpm.col_match), Data!$J199),_xlpm.result_if_condition1, IF(_xlpm.data_j2_empty, _xlpm.index_result, Data!$J199),IF(_xlpm.is_coupler, 0, IF(_xlpm.condition1, _xlpm.result_if_condition1, SD!$C$43)))</f>
        <v>5-1</v>
      </c>
      <c r="CC199" s="24">
        <f t="shared" si="92"/>
        <v>5.083333333333333</v>
      </c>
      <c r="CD199">
        <f t="shared" si="93"/>
        <v>5.75</v>
      </c>
      <c r="CE199" t="str" cm="1">
        <f t="array" ref="CE199">IF(BY199="","",_xlfn._xlws.FILTER(SAC,(CName=SD!$C$8)*(EName="Vert Dowels")))</f>
        <v/>
      </c>
      <c r="CF199" t="str" cm="1">
        <f t="array" ref="CF199">IFERROR(IF(BY199="","",IF(K199="Coupler",_xlfn._xlws.FILTER(CCoupler,(CCName=SD!$C$8)*(CBSize=IF(A198=A199,W198&amp;W199,BX199&amp;W199))*(CCMFM="Male")),"")),"N/A")</f>
        <v/>
      </c>
      <c r="CG199" t="str">
        <f t="shared" si="94"/>
        <v/>
      </c>
      <c r="CH199" t="str">
        <f t="shared" si="95"/>
        <v/>
      </c>
      <c r="CI199" t="str">
        <f>_xlfn.LET(_xlpm.u3_value, U200,_xlpm.hyphen_pos,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K200="Coupler",_xlpm.coupler_value, IF(_xlpm.is_coupler, 0, _xlpm.calculated_value),_xlpm.final_value, _xlpm.calculated_value + SD!$E$13 + _xlpm.coupler_value,IF(CG199="", "", _xlpm.final_value))</f>
        <v/>
      </c>
      <c r="CJ199" t="str" cm="1">
        <f t="array" ref="CJ199">IF(CG199="","",_xlfn._xlws.FILTER(SAC,(CName=SD!$C$8)*(EName="Loose Dowels")))</f>
        <v/>
      </c>
      <c r="CK199" t="str" cm="1">
        <f t="array" ref="CK199">IFERROR(IF(CG199="","",IF(K200="Coupler",_xlfn._xlws.FILTER(CCoupler,(CCName=SD!$C$8)*(CBSize=IF(A199=A200,W199&amp;W200,""))*(CCMFM="Male")),"")),"N/A")</f>
        <v/>
      </c>
      <c r="CL199" t="str">
        <f>IFERROR(IF(AM199="Spiral","",IF(A198=A199,"",IF(SD!$C$37=0,"",SD!$C$37))),"")</f>
        <v/>
      </c>
      <c r="CN199">
        <f>IF(AM199="Spiral","",IFERROR(IF(SD!$C$36=0,"",SD!$C$36),""))</f>
        <v>5</v>
      </c>
      <c r="CP199" t="str">
        <f>IFERROR(IF(SD!$C$42=SD!$Q$3,'Take-off'!CA199,""),"")</f>
        <v/>
      </c>
      <c r="CR199">
        <f>IFERROR(IF(SD!$C$22=SD!$U$2,W199,SD!$C$22),"")</f>
        <v>0</v>
      </c>
      <c r="CS199" t="str" cm="1">
        <f t="array" ref="CS199">_xlfn.LET(_xlpm.GR,IF(AND(SD!$C$19=SD!$H$2,Grade!$G$1="Per level"),VLOOKUP(B199,Grade!$E$1:$F$200,2,FALSE),IF(AND(SD!$C$19=SD!$H$2,Grade!$G$1="Per Bar Size"),VLOOKUP(CR199,Grade!$B$1:$C$12,2,0),SD!$C$19)),IF(SD!$C$20=SD!$R$4,IF(A200=A199,"",INDEX(IF(_xlpm.GR=SD!$H$3,A615GR60,IF(_xlpm.GR=SD!$H$4,A615GR75,IF(_xlpm.GR=SD!$H$5,A615GR80,IF(_xlpm.GR=SD!H203,A615GR100,IF(_xlpm.GR=SD!$H$7,A706GR60,IF(_xlpm.GR=SD!$H$8,A706GR80)))))), MATCH(1, (BSize=CR199)*(BCName=SD!$C$8), 0))),""))</f>
        <v/>
      </c>
      <c r="CT199" t="str">
        <f>IF(A200=A199,"",IF(SD!$C$23="Match Vertical Bars ",X199,SD!$C$23))</f>
        <v/>
      </c>
      <c r="CU199" t="str" cm="1">
        <f t="array" ref="CU199">IF(A200=A199,"",IF(SD!$C$20="Top dowels",IF(SD!$E$25="No T-Head",IF(SD!$C$24=SD!$Q$3,VLOOKUP(CR199,S90Range,3,FALSE),LEFT(SD!$C$24,FIND("-",SD!$C$24)-1)+(RIGHT(SD!$C$24,LEN(SD!$C$24)-FIND("-",SD!$C$24))/12)),IF(SD!$E$25="T-Head",_xlfn._xlws.FILTER(THead,(TCName=SD!$C$8)*(TSize=CR199)),IF(SD!$E$25="Level Wise",_xlfn.LET(_xlpm.result,_xlfn.XLOOKUP(B199,TDLevel,TDLevelStatus,"No"),IF(_xlpm.result="Yes",_xlfn._xlws.FILTER(THead,(TCName=SD!$C$8)*(TSize=CR199)),IF(SD!$C$24=SD!$Q$3,VLOOKUP(CR199,S90Range,3,FALSE),LEFT(SD!$C$24,FIND("-",SD!$C$24)-1)+(RIGHT(SD!$C$24,LEN(SD!$C$24)-FIND("-", SD!$C$24))/12)))),IF(SD!$E$25="BarSize Wise",_xlfn.LET(_xlpm.result,_xlfn.XLOOKUP(CR199,TDBarSize,TDBarSizeStatus,"No"),IF(_xlpm.result="Yes",_xlfn._xlws.FILTER(THead,(TCName=SD!$C$8)*(TSize=CR199)),IF(SD!$C$24=SD!$Q$3,VLOOKUP(CR199,S90Range,3,FALSE),LEFT(SD!$C$24,FIND("-",SD!$C$24)-1)+(RIGHT(SD!$C$24,LEN(SD!$C$24)-FIND("-",SD!$C$24))/12)))), "")))),""))</f>
        <v/>
      </c>
      <c r="CV199" t="str">
        <f>_xlfn.LET(_xlpm.GRR,IF(AND(SD!$C$19=SD!$H$2,Grade!$G$1="Per level"),VLOOKUP(B199,Grade!$E$1:$F$200,2,FALSE),IF(AND(SD!$C$19=SD!$H$2,Grade!$G$1="Per Bar Size"),VLOOKUP(CR199,Grade!$B$1:$C$12,2,0),SD!$C$19)),IF(SD!$C$25=SD!$W$2,IF(Data!$J199="",IFERROR(INDEX(IF(SD!$C$11="Create",Lap!$A$3:$BF$14,IF(SD!$C$11="Per Uploaded File",Lap!$A$19:$BF$30,"")),MATCH(CR199,Lap!$A$3:$A$14,0),MATCH(VALUE(D199),Lap!$A$3:$BF$3,0)+IF(IFERROR(FIND("Grade 60",_xlpm.GRR),0)&gt;0,0,IF(IFERROR(FIND("Grade 80",_xlpm.GRR),0),1,IF(IFERROR(FIND("Grade 75",_xlpm.GRR),0),2,"")))),""),Data!J199),SD!$C$43))</f>
        <v>Match Lap</v>
      </c>
      <c r="CW199">
        <f t="shared" si="96"/>
        <v>0</v>
      </c>
      <c r="CX199">
        <f t="shared" si="97"/>
        <v>0</v>
      </c>
      <c r="CY199" t="str">
        <f t="shared" si="98"/>
        <v/>
      </c>
      <c r="DA199" t="str">
        <f t="shared" si="99"/>
        <v/>
      </c>
      <c r="DB199" t="str">
        <f t="shared" si="100"/>
        <v/>
      </c>
      <c r="DC199" s="24" t="str">
        <f t="shared" si="101"/>
        <v/>
      </c>
      <c r="DD199">
        <f t="shared" si="102"/>
        <v>10.583333333333334</v>
      </c>
      <c r="DE199" t="s">
        <v>785</v>
      </c>
      <c r="DF199" t="s">
        <v>67</v>
      </c>
      <c r="DG199" t="str">
        <f>VLOOKUP(W199,'Level Wise PSI'!$F$2:$G$12,2,FALSE)</f>
        <v>Double Lift</v>
      </c>
      <c r="DI199" t="str" cm="1">
        <f t="array" ref="DI199">_xlfn.LET(_xlpm.Coup,IFERROR(IF(BY199="","",IF(K199="Coupler",_xlfn._xlws.FILTER(CCFCoupler,(CCName=SD!$C$8)*(CBSize=IF(A198=A199,W198&amp;W199,BX199&amp;W199))),"")),"N/A"),IF(_xlpm.Coup=0,"",_xlpm.Coup))</f>
        <v/>
      </c>
      <c r="DJ199" t="str" cm="1">
        <f t="array" ref="DJ199">_xlfn.LET(_xlpm.Coup3,IFERROR(IF(CG199="","",IF(K200="Coupler",_xlfn._xlws.FILTER(CCFCoupler,(CCName=SD!$C$8)*(CBSize=IF(A199=A200,W199&amp;W200,""))),"")),"N/A"),IF(_xlpm.Coup3=0,"",_xlpm.Coup3))</f>
        <v/>
      </c>
      <c r="DK199" t="str" cm="1">
        <f t="array" ref="DK199">_xlfn.LET(_xlpm.Coup2,IFERROR(IF(A199&lt;&gt;A200,"",IF(DF199="No Lap","",IF(K200="Coupler",_xlfn._xlws.FILTER(CCFCoupler,(CCName=SD!$C$8)*(CBSize=IF(A198=A199,W199&amp;W200,W199&amp;W199))),""))),"N/A"),IF(_xlpm.Coup2=0,"",_xlpm.Coup2))</f>
        <v/>
      </c>
      <c r="DM199" t="str">
        <f>IF(AM199="Spiral","",IF(SD!$C$31=SD!$Y$3,SD!$E$32*2,""))</f>
        <v/>
      </c>
      <c r="DO199" s="24">
        <f t="shared" si="103"/>
        <v>2.5</v>
      </c>
      <c r="DQ199" t="str">
        <f t="shared" si="104"/>
        <v>Lig</v>
      </c>
      <c r="DR199" t="str">
        <f>IF(AM199="Spiral",((Y199-(SD!$E$12*2))/12),"")</f>
        <v/>
      </c>
      <c r="DS199" t="str">
        <f t="shared" si="105"/>
        <v/>
      </c>
      <c r="DT199" t="str">
        <f t="shared" si="106"/>
        <v/>
      </c>
      <c r="DU199" t="str">
        <f t="shared" si="107"/>
        <v/>
      </c>
    </row>
    <row r="200" spans="1:125" x14ac:dyDescent="0.25">
      <c r="A200">
        <v>65</v>
      </c>
      <c r="B200" t="s">
        <v>682</v>
      </c>
      <c r="C200" s="15">
        <v>2429</v>
      </c>
      <c r="D200" s="15">
        <v>10000</v>
      </c>
      <c r="E200" t="str">
        <f>IF(B200=Level!$A$2,SD!$C$14,SD!$C$13)</f>
        <v>0-8</v>
      </c>
      <c r="F200" s="15" t="s">
        <v>787</v>
      </c>
      <c r="G200" t="s">
        <v>742</v>
      </c>
      <c r="H200" t="str">
        <f>RIGHT(VLOOKUP(B200,Level!A:C,3,FALSE),LEN(VLOOKUP(B200,Level!A:C,3,FALSE))-1)</f>
        <v>10-7</v>
      </c>
      <c r="I200" t="s">
        <v>743</v>
      </c>
      <c r="J200" t="str">
        <f>IF(AND(SD!$C$19=SD!$H$2,Grade!$G$1="Per level"),VLOOKUP(B200,Grade!$E$1:$F$200,2,FALSE),IF(AND(SD!$C$19=SD!$H$2,Grade!$G$1="Per Bar Size"),VLOOKUP(W200,Grade!$B$1:$C$12,2,0),SD!$C$19))</f>
        <v>A615 Grade 60</v>
      </c>
      <c r="K200" t="s">
        <v>67</v>
      </c>
      <c r="L200" t="str">
        <f>IFERROR(IF(A200&lt;&gt;A201,"",IF(DF200="No Lap","",IF(K201="Lap",U200,IF(K201="Coupler",_xlfn._xlws.FILTER(CCoupler,(CCName=SD!$C$8)*(CBSize=IF(A199=A200,W200&amp;W201,W200&amp;W200))*(CCMFM="Male")),"")))),"N/A")</f>
        <v>5-1</v>
      </c>
      <c r="M200" t="str">
        <f t="shared" si="81"/>
        <v/>
      </c>
      <c r="N200" t="s">
        <v>719</v>
      </c>
      <c r="O200" t="s">
        <v>720</v>
      </c>
      <c r="P200" t="s">
        <v>719</v>
      </c>
      <c r="Q200" t="str">
        <f>IF(AND(SD!$C$29=SD!$P$2,Grade!$O$1="Per level"),VLOOKUP(B200,Grade!$M$1:$N$200,2,FALSE),IF(AND(SD!$C$29=SD!$P$2,Grade!$O$1="Per Bar Size"),VLOOKUP(LEFT(N200,FIND("@",N200)-2),Grade!$J$1:$K$12,2,0),SD!$C$29))</f>
        <v>A615 Grade 60</v>
      </c>
      <c r="R200" t="s">
        <v>742</v>
      </c>
      <c r="S200" s="57">
        <v>200</v>
      </c>
      <c r="U200" t="str">
        <f>IF(Data!$J200="",IFERROR(INDEX(IF(SD!$C$11="Create",Lap!$A$3:$BF$14,IF(SD!$C$11="Per Uploaded File",Lap!$A$19:$BF$30,"")),MATCH(W200,Lap!$A$3:$A$14,0),MATCH(VALUE(D200),Lap!$A$3:$BF$3,0)+IF(IFERROR(FIND("Grade 60",J200),0)&gt;0,0,IF(IFERROR(FIND("Grade 80",J200),0),1,IF(IFERROR(FIND("Grade 75",J200),0),2,"")))),""),Data!J200)</f>
        <v>5-1</v>
      </c>
      <c r="W200" t="s">
        <v>176</v>
      </c>
      <c r="X200">
        <v>6</v>
      </c>
      <c r="Y200" t="str">
        <f t="shared" si="82"/>
        <v>30</v>
      </c>
      <c r="Z200">
        <f t="shared" si="83"/>
        <v>0</v>
      </c>
      <c r="AA200" s="24">
        <f t="shared" si="84"/>
        <v>15.666666666666666</v>
      </c>
      <c r="BB200" t="e" cm="1">
        <f t="array" ref="BB200">_xlfn.LET(_xlpm.PartF,(_xlfn.LET(_xlpm.grade, Q200,_xlpm.gradeRange, IF(_xlpm.grade=SD!$H$3, A615GR60, IF(_xlpm.grade=SD!$H$4, A615GR75, IF(_xlpm.grade=SD!$H$5, A615GR80, IF(_xlpm.grade=SD!$H$6, A615GR100, IF(_xlpm.grade=SD!$H$7, A706GR60, IF(_xlpm.grade=SD!$H$8, A706GR80)))))),_xlpm.matchValue, MATCH(1, (SD!$AW:$AW=AS200)*(SD!$AX:$AX=SD!$C$8), 0),INDEX(_xlpm.gradeRange, _xlpm.matchValue))),IF(AM200="Spiral",CONCATENATE("SP",_xlpm.PartF),_xlpm.PartF))</f>
        <v>#N/A</v>
      </c>
      <c r="BC200" cm="1">
        <f t="array" ref="BC200">_xlfn.LET(_xlpm.leftPart, LEFT(O200, FIND("@", O200) - 2),_xlpm.grade,Q200,_xlpm.gradeRange,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0" cm="1">
        <f t="array" ref="BD200">_xlfn.LET(_xlpm.leftPart, LEFT(P200, FIND("@", P200) - 2),_xlpm.grade, Q200,_xlpm.gradeRange,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0">
        <f t="shared" si="85"/>
        <v>2.5</v>
      </c>
      <c r="BF200">
        <f>IF(SD!$C$32=SD!$I$2,BE200,IF(SD!$C$32=SD!$I$3,DO200,IF(SD!$C$32=SD!$I$5,BA200,IF(SD!$C$32=SD!$I$6,(LEFT(SD!$C$35,FIND("-",SD!$C$35)-1)+RIGHT(SD!$C$35,LEN(SD!$C$35)-FIND("-",SD!$C$35))/12),IF(SD!$C$32=SD!$I$4,(AU200-(BG200+BH200)))))))</f>
        <v>0</v>
      </c>
      <c r="BG200">
        <f>IF(SD!$C$33=SD!$I$2,BE200,IF(SD!$C$33=SD!$I$3,DO200,IF(SD!$C$33=SD!$I$5,BA200,IF(SD!$C$33=SD!$I$6,(LEFT(SD!$C$35,FIND("-",SD!$C$35)-1)+RIGHT(SD!$C$35,LEN(SD!$C$35)-FIND("-",SD!$C$35))/12),IF(SD!$C$33=SD!$I$4,(AU200-(BF200+BH200)))))))</f>
        <v>-1</v>
      </c>
      <c r="BH200">
        <f>IF(SD!$C$34=SD!$I$2,BE200,IF(SD!$C$34=SD!$I$3,DO200,IF(SD!$C$34=SD!$I$5,BA200,IF(SD!$C$34=SD!$I$6,(LEFT(SD!$C$35,FIND("-",SD!$C$35)-1)+RIGHT(SD!$C$35,LEN(SD!$C$35)-FIND("-",SD!$C$35))/12),IF(SD!$C$34=SD!$I$4,(AU200-(BF200+BG200)))))))</f>
        <v>1</v>
      </c>
      <c r="BJ200">
        <f>IF(AM200="Spiral","1",MAX(ROUNDUP(IF(SD!$C$32="",AT200,BF200/(LEFT(RIGHT(N200,LEN(N200)-FIND("@",N200)),LEN(RIGHT(N200,LEN(N200)-FIND("@",N200)))-1)/12)+1),0),0))</f>
        <v>1</v>
      </c>
      <c r="BK200">
        <f>MAX(ROUNDUP(IF(SD!$C$33="","",BG200/(LEFT(RIGHT(O200,LEN(O200)-FIND("@",O200)),LEN(RIGHT(O200,LEN(O200)-FIND("@",O200)))-1)/12)+1),0),0)</f>
        <v>0</v>
      </c>
      <c r="BL200">
        <f>MAX(ROUNDUP(IF(SD!$C$34="","",BH200/(LEFT(RIGHT(P200,LEN(P200)-FIND("@",P200)),LEN(RIGHT(P200,LEN(P200)-FIND("@",P200)))-1)/12)+1),0),0)</f>
        <v>3</v>
      </c>
      <c r="BN200" t="e">
        <f t="shared" si="86"/>
        <v>#N/A</v>
      </c>
      <c r="BO200" t="e">
        <f t="shared" si="87"/>
        <v>#N/A</v>
      </c>
      <c r="BP200" t="e">
        <f t="shared" si="88"/>
        <v>#N/A</v>
      </c>
      <c r="BQ200" s="24" t="e">
        <f>IF(AM200=TRUE,(((Y200-(SD!$E$12*2))*3.14159265359)+BN200+BO200+BP200)/12+AL200,SUM(AF200:AG200,BN200,BO200,BP200,AO200,AQ200)/12)</f>
        <v>#N/A</v>
      </c>
      <c r="BR200" t="e">
        <f t="shared" si="89"/>
        <v>#N/A</v>
      </c>
      <c r="BS200" t="e">
        <f t="shared" si="90"/>
        <v>#N/A</v>
      </c>
      <c r="BT200" t="e">
        <f t="shared" si="91"/>
        <v>#N/A</v>
      </c>
      <c r="BU200" s="24" t="e">
        <f>IF(AM200=TRUE,(((Y200-(SD!$E$12*2))*3.14159265359)+BR200+BS200+BT200)/12+AL200,SUM(AF200:AG200,BR200,BS200,BT200,AO200,AQ200)/12)</f>
        <v>#N/A</v>
      </c>
      <c r="BW200" t="str">
        <f>IFERROR(LEFT(Data!L200,FIND(" -",Data!L200)-1),"")</f>
        <v/>
      </c>
      <c r="BX200" t="str">
        <f>IFERROR(IF(SD!$C$40=SD!$U$2,W200,IF(SD!$C$40=SD!$U$3,RIGHT(Data!L200,LEN(Data!L200)-(FIND("-",Data!L200)+1)),SD!$C$40)),"")</f>
        <v>#10</v>
      </c>
      <c r="BY200" t="str" cm="1">
        <f t="array" ref="BY200">IFERROR(_xlfn.LET(_xlpm.GRR,IF(AND(SD!$C$19=SD!$H$2,Grade!$G$1="Per level"),VLOOKUP(B200,Grade!$E$1:$F$200,2,FALSE),IF(AND(SD!$C$19=SD!$H$2,Grade!$G$1="Per Bar Size"),VLOOKUP(BX200,Grade!$B$1:$C$12,2,0),SD!$C$19)),_xlpm.is_equal, A199=A200,_xlpm.grade_range, IF(_xlpm.GRR=SD!$H$3, A615GR60,IF(_xlpm.GRR=SD!$H$4, A615GR75,IF(_xlpm.GRR=SD!$H$5, A615GR80,IF(_xlpm.GRR=SD!H204, A615GR100,IF(_xlpm.GRR=SD!$H$7, A706GR60,IF(_xlpm.GRR=SD!$H$8, A706GR80)))))),_xlpm.match_result, MATCH(1, (BSize=BX200)*(BCName=SD!$C$8), 0),_xlpm.final_result, INDEX(_xlpm.grade_range, _xlpm.match_result),IF(_xlpm.is_equal, "", _xlpm.final_result)),"")</f>
        <v/>
      </c>
      <c r="BZ200" t="str">
        <f>IF(A199=A200,"",IF(SD!$C$41="Match Vertical Bars ",X200,IF(SD!$C$41=SD!$V$3,BW200,SD!$C$41)))</f>
        <v/>
      </c>
      <c r="CA200" t="str" cm="1">
        <f t="array" ref="CA200">IF(A199=A200,"",IF(SD!$C$44="No T-Head",IF(SD!$C$42=SD!$Q$3,VLOOKUP(BX200,S90Range,3,FALSE),LEFT(SD!$C$42,FIND("-",SD!$C$42)-1)+(RIGHT(SD!$C$42,LEN(SD!$C$42)-FIND("-",SD!$C$42))/12)),IF(SD!$C$44="T-Head",_xlfn._xlws.FILTER(THead,(TCName=SD!$C$8)*(TSize=BX200)),IF(SD!$C$44="Level Wise",_xlfn.LET(_xlpm.result,_xlfn.XLOOKUP(B200,VDLevel,VDLevelStatus,"No"),IF(_xlpm.result="Yes",_xlfn._xlws.FILTER(THead,(TCName=SD!$C$8)*(TSize=BX200)),IF(SD!$C$42=SD!$Q$3,VLOOKUP(BX200,S90Range,3,FALSE),LEFT(SD!$C$42,FIND("-",SD!$C$42)-1)+(RIGHT(SD!$C$42,LEN(SD!$C$42)-FIND("-", SD!$C$42))/12)))),IF(SD!$C$44="BarSize Wise",_xlfn.LET(_xlpm.result,_xlfn.XLOOKUP(BX200,VDBarSize,VDBarSizeStatus,"No"),IF(_xlpm.result="Yes",_xlfn._xlws.FILTER(THead,(TCName=SD!$C$8)*(TSize=BX200)),IF(SD!$C$42=SD!$Q$3,VLOOKUP(BX200,S90Range,3,FALSE),LEFT(SD!$C$42,FIND("-",SD!$C$42)-1)+(RIGHT(SD!$C$42,LEN(SD!$C$42)-FIND("-",SD!$C$42))/12)))), "")))))</f>
        <v/>
      </c>
      <c r="CB200" t="str" cm="1">
        <f t="array" ref="CB200">_xlfn.LET(_xlpm.GRR,IF(AND(SD!$C$19=SD!$H$2,Grade!$G$1="Per level"),VLOOKUP(B200,Grade!$E$1:$F$200,2,FALSE),IF(AND(SD!$C$19=SD!$H$2,Grade!$G$1="Per Bar Size"),VLOOKUP(BX200,Grade!$B$1:$C$12,2,0),SD!$C$19)),_xlpm.is_coupler, K200="Coupler",_xlpm.condition1, SD!$C$43=SD!$W$2,_xlpm.data_j2_empty, Data!$J200="",_xlpm.lookup_table, IF(SD!$C$11="Create", Lap!$A$3:$BF$14, IF(SD!$C$11="Per Uploaded File", Lap!$A$19:$BF$30, "")),_xlpm.row_match, MATCH(BX200, Lap!$A$3:$A$14, 0),_xlpm.grade_offset, IF(IFERROR(FIND("Grade 60",_xlpm.GRR), 0) &gt; 0, 0, IF(IFERROR(FIND("Grade 80",_xlpm.GRR), 0), 1, IF(IFERROR(FIND("Grade 75",_xlpm.GRR), 0), 2, ""))),_xlpm.col_match, MATCH(VALUE(D200), Lap!$A$3:$BF$3, 0) + _xlpm.grade_offset,_xlpm.index_result, IFERROR(INDEX(_xlpm.lookup_table, _xlpm.row_match, _xlpm.col_match), Data!$J200),_xlpm.result_if_condition1, IF(_xlpm.data_j2_empty, _xlpm.index_result, Data!$J200),IF(_xlpm.is_coupler, 0, IF(_xlpm.condition1, _xlpm.result_if_condition1, SD!$C$43)))</f>
        <v>5-1</v>
      </c>
      <c r="CC200" s="24">
        <f t="shared" si="92"/>
        <v>5.083333333333333</v>
      </c>
      <c r="CD200">
        <f t="shared" si="93"/>
        <v>5.75</v>
      </c>
      <c r="CE200" t="str" cm="1">
        <f t="array" ref="CE200">IF(BY200="","",_xlfn._xlws.FILTER(SAC,(CName=SD!$C$8)*(EName="Vert Dowels")))</f>
        <v/>
      </c>
      <c r="CF200" t="str" cm="1">
        <f t="array" ref="CF200">IFERROR(IF(BY200="","",IF(K200="Coupler",_xlfn._xlws.FILTER(CCoupler,(CCName=SD!$C$8)*(CBSize=IF(A199=A200,W199&amp;W200,BX200&amp;W200))*(CCMFM="Male")),"")),"N/A")</f>
        <v/>
      </c>
      <c r="CG200" t="str">
        <f t="shared" si="94"/>
        <v/>
      </c>
      <c r="CH200" t="str">
        <f t="shared" si="95"/>
        <v/>
      </c>
      <c r="CI200" t="str">
        <f>_xlfn.LET(_xlpm.u3_value, U201,_xlpm.hyphen_pos,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K201="Coupler",_xlpm.coupler_value, IF(_xlpm.is_coupler, 0, _xlpm.calculated_value),_xlpm.final_value, _xlpm.calculated_value + SD!$E$13 + _xlpm.coupler_value,IF(CG200="", "", _xlpm.final_value))</f>
        <v/>
      </c>
      <c r="CJ200" t="str" cm="1">
        <f t="array" ref="CJ200">IF(CG200="","",_xlfn._xlws.FILTER(SAC,(CName=SD!$C$8)*(EName="Loose Dowels")))</f>
        <v/>
      </c>
      <c r="CK200" t="str" cm="1">
        <f t="array" ref="CK200">IFERROR(IF(CG200="","",IF(K201="Coupler",_xlfn._xlws.FILTER(CCoupler,(CCName=SD!$C$8)*(CBSize=IF(A200=A201,W200&amp;W201,""))*(CCMFM="Male")),"")),"N/A")</f>
        <v/>
      </c>
      <c r="CL200" t="str">
        <f>IFERROR(IF(AM200="Spiral","",IF(A199=A200,"",IF(SD!$C$37=0,"",SD!$C$37))),"")</f>
        <v/>
      </c>
      <c r="CN200">
        <f>IF(AM200="Spiral","",IFERROR(IF(SD!$C$36=0,"",SD!$C$36),""))</f>
        <v>5</v>
      </c>
      <c r="CP200" t="str">
        <f>IFERROR(IF(SD!$C$42=SD!$Q$3,'Take-off'!CA200,""),"")</f>
        <v/>
      </c>
      <c r="CR200">
        <f>IFERROR(IF(SD!$C$22=SD!$U$2,W200,SD!$C$22),"")</f>
        <v>0</v>
      </c>
      <c r="CS200" t="str" cm="1">
        <f t="array" ref="CS200">_xlfn.LET(_xlpm.GR,IF(AND(SD!$C$19=SD!$H$2,Grade!$G$1="Per level"),VLOOKUP(B200,Grade!$E$1:$F$200,2,FALSE),IF(AND(SD!$C$19=SD!$H$2,Grade!$G$1="Per Bar Size"),VLOOKUP(CR200,Grade!$B$1:$C$12,2,0),SD!$C$19)),IF(SD!$C$20=SD!$R$4,IF(A201=A200,"",INDEX(IF(_xlpm.GR=SD!$H$3,A615GR60,IF(_xlpm.GR=SD!$H$4,A615GR75,IF(_xlpm.GR=SD!$H$5,A615GR80,IF(_xlpm.GR=SD!H204,A615GR100,IF(_xlpm.GR=SD!$H$7,A706GR60,IF(_xlpm.GR=SD!$H$8,A706GR80)))))), MATCH(1, (BSize=CR200)*(BCName=SD!$C$8), 0))),""))</f>
        <v/>
      </c>
      <c r="CT200" t="str">
        <f>IF(A201=A200,"",IF(SD!$C$23="Match Vertical Bars ",X200,SD!$C$23))</f>
        <v/>
      </c>
      <c r="CU200" t="str" cm="1">
        <f t="array" ref="CU200">IF(A201=A200,"",IF(SD!$C$20="Top dowels",IF(SD!$E$25="No T-Head",IF(SD!$C$24=SD!$Q$3,VLOOKUP(CR200,S90Range,3,FALSE),LEFT(SD!$C$24,FIND("-",SD!$C$24)-1)+(RIGHT(SD!$C$24,LEN(SD!$C$24)-FIND("-",SD!$C$24))/12)),IF(SD!$E$25="T-Head",_xlfn._xlws.FILTER(THead,(TCName=SD!$C$8)*(TSize=CR200)),IF(SD!$E$25="Level Wise",_xlfn.LET(_xlpm.result,_xlfn.XLOOKUP(B200,TDLevel,TDLevelStatus,"No"),IF(_xlpm.result="Yes",_xlfn._xlws.FILTER(THead,(TCName=SD!$C$8)*(TSize=CR200)),IF(SD!$C$24=SD!$Q$3,VLOOKUP(CR200,S90Range,3,FALSE),LEFT(SD!$C$24,FIND("-",SD!$C$24)-1)+(RIGHT(SD!$C$24,LEN(SD!$C$24)-FIND("-", SD!$C$24))/12)))),IF(SD!$E$25="BarSize Wise",_xlfn.LET(_xlpm.result,_xlfn.XLOOKUP(CR200,TDBarSize,TDBarSizeStatus,"No"),IF(_xlpm.result="Yes",_xlfn._xlws.FILTER(THead,(TCName=SD!$C$8)*(TSize=CR200)),IF(SD!$C$24=SD!$Q$3,VLOOKUP(CR200,S90Range,3,FALSE),LEFT(SD!$C$24,FIND("-",SD!$C$24)-1)+(RIGHT(SD!$C$24,LEN(SD!$C$24)-FIND("-",SD!$C$24))/12)))), "")))),""))</f>
        <v/>
      </c>
      <c r="CV200" t="str">
        <f>_xlfn.LET(_xlpm.GRR,IF(AND(SD!$C$19=SD!$H$2,Grade!$G$1="Per level"),VLOOKUP(B200,Grade!$E$1:$F$200,2,FALSE),IF(AND(SD!$C$19=SD!$H$2,Grade!$G$1="Per Bar Size"),VLOOKUP(CR200,Grade!$B$1:$C$12,2,0),SD!$C$19)),IF(SD!$C$25=SD!$W$2,IF(Data!$J200="",IFERROR(INDEX(IF(SD!$C$11="Create",Lap!$A$3:$BF$14,IF(SD!$C$11="Per Uploaded File",Lap!$A$19:$BF$30,"")),MATCH(CR200,Lap!$A$3:$A$14,0),MATCH(VALUE(D200),Lap!$A$3:$BF$3,0)+IF(IFERROR(FIND("Grade 60",_xlpm.GRR),0)&gt;0,0,IF(IFERROR(FIND("Grade 80",_xlpm.GRR),0),1,IF(IFERROR(FIND("Grade 75",_xlpm.GRR),0),2,"")))),""),Data!J200),SD!$C$43))</f>
        <v>Match Lap</v>
      </c>
      <c r="CW200">
        <f t="shared" si="96"/>
        <v>0</v>
      </c>
      <c r="CX200">
        <f t="shared" si="97"/>
        <v>0</v>
      </c>
      <c r="CY200" t="str">
        <f t="shared" si="98"/>
        <v/>
      </c>
      <c r="DA200" t="str">
        <f t="shared" si="99"/>
        <v/>
      </c>
      <c r="DB200" t="str">
        <f t="shared" si="100"/>
        <v/>
      </c>
      <c r="DC200" s="24" t="str">
        <f t="shared" si="101"/>
        <v/>
      </c>
      <c r="DD200">
        <f t="shared" si="102"/>
        <v>10.583333333333334</v>
      </c>
      <c r="DE200" t="s">
        <v>785</v>
      </c>
      <c r="DF200" t="s">
        <v>67</v>
      </c>
      <c r="DG200" t="str">
        <f>VLOOKUP(W200,'Level Wise PSI'!$F$2:$G$12,2,FALSE)</f>
        <v>Double Lift</v>
      </c>
      <c r="DI200" t="str" cm="1">
        <f t="array" ref="DI200">_xlfn.LET(_xlpm.Coup,IFERROR(IF(BY200="","",IF(K200="Coupler",_xlfn._xlws.FILTER(CCFCoupler,(CCName=SD!$C$8)*(CBSize=IF(A199=A200,W199&amp;W200,BX200&amp;W200))),"")),"N/A"),IF(_xlpm.Coup=0,"",_xlpm.Coup))</f>
        <v/>
      </c>
      <c r="DJ200" t="str" cm="1">
        <f t="array" ref="DJ200">_xlfn.LET(_xlpm.Coup3,IFERROR(IF(CG200="","",IF(K201="Coupler",_xlfn._xlws.FILTER(CCFCoupler,(CCName=SD!$C$8)*(CBSize=IF(A200=A201,W200&amp;W201,""))),"")),"N/A"),IF(_xlpm.Coup3=0,"",_xlpm.Coup3))</f>
        <v/>
      </c>
      <c r="DK200" t="str" cm="1">
        <f t="array" ref="DK200">_xlfn.LET(_xlpm.Coup2,IFERROR(IF(A200&lt;&gt;A201,"",IF(DF200="No Lap","",IF(K201="Coupler",_xlfn._xlws.FILTER(CCFCoupler,(CCName=SD!$C$8)*(CBSize=IF(A199=A200,W200&amp;W201,W200&amp;W200))),""))),"N/A"),IF(_xlpm.Coup2=0,"",_xlpm.Coup2))</f>
        <v/>
      </c>
      <c r="DM200" t="str">
        <f>IF(AM200="Spiral","",IF(SD!$C$31=SD!$Y$3,SD!$E$32*2,""))</f>
        <v/>
      </c>
      <c r="DO200" s="24">
        <f t="shared" si="103"/>
        <v>2.5</v>
      </c>
      <c r="DQ200" t="str">
        <f t="shared" si="104"/>
        <v>Lig</v>
      </c>
      <c r="DR200" t="str">
        <f>IF(AM200="Spiral",((Y200-(SD!$E$12*2))/12),"")</f>
        <v/>
      </c>
      <c r="DS200" t="str">
        <f t="shared" si="105"/>
        <v/>
      </c>
      <c r="DT200" t="str">
        <f t="shared" si="106"/>
        <v/>
      </c>
      <c r="DU200" t="str">
        <f t="shared" si="107"/>
        <v/>
      </c>
    </row>
    <row r="201" spans="1:125" x14ac:dyDescent="0.25">
      <c r="A201">
        <v>65</v>
      </c>
      <c r="B201" t="s">
        <v>684</v>
      </c>
      <c r="C201" s="15">
        <v>2429</v>
      </c>
      <c r="D201" s="15">
        <v>10000</v>
      </c>
      <c r="E201" t="str">
        <f>IF(B201=Level!$A$2,SD!$C$14,SD!$C$13)</f>
        <v>0-8</v>
      </c>
      <c r="F201" s="15" t="s">
        <v>787</v>
      </c>
      <c r="G201" t="s">
        <v>742</v>
      </c>
      <c r="H201" t="str">
        <f>RIGHT(VLOOKUP(B201,Level!A:C,3,FALSE),LEN(VLOOKUP(B201,Level!A:C,3,FALSE))-1)</f>
        <v>10-7</v>
      </c>
      <c r="I201" t="s">
        <v>743</v>
      </c>
      <c r="J201" t="str">
        <f>IF(AND(SD!$C$19=SD!$H$2,Grade!$G$1="Per level"),VLOOKUP(B201,Grade!$E$1:$F$200,2,FALSE),IF(AND(SD!$C$19=SD!$H$2,Grade!$G$1="Per Bar Size"),VLOOKUP(W201,Grade!$B$1:$C$12,2,0),SD!$C$19))</f>
        <v>A615 Grade 60</v>
      </c>
      <c r="K201" t="s">
        <v>67</v>
      </c>
      <c r="L201" t="str">
        <f>IFERROR(IF(A201&lt;&gt;A202,"",IF(DF201="No Lap","",IF(K202="Lap",U201,IF(K202="Coupler",_xlfn._xlws.FILTER(CCoupler,(CCName=SD!$C$8)*(CBSize=IF(A200=A201,W201&amp;W202,W201&amp;W201))*(CCMFM="Male")),"")))),"N/A")</f>
        <v>5-1</v>
      </c>
      <c r="M201" t="str">
        <f t="shared" si="81"/>
        <v/>
      </c>
      <c r="N201" t="s">
        <v>719</v>
      </c>
      <c r="O201" t="s">
        <v>720</v>
      </c>
      <c r="P201" t="s">
        <v>719</v>
      </c>
      <c r="Q201" t="str">
        <f>IF(AND(SD!$C$29=SD!$P$2,Grade!$O$1="Per level"),VLOOKUP(B201,Grade!$M$1:$N$200,2,FALSE),IF(AND(SD!$C$29=SD!$P$2,Grade!$O$1="Per Bar Size"),VLOOKUP(LEFT(N201,FIND("@",N201)-2),Grade!$J$1:$K$12,2,0),SD!$C$29))</f>
        <v>A615 Grade 60</v>
      </c>
      <c r="R201" t="s">
        <v>742</v>
      </c>
      <c r="S201" s="57">
        <v>201</v>
      </c>
      <c r="U201" t="str">
        <f>IF(Data!$J201="",IFERROR(INDEX(IF(SD!$C$11="Create",Lap!$A$3:$BF$14,IF(SD!$C$11="Per Uploaded File",Lap!$A$19:$BF$30,"")),MATCH(W201,Lap!$A$3:$A$14,0),MATCH(VALUE(D201),Lap!$A$3:$BF$3,0)+IF(IFERROR(FIND("Grade 60",J201),0)&gt;0,0,IF(IFERROR(FIND("Grade 80",J201),0),1,IF(IFERROR(FIND("Grade 75",J201),0),2,"")))),""),Data!J201)</f>
        <v>5-1</v>
      </c>
      <c r="W201" t="s">
        <v>176</v>
      </c>
      <c r="X201">
        <v>6</v>
      </c>
      <c r="Y201" t="str">
        <f t="shared" si="82"/>
        <v>30</v>
      </c>
      <c r="Z201">
        <f t="shared" si="83"/>
        <v>0</v>
      </c>
      <c r="AA201" s="24">
        <f t="shared" si="84"/>
        <v>15.666666666666666</v>
      </c>
      <c r="BB201" t="e" cm="1">
        <f t="array" ref="BB201">_xlfn.LET(_xlpm.PartF,(_xlfn.LET(_xlpm.grade, Q201,_xlpm.gradeRange, IF(_xlpm.grade=SD!$H$3, A615GR60, IF(_xlpm.grade=SD!$H$4, A615GR75, IF(_xlpm.grade=SD!$H$5, A615GR80, IF(_xlpm.grade=SD!$H$6, A615GR100, IF(_xlpm.grade=SD!$H$7, A706GR60, IF(_xlpm.grade=SD!$H$8, A706GR80)))))),_xlpm.matchValue, MATCH(1, (SD!$AW:$AW=AS201)*(SD!$AX:$AX=SD!$C$8), 0),INDEX(_xlpm.gradeRange, _xlpm.matchValue))),IF(AM201="Spiral",CONCATENATE("SP",_xlpm.PartF),_xlpm.PartF))</f>
        <v>#N/A</v>
      </c>
      <c r="BC201" cm="1">
        <f t="array" ref="BC201">_xlfn.LET(_xlpm.leftPart, LEFT(O201, FIND("@", O201) - 2),_xlpm.grade,Q201,_xlpm.gradeRange,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1" cm="1">
        <f t="array" ref="BD201">_xlfn.LET(_xlpm.leftPart, LEFT(P201, FIND("@", P201) - 2),_xlpm.grade, Q201,_xlpm.gradeRange,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1">
        <f t="shared" si="85"/>
        <v>2.5</v>
      </c>
      <c r="BF201">
        <f>IF(SD!$C$32=SD!$I$2,BE201,IF(SD!$C$32=SD!$I$3,DO201,IF(SD!$C$32=SD!$I$5,BA201,IF(SD!$C$32=SD!$I$6,(LEFT(SD!$C$35,FIND("-",SD!$C$35)-1)+RIGHT(SD!$C$35,LEN(SD!$C$35)-FIND("-",SD!$C$35))/12),IF(SD!$C$32=SD!$I$4,(AU201-(BG201+BH201)))))))</f>
        <v>0</v>
      </c>
      <c r="BG201">
        <f>IF(SD!$C$33=SD!$I$2,BE201,IF(SD!$C$33=SD!$I$3,DO201,IF(SD!$C$33=SD!$I$5,BA201,IF(SD!$C$33=SD!$I$6,(LEFT(SD!$C$35,FIND("-",SD!$C$35)-1)+RIGHT(SD!$C$35,LEN(SD!$C$35)-FIND("-",SD!$C$35))/12),IF(SD!$C$33=SD!$I$4,(AU201-(BF201+BH201)))))))</f>
        <v>-1</v>
      </c>
      <c r="BH201">
        <f>IF(SD!$C$34=SD!$I$2,BE201,IF(SD!$C$34=SD!$I$3,DO201,IF(SD!$C$34=SD!$I$5,BA201,IF(SD!$C$34=SD!$I$6,(LEFT(SD!$C$35,FIND("-",SD!$C$35)-1)+RIGHT(SD!$C$35,LEN(SD!$C$35)-FIND("-",SD!$C$35))/12),IF(SD!$C$34=SD!$I$4,(AU201-(BF201+BG201)))))))</f>
        <v>1</v>
      </c>
      <c r="BJ201">
        <f>IF(AM201="Spiral","1",MAX(ROUNDUP(IF(SD!$C$32="",AT201,BF201/(LEFT(RIGHT(N201,LEN(N201)-FIND("@",N201)),LEN(RIGHT(N201,LEN(N201)-FIND("@",N201)))-1)/12)+1),0),0))</f>
        <v>1</v>
      </c>
      <c r="BK201">
        <f>MAX(ROUNDUP(IF(SD!$C$33="","",BG201/(LEFT(RIGHT(O201,LEN(O201)-FIND("@",O201)),LEN(RIGHT(O201,LEN(O201)-FIND("@",O201)))-1)/12)+1),0),0)</f>
        <v>0</v>
      </c>
      <c r="BL201">
        <f>MAX(ROUNDUP(IF(SD!$C$34="","",BH201/(LEFT(RIGHT(P201,LEN(P201)-FIND("@",P201)),LEN(RIGHT(P201,LEN(P201)-FIND("@",P201)))-1)/12)+1),0),0)</f>
        <v>3</v>
      </c>
      <c r="BN201" t="e">
        <f t="shared" si="86"/>
        <v>#N/A</v>
      </c>
      <c r="BO201" t="e">
        <f t="shared" si="87"/>
        <v>#N/A</v>
      </c>
      <c r="BP201" t="e">
        <f t="shared" si="88"/>
        <v>#N/A</v>
      </c>
      <c r="BQ201" s="24" t="e">
        <f>IF(AM201=TRUE,(((Y201-(SD!$E$12*2))*3.14159265359)+BN201+BO201+BP201)/12+AL201,SUM(AF201:AG201,BN201,BO201,BP201,AO201,AQ201)/12)</f>
        <v>#N/A</v>
      </c>
      <c r="BR201" t="e">
        <f t="shared" si="89"/>
        <v>#N/A</v>
      </c>
      <c r="BS201" t="e">
        <f t="shared" si="90"/>
        <v>#N/A</v>
      </c>
      <c r="BT201" t="e">
        <f t="shared" si="91"/>
        <v>#N/A</v>
      </c>
      <c r="BU201" s="24" t="e">
        <f>IF(AM201=TRUE,(((Y201-(SD!$E$12*2))*3.14159265359)+BR201+BS201+BT201)/12+AL201,SUM(AF201:AG201,BR201,BS201,BT201,AO201,AQ201)/12)</f>
        <v>#N/A</v>
      </c>
      <c r="BW201" t="str">
        <f>IFERROR(LEFT(Data!L201,FIND(" -",Data!L201)-1),"")</f>
        <v/>
      </c>
      <c r="BX201" t="str">
        <f>IFERROR(IF(SD!$C$40=SD!$U$2,W201,IF(SD!$C$40=SD!$U$3,RIGHT(Data!L201,LEN(Data!L201)-(FIND("-",Data!L201)+1)),SD!$C$40)),"")</f>
        <v>#10</v>
      </c>
      <c r="BY201" t="str" cm="1">
        <f t="array" ref="BY201">IFERROR(_xlfn.LET(_xlpm.GRR,IF(AND(SD!$C$19=SD!$H$2,Grade!$G$1="Per level"),VLOOKUP(B201,Grade!$E$1:$F$200,2,FALSE),IF(AND(SD!$C$19=SD!$H$2,Grade!$G$1="Per Bar Size"),VLOOKUP(BX201,Grade!$B$1:$C$12,2,0),SD!$C$19)),_xlpm.is_equal, A200=A201,_xlpm.grade_range, IF(_xlpm.GRR=SD!$H$3, A615GR60,IF(_xlpm.GRR=SD!$H$4, A615GR75,IF(_xlpm.GRR=SD!$H$5, A615GR80,IF(_xlpm.GRR=SD!H205, A615GR100,IF(_xlpm.GRR=SD!$H$7, A706GR60,IF(_xlpm.GRR=SD!$H$8, A706GR80)))))),_xlpm.match_result, MATCH(1, (BSize=BX201)*(BCName=SD!$C$8), 0),_xlpm.final_result, INDEX(_xlpm.grade_range, _xlpm.match_result),IF(_xlpm.is_equal, "", _xlpm.final_result)),"")</f>
        <v/>
      </c>
      <c r="BZ201" t="str">
        <f>IF(A200=A201,"",IF(SD!$C$41="Match Vertical Bars ",X201,IF(SD!$C$41=SD!$V$3,BW201,SD!$C$41)))</f>
        <v/>
      </c>
      <c r="CA201" t="str" cm="1">
        <f t="array" ref="CA201">IF(A200=A201,"",IF(SD!$C$44="No T-Head",IF(SD!$C$42=SD!$Q$3,VLOOKUP(BX201,S90Range,3,FALSE),LEFT(SD!$C$42,FIND("-",SD!$C$42)-1)+(RIGHT(SD!$C$42,LEN(SD!$C$42)-FIND("-",SD!$C$42))/12)),IF(SD!$C$44="T-Head",_xlfn._xlws.FILTER(THead,(TCName=SD!$C$8)*(TSize=BX201)),IF(SD!$C$44="Level Wise",_xlfn.LET(_xlpm.result,_xlfn.XLOOKUP(B201,VDLevel,VDLevelStatus,"No"),IF(_xlpm.result="Yes",_xlfn._xlws.FILTER(THead,(TCName=SD!$C$8)*(TSize=BX201)),IF(SD!$C$42=SD!$Q$3,VLOOKUP(BX201,S90Range,3,FALSE),LEFT(SD!$C$42,FIND("-",SD!$C$42)-1)+(RIGHT(SD!$C$42,LEN(SD!$C$42)-FIND("-", SD!$C$42))/12)))),IF(SD!$C$44="BarSize Wise",_xlfn.LET(_xlpm.result,_xlfn.XLOOKUP(BX201,VDBarSize,VDBarSizeStatus,"No"),IF(_xlpm.result="Yes",_xlfn._xlws.FILTER(THead,(TCName=SD!$C$8)*(TSize=BX201)),IF(SD!$C$42=SD!$Q$3,VLOOKUP(BX201,S90Range,3,FALSE),LEFT(SD!$C$42,FIND("-",SD!$C$42)-1)+(RIGHT(SD!$C$42,LEN(SD!$C$42)-FIND("-",SD!$C$42))/12)))), "")))))</f>
        <v/>
      </c>
      <c r="CB201" t="str" cm="1">
        <f t="array" ref="CB201">_xlfn.LET(_xlpm.GRR,IF(AND(SD!$C$19=SD!$H$2,Grade!$G$1="Per level"),VLOOKUP(B201,Grade!$E$1:$F$200,2,FALSE),IF(AND(SD!$C$19=SD!$H$2,Grade!$G$1="Per Bar Size"),VLOOKUP(BX201,Grade!$B$1:$C$12,2,0),SD!$C$19)),_xlpm.is_coupler, K201="Coupler",_xlpm.condition1, SD!$C$43=SD!$W$2,_xlpm.data_j2_empty, Data!$J201="",_xlpm.lookup_table, IF(SD!$C$11="Create", Lap!$A$3:$BF$14, IF(SD!$C$11="Per Uploaded File", Lap!$A$19:$BF$30, "")),_xlpm.row_match, MATCH(BX201, Lap!$A$3:$A$14, 0),_xlpm.grade_offset, IF(IFERROR(FIND("Grade 60",_xlpm.GRR), 0) &gt; 0, 0, IF(IFERROR(FIND("Grade 80",_xlpm.GRR), 0), 1, IF(IFERROR(FIND("Grade 75",_xlpm.GRR), 0), 2, ""))),_xlpm.col_match, MATCH(VALUE(D201), Lap!$A$3:$BF$3, 0) + _xlpm.grade_offset,_xlpm.index_result, IFERROR(INDEX(_xlpm.lookup_table, _xlpm.row_match, _xlpm.col_match), Data!$J201),_xlpm.result_if_condition1, IF(_xlpm.data_j2_empty, _xlpm.index_result, Data!$J201),IF(_xlpm.is_coupler, 0, IF(_xlpm.condition1, _xlpm.result_if_condition1, SD!$C$43)))</f>
        <v>5-1</v>
      </c>
      <c r="CC201" s="24">
        <f t="shared" si="92"/>
        <v>5.083333333333333</v>
      </c>
      <c r="CD201">
        <f t="shared" si="93"/>
        <v>5.75</v>
      </c>
      <c r="CE201" t="str" cm="1">
        <f t="array" ref="CE201">IF(BY201="","",_xlfn._xlws.FILTER(SAC,(CName=SD!$C$8)*(EName="Vert Dowels")))</f>
        <v/>
      </c>
      <c r="CF201" t="str" cm="1">
        <f t="array" ref="CF201">IFERROR(IF(BY201="","",IF(K201="Coupler",_xlfn._xlws.FILTER(CCoupler,(CCName=SD!$C$8)*(CBSize=IF(A200=A201,W200&amp;W201,BX201&amp;W201))*(CCMFM="Male")),"")),"N/A")</f>
        <v/>
      </c>
      <c r="CG201" t="str">
        <f t="shared" si="94"/>
        <v/>
      </c>
      <c r="CH201" t="str">
        <f t="shared" si="95"/>
        <v/>
      </c>
      <c r="CI201" t="str">
        <f>_xlfn.LET(_xlpm.u3_value, U202,_xlpm.hyphen_pos,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K202="Coupler",_xlpm.coupler_value, IF(_xlpm.is_coupler, 0, _xlpm.calculated_value),_xlpm.final_value, _xlpm.calculated_value + SD!$E$13 + _xlpm.coupler_value,IF(CG201="", "", _xlpm.final_value))</f>
        <v/>
      </c>
      <c r="CJ201" t="str" cm="1">
        <f t="array" ref="CJ201">IF(CG201="","",_xlfn._xlws.FILTER(SAC,(CName=SD!$C$8)*(EName="Loose Dowels")))</f>
        <v/>
      </c>
      <c r="CK201" t="str" cm="1">
        <f t="array" ref="CK201">IFERROR(IF(CG201="","",IF(K202="Coupler",_xlfn._xlws.FILTER(CCoupler,(CCName=SD!$C$8)*(CBSize=IF(A201=A202,W201&amp;W202,""))*(CCMFM="Male")),"")),"N/A")</f>
        <v/>
      </c>
      <c r="CL201" t="str">
        <f>IFERROR(IF(AM201="Spiral","",IF(A200=A201,"",IF(SD!$C$37=0,"",SD!$C$37))),"")</f>
        <v/>
      </c>
      <c r="CN201">
        <f>IF(AM201="Spiral","",IFERROR(IF(SD!$C$36=0,"",SD!$C$36),""))</f>
        <v>5</v>
      </c>
      <c r="CP201" t="str">
        <f>IFERROR(IF(SD!$C$42=SD!$Q$3,'Take-off'!CA201,""),"")</f>
        <v/>
      </c>
      <c r="CR201">
        <f>IFERROR(IF(SD!$C$22=SD!$U$2,W201,SD!$C$22),"")</f>
        <v>0</v>
      </c>
      <c r="CS201" t="str" cm="1">
        <f t="array" ref="CS201">_xlfn.LET(_xlpm.GR,IF(AND(SD!$C$19=SD!$H$2,Grade!$G$1="Per level"),VLOOKUP(B201,Grade!$E$1:$F$200,2,FALSE),IF(AND(SD!$C$19=SD!$H$2,Grade!$G$1="Per Bar Size"),VLOOKUP(CR201,Grade!$B$1:$C$12,2,0),SD!$C$19)),IF(SD!$C$20=SD!$R$4,IF(A202=A201,"",INDEX(IF(_xlpm.GR=SD!$H$3,A615GR60,IF(_xlpm.GR=SD!$H$4,A615GR75,IF(_xlpm.GR=SD!$H$5,A615GR80,IF(_xlpm.GR=SD!H205,A615GR100,IF(_xlpm.GR=SD!$H$7,A706GR60,IF(_xlpm.GR=SD!$H$8,A706GR80)))))), MATCH(1, (BSize=CR201)*(BCName=SD!$C$8), 0))),""))</f>
        <v/>
      </c>
      <c r="CT201" t="str">
        <f>IF(A202=A201,"",IF(SD!$C$23="Match Vertical Bars ",X201,SD!$C$23))</f>
        <v/>
      </c>
      <c r="CU201" t="str" cm="1">
        <f t="array" ref="CU201">IF(A202=A201,"",IF(SD!$C$20="Top dowels",IF(SD!$E$25="No T-Head",IF(SD!$C$24=SD!$Q$3,VLOOKUP(CR201,S90Range,3,FALSE),LEFT(SD!$C$24,FIND("-",SD!$C$24)-1)+(RIGHT(SD!$C$24,LEN(SD!$C$24)-FIND("-",SD!$C$24))/12)),IF(SD!$E$25="T-Head",_xlfn._xlws.FILTER(THead,(TCName=SD!$C$8)*(TSize=CR201)),IF(SD!$E$25="Level Wise",_xlfn.LET(_xlpm.result,_xlfn.XLOOKUP(B201,TDLevel,TDLevelStatus,"No"),IF(_xlpm.result="Yes",_xlfn._xlws.FILTER(THead,(TCName=SD!$C$8)*(TSize=CR201)),IF(SD!$C$24=SD!$Q$3,VLOOKUP(CR201,S90Range,3,FALSE),LEFT(SD!$C$24,FIND("-",SD!$C$24)-1)+(RIGHT(SD!$C$24,LEN(SD!$C$24)-FIND("-", SD!$C$24))/12)))),IF(SD!$E$25="BarSize Wise",_xlfn.LET(_xlpm.result,_xlfn.XLOOKUP(CR201,TDBarSize,TDBarSizeStatus,"No"),IF(_xlpm.result="Yes",_xlfn._xlws.FILTER(THead,(TCName=SD!$C$8)*(TSize=CR201)),IF(SD!$C$24=SD!$Q$3,VLOOKUP(CR201,S90Range,3,FALSE),LEFT(SD!$C$24,FIND("-",SD!$C$24)-1)+(RIGHT(SD!$C$24,LEN(SD!$C$24)-FIND("-",SD!$C$24))/12)))), "")))),""))</f>
        <v/>
      </c>
      <c r="CV201" t="str">
        <f>_xlfn.LET(_xlpm.GRR,IF(AND(SD!$C$19=SD!$H$2,Grade!$G$1="Per level"),VLOOKUP(B201,Grade!$E$1:$F$200,2,FALSE),IF(AND(SD!$C$19=SD!$H$2,Grade!$G$1="Per Bar Size"),VLOOKUP(CR201,Grade!$B$1:$C$12,2,0),SD!$C$19)),IF(SD!$C$25=SD!$W$2,IF(Data!$J201="",IFERROR(INDEX(IF(SD!$C$11="Create",Lap!$A$3:$BF$14,IF(SD!$C$11="Per Uploaded File",Lap!$A$19:$BF$30,"")),MATCH(CR201,Lap!$A$3:$A$14,0),MATCH(VALUE(D201),Lap!$A$3:$BF$3,0)+IF(IFERROR(FIND("Grade 60",_xlpm.GRR),0)&gt;0,0,IF(IFERROR(FIND("Grade 80",_xlpm.GRR),0),1,IF(IFERROR(FIND("Grade 75",_xlpm.GRR),0),2,"")))),""),Data!J201),SD!$C$43))</f>
        <v>Match Lap</v>
      </c>
      <c r="CW201">
        <f t="shared" si="96"/>
        <v>0</v>
      </c>
      <c r="CX201">
        <f t="shared" si="97"/>
        <v>0</v>
      </c>
      <c r="CY201" t="str">
        <f t="shared" si="98"/>
        <v/>
      </c>
      <c r="DA201" t="str">
        <f t="shared" si="99"/>
        <v/>
      </c>
      <c r="DB201" t="str">
        <f t="shared" si="100"/>
        <v/>
      </c>
      <c r="DC201" s="24" t="str">
        <f t="shared" si="101"/>
        <v/>
      </c>
      <c r="DD201">
        <f t="shared" si="102"/>
        <v>10.583333333333334</v>
      </c>
      <c r="DE201" t="s">
        <v>785</v>
      </c>
      <c r="DF201" t="s">
        <v>67</v>
      </c>
      <c r="DG201" t="str">
        <f>VLOOKUP(W201,'Level Wise PSI'!$F$2:$G$12,2,FALSE)</f>
        <v>Double Lift</v>
      </c>
      <c r="DI201" t="str" cm="1">
        <f t="array" ref="DI201">_xlfn.LET(_xlpm.Coup,IFERROR(IF(BY201="","",IF(K201="Coupler",_xlfn._xlws.FILTER(CCFCoupler,(CCName=SD!$C$8)*(CBSize=IF(A200=A201,W200&amp;W201,BX201&amp;W201))),"")),"N/A"),IF(_xlpm.Coup=0,"",_xlpm.Coup))</f>
        <v/>
      </c>
      <c r="DJ201" t="str" cm="1">
        <f t="array" ref="DJ201">_xlfn.LET(_xlpm.Coup3,IFERROR(IF(CG201="","",IF(K202="Coupler",_xlfn._xlws.FILTER(CCFCoupler,(CCName=SD!$C$8)*(CBSize=IF(A201=A202,W201&amp;W202,""))),"")),"N/A"),IF(_xlpm.Coup3=0,"",_xlpm.Coup3))</f>
        <v/>
      </c>
      <c r="DK201" t="str" cm="1">
        <f t="array" ref="DK201">_xlfn.LET(_xlpm.Coup2,IFERROR(IF(A201&lt;&gt;A202,"",IF(DF201="No Lap","",IF(K202="Coupler",_xlfn._xlws.FILTER(CCFCoupler,(CCName=SD!$C$8)*(CBSize=IF(A200=A201,W201&amp;W202,W201&amp;W201))),""))),"N/A"),IF(_xlpm.Coup2=0,"",_xlpm.Coup2))</f>
        <v/>
      </c>
      <c r="DM201" t="str">
        <f>IF(AM201="Spiral","",IF(SD!$C$31=SD!$Y$3,SD!$E$32*2,""))</f>
        <v/>
      </c>
      <c r="DO201" s="24">
        <f t="shared" si="103"/>
        <v>2.5</v>
      </c>
      <c r="DQ201" t="str">
        <f t="shared" si="104"/>
        <v>Lig</v>
      </c>
      <c r="DR201" t="str">
        <f>IF(AM201="Spiral",((Y201-(SD!$E$12*2))/12),"")</f>
        <v/>
      </c>
      <c r="DS201" t="str">
        <f t="shared" si="105"/>
        <v/>
      </c>
      <c r="DT201" t="str">
        <f t="shared" si="106"/>
        <v/>
      </c>
      <c r="DU201" t="str">
        <f t="shared" si="107"/>
        <v/>
      </c>
    </row>
    <row r="202" spans="1:125" x14ac:dyDescent="0.25">
      <c r="A202">
        <v>65</v>
      </c>
      <c r="B202" t="s">
        <v>686</v>
      </c>
      <c r="C202" s="15">
        <v>2429</v>
      </c>
      <c r="D202" s="15">
        <v>10000</v>
      </c>
      <c r="E202" t="str">
        <f>IF(B202=Level!$A$2,SD!$C$14,SD!$C$13)</f>
        <v>0-8</v>
      </c>
      <c r="F202" s="15" t="s">
        <v>787</v>
      </c>
      <c r="G202" t="s">
        <v>742</v>
      </c>
      <c r="H202" t="str">
        <f>RIGHT(VLOOKUP(B202,Level!A:C,3,FALSE),LEN(VLOOKUP(B202,Level!A:C,3,FALSE))-1)</f>
        <v>10-7</v>
      </c>
      <c r="I202" t="s">
        <v>743</v>
      </c>
      <c r="J202" t="str">
        <f>IF(AND(SD!$C$19=SD!$H$2,Grade!$G$1="Per level"),VLOOKUP(B202,Grade!$E$1:$F$200,2,FALSE),IF(AND(SD!$C$19=SD!$H$2,Grade!$G$1="Per Bar Size"),VLOOKUP(W202,Grade!$B$1:$C$12,2,0),SD!$C$19))</f>
        <v>A615 Grade 60</v>
      </c>
      <c r="K202" t="s">
        <v>67</v>
      </c>
      <c r="L202" t="str">
        <f>IFERROR(IF(A202&lt;&gt;A203,"",IF(DF202="No Lap","",IF(K203="Lap",U202,IF(K203="Coupler",_xlfn._xlws.FILTER(CCoupler,(CCName=SD!$C$8)*(CBSize=IF(A201=A202,W202&amp;W203,W202&amp;W202))*(CCMFM="Male")),"")))),"N/A")</f>
        <v>5-1</v>
      </c>
      <c r="M202" t="str">
        <f t="shared" si="81"/>
        <v/>
      </c>
      <c r="N202" t="s">
        <v>719</v>
      </c>
      <c r="O202" t="s">
        <v>720</v>
      </c>
      <c r="P202" t="s">
        <v>719</v>
      </c>
      <c r="Q202" t="str">
        <f>IF(AND(SD!$C$29=SD!$P$2,Grade!$O$1="Per level"),VLOOKUP(B202,Grade!$M$1:$N$200,2,FALSE),IF(AND(SD!$C$29=SD!$P$2,Grade!$O$1="Per Bar Size"),VLOOKUP(LEFT(N202,FIND("@",N202)-2),Grade!$J$1:$K$12,2,0),SD!$C$29))</f>
        <v>A615 Grade 60</v>
      </c>
      <c r="R202" t="s">
        <v>742</v>
      </c>
      <c r="S202" s="57">
        <v>202</v>
      </c>
      <c r="U202" t="str">
        <f>IF(Data!$J202="",IFERROR(INDEX(IF(SD!$C$11="Create",Lap!$A$3:$BF$14,IF(SD!$C$11="Per Uploaded File",Lap!$A$19:$BF$30,"")),MATCH(W202,Lap!$A$3:$A$14,0),MATCH(VALUE(D202),Lap!$A$3:$BF$3,0)+IF(IFERROR(FIND("Grade 60",J202),0)&gt;0,0,IF(IFERROR(FIND("Grade 80",J202),0),1,IF(IFERROR(FIND("Grade 75",J202),0),2,"")))),""),Data!J202)</f>
        <v>5-1</v>
      </c>
      <c r="W202" t="s">
        <v>176</v>
      </c>
      <c r="X202">
        <v>6</v>
      </c>
      <c r="Y202" t="str">
        <f t="shared" si="82"/>
        <v>30</v>
      </c>
      <c r="Z202">
        <f t="shared" si="83"/>
        <v>0</v>
      </c>
      <c r="AA202" s="24">
        <f t="shared" si="84"/>
        <v>15.666666666666666</v>
      </c>
      <c r="BB202" t="e" cm="1">
        <f t="array" ref="BB202">_xlfn.LET(_xlpm.PartF,(_xlfn.LET(_xlpm.grade, Q202,_xlpm.gradeRange, IF(_xlpm.grade=SD!$H$3, A615GR60, IF(_xlpm.grade=SD!$H$4, A615GR75, IF(_xlpm.grade=SD!$H$5, A615GR80, IF(_xlpm.grade=SD!$H$6, A615GR100, IF(_xlpm.grade=SD!$H$7, A706GR60, IF(_xlpm.grade=SD!$H$8, A706GR80)))))),_xlpm.matchValue, MATCH(1, (SD!$AW:$AW=AS202)*(SD!$AX:$AX=SD!$C$8), 0),INDEX(_xlpm.gradeRange, _xlpm.matchValue))),IF(AM202="Spiral",CONCATENATE("SP",_xlpm.PartF),_xlpm.PartF))</f>
        <v>#N/A</v>
      </c>
      <c r="BC202" cm="1">
        <f t="array" ref="BC202">_xlfn.LET(_xlpm.leftPart, LEFT(O202, FIND("@", O202) - 2),_xlpm.grade,Q202,_xlpm.gradeRange,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2" cm="1">
        <f t="array" ref="BD202">_xlfn.LET(_xlpm.leftPart, LEFT(P202, FIND("@", P202) - 2),_xlpm.grade, Q202,_xlpm.gradeRange,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2">
        <f t="shared" si="85"/>
        <v>2.5</v>
      </c>
      <c r="BF202">
        <f>IF(SD!$C$32=SD!$I$2,BE202,IF(SD!$C$32=SD!$I$3,DO202,IF(SD!$C$32=SD!$I$5,BA202,IF(SD!$C$32=SD!$I$6,(LEFT(SD!$C$35,FIND("-",SD!$C$35)-1)+RIGHT(SD!$C$35,LEN(SD!$C$35)-FIND("-",SD!$C$35))/12),IF(SD!$C$32=SD!$I$4,(AU202-(BG202+BH202)))))))</f>
        <v>0</v>
      </c>
      <c r="BG202">
        <f>IF(SD!$C$33=SD!$I$2,BE202,IF(SD!$C$33=SD!$I$3,DO202,IF(SD!$C$33=SD!$I$5,BA202,IF(SD!$C$33=SD!$I$6,(LEFT(SD!$C$35,FIND("-",SD!$C$35)-1)+RIGHT(SD!$C$35,LEN(SD!$C$35)-FIND("-",SD!$C$35))/12),IF(SD!$C$33=SD!$I$4,(AU202-(BF202+BH202)))))))</f>
        <v>-1</v>
      </c>
      <c r="BH202">
        <f>IF(SD!$C$34=SD!$I$2,BE202,IF(SD!$C$34=SD!$I$3,DO202,IF(SD!$C$34=SD!$I$5,BA202,IF(SD!$C$34=SD!$I$6,(LEFT(SD!$C$35,FIND("-",SD!$C$35)-1)+RIGHT(SD!$C$35,LEN(SD!$C$35)-FIND("-",SD!$C$35))/12),IF(SD!$C$34=SD!$I$4,(AU202-(BF202+BG202)))))))</f>
        <v>1</v>
      </c>
      <c r="BJ202">
        <f>IF(AM202="Spiral","1",MAX(ROUNDUP(IF(SD!$C$32="",AT202,BF202/(LEFT(RIGHT(N202,LEN(N202)-FIND("@",N202)),LEN(RIGHT(N202,LEN(N202)-FIND("@",N202)))-1)/12)+1),0),0))</f>
        <v>1</v>
      </c>
      <c r="BK202">
        <f>MAX(ROUNDUP(IF(SD!$C$33="","",BG202/(LEFT(RIGHT(O202,LEN(O202)-FIND("@",O202)),LEN(RIGHT(O202,LEN(O202)-FIND("@",O202)))-1)/12)+1),0),0)</f>
        <v>0</v>
      </c>
      <c r="BL202">
        <f>MAX(ROUNDUP(IF(SD!$C$34="","",BH202/(LEFT(RIGHT(P202,LEN(P202)-FIND("@",P202)),LEN(RIGHT(P202,LEN(P202)-FIND("@",P202)))-1)/12)+1),0),0)</f>
        <v>3</v>
      </c>
      <c r="BN202" t="e">
        <f t="shared" si="86"/>
        <v>#N/A</v>
      </c>
      <c r="BO202" t="e">
        <f t="shared" si="87"/>
        <v>#N/A</v>
      </c>
      <c r="BP202" t="e">
        <f t="shared" si="88"/>
        <v>#N/A</v>
      </c>
      <c r="BQ202" s="24" t="e">
        <f>IF(AM202=TRUE,(((Y202-(SD!$E$12*2))*3.14159265359)+BN202+BO202+BP202)/12+AL202,SUM(AF202:AG202,BN202,BO202,BP202,AO202,AQ202)/12)</f>
        <v>#N/A</v>
      </c>
      <c r="BR202" t="e">
        <f t="shared" si="89"/>
        <v>#N/A</v>
      </c>
      <c r="BS202" t="e">
        <f t="shared" si="90"/>
        <v>#N/A</v>
      </c>
      <c r="BT202" t="e">
        <f t="shared" si="91"/>
        <v>#N/A</v>
      </c>
      <c r="BU202" s="24" t="e">
        <f>IF(AM202=TRUE,(((Y202-(SD!$E$12*2))*3.14159265359)+BR202+BS202+BT202)/12+AL202,SUM(AF202:AG202,BR202,BS202,BT202,AO202,AQ202)/12)</f>
        <v>#N/A</v>
      </c>
      <c r="BW202" t="str">
        <f>IFERROR(LEFT(Data!L202,FIND(" -",Data!L202)-1),"")</f>
        <v/>
      </c>
      <c r="BX202" t="str">
        <f>IFERROR(IF(SD!$C$40=SD!$U$2,W202,IF(SD!$C$40=SD!$U$3,RIGHT(Data!L202,LEN(Data!L202)-(FIND("-",Data!L202)+1)),SD!$C$40)),"")</f>
        <v>#10</v>
      </c>
      <c r="BY202" t="str" cm="1">
        <f t="array" ref="BY202">IFERROR(_xlfn.LET(_xlpm.GRR,IF(AND(SD!$C$19=SD!$H$2,Grade!$G$1="Per level"),VLOOKUP(B202,Grade!$E$1:$F$200,2,FALSE),IF(AND(SD!$C$19=SD!$H$2,Grade!$G$1="Per Bar Size"),VLOOKUP(BX202,Grade!$B$1:$C$12,2,0),SD!$C$19)),_xlpm.is_equal, A201=A202,_xlpm.grade_range, IF(_xlpm.GRR=SD!$H$3, A615GR60,IF(_xlpm.GRR=SD!$H$4, A615GR75,IF(_xlpm.GRR=SD!$H$5, A615GR80,IF(_xlpm.GRR=SD!H206, A615GR100,IF(_xlpm.GRR=SD!$H$7, A706GR60,IF(_xlpm.GRR=SD!$H$8, A706GR80)))))),_xlpm.match_result, MATCH(1, (BSize=BX202)*(BCName=SD!$C$8), 0),_xlpm.final_result, INDEX(_xlpm.grade_range, _xlpm.match_result),IF(_xlpm.is_equal, "", _xlpm.final_result)),"")</f>
        <v/>
      </c>
      <c r="BZ202" t="str">
        <f>IF(A201=A202,"",IF(SD!$C$41="Match Vertical Bars ",X202,IF(SD!$C$41=SD!$V$3,BW202,SD!$C$41)))</f>
        <v/>
      </c>
      <c r="CA202" t="str" cm="1">
        <f t="array" ref="CA202">IF(A201=A202,"",IF(SD!$C$44="No T-Head",IF(SD!$C$42=SD!$Q$3,VLOOKUP(BX202,S90Range,3,FALSE),LEFT(SD!$C$42,FIND("-",SD!$C$42)-1)+(RIGHT(SD!$C$42,LEN(SD!$C$42)-FIND("-",SD!$C$42))/12)),IF(SD!$C$44="T-Head",_xlfn._xlws.FILTER(THead,(TCName=SD!$C$8)*(TSize=BX202)),IF(SD!$C$44="Level Wise",_xlfn.LET(_xlpm.result,_xlfn.XLOOKUP(B202,VDLevel,VDLevelStatus,"No"),IF(_xlpm.result="Yes",_xlfn._xlws.FILTER(THead,(TCName=SD!$C$8)*(TSize=BX202)),IF(SD!$C$42=SD!$Q$3,VLOOKUP(BX202,S90Range,3,FALSE),LEFT(SD!$C$42,FIND("-",SD!$C$42)-1)+(RIGHT(SD!$C$42,LEN(SD!$C$42)-FIND("-", SD!$C$42))/12)))),IF(SD!$C$44="BarSize Wise",_xlfn.LET(_xlpm.result,_xlfn.XLOOKUP(BX202,VDBarSize,VDBarSizeStatus,"No"),IF(_xlpm.result="Yes",_xlfn._xlws.FILTER(THead,(TCName=SD!$C$8)*(TSize=BX202)),IF(SD!$C$42=SD!$Q$3,VLOOKUP(BX202,S90Range,3,FALSE),LEFT(SD!$C$42,FIND("-",SD!$C$42)-1)+(RIGHT(SD!$C$42,LEN(SD!$C$42)-FIND("-",SD!$C$42))/12)))), "")))))</f>
        <v/>
      </c>
      <c r="CB202" t="str" cm="1">
        <f t="array" ref="CB202">_xlfn.LET(_xlpm.GRR,IF(AND(SD!$C$19=SD!$H$2,Grade!$G$1="Per level"),VLOOKUP(B202,Grade!$E$1:$F$200,2,FALSE),IF(AND(SD!$C$19=SD!$H$2,Grade!$G$1="Per Bar Size"),VLOOKUP(BX202,Grade!$B$1:$C$12,2,0),SD!$C$19)),_xlpm.is_coupler, K202="Coupler",_xlpm.condition1, SD!$C$43=SD!$W$2,_xlpm.data_j2_empty, Data!$J202="",_xlpm.lookup_table, IF(SD!$C$11="Create", Lap!$A$3:$BF$14, IF(SD!$C$11="Per Uploaded File", Lap!$A$19:$BF$30, "")),_xlpm.row_match, MATCH(BX202, Lap!$A$3:$A$14, 0),_xlpm.grade_offset, IF(IFERROR(FIND("Grade 60",_xlpm.GRR), 0) &gt; 0, 0, IF(IFERROR(FIND("Grade 80",_xlpm.GRR), 0), 1, IF(IFERROR(FIND("Grade 75",_xlpm.GRR), 0), 2, ""))),_xlpm.col_match, MATCH(VALUE(D202), Lap!$A$3:$BF$3, 0) + _xlpm.grade_offset,_xlpm.index_result, IFERROR(INDEX(_xlpm.lookup_table, _xlpm.row_match, _xlpm.col_match), Data!$J202),_xlpm.result_if_condition1, IF(_xlpm.data_j2_empty, _xlpm.index_result, Data!$J202),IF(_xlpm.is_coupler, 0, IF(_xlpm.condition1, _xlpm.result_if_condition1, SD!$C$43)))</f>
        <v>5-1</v>
      </c>
      <c r="CC202" s="24">
        <f t="shared" si="92"/>
        <v>5.083333333333333</v>
      </c>
      <c r="CD202">
        <f t="shared" si="93"/>
        <v>5.75</v>
      </c>
      <c r="CE202" t="str" cm="1">
        <f t="array" ref="CE202">IF(BY202="","",_xlfn._xlws.FILTER(SAC,(CName=SD!$C$8)*(EName="Vert Dowels")))</f>
        <v/>
      </c>
      <c r="CF202" t="str" cm="1">
        <f t="array" ref="CF202">IFERROR(IF(BY202="","",IF(K202="Coupler",_xlfn._xlws.FILTER(CCoupler,(CCName=SD!$C$8)*(CBSize=IF(A201=A202,W201&amp;W202,BX202&amp;W202))*(CCMFM="Male")),"")),"N/A")</f>
        <v/>
      </c>
      <c r="CG202" t="str">
        <f t="shared" si="94"/>
        <v/>
      </c>
      <c r="CH202" t="str">
        <f t="shared" si="95"/>
        <v/>
      </c>
      <c r="CI202" t="str">
        <f>_xlfn.LET(_xlpm.u3_value, U203,_xlpm.hyphen_pos,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K203="Coupler",_xlpm.coupler_value, IF(_xlpm.is_coupler, 0, _xlpm.calculated_value),_xlpm.final_value, _xlpm.calculated_value + SD!$E$13 + _xlpm.coupler_value,IF(CG202="", "", _xlpm.final_value))</f>
        <v/>
      </c>
      <c r="CJ202" t="str" cm="1">
        <f t="array" ref="CJ202">IF(CG202="","",_xlfn._xlws.FILTER(SAC,(CName=SD!$C$8)*(EName="Loose Dowels")))</f>
        <v/>
      </c>
      <c r="CK202" t="str" cm="1">
        <f t="array" ref="CK202">IFERROR(IF(CG202="","",IF(K203="Coupler",_xlfn._xlws.FILTER(CCoupler,(CCName=SD!$C$8)*(CBSize=IF(A202=A203,W202&amp;W203,""))*(CCMFM="Male")),"")),"N/A")</f>
        <v/>
      </c>
      <c r="CL202" t="str">
        <f>IFERROR(IF(AM202="Spiral","",IF(A201=A202,"",IF(SD!$C$37=0,"",SD!$C$37))),"")</f>
        <v/>
      </c>
      <c r="CN202">
        <f>IF(AM202="Spiral","",IFERROR(IF(SD!$C$36=0,"",SD!$C$36),""))</f>
        <v>5</v>
      </c>
      <c r="CP202" t="str">
        <f>IFERROR(IF(SD!$C$42=SD!$Q$3,'Take-off'!CA202,""),"")</f>
        <v/>
      </c>
      <c r="CR202">
        <f>IFERROR(IF(SD!$C$22=SD!$U$2,W202,SD!$C$22),"")</f>
        <v>0</v>
      </c>
      <c r="CS202" t="str" cm="1">
        <f t="array" ref="CS202">_xlfn.LET(_xlpm.GR,IF(AND(SD!$C$19=SD!$H$2,Grade!$G$1="Per level"),VLOOKUP(B202,Grade!$E$1:$F$200,2,FALSE),IF(AND(SD!$C$19=SD!$H$2,Grade!$G$1="Per Bar Size"),VLOOKUP(CR202,Grade!$B$1:$C$12,2,0),SD!$C$19)),IF(SD!$C$20=SD!$R$4,IF(A203=A202,"",INDEX(IF(_xlpm.GR=SD!$H$3,A615GR60,IF(_xlpm.GR=SD!$H$4,A615GR75,IF(_xlpm.GR=SD!$H$5,A615GR80,IF(_xlpm.GR=SD!H206,A615GR100,IF(_xlpm.GR=SD!$H$7,A706GR60,IF(_xlpm.GR=SD!$H$8,A706GR80)))))), MATCH(1, (BSize=CR202)*(BCName=SD!$C$8), 0))),""))</f>
        <v/>
      </c>
      <c r="CT202" t="str">
        <f>IF(A203=A202,"",IF(SD!$C$23="Match Vertical Bars ",X202,SD!$C$23))</f>
        <v/>
      </c>
      <c r="CU202" t="str" cm="1">
        <f t="array" ref="CU202">IF(A203=A202,"",IF(SD!$C$20="Top dowels",IF(SD!$E$25="No T-Head",IF(SD!$C$24=SD!$Q$3,VLOOKUP(CR202,S90Range,3,FALSE),LEFT(SD!$C$24,FIND("-",SD!$C$24)-1)+(RIGHT(SD!$C$24,LEN(SD!$C$24)-FIND("-",SD!$C$24))/12)),IF(SD!$E$25="T-Head",_xlfn._xlws.FILTER(THead,(TCName=SD!$C$8)*(TSize=CR202)),IF(SD!$E$25="Level Wise",_xlfn.LET(_xlpm.result,_xlfn.XLOOKUP(B202,TDLevel,TDLevelStatus,"No"),IF(_xlpm.result="Yes",_xlfn._xlws.FILTER(THead,(TCName=SD!$C$8)*(TSize=CR202)),IF(SD!$C$24=SD!$Q$3,VLOOKUP(CR202,S90Range,3,FALSE),LEFT(SD!$C$24,FIND("-",SD!$C$24)-1)+(RIGHT(SD!$C$24,LEN(SD!$C$24)-FIND("-", SD!$C$24))/12)))),IF(SD!$E$25="BarSize Wise",_xlfn.LET(_xlpm.result,_xlfn.XLOOKUP(CR202,TDBarSize,TDBarSizeStatus,"No"),IF(_xlpm.result="Yes",_xlfn._xlws.FILTER(THead,(TCName=SD!$C$8)*(TSize=CR202)),IF(SD!$C$24=SD!$Q$3,VLOOKUP(CR202,S90Range,3,FALSE),LEFT(SD!$C$24,FIND("-",SD!$C$24)-1)+(RIGHT(SD!$C$24,LEN(SD!$C$24)-FIND("-",SD!$C$24))/12)))), "")))),""))</f>
        <v/>
      </c>
      <c r="CV202" t="str">
        <f>_xlfn.LET(_xlpm.GRR,IF(AND(SD!$C$19=SD!$H$2,Grade!$G$1="Per level"),VLOOKUP(B202,Grade!$E$1:$F$200,2,FALSE),IF(AND(SD!$C$19=SD!$H$2,Grade!$G$1="Per Bar Size"),VLOOKUP(CR202,Grade!$B$1:$C$12,2,0),SD!$C$19)),IF(SD!$C$25=SD!$W$2,IF(Data!$J202="",IFERROR(INDEX(IF(SD!$C$11="Create",Lap!$A$3:$BF$14,IF(SD!$C$11="Per Uploaded File",Lap!$A$19:$BF$30,"")),MATCH(CR202,Lap!$A$3:$A$14,0),MATCH(VALUE(D202),Lap!$A$3:$BF$3,0)+IF(IFERROR(FIND("Grade 60",_xlpm.GRR),0)&gt;0,0,IF(IFERROR(FIND("Grade 80",_xlpm.GRR),0),1,IF(IFERROR(FIND("Grade 75",_xlpm.GRR),0),2,"")))),""),Data!J202),SD!$C$43))</f>
        <v>Match Lap</v>
      </c>
      <c r="CW202">
        <f t="shared" si="96"/>
        <v>0</v>
      </c>
      <c r="CX202">
        <f t="shared" si="97"/>
        <v>0</v>
      </c>
      <c r="CY202" t="str">
        <f t="shared" si="98"/>
        <v/>
      </c>
      <c r="DA202" t="str">
        <f t="shared" si="99"/>
        <v/>
      </c>
      <c r="DB202" t="str">
        <f t="shared" si="100"/>
        <v/>
      </c>
      <c r="DC202" s="24" t="str">
        <f t="shared" si="101"/>
        <v/>
      </c>
      <c r="DD202">
        <f t="shared" si="102"/>
        <v>10.583333333333334</v>
      </c>
      <c r="DE202" t="s">
        <v>785</v>
      </c>
      <c r="DF202" t="s">
        <v>67</v>
      </c>
      <c r="DG202" t="str">
        <f>VLOOKUP(W202,'Level Wise PSI'!$F$2:$G$12,2,FALSE)</f>
        <v>Double Lift</v>
      </c>
      <c r="DI202" t="str" cm="1">
        <f t="array" ref="DI202">_xlfn.LET(_xlpm.Coup,IFERROR(IF(BY202="","",IF(K202="Coupler",_xlfn._xlws.FILTER(CCFCoupler,(CCName=SD!$C$8)*(CBSize=IF(A201=A202,W201&amp;W202,BX202&amp;W202))),"")),"N/A"),IF(_xlpm.Coup=0,"",_xlpm.Coup))</f>
        <v/>
      </c>
      <c r="DJ202" t="str" cm="1">
        <f t="array" ref="DJ202">_xlfn.LET(_xlpm.Coup3,IFERROR(IF(CG202="","",IF(K203="Coupler",_xlfn._xlws.FILTER(CCFCoupler,(CCName=SD!$C$8)*(CBSize=IF(A202=A203,W202&amp;W203,""))),"")),"N/A"),IF(_xlpm.Coup3=0,"",_xlpm.Coup3))</f>
        <v/>
      </c>
      <c r="DK202" t="str" cm="1">
        <f t="array" ref="DK202">_xlfn.LET(_xlpm.Coup2,IFERROR(IF(A202&lt;&gt;A203,"",IF(DF202="No Lap","",IF(K203="Coupler",_xlfn._xlws.FILTER(CCFCoupler,(CCName=SD!$C$8)*(CBSize=IF(A201=A202,W202&amp;W203,W202&amp;W202))),""))),"N/A"),IF(_xlpm.Coup2=0,"",_xlpm.Coup2))</f>
        <v/>
      </c>
      <c r="DM202" t="str">
        <f>IF(AM202="Spiral","",IF(SD!$C$31=SD!$Y$3,SD!$E$32*2,""))</f>
        <v/>
      </c>
      <c r="DO202" s="24">
        <f t="shared" si="103"/>
        <v>2.5</v>
      </c>
      <c r="DQ202" t="str">
        <f t="shared" si="104"/>
        <v>Lig</v>
      </c>
      <c r="DR202" t="str">
        <f>IF(AM202="Spiral",((Y202-(SD!$E$12*2))/12),"")</f>
        <v/>
      </c>
      <c r="DS202" t="str">
        <f t="shared" si="105"/>
        <v/>
      </c>
      <c r="DT202" t="str">
        <f t="shared" si="106"/>
        <v/>
      </c>
      <c r="DU202" t="str">
        <f t="shared" si="107"/>
        <v/>
      </c>
    </row>
    <row r="203" spans="1:125" x14ac:dyDescent="0.25">
      <c r="A203">
        <v>65</v>
      </c>
      <c r="B203" t="s">
        <v>688</v>
      </c>
      <c r="C203" s="15">
        <v>2429</v>
      </c>
      <c r="D203" s="15">
        <v>10000</v>
      </c>
      <c r="E203" t="str">
        <f>IF(B203=Level!$A$2,SD!$C$14,SD!$C$13)</f>
        <v>0-8</v>
      </c>
      <c r="F203" s="15" t="s">
        <v>787</v>
      </c>
      <c r="G203" t="s">
        <v>742</v>
      </c>
      <c r="H203" t="str">
        <f>RIGHT(VLOOKUP(B203,Level!A:C,3,FALSE),LEN(VLOOKUP(B203,Level!A:C,3,FALSE))-1)</f>
        <v>10-7</v>
      </c>
      <c r="I203" t="s">
        <v>744</v>
      </c>
      <c r="J203" t="str">
        <f>IF(AND(SD!$C$19=SD!$H$2,Grade!$G$1="Per level"),VLOOKUP(B203,Grade!$E$1:$F$200,2,FALSE),IF(AND(SD!$C$19=SD!$H$2,Grade!$G$1="Per Bar Size"),VLOOKUP(W203,Grade!$B$1:$C$12,2,0),SD!$C$19))</f>
        <v>A615 Grade 60</v>
      </c>
      <c r="K203" t="s">
        <v>67</v>
      </c>
      <c r="L203" t="str">
        <f>IFERROR(IF(A203&lt;&gt;A204,"",IF(DF203="No Lap","",IF(K204="Lap",U203,IF(K204="Coupler",_xlfn._xlws.FILTER(CCoupler,(CCName=SD!$C$8)*(CBSize=IF(A202=A203,W203&amp;W204,W203&amp;W203))*(CCMFM="Male")),"")))),"N/A")</f>
        <v/>
      </c>
      <c r="M203" t="str">
        <f t="shared" si="81"/>
        <v/>
      </c>
      <c r="N203" t="s">
        <v>719</v>
      </c>
      <c r="O203" t="s">
        <v>720</v>
      </c>
      <c r="P203" t="s">
        <v>719</v>
      </c>
      <c r="Q203" t="str">
        <f>IF(AND(SD!$C$29=SD!$P$2,Grade!$O$1="Per level"),VLOOKUP(B203,Grade!$M$1:$N$200,2,FALSE),IF(AND(SD!$C$29=SD!$P$2,Grade!$O$1="Per Bar Size"),VLOOKUP(LEFT(N203,FIND("@",N203)-2),Grade!$J$1:$K$12,2,0),SD!$C$29))</f>
        <v>A615 Grade 60</v>
      </c>
      <c r="R203" t="s">
        <v>742</v>
      </c>
      <c r="S203" s="57">
        <v>203</v>
      </c>
      <c r="U203" t="str">
        <f>IF(Data!$J203="",IFERROR(INDEX(IF(SD!$C$11="Create",Lap!$A$3:$BF$14,IF(SD!$C$11="Per Uploaded File",Lap!$A$19:$BF$30,"")),MATCH(W203,Lap!$A$3:$A$14,0),MATCH(VALUE(D203),Lap!$A$3:$BF$3,0)+IF(IFERROR(FIND("Grade 60",J203),0)&gt;0,0,IF(IFERROR(FIND("Grade 80",J203),0),1,IF(IFERROR(FIND("Grade 75",J203),0),2,"")))),""),Data!J203)</f>
        <v>4-0</v>
      </c>
      <c r="W203" t="s">
        <v>151</v>
      </c>
      <c r="X203">
        <v>10</v>
      </c>
      <c r="Y203" t="str">
        <f t="shared" si="82"/>
        <v>30</v>
      </c>
      <c r="Z203">
        <f t="shared" si="83"/>
        <v>0</v>
      </c>
      <c r="AA203" s="24">
        <f t="shared" si="84"/>
        <v>10.583333333333334</v>
      </c>
      <c r="BB203" t="e" cm="1">
        <f t="array" ref="BB203">_xlfn.LET(_xlpm.PartF,(_xlfn.LET(_xlpm.grade, Q203,_xlpm.gradeRange, IF(_xlpm.grade=SD!$H$3, A615GR60, IF(_xlpm.grade=SD!$H$4, A615GR75, IF(_xlpm.grade=SD!$H$5, A615GR80, IF(_xlpm.grade=SD!$H$6, A615GR100, IF(_xlpm.grade=SD!$H$7, A706GR60, IF(_xlpm.grade=SD!$H$8, A706GR80)))))),_xlpm.matchValue, MATCH(1, (SD!$AW:$AW=AS203)*(SD!$AX:$AX=SD!$C$8), 0),INDEX(_xlpm.gradeRange, _xlpm.matchValue))),IF(AM203="Spiral",CONCATENATE("SP",_xlpm.PartF),_xlpm.PartF))</f>
        <v>#N/A</v>
      </c>
      <c r="BC203" cm="1">
        <f t="array" ref="BC203">_xlfn.LET(_xlpm.leftPart, LEFT(O203, FIND("@", O203) - 2),_xlpm.grade,Q203,_xlpm.gradeRange,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3" cm="1">
        <f t="array" ref="BD203">_xlfn.LET(_xlpm.leftPart, LEFT(P203, FIND("@", P203) - 2),_xlpm.grade, Q203,_xlpm.gradeRange,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3">
        <f t="shared" si="85"/>
        <v>2.5</v>
      </c>
      <c r="BF203">
        <f>IF(SD!$C$32=SD!$I$2,BE203,IF(SD!$C$32=SD!$I$3,DO203,IF(SD!$C$32=SD!$I$5,BA203,IF(SD!$C$32=SD!$I$6,(LEFT(SD!$C$35,FIND("-",SD!$C$35)-1)+RIGHT(SD!$C$35,LEN(SD!$C$35)-FIND("-",SD!$C$35))/12),IF(SD!$C$32=SD!$I$4,(AU203-(BG203+BH203)))))))</f>
        <v>0</v>
      </c>
      <c r="BG203">
        <f>IF(SD!$C$33=SD!$I$2,BE203,IF(SD!$C$33=SD!$I$3,DO203,IF(SD!$C$33=SD!$I$5,BA203,IF(SD!$C$33=SD!$I$6,(LEFT(SD!$C$35,FIND("-",SD!$C$35)-1)+RIGHT(SD!$C$35,LEN(SD!$C$35)-FIND("-",SD!$C$35))/12),IF(SD!$C$33=SD!$I$4,(AU203-(BF203+BH203)))))))</f>
        <v>-1</v>
      </c>
      <c r="BH203">
        <f>IF(SD!$C$34=SD!$I$2,BE203,IF(SD!$C$34=SD!$I$3,DO203,IF(SD!$C$34=SD!$I$5,BA203,IF(SD!$C$34=SD!$I$6,(LEFT(SD!$C$35,FIND("-",SD!$C$35)-1)+RIGHT(SD!$C$35,LEN(SD!$C$35)-FIND("-",SD!$C$35))/12),IF(SD!$C$34=SD!$I$4,(AU203-(BF203+BG203)))))))</f>
        <v>1</v>
      </c>
      <c r="BJ203">
        <f>IF(AM203="Spiral","1",MAX(ROUNDUP(IF(SD!$C$32="",AT203,BF203/(LEFT(RIGHT(N203,LEN(N203)-FIND("@",N203)),LEN(RIGHT(N203,LEN(N203)-FIND("@",N203)))-1)/12)+1),0),0))</f>
        <v>1</v>
      </c>
      <c r="BK203">
        <f>MAX(ROUNDUP(IF(SD!$C$33="","",BG203/(LEFT(RIGHT(O203,LEN(O203)-FIND("@",O203)),LEN(RIGHT(O203,LEN(O203)-FIND("@",O203)))-1)/12)+1),0),0)</f>
        <v>0</v>
      </c>
      <c r="BL203">
        <f>MAX(ROUNDUP(IF(SD!$C$34="","",BH203/(LEFT(RIGHT(P203,LEN(P203)-FIND("@",P203)),LEN(RIGHT(P203,LEN(P203)-FIND("@",P203)))-1)/12)+1),0),0)</f>
        <v>3</v>
      </c>
      <c r="BN203" t="e">
        <f t="shared" si="86"/>
        <v>#N/A</v>
      </c>
      <c r="BO203" t="e">
        <f t="shared" si="87"/>
        <v>#N/A</v>
      </c>
      <c r="BP203" t="e">
        <f t="shared" si="88"/>
        <v>#N/A</v>
      </c>
      <c r="BQ203" s="24" t="e">
        <f>IF(AM203=TRUE,(((Y203-(SD!$E$12*2))*3.14159265359)+BN203+BO203+BP203)/12+AL203,SUM(AF203:AG203,BN203,BO203,BP203,AO203,AQ203)/12)</f>
        <v>#N/A</v>
      </c>
      <c r="BR203" t="e">
        <f t="shared" si="89"/>
        <v>#N/A</v>
      </c>
      <c r="BS203" t="e">
        <f t="shared" si="90"/>
        <v>#N/A</v>
      </c>
      <c r="BT203" t="e">
        <f t="shared" si="91"/>
        <v>#N/A</v>
      </c>
      <c r="BU203" s="24" t="e">
        <f>IF(AM203=TRUE,(((Y203-(SD!$E$12*2))*3.14159265359)+BR203+BS203+BT203)/12+AL203,SUM(AF203:AG203,BR203,BS203,BT203,AO203,AQ203)/12)</f>
        <v>#N/A</v>
      </c>
      <c r="BW203" t="str">
        <f>IFERROR(LEFT(Data!L203,FIND(" -",Data!L203)-1),"")</f>
        <v/>
      </c>
      <c r="BX203" t="str">
        <f>IFERROR(IF(SD!$C$40=SD!$U$2,W203,IF(SD!$C$40=SD!$U$3,RIGHT(Data!L203,LEN(Data!L203)-(FIND("-",Data!L203)+1)),SD!$C$40)),"")</f>
        <v>#8</v>
      </c>
      <c r="BY203" t="str" cm="1">
        <f t="array" ref="BY203">IFERROR(_xlfn.LET(_xlpm.GRR,IF(AND(SD!$C$19=SD!$H$2,Grade!$G$1="Per level"),VLOOKUP(B203,Grade!$E$1:$F$200,2,FALSE),IF(AND(SD!$C$19=SD!$H$2,Grade!$G$1="Per Bar Size"),VLOOKUP(BX203,Grade!$B$1:$C$12,2,0),SD!$C$19)),_xlpm.is_equal, A202=A203,_xlpm.grade_range, IF(_xlpm.GRR=SD!$H$3, A615GR60,IF(_xlpm.GRR=SD!$H$4, A615GR75,IF(_xlpm.GRR=SD!$H$5, A615GR80,IF(_xlpm.GRR=SD!H207, A615GR100,IF(_xlpm.GRR=SD!$H$7, A706GR60,IF(_xlpm.GRR=SD!$H$8, A706GR80)))))),_xlpm.match_result, MATCH(1, (BSize=BX203)*(BCName=SD!$C$8), 0),_xlpm.final_result, INDEX(_xlpm.grade_range, _xlpm.match_result),IF(_xlpm.is_equal, "", _xlpm.final_result)),"")</f>
        <v/>
      </c>
      <c r="BZ203" t="str">
        <f>IF(A202=A203,"",IF(SD!$C$41="Match Vertical Bars ",X203,IF(SD!$C$41=SD!$V$3,BW203,SD!$C$41)))</f>
        <v/>
      </c>
      <c r="CA203" t="str" cm="1">
        <f t="array" ref="CA203">IF(A202=A203,"",IF(SD!$C$44="No T-Head",IF(SD!$C$42=SD!$Q$3,VLOOKUP(BX203,S90Range,3,FALSE),LEFT(SD!$C$42,FIND("-",SD!$C$42)-1)+(RIGHT(SD!$C$42,LEN(SD!$C$42)-FIND("-",SD!$C$42))/12)),IF(SD!$C$44="T-Head",_xlfn._xlws.FILTER(THead,(TCName=SD!$C$8)*(TSize=BX203)),IF(SD!$C$44="Level Wise",_xlfn.LET(_xlpm.result,_xlfn.XLOOKUP(B203,VDLevel,VDLevelStatus,"No"),IF(_xlpm.result="Yes",_xlfn._xlws.FILTER(THead,(TCName=SD!$C$8)*(TSize=BX203)),IF(SD!$C$42=SD!$Q$3,VLOOKUP(BX203,S90Range,3,FALSE),LEFT(SD!$C$42,FIND("-",SD!$C$42)-1)+(RIGHT(SD!$C$42,LEN(SD!$C$42)-FIND("-", SD!$C$42))/12)))),IF(SD!$C$44="BarSize Wise",_xlfn.LET(_xlpm.result,_xlfn.XLOOKUP(BX203,VDBarSize,VDBarSizeStatus,"No"),IF(_xlpm.result="Yes",_xlfn._xlws.FILTER(THead,(TCName=SD!$C$8)*(TSize=BX203)),IF(SD!$C$42=SD!$Q$3,VLOOKUP(BX203,S90Range,3,FALSE),LEFT(SD!$C$42,FIND("-",SD!$C$42)-1)+(RIGHT(SD!$C$42,LEN(SD!$C$42)-FIND("-",SD!$C$42))/12)))), "")))))</f>
        <v/>
      </c>
      <c r="CB203" t="str" cm="1">
        <f t="array" ref="CB203">_xlfn.LET(_xlpm.GRR,IF(AND(SD!$C$19=SD!$H$2,Grade!$G$1="Per level"),VLOOKUP(B203,Grade!$E$1:$F$200,2,FALSE),IF(AND(SD!$C$19=SD!$H$2,Grade!$G$1="Per Bar Size"),VLOOKUP(BX203,Grade!$B$1:$C$12,2,0),SD!$C$19)),_xlpm.is_coupler, K203="Coupler",_xlpm.condition1, SD!$C$43=SD!$W$2,_xlpm.data_j2_empty, Data!$J203="",_xlpm.lookup_table, IF(SD!$C$11="Create", Lap!$A$3:$BF$14, IF(SD!$C$11="Per Uploaded File", Lap!$A$19:$BF$30, "")),_xlpm.row_match, MATCH(BX203, Lap!$A$3:$A$14, 0),_xlpm.grade_offset, IF(IFERROR(FIND("Grade 60",_xlpm.GRR), 0) &gt; 0, 0, IF(IFERROR(FIND("Grade 80",_xlpm.GRR), 0), 1, IF(IFERROR(FIND("Grade 75",_xlpm.GRR), 0), 2, ""))),_xlpm.col_match, MATCH(VALUE(D203), Lap!$A$3:$BF$3, 0) + _xlpm.grade_offset,_xlpm.index_result, IFERROR(INDEX(_xlpm.lookup_table, _xlpm.row_match, _xlpm.col_match), Data!$J203),_xlpm.result_if_condition1, IF(_xlpm.data_j2_empty, _xlpm.index_result, Data!$J203),IF(_xlpm.is_coupler, 0, IF(_xlpm.condition1, _xlpm.result_if_condition1, SD!$C$43)))</f>
        <v>4-0</v>
      </c>
      <c r="CC203" s="24">
        <f t="shared" si="92"/>
        <v>4</v>
      </c>
      <c r="CD203">
        <f t="shared" si="93"/>
        <v>4.666666666666667</v>
      </c>
      <c r="CE203" t="str" cm="1">
        <f t="array" ref="CE203">IF(BY203="","",_xlfn._xlws.FILTER(SAC,(CName=SD!$C$8)*(EName="Vert Dowels")))</f>
        <v/>
      </c>
      <c r="CF203" t="str" cm="1">
        <f t="array" ref="CF203">IFERROR(IF(BY203="","",IF(K203="Coupler",_xlfn._xlws.FILTER(CCoupler,(CCName=SD!$C$8)*(CBSize=IF(A202=A203,W202&amp;W203,BX203&amp;W203))*(CCMFM="Male")),"")),"N/A")</f>
        <v/>
      </c>
      <c r="CG203" t="str">
        <f t="shared" si="94"/>
        <v/>
      </c>
      <c r="CH203" t="str">
        <f t="shared" si="95"/>
        <v/>
      </c>
      <c r="CI203" t="str">
        <f>_xlfn.LET(_xlpm.u3_value, U204,_xlpm.hyphen_pos,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K204="Coupler",_xlpm.coupler_value, IF(_xlpm.is_coupler, 0, _xlpm.calculated_value),_xlpm.final_value, _xlpm.calculated_value + SD!$E$13 + _xlpm.coupler_value,IF(CG203="", "", _xlpm.final_value))</f>
        <v/>
      </c>
      <c r="CJ203" t="str" cm="1">
        <f t="array" ref="CJ203">IF(CG203="","",_xlfn._xlws.FILTER(SAC,(CName=SD!$C$8)*(EName="Loose Dowels")))</f>
        <v/>
      </c>
      <c r="CK203" t="str" cm="1">
        <f t="array" ref="CK203">IFERROR(IF(CG203="","",IF(K204="Coupler",_xlfn._xlws.FILTER(CCoupler,(CCName=SD!$C$8)*(CBSize=IF(A203=A204,W203&amp;W204,""))*(CCMFM="Male")),"")),"N/A")</f>
        <v/>
      </c>
      <c r="CL203" t="str">
        <f>IFERROR(IF(AM203="Spiral","",IF(A202=A203,"",IF(SD!$C$37=0,"",SD!$C$37))),"")</f>
        <v/>
      </c>
      <c r="CN203">
        <f>IF(AM203="Spiral","",IFERROR(IF(SD!$C$36=0,"",SD!$C$36),""))</f>
        <v>5</v>
      </c>
      <c r="CP203" t="str">
        <f>IFERROR(IF(SD!$C$42=SD!$Q$3,'Take-off'!CA203,""),"")</f>
        <v/>
      </c>
      <c r="CR203">
        <f>IFERROR(IF(SD!$C$22=SD!$U$2,W203,SD!$C$22),"")</f>
        <v>0</v>
      </c>
      <c r="CS203" t="str" cm="1">
        <f t="array" ref="CS203">_xlfn.LET(_xlpm.GR,IF(AND(SD!$C$19=SD!$H$2,Grade!$G$1="Per level"),VLOOKUP(B203,Grade!$E$1:$F$200,2,FALSE),IF(AND(SD!$C$19=SD!$H$2,Grade!$G$1="Per Bar Size"),VLOOKUP(CR203,Grade!$B$1:$C$12,2,0),SD!$C$19)),IF(SD!$C$20=SD!$R$4,IF(A204=A203,"",INDEX(IF(_xlpm.GR=SD!$H$3,A615GR60,IF(_xlpm.GR=SD!$H$4,A615GR75,IF(_xlpm.GR=SD!$H$5,A615GR80,IF(_xlpm.GR=SD!H207,A615GR100,IF(_xlpm.GR=SD!$H$7,A706GR60,IF(_xlpm.GR=SD!$H$8,A706GR80)))))), MATCH(1, (BSize=CR203)*(BCName=SD!$C$8), 0))),""))</f>
        <v/>
      </c>
      <c r="CT203">
        <f>IF(A204=A203,"",IF(SD!$C$23="Match Vertical Bars ",X203,SD!$C$23))</f>
        <v>0</v>
      </c>
      <c r="CU203" t="str" cm="1">
        <f t="array" ref="CU203">IF(A204=A203,"",IF(SD!$C$20="Top dowels",IF(SD!$E$25="No T-Head",IF(SD!$C$24=SD!$Q$3,VLOOKUP(CR203,S90Range,3,FALSE),LEFT(SD!$C$24,FIND("-",SD!$C$24)-1)+(RIGHT(SD!$C$24,LEN(SD!$C$24)-FIND("-",SD!$C$24))/12)),IF(SD!$E$25="T-Head",_xlfn._xlws.FILTER(THead,(TCName=SD!$C$8)*(TSize=CR203)),IF(SD!$E$25="Level Wise",_xlfn.LET(_xlpm.result,_xlfn.XLOOKUP(B203,TDLevel,TDLevelStatus,"No"),IF(_xlpm.result="Yes",_xlfn._xlws.FILTER(THead,(TCName=SD!$C$8)*(TSize=CR203)),IF(SD!$C$24=SD!$Q$3,VLOOKUP(CR203,S90Range,3,FALSE),LEFT(SD!$C$24,FIND("-",SD!$C$24)-1)+(RIGHT(SD!$C$24,LEN(SD!$C$24)-FIND("-", SD!$C$24))/12)))),IF(SD!$E$25="BarSize Wise",_xlfn.LET(_xlpm.result,_xlfn.XLOOKUP(CR203,TDBarSize,TDBarSizeStatus,"No"),IF(_xlpm.result="Yes",_xlfn._xlws.FILTER(THead,(TCName=SD!$C$8)*(TSize=CR203)),IF(SD!$C$24=SD!$Q$3,VLOOKUP(CR203,S90Range,3,FALSE),LEFT(SD!$C$24,FIND("-",SD!$C$24)-1)+(RIGHT(SD!$C$24,LEN(SD!$C$24)-FIND("-",SD!$C$24))/12)))), "")))),""))</f>
        <v/>
      </c>
      <c r="CV203" t="str">
        <f>_xlfn.LET(_xlpm.GRR,IF(AND(SD!$C$19=SD!$H$2,Grade!$G$1="Per level"),VLOOKUP(B203,Grade!$E$1:$F$200,2,FALSE),IF(AND(SD!$C$19=SD!$H$2,Grade!$G$1="Per Bar Size"),VLOOKUP(CR203,Grade!$B$1:$C$12,2,0),SD!$C$19)),IF(SD!$C$25=SD!$W$2,IF(Data!$J203="",IFERROR(INDEX(IF(SD!$C$11="Create",Lap!$A$3:$BF$14,IF(SD!$C$11="Per Uploaded File",Lap!$A$19:$BF$30,"")),MATCH(CR203,Lap!$A$3:$A$14,0),MATCH(VALUE(D203),Lap!$A$3:$BF$3,0)+IF(IFERROR(FIND("Grade 60",_xlpm.GRR),0)&gt;0,0,IF(IFERROR(FIND("Grade 80",_xlpm.GRR),0),1,IF(IFERROR(FIND("Grade 75",_xlpm.GRR),0),2,"")))),""),Data!J203),SD!$C$43))</f>
        <v>Match Lap</v>
      </c>
      <c r="CW203">
        <f t="shared" si="96"/>
        <v>0</v>
      </c>
      <c r="CX203">
        <f t="shared" si="97"/>
        <v>0</v>
      </c>
      <c r="CY203" t="str">
        <f t="shared" si="98"/>
        <v/>
      </c>
      <c r="DA203" t="str">
        <f t="shared" si="99"/>
        <v/>
      </c>
      <c r="DB203" t="str">
        <f t="shared" si="100"/>
        <v/>
      </c>
      <c r="DC203" s="24" t="str">
        <f t="shared" si="101"/>
        <v/>
      </c>
      <c r="DD203">
        <f t="shared" si="102"/>
        <v>10.583333333333334</v>
      </c>
      <c r="DE203" t="s">
        <v>785</v>
      </c>
      <c r="DF203" t="s">
        <v>67</v>
      </c>
      <c r="DG203" t="str">
        <f>VLOOKUP(W203,'Level Wise PSI'!$F$2:$G$12,2,FALSE)</f>
        <v>Double Lift</v>
      </c>
      <c r="DI203" t="str" cm="1">
        <f t="array" ref="DI203">_xlfn.LET(_xlpm.Coup,IFERROR(IF(BY203="","",IF(K203="Coupler",_xlfn._xlws.FILTER(CCFCoupler,(CCName=SD!$C$8)*(CBSize=IF(A202=A203,W202&amp;W203,BX203&amp;W203))),"")),"N/A"),IF(_xlpm.Coup=0,"",_xlpm.Coup))</f>
        <v/>
      </c>
      <c r="DJ203" t="str" cm="1">
        <f t="array" ref="DJ203">_xlfn.LET(_xlpm.Coup3,IFERROR(IF(CG203="","",IF(K204="Coupler",_xlfn._xlws.FILTER(CCFCoupler,(CCName=SD!$C$8)*(CBSize=IF(A203=A204,W203&amp;W204,""))),"")),"N/A"),IF(_xlpm.Coup3=0,"",_xlpm.Coup3))</f>
        <v/>
      </c>
      <c r="DK203" t="str" cm="1">
        <f t="array" ref="DK203">_xlfn.LET(_xlpm.Coup2,IFERROR(IF(A203&lt;&gt;A204,"",IF(DF203="No Lap","",IF(K204="Coupler",_xlfn._xlws.FILTER(CCFCoupler,(CCName=SD!$C$8)*(CBSize=IF(A202=A203,W203&amp;W204,W203&amp;W203))),""))),"N/A"),IF(_xlpm.Coup2=0,"",_xlpm.Coup2))</f>
        <v/>
      </c>
      <c r="DM203" t="str">
        <f>IF(AM203="Spiral","",IF(SD!$C$31=SD!$Y$3,SD!$E$32*2,""))</f>
        <v/>
      </c>
      <c r="DO203" s="24">
        <f t="shared" si="103"/>
        <v>2.5</v>
      </c>
      <c r="DQ203" t="str">
        <f t="shared" si="104"/>
        <v>Lig</v>
      </c>
      <c r="DR203" t="str">
        <f>IF(AM203="Spiral",((Y203-(SD!$E$12*2))/12),"")</f>
        <v/>
      </c>
      <c r="DS203" t="str">
        <f t="shared" si="105"/>
        <v/>
      </c>
      <c r="DT203" t="str">
        <f t="shared" si="106"/>
        <v/>
      </c>
      <c r="DU203" t="str">
        <f t="shared" si="107"/>
        <v/>
      </c>
    </row>
    <row r="204" spans="1:125" x14ac:dyDescent="0.25">
      <c r="A204">
        <v>66</v>
      </c>
      <c r="B204" t="s">
        <v>667</v>
      </c>
      <c r="C204" s="15">
        <v>2429</v>
      </c>
      <c r="D204" s="15">
        <v>10000</v>
      </c>
      <c r="E204" s="15" t="s">
        <v>708</v>
      </c>
      <c r="F204" s="15" t="s">
        <v>787</v>
      </c>
      <c r="G204" t="s">
        <v>740</v>
      </c>
      <c r="H204" t="str">
        <f>RIGHT(VLOOKUP(B204,Level!A:C,3,FALSE),LEN(VLOOKUP(B204,Level!A:C,3,FALSE))-1)</f>
        <v>10-7</v>
      </c>
      <c r="I204" t="s">
        <v>741</v>
      </c>
      <c r="J204" t="str">
        <f>IF(AND(SD!$C$19=SD!$H$2,Grade!$G$1="Per level"),VLOOKUP(B204,Grade!$E$1:$F$200,2,FALSE),IF(AND(SD!$C$19=SD!$H$2,Grade!$G$1="Per Bar Size"),VLOOKUP(W204,Grade!$B$1:$C$12,2,0),SD!$C$19))</f>
        <v>A615 Grade 60</v>
      </c>
      <c r="K204" t="s">
        <v>67</v>
      </c>
      <c r="L204" t="str">
        <f>IFERROR(IF(A204&lt;&gt;A205,"",IF(DF204="No Lap","",IF(K205="Lap",U204,IF(K205="Coupler",_xlfn._xlws.FILTER(CCoupler,(CCName=SD!$C$8)*(CBSize=IF(A203=A204,W204&amp;W205,W204&amp;W204))*(CCMFM="Male")),"")))),"N/A")</f>
        <v>5-1</v>
      </c>
      <c r="M204" t="str">
        <f t="shared" si="81"/>
        <v/>
      </c>
      <c r="N204" t="s">
        <v>719</v>
      </c>
      <c r="O204" t="s">
        <v>720</v>
      </c>
      <c r="P204" t="s">
        <v>719</v>
      </c>
      <c r="Q204" t="str">
        <f>IF(AND(SD!$C$29=SD!$P$2,Grade!$O$1="Per level"),VLOOKUP(B204,Grade!$M$1:$N$200,2,FALSE),IF(AND(SD!$C$29=SD!$P$2,Grade!$O$1="Per Bar Size"),VLOOKUP(LEFT(N204,FIND("@",N204)-2),Grade!$J$1:$K$12,2,0),SD!$C$29))</f>
        <v>A615 Grade 60</v>
      </c>
      <c r="R204" t="s">
        <v>740</v>
      </c>
      <c r="S204" s="57">
        <v>204</v>
      </c>
      <c r="U204" t="str">
        <f>IF(Data!$J204="",IFERROR(INDEX(IF(SD!$C$11="Create",Lap!$A$3:$BF$14,IF(SD!$C$11="Per Uploaded File",Lap!$A$19:$BF$30,"")),MATCH(W204,Lap!$A$3:$A$14,0),MATCH(VALUE(D204),Lap!$A$3:$BF$3,0)+IF(IFERROR(FIND("Grade 60",J204),0)&gt;0,0,IF(IFERROR(FIND("Grade 80",J204),0),1,IF(IFERROR(FIND("Grade 75",J204),0),2,"")))),""),Data!J204)</f>
        <v>5-1</v>
      </c>
      <c r="W204" t="s">
        <v>176</v>
      </c>
      <c r="X204">
        <v>10</v>
      </c>
      <c r="Y204" t="str">
        <f t="shared" si="82"/>
        <v>36</v>
      </c>
      <c r="Z204">
        <f t="shared" si="83"/>
        <v>0</v>
      </c>
      <c r="AA204" s="24">
        <f t="shared" si="84"/>
        <v>15.666666666666666</v>
      </c>
      <c r="BB204" t="e" cm="1">
        <f t="array" ref="BB204">_xlfn.LET(_xlpm.PartF,(_xlfn.LET(_xlpm.grade, Q204,_xlpm.gradeRange, IF(_xlpm.grade=SD!$H$3, A615GR60, IF(_xlpm.grade=SD!$H$4, A615GR75, IF(_xlpm.grade=SD!$H$5, A615GR80, IF(_xlpm.grade=SD!$H$6, A615GR100, IF(_xlpm.grade=SD!$H$7, A706GR60, IF(_xlpm.grade=SD!$H$8, A706GR80)))))),_xlpm.matchValue, MATCH(1, (SD!$AW:$AW=AS204)*(SD!$AX:$AX=SD!$C$8), 0),INDEX(_xlpm.gradeRange, _xlpm.matchValue))),IF(AM204="Spiral",CONCATENATE("SP",_xlpm.PartF),_xlpm.PartF))</f>
        <v>#N/A</v>
      </c>
      <c r="BC204" cm="1">
        <f t="array" ref="BC204">_xlfn.LET(_xlpm.leftPart, LEFT(O204, FIND("@", O204) - 2),_xlpm.grade,Q204,_xlpm.gradeRange,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4" cm="1">
        <f t="array" ref="BD204">_xlfn.LET(_xlpm.leftPart, LEFT(P204, FIND("@", P204) - 2),_xlpm.grade, Q204,_xlpm.gradeRange,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4">
        <f t="shared" si="85"/>
        <v>3</v>
      </c>
      <c r="BF204">
        <f>IF(SD!$C$32=SD!$I$2,BE204,IF(SD!$C$32=SD!$I$3,DO204,IF(SD!$C$32=SD!$I$5,BA204,IF(SD!$C$32=SD!$I$6,(LEFT(SD!$C$35,FIND("-",SD!$C$35)-1)+RIGHT(SD!$C$35,LEN(SD!$C$35)-FIND("-",SD!$C$35))/12),IF(SD!$C$32=SD!$I$4,(AU204-(BG204+BH204)))))))</f>
        <v>0</v>
      </c>
      <c r="BG204">
        <f>IF(SD!$C$33=SD!$I$2,BE204,IF(SD!$C$33=SD!$I$3,DO204,IF(SD!$C$33=SD!$I$5,BA204,IF(SD!$C$33=SD!$I$6,(LEFT(SD!$C$35,FIND("-",SD!$C$35)-1)+RIGHT(SD!$C$35,LEN(SD!$C$35)-FIND("-",SD!$C$35))/12),IF(SD!$C$33=SD!$I$4,(AU204-(BF204+BH204)))))))</f>
        <v>-1</v>
      </c>
      <c r="BH204">
        <f>IF(SD!$C$34=SD!$I$2,BE204,IF(SD!$C$34=SD!$I$3,DO204,IF(SD!$C$34=SD!$I$5,BA204,IF(SD!$C$34=SD!$I$6,(LEFT(SD!$C$35,FIND("-",SD!$C$35)-1)+RIGHT(SD!$C$35,LEN(SD!$C$35)-FIND("-",SD!$C$35))/12),IF(SD!$C$34=SD!$I$4,(AU204-(BF204+BG204)))))))</f>
        <v>1</v>
      </c>
      <c r="BJ204">
        <f>IF(AM204="Spiral","1",MAX(ROUNDUP(IF(SD!$C$32="",AT204,BF204/(LEFT(RIGHT(N204,LEN(N204)-FIND("@",N204)),LEN(RIGHT(N204,LEN(N204)-FIND("@",N204)))-1)/12)+1),0),0))</f>
        <v>1</v>
      </c>
      <c r="BK204">
        <f>MAX(ROUNDUP(IF(SD!$C$33="","",BG204/(LEFT(RIGHT(O204,LEN(O204)-FIND("@",O204)),LEN(RIGHT(O204,LEN(O204)-FIND("@",O204)))-1)/12)+1),0),0)</f>
        <v>0</v>
      </c>
      <c r="BL204">
        <f>MAX(ROUNDUP(IF(SD!$C$34="","",BH204/(LEFT(RIGHT(P204,LEN(P204)-FIND("@",P204)),LEN(RIGHT(P204,LEN(P204)-FIND("@",P204)))-1)/12)+1),0),0)</f>
        <v>3</v>
      </c>
      <c r="BN204" t="e">
        <f t="shared" si="86"/>
        <v>#N/A</v>
      </c>
      <c r="BO204" t="e">
        <f t="shared" si="87"/>
        <v>#N/A</v>
      </c>
      <c r="BP204" t="e">
        <f t="shared" si="88"/>
        <v>#N/A</v>
      </c>
      <c r="BQ204" s="24" t="e">
        <f>IF(AM204=TRUE,(((Y204-(SD!$E$12*2))*3.14159265359)+BN204+BO204+BP204)/12+AL204,SUM(AF204:AG204,BN204,BO204,BP204,AO204,AQ204)/12)</f>
        <v>#N/A</v>
      </c>
      <c r="BR204" t="e">
        <f t="shared" si="89"/>
        <v>#N/A</v>
      </c>
      <c r="BS204" t="e">
        <f t="shared" si="90"/>
        <v>#N/A</v>
      </c>
      <c r="BT204" t="e">
        <f t="shared" si="91"/>
        <v>#N/A</v>
      </c>
      <c r="BU204" s="24" t="e">
        <f>IF(AM204=TRUE,(((Y204-(SD!$E$12*2))*3.14159265359)+BR204+BS204+BT204)/12+AL204,SUM(AF204:AG204,BR204,BS204,BT204,AO204,AQ204)/12)</f>
        <v>#N/A</v>
      </c>
      <c r="BW204" t="str">
        <f>IFERROR(LEFT(Data!L204,FIND(" -",Data!L204)-1),"")</f>
        <v/>
      </c>
      <c r="BX204" t="str">
        <f>IFERROR(IF(SD!$C$40=SD!$U$2,W204,IF(SD!$C$40=SD!$U$3,RIGHT(Data!L204,LEN(Data!L204)-(FIND("-",Data!L204)+1)),SD!$C$40)),"")</f>
        <v>#10</v>
      </c>
      <c r="BY204" cm="1">
        <f t="array" ref="BY204">IFERROR(_xlfn.LET(_xlpm.GRR,IF(AND(SD!$C$19=SD!$H$2,Grade!$G$1="Per level"),VLOOKUP(B204,Grade!$E$1:$F$200,2,FALSE),IF(AND(SD!$C$19=SD!$H$2,Grade!$G$1="Per Bar Size"),VLOOKUP(BX204,Grade!$B$1:$C$12,2,0),SD!$C$19)),_xlpm.is_equal, A203=A204,_xlpm.grade_range, IF(_xlpm.GRR=SD!$H$3, A615GR60,IF(_xlpm.GRR=SD!$H$4, A615GR75,IF(_xlpm.GRR=SD!$H$5, A615GR80,IF(_xlpm.GRR=SD!H208, A615GR100,IF(_xlpm.GRR=SD!$H$7, A706GR60,IF(_xlpm.GRR=SD!$H$8, A706GR80)))))),_xlpm.match_result, MATCH(1, (BSize=BX204)*(BCName=SD!$C$8), 0),_xlpm.final_result, INDEX(_xlpm.grade_range, _xlpm.match_result),IF(_xlpm.is_equal, "", _xlpm.final_result)),"")</f>
        <v>10</v>
      </c>
      <c r="BZ204">
        <f>IF(A203=A204,"",IF(SD!$C$41="Match Vertical Bars ",X204,IF(SD!$C$41=SD!$V$3,BW204,SD!$C$41)))</f>
        <v>10</v>
      </c>
      <c r="CA204" cm="1">
        <f t="array" ref="CA204">IF(A203=A204,"",IF(SD!$C$44="No T-Head",IF(SD!$C$42=SD!$Q$3,VLOOKUP(BX204,S90Range,3,FALSE),LEFT(SD!$C$42,FIND("-",SD!$C$42)-1)+(RIGHT(SD!$C$42,LEN(SD!$C$42)-FIND("-",SD!$C$42))/12)),IF(SD!$C$44="T-Head",_xlfn._xlws.FILTER(THead,(TCName=SD!$C$8)*(TSize=BX204)),IF(SD!$C$44="Level Wise",_xlfn.LET(_xlpm.result,_xlfn.XLOOKUP(B204,VDLevel,VDLevelStatus,"No"),IF(_xlpm.result="Yes",_xlfn._xlws.FILTER(THead,(TCName=SD!$C$8)*(TSize=BX204)),IF(SD!$C$42=SD!$Q$3,VLOOKUP(BX204,S90Range,3,FALSE),LEFT(SD!$C$42,FIND("-",SD!$C$42)-1)+(RIGHT(SD!$C$42,LEN(SD!$C$42)-FIND("-", SD!$C$42))/12)))),IF(SD!$C$44="BarSize Wise",_xlfn.LET(_xlpm.result,_xlfn.XLOOKUP(BX204,VDBarSize,VDBarSizeStatus,"No"),IF(_xlpm.result="Yes",_xlfn._xlws.FILTER(THead,(TCName=SD!$C$8)*(TSize=BX204)),IF(SD!$C$42=SD!$Q$3,VLOOKUP(BX204,S90Range,3,FALSE),LEFT(SD!$C$42,FIND("-",SD!$C$42)-1)+(RIGHT(SD!$C$42,LEN(SD!$C$42)-FIND("-",SD!$C$42))/12)))), "")))))</f>
        <v>1.8333333333333335</v>
      </c>
      <c r="CB204" t="str" cm="1">
        <f t="array" ref="CB204">_xlfn.LET(_xlpm.GRR,IF(AND(SD!$C$19=SD!$H$2,Grade!$G$1="Per level"),VLOOKUP(B204,Grade!$E$1:$F$200,2,FALSE),IF(AND(SD!$C$19=SD!$H$2,Grade!$G$1="Per Bar Size"),VLOOKUP(BX204,Grade!$B$1:$C$12,2,0),SD!$C$19)),_xlpm.is_coupler, K204="Coupler",_xlpm.condition1, SD!$C$43=SD!$W$2,_xlpm.data_j2_empty, Data!$J204="",_xlpm.lookup_table, IF(SD!$C$11="Create", Lap!$A$3:$BF$14, IF(SD!$C$11="Per Uploaded File", Lap!$A$19:$BF$30, "")),_xlpm.row_match, MATCH(BX204, Lap!$A$3:$A$14, 0),_xlpm.grade_offset, IF(IFERROR(FIND("Grade 60",_xlpm.GRR), 0) &gt; 0, 0, IF(IFERROR(FIND("Grade 80",_xlpm.GRR), 0), 1, IF(IFERROR(FIND("Grade 75",_xlpm.GRR), 0), 2, ""))),_xlpm.col_match, MATCH(VALUE(D204), Lap!$A$3:$BF$3, 0) + _xlpm.grade_offset,_xlpm.index_result, IFERROR(INDEX(_xlpm.lookup_table, _xlpm.row_match, _xlpm.col_match), Data!$J204),_xlpm.result_if_condition1, IF(_xlpm.data_j2_empty, _xlpm.index_result, Data!$J204),IF(_xlpm.is_coupler, 0, IF(_xlpm.condition1, _xlpm.result_if_condition1, SD!$C$43)))</f>
        <v>5-1</v>
      </c>
      <c r="CC204" s="24">
        <f t="shared" si="92"/>
        <v>5.083333333333333</v>
      </c>
      <c r="CD204">
        <f t="shared" si="93"/>
        <v>11.916666666666666</v>
      </c>
      <c r="CE204" t="str" cm="1">
        <f t="array" ref="CE204">IF(BY204="","",_xlfn._xlws.FILTER(SAC,(CName=SD!$C$8)*(EName="Vert Dowels")))</f>
        <v>2200 CD</v>
      </c>
      <c r="CF204" t="str" cm="1">
        <f t="array" ref="CF204">IFERROR(IF(BY204="","",IF(K204="Coupler",_xlfn._xlws.FILTER(CCoupler,(CCName=SD!$C$8)*(CBSize=IF(A203=A204,W203&amp;W204,BX204&amp;W204))*(CCMFM="Male")),"")),"N/A")</f>
        <v/>
      </c>
      <c r="CG204" t="str">
        <f t="shared" si="94"/>
        <v/>
      </c>
      <c r="CH204" t="str">
        <f t="shared" si="95"/>
        <v/>
      </c>
      <c r="CI204" t="str">
        <f>_xlfn.LET(_xlpm.u3_value, U205,_xlpm.hyphen_pos,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K205="Coupler",_xlpm.coupler_value, IF(_xlpm.is_coupler, 0, _xlpm.calculated_value),_xlpm.final_value, _xlpm.calculated_value + SD!$E$13 + _xlpm.coupler_value,IF(CG204="", "", _xlpm.final_value))</f>
        <v/>
      </c>
      <c r="CJ204" t="str" cm="1">
        <f t="array" ref="CJ204">IF(CG204="","",_xlfn._xlws.FILTER(SAC,(CName=SD!$C$8)*(EName="Loose Dowels")))</f>
        <v/>
      </c>
      <c r="CK204" t="str" cm="1">
        <f t="array" ref="CK204">IFERROR(IF(CG204="","",IF(K205="Coupler",_xlfn._xlws.FILTER(CCoupler,(CCName=SD!$C$8)*(CBSize=IF(A204=A205,W204&amp;W205,""))*(CCMFM="Male")),"")),"N/A")</f>
        <v/>
      </c>
      <c r="CL204">
        <f>IFERROR(IF(AM204="Spiral","",IF(A203=A204,"",IF(SD!$C$37=0,"",SD!$C$37))),"")</f>
        <v>3</v>
      </c>
      <c r="CN204">
        <f>IF(AM204="Spiral","",IFERROR(IF(SD!$C$36=0,"",SD!$C$36),""))</f>
        <v>5</v>
      </c>
      <c r="CP204">
        <f>IFERROR(IF(SD!$C$42=SD!$Q$3,'Take-off'!CA204,""),"")</f>
        <v>1.8333333333333335</v>
      </c>
      <c r="CR204">
        <f>IFERROR(IF(SD!$C$22=SD!$U$2,W204,SD!$C$22),"")</f>
        <v>0</v>
      </c>
      <c r="CS204" t="str" cm="1">
        <f t="array" ref="CS204">_xlfn.LET(_xlpm.GR,IF(AND(SD!$C$19=SD!$H$2,Grade!$G$1="Per level"),VLOOKUP(B204,Grade!$E$1:$F$200,2,FALSE),IF(AND(SD!$C$19=SD!$H$2,Grade!$G$1="Per Bar Size"),VLOOKUP(CR204,Grade!$B$1:$C$12,2,0),SD!$C$19)),IF(SD!$C$20=SD!$R$4,IF(A205=A204,"",INDEX(IF(_xlpm.GR=SD!$H$3,A615GR60,IF(_xlpm.GR=SD!$H$4,A615GR75,IF(_xlpm.GR=SD!$H$5,A615GR80,IF(_xlpm.GR=SD!H208,A615GR100,IF(_xlpm.GR=SD!$H$7,A706GR60,IF(_xlpm.GR=SD!$H$8,A706GR80)))))), MATCH(1, (BSize=CR204)*(BCName=SD!$C$8), 0))),""))</f>
        <v/>
      </c>
      <c r="CT204" t="str">
        <f>IF(A205=A204,"",IF(SD!$C$23="Match Vertical Bars ",X204,SD!$C$23))</f>
        <v/>
      </c>
      <c r="CU204" t="str" cm="1">
        <f t="array" ref="CU204">IF(A205=A204,"",IF(SD!$C$20="Top dowels",IF(SD!$E$25="No T-Head",IF(SD!$C$24=SD!$Q$3,VLOOKUP(CR204,S90Range,3,FALSE),LEFT(SD!$C$24,FIND("-",SD!$C$24)-1)+(RIGHT(SD!$C$24,LEN(SD!$C$24)-FIND("-",SD!$C$24))/12)),IF(SD!$E$25="T-Head",_xlfn._xlws.FILTER(THead,(TCName=SD!$C$8)*(TSize=CR204)),IF(SD!$E$25="Level Wise",_xlfn.LET(_xlpm.result,_xlfn.XLOOKUP(B204,TDLevel,TDLevelStatus,"No"),IF(_xlpm.result="Yes",_xlfn._xlws.FILTER(THead,(TCName=SD!$C$8)*(TSize=CR204)),IF(SD!$C$24=SD!$Q$3,VLOOKUP(CR204,S90Range,3,FALSE),LEFT(SD!$C$24,FIND("-",SD!$C$24)-1)+(RIGHT(SD!$C$24,LEN(SD!$C$24)-FIND("-", SD!$C$24))/12)))),IF(SD!$E$25="BarSize Wise",_xlfn.LET(_xlpm.result,_xlfn.XLOOKUP(CR204,TDBarSize,TDBarSizeStatus,"No"),IF(_xlpm.result="Yes",_xlfn._xlws.FILTER(THead,(TCName=SD!$C$8)*(TSize=CR204)),IF(SD!$C$24=SD!$Q$3,VLOOKUP(CR204,S90Range,3,FALSE),LEFT(SD!$C$24,FIND("-",SD!$C$24)-1)+(RIGHT(SD!$C$24,LEN(SD!$C$24)-FIND("-",SD!$C$24))/12)))), "")))),""))</f>
        <v/>
      </c>
      <c r="CV204" t="str">
        <f>_xlfn.LET(_xlpm.GRR,IF(AND(SD!$C$19=SD!$H$2,Grade!$G$1="Per level"),VLOOKUP(B204,Grade!$E$1:$F$200,2,FALSE),IF(AND(SD!$C$19=SD!$H$2,Grade!$G$1="Per Bar Size"),VLOOKUP(CR204,Grade!$B$1:$C$12,2,0),SD!$C$19)),IF(SD!$C$25=SD!$W$2,IF(Data!$J204="",IFERROR(INDEX(IF(SD!$C$11="Create",Lap!$A$3:$BF$14,IF(SD!$C$11="Per Uploaded File",Lap!$A$19:$BF$30,"")),MATCH(CR204,Lap!$A$3:$A$14,0),MATCH(VALUE(D204),Lap!$A$3:$BF$3,0)+IF(IFERROR(FIND("Grade 60",_xlpm.GRR),0)&gt;0,0,IF(IFERROR(FIND("Grade 80",_xlpm.GRR),0),1,IF(IFERROR(FIND("Grade 75",_xlpm.GRR),0),2,"")))),""),Data!J204),SD!$C$43))</f>
        <v>Match Lap</v>
      </c>
      <c r="CW204">
        <f t="shared" si="96"/>
        <v>0</v>
      </c>
      <c r="CX204">
        <f t="shared" si="97"/>
        <v>0</v>
      </c>
      <c r="CY204" t="str">
        <f t="shared" si="98"/>
        <v/>
      </c>
      <c r="DA204">
        <f t="shared" si="99"/>
        <v>66</v>
      </c>
      <c r="DB204" t="str">
        <f t="shared" si="100"/>
        <v>116-5</v>
      </c>
      <c r="DC204" s="24">
        <f t="shared" si="101"/>
        <v>116.41666666666666</v>
      </c>
      <c r="DD204">
        <f t="shared" si="102"/>
        <v>10.583333333333334</v>
      </c>
      <c r="DE204" t="s">
        <v>785</v>
      </c>
      <c r="DF204" t="s">
        <v>67</v>
      </c>
      <c r="DG204" t="str">
        <f>VLOOKUP(W204,'Level Wise PSI'!$F$2:$G$12,2,FALSE)</f>
        <v>Double Lift</v>
      </c>
      <c r="DI204" t="str" cm="1">
        <f t="array" ref="DI204">_xlfn.LET(_xlpm.Coup,IFERROR(IF(BY204="","",IF(K204="Coupler",_xlfn._xlws.FILTER(CCFCoupler,(CCName=SD!$C$8)*(CBSize=IF(A203=A204,W203&amp;W204,BX204&amp;W204))),"")),"N/A"),IF(_xlpm.Coup=0,"",_xlpm.Coup))</f>
        <v/>
      </c>
      <c r="DJ204" t="str" cm="1">
        <f t="array" ref="DJ204">_xlfn.LET(_xlpm.Coup3,IFERROR(IF(CG204="","",IF(K205="Coupler",_xlfn._xlws.FILTER(CCFCoupler,(CCName=SD!$C$8)*(CBSize=IF(A204=A205,W204&amp;W205,""))),"")),"N/A"),IF(_xlpm.Coup3=0,"",_xlpm.Coup3))</f>
        <v/>
      </c>
      <c r="DK204" t="str" cm="1">
        <f t="array" ref="DK204">_xlfn.LET(_xlpm.Coup2,IFERROR(IF(A204&lt;&gt;A205,"",IF(DF204="No Lap","",IF(K205="Coupler",_xlfn._xlws.FILTER(CCFCoupler,(CCName=SD!$C$8)*(CBSize=IF(A203=A204,W204&amp;W205,W204&amp;W204))),""))),"N/A"),IF(_xlpm.Coup2=0,"",_xlpm.Coup2))</f>
        <v/>
      </c>
      <c r="DM204" t="str">
        <f>IF(AM204="Spiral","",IF(SD!$C$31=SD!$Y$3,SD!$E$32*2,""))</f>
        <v/>
      </c>
      <c r="DO204" s="24">
        <f t="shared" si="103"/>
        <v>3</v>
      </c>
      <c r="DQ204" t="str">
        <f t="shared" si="104"/>
        <v>Lig</v>
      </c>
      <c r="DR204" t="str">
        <f>IF(AM204="Spiral",((Y204-(SD!$E$12*2))/12),"")</f>
        <v/>
      </c>
      <c r="DS204" t="str">
        <f t="shared" si="105"/>
        <v/>
      </c>
      <c r="DT204" t="str">
        <f t="shared" si="106"/>
        <v/>
      </c>
      <c r="DU204" t="str">
        <f t="shared" si="107"/>
        <v/>
      </c>
    </row>
    <row r="205" spans="1:125" x14ac:dyDescent="0.25">
      <c r="A205">
        <v>66</v>
      </c>
      <c r="B205" t="s">
        <v>670</v>
      </c>
      <c r="C205" s="15">
        <v>2429</v>
      </c>
      <c r="D205" s="15">
        <v>10000</v>
      </c>
      <c r="E205" t="str">
        <f>IF(B205=Level!$A$2,SD!$C$14,SD!$C$13)</f>
        <v>0-8</v>
      </c>
      <c r="F205" s="15" t="s">
        <v>787</v>
      </c>
      <c r="G205" t="s">
        <v>742</v>
      </c>
      <c r="H205" t="str">
        <f>RIGHT(VLOOKUP(B205,Level!A:C,3,FALSE),LEN(VLOOKUP(B205,Level!A:C,3,FALSE))-1)</f>
        <v>10-7</v>
      </c>
      <c r="I205" t="s">
        <v>743</v>
      </c>
      <c r="J205" t="str">
        <f>IF(AND(SD!$C$19=SD!$H$2,Grade!$G$1="Per level"),VLOOKUP(B205,Grade!$E$1:$F$200,2,FALSE),IF(AND(SD!$C$19=SD!$H$2,Grade!$G$1="Per Bar Size"),VLOOKUP(W205,Grade!$B$1:$C$12,2,0),SD!$C$19))</f>
        <v>A615 Grade 60</v>
      </c>
      <c r="K205" t="s">
        <v>67</v>
      </c>
      <c r="L205" t="str">
        <f>IFERROR(IF(A205&lt;&gt;A206,"",IF(DF205="No Lap","",IF(K206="Lap",U205,IF(K206="Coupler",_xlfn._xlws.FILTER(CCoupler,(CCName=SD!$C$8)*(CBSize=IF(A204=A205,W205&amp;W206,W205&amp;W205))*(CCMFM="Male")),"")))),"N/A")</f>
        <v>5-1</v>
      </c>
      <c r="M205" t="str">
        <f t="shared" si="81"/>
        <v/>
      </c>
      <c r="N205" t="s">
        <v>719</v>
      </c>
      <c r="O205" t="s">
        <v>720</v>
      </c>
      <c r="P205" t="s">
        <v>719</v>
      </c>
      <c r="Q205" t="str">
        <f>IF(AND(SD!$C$29=SD!$P$2,Grade!$O$1="Per level"),VLOOKUP(B205,Grade!$M$1:$N$200,2,FALSE),IF(AND(SD!$C$29=SD!$P$2,Grade!$O$1="Per Bar Size"),VLOOKUP(LEFT(N205,FIND("@",N205)-2),Grade!$J$1:$K$12,2,0),SD!$C$29))</f>
        <v>A615 Grade 60</v>
      </c>
      <c r="R205" t="s">
        <v>742</v>
      </c>
      <c r="S205" s="57">
        <v>205</v>
      </c>
      <c r="U205" t="str">
        <f>IF(Data!$J205="",IFERROR(INDEX(IF(SD!$C$11="Create",Lap!$A$3:$BF$14,IF(SD!$C$11="Per Uploaded File",Lap!$A$19:$BF$30,"")),MATCH(W205,Lap!$A$3:$A$14,0),MATCH(VALUE(D205),Lap!$A$3:$BF$3,0)+IF(IFERROR(FIND("Grade 60",J205),0)&gt;0,0,IF(IFERROR(FIND("Grade 80",J205),0),1,IF(IFERROR(FIND("Grade 75",J205),0),2,"")))),""),Data!J205)</f>
        <v>5-1</v>
      </c>
      <c r="W205" t="s">
        <v>176</v>
      </c>
      <c r="X205">
        <v>6</v>
      </c>
      <c r="Y205" t="str">
        <f t="shared" si="82"/>
        <v>30</v>
      </c>
      <c r="Z205">
        <f t="shared" si="83"/>
        <v>0</v>
      </c>
      <c r="AA205" s="24">
        <f t="shared" si="84"/>
        <v>15.666666666666666</v>
      </c>
      <c r="BB205" t="e" cm="1">
        <f t="array" ref="BB205">_xlfn.LET(_xlpm.PartF,(_xlfn.LET(_xlpm.grade, Q205,_xlpm.gradeRange, IF(_xlpm.grade=SD!$H$3, A615GR60, IF(_xlpm.grade=SD!$H$4, A615GR75, IF(_xlpm.grade=SD!$H$5, A615GR80, IF(_xlpm.grade=SD!$H$6, A615GR100, IF(_xlpm.grade=SD!$H$7, A706GR60, IF(_xlpm.grade=SD!$H$8, A706GR80)))))),_xlpm.matchValue, MATCH(1, (SD!$AW:$AW=AS205)*(SD!$AX:$AX=SD!$C$8), 0),INDEX(_xlpm.gradeRange, _xlpm.matchValue))),IF(AM205="Spiral",CONCATENATE("SP",_xlpm.PartF),_xlpm.PartF))</f>
        <v>#N/A</v>
      </c>
      <c r="BC205" cm="1">
        <f t="array" ref="BC205">_xlfn.LET(_xlpm.leftPart, LEFT(O205, FIND("@", O205) - 2),_xlpm.grade,Q205,_xlpm.gradeRange,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5" cm="1">
        <f t="array" ref="BD205">_xlfn.LET(_xlpm.leftPart, LEFT(P205, FIND("@", P205) - 2),_xlpm.grade, Q205,_xlpm.gradeRange,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5">
        <f t="shared" si="85"/>
        <v>2.5</v>
      </c>
      <c r="BF205">
        <f>IF(SD!$C$32=SD!$I$2,BE205,IF(SD!$C$32=SD!$I$3,DO205,IF(SD!$C$32=SD!$I$5,BA205,IF(SD!$C$32=SD!$I$6,(LEFT(SD!$C$35,FIND("-",SD!$C$35)-1)+RIGHT(SD!$C$35,LEN(SD!$C$35)-FIND("-",SD!$C$35))/12),IF(SD!$C$32=SD!$I$4,(AU205-(BG205+BH205)))))))</f>
        <v>0</v>
      </c>
      <c r="BG205">
        <f>IF(SD!$C$33=SD!$I$2,BE205,IF(SD!$C$33=SD!$I$3,DO205,IF(SD!$C$33=SD!$I$5,BA205,IF(SD!$C$33=SD!$I$6,(LEFT(SD!$C$35,FIND("-",SD!$C$35)-1)+RIGHT(SD!$C$35,LEN(SD!$C$35)-FIND("-",SD!$C$35))/12),IF(SD!$C$33=SD!$I$4,(AU205-(BF205+BH205)))))))</f>
        <v>-1</v>
      </c>
      <c r="BH205">
        <f>IF(SD!$C$34=SD!$I$2,BE205,IF(SD!$C$34=SD!$I$3,DO205,IF(SD!$C$34=SD!$I$5,BA205,IF(SD!$C$34=SD!$I$6,(LEFT(SD!$C$35,FIND("-",SD!$C$35)-1)+RIGHT(SD!$C$35,LEN(SD!$C$35)-FIND("-",SD!$C$35))/12),IF(SD!$C$34=SD!$I$4,(AU205-(BF205+BG205)))))))</f>
        <v>1</v>
      </c>
      <c r="BJ205">
        <f>IF(AM205="Spiral","1",MAX(ROUNDUP(IF(SD!$C$32="",AT205,BF205/(LEFT(RIGHT(N205,LEN(N205)-FIND("@",N205)),LEN(RIGHT(N205,LEN(N205)-FIND("@",N205)))-1)/12)+1),0),0))</f>
        <v>1</v>
      </c>
      <c r="BK205">
        <f>MAX(ROUNDUP(IF(SD!$C$33="","",BG205/(LEFT(RIGHT(O205,LEN(O205)-FIND("@",O205)),LEN(RIGHT(O205,LEN(O205)-FIND("@",O205)))-1)/12)+1),0),0)</f>
        <v>0</v>
      </c>
      <c r="BL205">
        <f>MAX(ROUNDUP(IF(SD!$C$34="","",BH205/(LEFT(RIGHT(P205,LEN(P205)-FIND("@",P205)),LEN(RIGHT(P205,LEN(P205)-FIND("@",P205)))-1)/12)+1),0),0)</f>
        <v>3</v>
      </c>
      <c r="BN205" t="e">
        <f t="shared" si="86"/>
        <v>#N/A</v>
      </c>
      <c r="BO205" t="e">
        <f t="shared" si="87"/>
        <v>#N/A</v>
      </c>
      <c r="BP205" t="e">
        <f t="shared" si="88"/>
        <v>#N/A</v>
      </c>
      <c r="BQ205" s="24" t="e">
        <f>IF(AM205=TRUE,(((Y205-(SD!$E$12*2))*3.14159265359)+BN205+BO205+BP205)/12+AL205,SUM(AF205:AG205,BN205,BO205,BP205,AO205,AQ205)/12)</f>
        <v>#N/A</v>
      </c>
      <c r="BR205" t="e">
        <f t="shared" si="89"/>
        <v>#N/A</v>
      </c>
      <c r="BS205" t="e">
        <f t="shared" si="90"/>
        <v>#N/A</v>
      </c>
      <c r="BT205" t="e">
        <f t="shared" si="91"/>
        <v>#N/A</v>
      </c>
      <c r="BU205" s="24" t="e">
        <f>IF(AM205=TRUE,(((Y205-(SD!$E$12*2))*3.14159265359)+BR205+BS205+BT205)/12+AL205,SUM(AF205:AG205,BR205,BS205,BT205,AO205,AQ205)/12)</f>
        <v>#N/A</v>
      </c>
      <c r="BW205" t="str">
        <f>IFERROR(LEFT(Data!L205,FIND(" -",Data!L205)-1),"")</f>
        <v/>
      </c>
      <c r="BX205" t="str">
        <f>IFERROR(IF(SD!$C$40=SD!$U$2,W205,IF(SD!$C$40=SD!$U$3,RIGHT(Data!L205,LEN(Data!L205)-(FIND("-",Data!L205)+1)),SD!$C$40)),"")</f>
        <v>#10</v>
      </c>
      <c r="BY205" t="str" cm="1">
        <f t="array" ref="BY205">IFERROR(_xlfn.LET(_xlpm.GRR,IF(AND(SD!$C$19=SD!$H$2,Grade!$G$1="Per level"),VLOOKUP(B205,Grade!$E$1:$F$200,2,FALSE),IF(AND(SD!$C$19=SD!$H$2,Grade!$G$1="Per Bar Size"),VLOOKUP(BX205,Grade!$B$1:$C$12,2,0),SD!$C$19)),_xlpm.is_equal, A204=A205,_xlpm.grade_range, IF(_xlpm.GRR=SD!$H$3, A615GR60,IF(_xlpm.GRR=SD!$H$4, A615GR75,IF(_xlpm.GRR=SD!$H$5, A615GR80,IF(_xlpm.GRR=SD!H209, A615GR100,IF(_xlpm.GRR=SD!$H$7, A706GR60,IF(_xlpm.GRR=SD!$H$8, A706GR80)))))),_xlpm.match_result, MATCH(1, (BSize=BX205)*(BCName=SD!$C$8), 0),_xlpm.final_result, INDEX(_xlpm.grade_range, _xlpm.match_result),IF(_xlpm.is_equal, "", _xlpm.final_result)),"")</f>
        <v/>
      </c>
      <c r="BZ205" t="str">
        <f>IF(A204=A205,"",IF(SD!$C$41="Match Vertical Bars ",X205,IF(SD!$C$41=SD!$V$3,BW205,SD!$C$41)))</f>
        <v/>
      </c>
      <c r="CA205" t="str" cm="1">
        <f t="array" ref="CA205">IF(A204=A205,"",IF(SD!$C$44="No T-Head",IF(SD!$C$42=SD!$Q$3,VLOOKUP(BX205,S90Range,3,FALSE),LEFT(SD!$C$42,FIND("-",SD!$C$42)-1)+(RIGHT(SD!$C$42,LEN(SD!$C$42)-FIND("-",SD!$C$42))/12)),IF(SD!$C$44="T-Head",_xlfn._xlws.FILTER(THead,(TCName=SD!$C$8)*(TSize=BX205)),IF(SD!$C$44="Level Wise",_xlfn.LET(_xlpm.result,_xlfn.XLOOKUP(B205,VDLevel,VDLevelStatus,"No"),IF(_xlpm.result="Yes",_xlfn._xlws.FILTER(THead,(TCName=SD!$C$8)*(TSize=BX205)),IF(SD!$C$42=SD!$Q$3,VLOOKUP(BX205,S90Range,3,FALSE),LEFT(SD!$C$42,FIND("-",SD!$C$42)-1)+(RIGHT(SD!$C$42,LEN(SD!$C$42)-FIND("-", SD!$C$42))/12)))),IF(SD!$C$44="BarSize Wise",_xlfn.LET(_xlpm.result,_xlfn.XLOOKUP(BX205,VDBarSize,VDBarSizeStatus,"No"),IF(_xlpm.result="Yes",_xlfn._xlws.FILTER(THead,(TCName=SD!$C$8)*(TSize=BX205)),IF(SD!$C$42=SD!$Q$3,VLOOKUP(BX205,S90Range,3,FALSE),LEFT(SD!$C$42,FIND("-",SD!$C$42)-1)+(RIGHT(SD!$C$42,LEN(SD!$C$42)-FIND("-",SD!$C$42))/12)))), "")))))</f>
        <v/>
      </c>
      <c r="CB205" t="str" cm="1">
        <f t="array" ref="CB205">_xlfn.LET(_xlpm.GRR,IF(AND(SD!$C$19=SD!$H$2,Grade!$G$1="Per level"),VLOOKUP(B205,Grade!$E$1:$F$200,2,FALSE),IF(AND(SD!$C$19=SD!$H$2,Grade!$G$1="Per Bar Size"),VLOOKUP(BX205,Grade!$B$1:$C$12,2,0),SD!$C$19)),_xlpm.is_coupler, K205="Coupler",_xlpm.condition1, SD!$C$43=SD!$W$2,_xlpm.data_j2_empty, Data!$J205="",_xlpm.lookup_table, IF(SD!$C$11="Create", Lap!$A$3:$BF$14, IF(SD!$C$11="Per Uploaded File", Lap!$A$19:$BF$30, "")),_xlpm.row_match, MATCH(BX205, Lap!$A$3:$A$14, 0),_xlpm.grade_offset, IF(IFERROR(FIND("Grade 60",_xlpm.GRR), 0) &gt; 0, 0, IF(IFERROR(FIND("Grade 80",_xlpm.GRR), 0), 1, IF(IFERROR(FIND("Grade 75",_xlpm.GRR), 0), 2, ""))),_xlpm.col_match, MATCH(VALUE(D205), Lap!$A$3:$BF$3, 0) + _xlpm.grade_offset,_xlpm.index_result, IFERROR(INDEX(_xlpm.lookup_table, _xlpm.row_match, _xlpm.col_match), Data!$J205),_xlpm.result_if_condition1, IF(_xlpm.data_j2_empty, _xlpm.index_result, Data!$J205),IF(_xlpm.is_coupler, 0, IF(_xlpm.condition1, _xlpm.result_if_condition1, SD!$C$43)))</f>
        <v>5-1</v>
      </c>
      <c r="CC205" s="24">
        <f t="shared" si="92"/>
        <v>5.083333333333333</v>
      </c>
      <c r="CD205">
        <f t="shared" si="93"/>
        <v>5.75</v>
      </c>
      <c r="CE205" t="str" cm="1">
        <f t="array" ref="CE205">IF(BY205="","",_xlfn._xlws.FILTER(SAC,(CName=SD!$C$8)*(EName="Vert Dowels")))</f>
        <v/>
      </c>
      <c r="CF205" t="str" cm="1">
        <f t="array" ref="CF205">IFERROR(IF(BY205="","",IF(K205="Coupler",_xlfn._xlws.FILTER(CCoupler,(CCName=SD!$C$8)*(CBSize=IF(A204=A205,W204&amp;W205,BX205&amp;W205))*(CCMFM="Male")),"")),"N/A")</f>
        <v/>
      </c>
      <c r="CG205" t="str">
        <f t="shared" si="94"/>
        <v/>
      </c>
      <c r="CH205" t="str">
        <f t="shared" si="95"/>
        <v/>
      </c>
      <c r="CI205" t="str">
        <f>_xlfn.LET(_xlpm.u3_value, U206,_xlpm.hyphen_pos,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K206="Coupler",_xlpm.coupler_value, IF(_xlpm.is_coupler, 0, _xlpm.calculated_value),_xlpm.final_value, _xlpm.calculated_value + SD!$E$13 + _xlpm.coupler_value,IF(CG205="", "", _xlpm.final_value))</f>
        <v/>
      </c>
      <c r="CJ205" t="str" cm="1">
        <f t="array" ref="CJ205">IF(CG205="","",_xlfn._xlws.FILTER(SAC,(CName=SD!$C$8)*(EName="Loose Dowels")))</f>
        <v/>
      </c>
      <c r="CK205" t="str" cm="1">
        <f t="array" ref="CK205">IFERROR(IF(CG205="","",IF(K206="Coupler",_xlfn._xlws.FILTER(CCoupler,(CCName=SD!$C$8)*(CBSize=IF(A205=A206,W205&amp;W206,""))*(CCMFM="Male")),"")),"N/A")</f>
        <v/>
      </c>
      <c r="CL205" t="str">
        <f>IFERROR(IF(AM205="Spiral","",IF(A204=A205,"",IF(SD!$C$37=0,"",SD!$C$37))),"")</f>
        <v/>
      </c>
      <c r="CN205">
        <f>IF(AM205="Spiral","",IFERROR(IF(SD!$C$36=0,"",SD!$C$36),""))</f>
        <v>5</v>
      </c>
      <c r="CP205" t="str">
        <f>IFERROR(IF(SD!$C$42=SD!$Q$3,'Take-off'!CA205,""),"")</f>
        <v/>
      </c>
      <c r="CR205">
        <f>IFERROR(IF(SD!$C$22=SD!$U$2,W205,SD!$C$22),"")</f>
        <v>0</v>
      </c>
      <c r="CS205" t="str" cm="1">
        <f t="array" ref="CS205">_xlfn.LET(_xlpm.GR,IF(AND(SD!$C$19=SD!$H$2,Grade!$G$1="Per level"),VLOOKUP(B205,Grade!$E$1:$F$200,2,FALSE),IF(AND(SD!$C$19=SD!$H$2,Grade!$G$1="Per Bar Size"),VLOOKUP(CR205,Grade!$B$1:$C$12,2,0),SD!$C$19)),IF(SD!$C$20=SD!$R$4,IF(A206=A205,"",INDEX(IF(_xlpm.GR=SD!$H$3,A615GR60,IF(_xlpm.GR=SD!$H$4,A615GR75,IF(_xlpm.GR=SD!$H$5,A615GR80,IF(_xlpm.GR=SD!H209,A615GR100,IF(_xlpm.GR=SD!$H$7,A706GR60,IF(_xlpm.GR=SD!$H$8,A706GR80)))))), MATCH(1, (BSize=CR205)*(BCName=SD!$C$8), 0))),""))</f>
        <v/>
      </c>
      <c r="CT205" t="str">
        <f>IF(A206=A205,"",IF(SD!$C$23="Match Vertical Bars ",X205,SD!$C$23))</f>
        <v/>
      </c>
      <c r="CU205" t="str" cm="1">
        <f t="array" ref="CU205">IF(A206=A205,"",IF(SD!$C$20="Top dowels",IF(SD!$E$25="No T-Head",IF(SD!$C$24=SD!$Q$3,VLOOKUP(CR205,S90Range,3,FALSE),LEFT(SD!$C$24,FIND("-",SD!$C$24)-1)+(RIGHT(SD!$C$24,LEN(SD!$C$24)-FIND("-",SD!$C$24))/12)),IF(SD!$E$25="T-Head",_xlfn._xlws.FILTER(THead,(TCName=SD!$C$8)*(TSize=CR205)),IF(SD!$E$25="Level Wise",_xlfn.LET(_xlpm.result,_xlfn.XLOOKUP(B205,TDLevel,TDLevelStatus,"No"),IF(_xlpm.result="Yes",_xlfn._xlws.FILTER(THead,(TCName=SD!$C$8)*(TSize=CR205)),IF(SD!$C$24=SD!$Q$3,VLOOKUP(CR205,S90Range,3,FALSE),LEFT(SD!$C$24,FIND("-",SD!$C$24)-1)+(RIGHT(SD!$C$24,LEN(SD!$C$24)-FIND("-", SD!$C$24))/12)))),IF(SD!$E$25="BarSize Wise",_xlfn.LET(_xlpm.result,_xlfn.XLOOKUP(CR205,TDBarSize,TDBarSizeStatus,"No"),IF(_xlpm.result="Yes",_xlfn._xlws.FILTER(THead,(TCName=SD!$C$8)*(TSize=CR205)),IF(SD!$C$24=SD!$Q$3,VLOOKUP(CR205,S90Range,3,FALSE),LEFT(SD!$C$24,FIND("-",SD!$C$24)-1)+(RIGHT(SD!$C$24,LEN(SD!$C$24)-FIND("-",SD!$C$24))/12)))), "")))),""))</f>
        <v/>
      </c>
      <c r="CV205" t="str">
        <f>_xlfn.LET(_xlpm.GRR,IF(AND(SD!$C$19=SD!$H$2,Grade!$G$1="Per level"),VLOOKUP(B205,Grade!$E$1:$F$200,2,FALSE),IF(AND(SD!$C$19=SD!$H$2,Grade!$G$1="Per Bar Size"),VLOOKUP(CR205,Grade!$B$1:$C$12,2,0),SD!$C$19)),IF(SD!$C$25=SD!$W$2,IF(Data!$J205="",IFERROR(INDEX(IF(SD!$C$11="Create",Lap!$A$3:$BF$14,IF(SD!$C$11="Per Uploaded File",Lap!$A$19:$BF$30,"")),MATCH(CR205,Lap!$A$3:$A$14,0),MATCH(VALUE(D205),Lap!$A$3:$BF$3,0)+IF(IFERROR(FIND("Grade 60",_xlpm.GRR),0)&gt;0,0,IF(IFERROR(FIND("Grade 80",_xlpm.GRR),0),1,IF(IFERROR(FIND("Grade 75",_xlpm.GRR),0),2,"")))),""),Data!J205),SD!$C$43))</f>
        <v>Match Lap</v>
      </c>
      <c r="CW205">
        <f t="shared" si="96"/>
        <v>0</v>
      </c>
      <c r="CX205">
        <f t="shared" si="97"/>
        <v>0</v>
      </c>
      <c r="CY205" t="str">
        <f t="shared" si="98"/>
        <v/>
      </c>
      <c r="DA205" t="str">
        <f t="shared" si="99"/>
        <v/>
      </c>
      <c r="DB205" t="str">
        <f t="shared" si="100"/>
        <v/>
      </c>
      <c r="DC205" s="24" t="str">
        <f t="shared" si="101"/>
        <v/>
      </c>
      <c r="DD205">
        <f t="shared" si="102"/>
        <v>10.583333333333334</v>
      </c>
      <c r="DE205" t="s">
        <v>785</v>
      </c>
      <c r="DF205" t="s">
        <v>67</v>
      </c>
      <c r="DG205" t="str">
        <f>VLOOKUP(W205,'Level Wise PSI'!$F$2:$G$12,2,FALSE)</f>
        <v>Double Lift</v>
      </c>
      <c r="DI205" t="str" cm="1">
        <f t="array" ref="DI205">_xlfn.LET(_xlpm.Coup,IFERROR(IF(BY205="","",IF(K205="Coupler",_xlfn._xlws.FILTER(CCFCoupler,(CCName=SD!$C$8)*(CBSize=IF(A204=A205,W204&amp;W205,BX205&amp;W205))),"")),"N/A"),IF(_xlpm.Coup=0,"",_xlpm.Coup))</f>
        <v/>
      </c>
      <c r="DJ205" t="str" cm="1">
        <f t="array" ref="DJ205">_xlfn.LET(_xlpm.Coup3,IFERROR(IF(CG205="","",IF(K206="Coupler",_xlfn._xlws.FILTER(CCFCoupler,(CCName=SD!$C$8)*(CBSize=IF(A205=A206,W205&amp;W206,""))),"")),"N/A"),IF(_xlpm.Coup3=0,"",_xlpm.Coup3))</f>
        <v/>
      </c>
      <c r="DK205" t="str" cm="1">
        <f t="array" ref="DK205">_xlfn.LET(_xlpm.Coup2,IFERROR(IF(A205&lt;&gt;A206,"",IF(DF205="No Lap","",IF(K206="Coupler",_xlfn._xlws.FILTER(CCFCoupler,(CCName=SD!$C$8)*(CBSize=IF(A204=A205,W205&amp;W206,W205&amp;W205))),""))),"N/A"),IF(_xlpm.Coup2=0,"",_xlpm.Coup2))</f>
        <v/>
      </c>
      <c r="DM205" t="str">
        <f>IF(AM205="Spiral","",IF(SD!$C$31=SD!$Y$3,SD!$E$32*2,""))</f>
        <v/>
      </c>
      <c r="DO205" s="24">
        <f t="shared" si="103"/>
        <v>2.5</v>
      </c>
      <c r="DQ205" t="str">
        <f t="shared" si="104"/>
        <v>Lig</v>
      </c>
      <c r="DR205" t="str">
        <f>IF(AM205="Spiral",((Y205-(SD!$E$12*2))/12),"")</f>
        <v/>
      </c>
      <c r="DS205" t="str">
        <f t="shared" si="105"/>
        <v/>
      </c>
      <c r="DT205" t="str">
        <f t="shared" si="106"/>
        <v/>
      </c>
      <c r="DU205" t="str">
        <f t="shared" si="107"/>
        <v/>
      </c>
    </row>
    <row r="206" spans="1:125" x14ac:dyDescent="0.25">
      <c r="A206">
        <v>66</v>
      </c>
      <c r="B206" t="s">
        <v>672</v>
      </c>
      <c r="C206" s="15">
        <v>2429</v>
      </c>
      <c r="D206" s="15">
        <v>10000</v>
      </c>
      <c r="E206" t="str">
        <f>IF(B206=Level!$A$2,SD!$C$14,SD!$C$13)</f>
        <v>0-8</v>
      </c>
      <c r="F206" s="15" t="s">
        <v>787</v>
      </c>
      <c r="G206" t="s">
        <v>742</v>
      </c>
      <c r="H206" t="str">
        <f>RIGHT(VLOOKUP(B206,Level!A:C,3,FALSE),LEN(VLOOKUP(B206,Level!A:C,3,FALSE))-1)</f>
        <v>10-7</v>
      </c>
      <c r="I206" t="s">
        <v>743</v>
      </c>
      <c r="J206" t="str">
        <f>IF(AND(SD!$C$19=SD!$H$2,Grade!$G$1="Per level"),VLOOKUP(B206,Grade!$E$1:$F$200,2,FALSE),IF(AND(SD!$C$19=SD!$H$2,Grade!$G$1="Per Bar Size"),VLOOKUP(W206,Grade!$B$1:$C$12,2,0),SD!$C$19))</f>
        <v>A615 Grade 60</v>
      </c>
      <c r="K206" t="s">
        <v>67</v>
      </c>
      <c r="L206" t="str">
        <f>IFERROR(IF(A206&lt;&gt;A207,"",IF(DF206="No Lap","",IF(K207="Lap",U206,IF(K207="Coupler",_xlfn._xlws.FILTER(CCoupler,(CCName=SD!$C$8)*(CBSize=IF(A205=A206,W206&amp;W207,W206&amp;W206))*(CCMFM="Male")),"")))),"N/A")</f>
        <v>5-1</v>
      </c>
      <c r="M206" t="str">
        <f t="shared" si="81"/>
        <v/>
      </c>
      <c r="N206" t="s">
        <v>719</v>
      </c>
      <c r="O206" t="s">
        <v>720</v>
      </c>
      <c r="P206" t="s">
        <v>719</v>
      </c>
      <c r="Q206" t="str">
        <f>IF(AND(SD!$C$29=SD!$P$2,Grade!$O$1="Per level"),VLOOKUP(B206,Grade!$M$1:$N$200,2,FALSE),IF(AND(SD!$C$29=SD!$P$2,Grade!$O$1="Per Bar Size"),VLOOKUP(LEFT(N206,FIND("@",N206)-2),Grade!$J$1:$K$12,2,0),SD!$C$29))</f>
        <v>A615 Grade 60</v>
      </c>
      <c r="R206" t="s">
        <v>742</v>
      </c>
      <c r="S206" s="57">
        <v>206</v>
      </c>
      <c r="U206" t="str">
        <f>IF(Data!$J206="",IFERROR(INDEX(IF(SD!$C$11="Create",Lap!$A$3:$BF$14,IF(SD!$C$11="Per Uploaded File",Lap!$A$19:$BF$30,"")),MATCH(W206,Lap!$A$3:$A$14,0),MATCH(VALUE(D206),Lap!$A$3:$BF$3,0)+IF(IFERROR(FIND("Grade 60",J206),0)&gt;0,0,IF(IFERROR(FIND("Grade 80",J206),0),1,IF(IFERROR(FIND("Grade 75",J206),0),2,"")))),""),Data!J206)</f>
        <v>5-1</v>
      </c>
      <c r="W206" t="s">
        <v>176</v>
      </c>
      <c r="X206">
        <v>6</v>
      </c>
      <c r="Y206" t="str">
        <f t="shared" si="82"/>
        <v>30</v>
      </c>
      <c r="Z206">
        <f t="shared" si="83"/>
        <v>0</v>
      </c>
      <c r="AA206" s="24">
        <f t="shared" si="84"/>
        <v>15.666666666666666</v>
      </c>
      <c r="BB206" t="e" cm="1">
        <f t="array" ref="BB206">_xlfn.LET(_xlpm.PartF,(_xlfn.LET(_xlpm.grade, Q206,_xlpm.gradeRange, IF(_xlpm.grade=SD!$H$3, A615GR60, IF(_xlpm.grade=SD!$H$4, A615GR75, IF(_xlpm.grade=SD!$H$5, A615GR80, IF(_xlpm.grade=SD!$H$6, A615GR100, IF(_xlpm.grade=SD!$H$7, A706GR60, IF(_xlpm.grade=SD!$H$8, A706GR80)))))),_xlpm.matchValue, MATCH(1, (SD!$AW:$AW=AS206)*(SD!$AX:$AX=SD!$C$8), 0),INDEX(_xlpm.gradeRange, _xlpm.matchValue))),IF(AM206="Spiral",CONCATENATE("SP",_xlpm.PartF),_xlpm.PartF))</f>
        <v>#N/A</v>
      </c>
      <c r="BC206" cm="1">
        <f t="array" ref="BC206">_xlfn.LET(_xlpm.leftPart, LEFT(O206, FIND("@", O206) - 2),_xlpm.grade,Q206,_xlpm.gradeRange,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6" cm="1">
        <f t="array" ref="BD206">_xlfn.LET(_xlpm.leftPart, LEFT(P206, FIND("@", P206) - 2),_xlpm.grade, Q206,_xlpm.gradeRange,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6">
        <f t="shared" si="85"/>
        <v>2.5</v>
      </c>
      <c r="BF206">
        <f>IF(SD!$C$32=SD!$I$2,BE206,IF(SD!$C$32=SD!$I$3,DO206,IF(SD!$C$32=SD!$I$5,BA206,IF(SD!$C$32=SD!$I$6,(LEFT(SD!$C$35,FIND("-",SD!$C$35)-1)+RIGHT(SD!$C$35,LEN(SD!$C$35)-FIND("-",SD!$C$35))/12),IF(SD!$C$32=SD!$I$4,(AU206-(BG206+BH206)))))))</f>
        <v>0</v>
      </c>
      <c r="BG206">
        <f>IF(SD!$C$33=SD!$I$2,BE206,IF(SD!$C$33=SD!$I$3,DO206,IF(SD!$C$33=SD!$I$5,BA206,IF(SD!$C$33=SD!$I$6,(LEFT(SD!$C$35,FIND("-",SD!$C$35)-1)+RIGHT(SD!$C$35,LEN(SD!$C$35)-FIND("-",SD!$C$35))/12),IF(SD!$C$33=SD!$I$4,(AU206-(BF206+BH206)))))))</f>
        <v>-1</v>
      </c>
      <c r="BH206">
        <f>IF(SD!$C$34=SD!$I$2,BE206,IF(SD!$C$34=SD!$I$3,DO206,IF(SD!$C$34=SD!$I$5,BA206,IF(SD!$C$34=SD!$I$6,(LEFT(SD!$C$35,FIND("-",SD!$C$35)-1)+RIGHT(SD!$C$35,LEN(SD!$C$35)-FIND("-",SD!$C$35))/12),IF(SD!$C$34=SD!$I$4,(AU206-(BF206+BG206)))))))</f>
        <v>1</v>
      </c>
      <c r="BJ206">
        <f>IF(AM206="Spiral","1",MAX(ROUNDUP(IF(SD!$C$32="",AT206,BF206/(LEFT(RIGHT(N206,LEN(N206)-FIND("@",N206)),LEN(RIGHT(N206,LEN(N206)-FIND("@",N206)))-1)/12)+1),0),0))</f>
        <v>1</v>
      </c>
      <c r="BK206">
        <f>MAX(ROUNDUP(IF(SD!$C$33="","",BG206/(LEFT(RIGHT(O206,LEN(O206)-FIND("@",O206)),LEN(RIGHT(O206,LEN(O206)-FIND("@",O206)))-1)/12)+1),0),0)</f>
        <v>0</v>
      </c>
      <c r="BL206">
        <f>MAX(ROUNDUP(IF(SD!$C$34="","",BH206/(LEFT(RIGHT(P206,LEN(P206)-FIND("@",P206)),LEN(RIGHT(P206,LEN(P206)-FIND("@",P206)))-1)/12)+1),0),0)</f>
        <v>3</v>
      </c>
      <c r="BN206" t="e">
        <f t="shared" si="86"/>
        <v>#N/A</v>
      </c>
      <c r="BO206" t="e">
        <f t="shared" si="87"/>
        <v>#N/A</v>
      </c>
      <c r="BP206" t="e">
        <f t="shared" si="88"/>
        <v>#N/A</v>
      </c>
      <c r="BQ206" s="24" t="e">
        <f>IF(AM206=TRUE,(((Y206-(SD!$E$12*2))*3.14159265359)+BN206+BO206+BP206)/12+AL206,SUM(AF206:AG206,BN206,BO206,BP206,AO206,AQ206)/12)</f>
        <v>#N/A</v>
      </c>
      <c r="BR206" t="e">
        <f t="shared" si="89"/>
        <v>#N/A</v>
      </c>
      <c r="BS206" t="e">
        <f t="shared" si="90"/>
        <v>#N/A</v>
      </c>
      <c r="BT206" t="e">
        <f t="shared" si="91"/>
        <v>#N/A</v>
      </c>
      <c r="BU206" s="24" t="e">
        <f>IF(AM206=TRUE,(((Y206-(SD!$E$12*2))*3.14159265359)+BR206+BS206+BT206)/12+AL206,SUM(AF206:AG206,BR206,BS206,BT206,AO206,AQ206)/12)</f>
        <v>#N/A</v>
      </c>
      <c r="BW206" t="str">
        <f>IFERROR(LEFT(Data!L206,FIND(" -",Data!L206)-1),"")</f>
        <v/>
      </c>
      <c r="BX206" t="str">
        <f>IFERROR(IF(SD!$C$40=SD!$U$2,W206,IF(SD!$C$40=SD!$U$3,RIGHT(Data!L206,LEN(Data!L206)-(FIND("-",Data!L206)+1)),SD!$C$40)),"")</f>
        <v>#10</v>
      </c>
      <c r="BY206" t="str" cm="1">
        <f t="array" ref="BY206">IFERROR(_xlfn.LET(_xlpm.GRR,IF(AND(SD!$C$19=SD!$H$2,Grade!$G$1="Per level"),VLOOKUP(B206,Grade!$E$1:$F$200,2,FALSE),IF(AND(SD!$C$19=SD!$H$2,Grade!$G$1="Per Bar Size"),VLOOKUP(BX206,Grade!$B$1:$C$12,2,0),SD!$C$19)),_xlpm.is_equal, A205=A206,_xlpm.grade_range, IF(_xlpm.GRR=SD!$H$3, A615GR60,IF(_xlpm.GRR=SD!$H$4, A615GR75,IF(_xlpm.GRR=SD!$H$5, A615GR80,IF(_xlpm.GRR=SD!H210, A615GR100,IF(_xlpm.GRR=SD!$H$7, A706GR60,IF(_xlpm.GRR=SD!$H$8, A706GR80)))))),_xlpm.match_result, MATCH(1, (BSize=BX206)*(BCName=SD!$C$8), 0),_xlpm.final_result, INDEX(_xlpm.grade_range, _xlpm.match_result),IF(_xlpm.is_equal, "", _xlpm.final_result)),"")</f>
        <v/>
      </c>
      <c r="BZ206" t="str">
        <f>IF(A205=A206,"",IF(SD!$C$41="Match Vertical Bars ",X206,IF(SD!$C$41=SD!$V$3,BW206,SD!$C$41)))</f>
        <v/>
      </c>
      <c r="CA206" t="str" cm="1">
        <f t="array" ref="CA206">IF(A205=A206,"",IF(SD!$C$44="No T-Head",IF(SD!$C$42=SD!$Q$3,VLOOKUP(BX206,S90Range,3,FALSE),LEFT(SD!$C$42,FIND("-",SD!$C$42)-1)+(RIGHT(SD!$C$42,LEN(SD!$C$42)-FIND("-",SD!$C$42))/12)),IF(SD!$C$44="T-Head",_xlfn._xlws.FILTER(THead,(TCName=SD!$C$8)*(TSize=BX206)),IF(SD!$C$44="Level Wise",_xlfn.LET(_xlpm.result,_xlfn.XLOOKUP(B206,VDLevel,VDLevelStatus,"No"),IF(_xlpm.result="Yes",_xlfn._xlws.FILTER(THead,(TCName=SD!$C$8)*(TSize=BX206)),IF(SD!$C$42=SD!$Q$3,VLOOKUP(BX206,S90Range,3,FALSE),LEFT(SD!$C$42,FIND("-",SD!$C$42)-1)+(RIGHT(SD!$C$42,LEN(SD!$C$42)-FIND("-", SD!$C$42))/12)))),IF(SD!$C$44="BarSize Wise",_xlfn.LET(_xlpm.result,_xlfn.XLOOKUP(BX206,VDBarSize,VDBarSizeStatus,"No"),IF(_xlpm.result="Yes",_xlfn._xlws.FILTER(THead,(TCName=SD!$C$8)*(TSize=BX206)),IF(SD!$C$42=SD!$Q$3,VLOOKUP(BX206,S90Range,3,FALSE),LEFT(SD!$C$42,FIND("-",SD!$C$42)-1)+(RIGHT(SD!$C$42,LEN(SD!$C$42)-FIND("-",SD!$C$42))/12)))), "")))))</f>
        <v/>
      </c>
      <c r="CB206" t="str" cm="1">
        <f t="array" ref="CB206">_xlfn.LET(_xlpm.GRR,IF(AND(SD!$C$19=SD!$H$2,Grade!$G$1="Per level"),VLOOKUP(B206,Grade!$E$1:$F$200,2,FALSE),IF(AND(SD!$C$19=SD!$H$2,Grade!$G$1="Per Bar Size"),VLOOKUP(BX206,Grade!$B$1:$C$12,2,0),SD!$C$19)),_xlpm.is_coupler, K206="Coupler",_xlpm.condition1, SD!$C$43=SD!$W$2,_xlpm.data_j2_empty, Data!$J206="",_xlpm.lookup_table, IF(SD!$C$11="Create", Lap!$A$3:$BF$14, IF(SD!$C$11="Per Uploaded File", Lap!$A$19:$BF$30, "")),_xlpm.row_match, MATCH(BX206, Lap!$A$3:$A$14, 0),_xlpm.grade_offset, IF(IFERROR(FIND("Grade 60",_xlpm.GRR), 0) &gt; 0, 0, IF(IFERROR(FIND("Grade 80",_xlpm.GRR), 0), 1, IF(IFERROR(FIND("Grade 75",_xlpm.GRR), 0), 2, ""))),_xlpm.col_match, MATCH(VALUE(D206), Lap!$A$3:$BF$3, 0) + _xlpm.grade_offset,_xlpm.index_result, IFERROR(INDEX(_xlpm.lookup_table, _xlpm.row_match, _xlpm.col_match), Data!$J206),_xlpm.result_if_condition1, IF(_xlpm.data_j2_empty, _xlpm.index_result, Data!$J206),IF(_xlpm.is_coupler, 0, IF(_xlpm.condition1, _xlpm.result_if_condition1, SD!$C$43)))</f>
        <v>5-1</v>
      </c>
      <c r="CC206" s="24">
        <f t="shared" si="92"/>
        <v>5.083333333333333</v>
      </c>
      <c r="CD206">
        <f t="shared" si="93"/>
        <v>5.75</v>
      </c>
      <c r="CE206" t="str" cm="1">
        <f t="array" ref="CE206">IF(BY206="","",_xlfn._xlws.FILTER(SAC,(CName=SD!$C$8)*(EName="Vert Dowels")))</f>
        <v/>
      </c>
      <c r="CF206" t="str" cm="1">
        <f t="array" ref="CF206">IFERROR(IF(BY206="","",IF(K206="Coupler",_xlfn._xlws.FILTER(CCoupler,(CCName=SD!$C$8)*(CBSize=IF(A205=A206,W205&amp;W206,BX206&amp;W206))*(CCMFM="Male")),"")),"N/A")</f>
        <v/>
      </c>
      <c r="CG206" t="str">
        <f t="shared" si="94"/>
        <v/>
      </c>
      <c r="CH206" t="str">
        <f t="shared" si="95"/>
        <v/>
      </c>
      <c r="CI206" t="str">
        <f>_xlfn.LET(_xlpm.u3_value, U207,_xlpm.hyphen_pos,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K207="Coupler",_xlpm.coupler_value, IF(_xlpm.is_coupler, 0, _xlpm.calculated_value),_xlpm.final_value, _xlpm.calculated_value + SD!$E$13 + _xlpm.coupler_value,IF(CG206="", "", _xlpm.final_value))</f>
        <v/>
      </c>
      <c r="CJ206" t="str" cm="1">
        <f t="array" ref="CJ206">IF(CG206="","",_xlfn._xlws.FILTER(SAC,(CName=SD!$C$8)*(EName="Loose Dowels")))</f>
        <v/>
      </c>
      <c r="CK206" t="str" cm="1">
        <f t="array" ref="CK206">IFERROR(IF(CG206="","",IF(K207="Coupler",_xlfn._xlws.FILTER(CCoupler,(CCName=SD!$C$8)*(CBSize=IF(A206=A207,W206&amp;W207,""))*(CCMFM="Male")),"")),"N/A")</f>
        <v/>
      </c>
      <c r="CL206" t="str">
        <f>IFERROR(IF(AM206="Spiral","",IF(A205=A206,"",IF(SD!$C$37=0,"",SD!$C$37))),"")</f>
        <v/>
      </c>
      <c r="CN206">
        <f>IF(AM206="Spiral","",IFERROR(IF(SD!$C$36=0,"",SD!$C$36),""))</f>
        <v>5</v>
      </c>
      <c r="CP206" t="str">
        <f>IFERROR(IF(SD!$C$42=SD!$Q$3,'Take-off'!CA206,""),"")</f>
        <v/>
      </c>
      <c r="CR206">
        <f>IFERROR(IF(SD!$C$22=SD!$U$2,W206,SD!$C$22),"")</f>
        <v>0</v>
      </c>
      <c r="CS206" t="str" cm="1">
        <f t="array" ref="CS206">_xlfn.LET(_xlpm.GR,IF(AND(SD!$C$19=SD!$H$2,Grade!$G$1="Per level"),VLOOKUP(B206,Grade!$E$1:$F$200,2,FALSE),IF(AND(SD!$C$19=SD!$H$2,Grade!$G$1="Per Bar Size"),VLOOKUP(CR206,Grade!$B$1:$C$12,2,0),SD!$C$19)),IF(SD!$C$20=SD!$R$4,IF(A207=A206,"",INDEX(IF(_xlpm.GR=SD!$H$3,A615GR60,IF(_xlpm.GR=SD!$H$4,A615GR75,IF(_xlpm.GR=SD!$H$5,A615GR80,IF(_xlpm.GR=SD!H210,A615GR100,IF(_xlpm.GR=SD!$H$7,A706GR60,IF(_xlpm.GR=SD!$H$8,A706GR80)))))), MATCH(1, (BSize=CR206)*(BCName=SD!$C$8), 0))),""))</f>
        <v/>
      </c>
      <c r="CT206" t="str">
        <f>IF(A207=A206,"",IF(SD!$C$23="Match Vertical Bars ",X206,SD!$C$23))</f>
        <v/>
      </c>
      <c r="CU206" t="str" cm="1">
        <f t="array" ref="CU206">IF(A207=A206,"",IF(SD!$C$20="Top dowels",IF(SD!$E$25="No T-Head",IF(SD!$C$24=SD!$Q$3,VLOOKUP(CR206,S90Range,3,FALSE),LEFT(SD!$C$24,FIND("-",SD!$C$24)-1)+(RIGHT(SD!$C$24,LEN(SD!$C$24)-FIND("-",SD!$C$24))/12)),IF(SD!$E$25="T-Head",_xlfn._xlws.FILTER(THead,(TCName=SD!$C$8)*(TSize=CR206)),IF(SD!$E$25="Level Wise",_xlfn.LET(_xlpm.result,_xlfn.XLOOKUP(B206,TDLevel,TDLevelStatus,"No"),IF(_xlpm.result="Yes",_xlfn._xlws.FILTER(THead,(TCName=SD!$C$8)*(TSize=CR206)),IF(SD!$C$24=SD!$Q$3,VLOOKUP(CR206,S90Range,3,FALSE),LEFT(SD!$C$24,FIND("-",SD!$C$24)-1)+(RIGHT(SD!$C$24,LEN(SD!$C$24)-FIND("-", SD!$C$24))/12)))),IF(SD!$E$25="BarSize Wise",_xlfn.LET(_xlpm.result,_xlfn.XLOOKUP(CR206,TDBarSize,TDBarSizeStatus,"No"),IF(_xlpm.result="Yes",_xlfn._xlws.FILTER(THead,(TCName=SD!$C$8)*(TSize=CR206)),IF(SD!$C$24=SD!$Q$3,VLOOKUP(CR206,S90Range,3,FALSE),LEFT(SD!$C$24,FIND("-",SD!$C$24)-1)+(RIGHT(SD!$C$24,LEN(SD!$C$24)-FIND("-",SD!$C$24))/12)))), "")))),""))</f>
        <v/>
      </c>
      <c r="CV206" t="str">
        <f>_xlfn.LET(_xlpm.GRR,IF(AND(SD!$C$19=SD!$H$2,Grade!$G$1="Per level"),VLOOKUP(B206,Grade!$E$1:$F$200,2,FALSE),IF(AND(SD!$C$19=SD!$H$2,Grade!$G$1="Per Bar Size"),VLOOKUP(CR206,Grade!$B$1:$C$12,2,0),SD!$C$19)),IF(SD!$C$25=SD!$W$2,IF(Data!$J206="",IFERROR(INDEX(IF(SD!$C$11="Create",Lap!$A$3:$BF$14,IF(SD!$C$11="Per Uploaded File",Lap!$A$19:$BF$30,"")),MATCH(CR206,Lap!$A$3:$A$14,0),MATCH(VALUE(D206),Lap!$A$3:$BF$3,0)+IF(IFERROR(FIND("Grade 60",_xlpm.GRR),0)&gt;0,0,IF(IFERROR(FIND("Grade 80",_xlpm.GRR),0),1,IF(IFERROR(FIND("Grade 75",_xlpm.GRR),0),2,"")))),""),Data!J206),SD!$C$43))</f>
        <v>Match Lap</v>
      </c>
      <c r="CW206">
        <f t="shared" si="96"/>
        <v>0</v>
      </c>
      <c r="CX206">
        <f t="shared" si="97"/>
        <v>0</v>
      </c>
      <c r="CY206" t="str">
        <f t="shared" si="98"/>
        <v/>
      </c>
      <c r="DA206" t="str">
        <f t="shared" si="99"/>
        <v/>
      </c>
      <c r="DB206" t="str">
        <f t="shared" si="100"/>
        <v/>
      </c>
      <c r="DC206" s="24" t="str">
        <f t="shared" si="101"/>
        <v/>
      </c>
      <c r="DD206">
        <f t="shared" si="102"/>
        <v>10.583333333333334</v>
      </c>
      <c r="DE206" t="s">
        <v>785</v>
      </c>
      <c r="DF206" t="s">
        <v>67</v>
      </c>
      <c r="DG206" t="str">
        <f>VLOOKUP(W206,'Level Wise PSI'!$F$2:$G$12,2,FALSE)</f>
        <v>Double Lift</v>
      </c>
      <c r="DI206" t="str" cm="1">
        <f t="array" ref="DI206">_xlfn.LET(_xlpm.Coup,IFERROR(IF(BY206="","",IF(K206="Coupler",_xlfn._xlws.FILTER(CCFCoupler,(CCName=SD!$C$8)*(CBSize=IF(A205=A206,W205&amp;W206,BX206&amp;W206))),"")),"N/A"),IF(_xlpm.Coup=0,"",_xlpm.Coup))</f>
        <v/>
      </c>
      <c r="DJ206" t="str" cm="1">
        <f t="array" ref="DJ206">_xlfn.LET(_xlpm.Coup3,IFERROR(IF(CG206="","",IF(K207="Coupler",_xlfn._xlws.FILTER(CCFCoupler,(CCName=SD!$C$8)*(CBSize=IF(A206=A207,W206&amp;W207,""))),"")),"N/A"),IF(_xlpm.Coup3=0,"",_xlpm.Coup3))</f>
        <v/>
      </c>
      <c r="DK206" t="str" cm="1">
        <f t="array" ref="DK206">_xlfn.LET(_xlpm.Coup2,IFERROR(IF(A206&lt;&gt;A207,"",IF(DF206="No Lap","",IF(K207="Coupler",_xlfn._xlws.FILTER(CCFCoupler,(CCName=SD!$C$8)*(CBSize=IF(A205=A206,W206&amp;W207,W206&amp;W206))),""))),"N/A"),IF(_xlpm.Coup2=0,"",_xlpm.Coup2))</f>
        <v/>
      </c>
      <c r="DM206" t="str">
        <f>IF(AM206="Spiral","",IF(SD!$C$31=SD!$Y$3,SD!$E$32*2,""))</f>
        <v/>
      </c>
      <c r="DO206" s="24">
        <f t="shared" si="103"/>
        <v>2.5</v>
      </c>
      <c r="DQ206" t="str">
        <f t="shared" si="104"/>
        <v>Lig</v>
      </c>
      <c r="DR206" t="str">
        <f>IF(AM206="Spiral",((Y206-(SD!$E$12*2))/12),"")</f>
        <v/>
      </c>
      <c r="DS206" t="str">
        <f t="shared" si="105"/>
        <v/>
      </c>
      <c r="DT206" t="str">
        <f t="shared" si="106"/>
        <v/>
      </c>
      <c r="DU206" t="str">
        <f t="shared" si="107"/>
        <v/>
      </c>
    </row>
    <row r="207" spans="1:125" x14ac:dyDescent="0.25">
      <c r="A207">
        <v>66</v>
      </c>
      <c r="B207" t="s">
        <v>674</v>
      </c>
      <c r="C207" s="15">
        <v>2429</v>
      </c>
      <c r="D207" s="15">
        <v>10000</v>
      </c>
      <c r="E207" t="str">
        <f>IF(B207=Level!$A$2,SD!$C$14,SD!$C$13)</f>
        <v>0-8</v>
      </c>
      <c r="F207" s="15" t="s">
        <v>787</v>
      </c>
      <c r="G207" t="s">
        <v>742</v>
      </c>
      <c r="H207" t="str">
        <f>RIGHT(VLOOKUP(B207,Level!A:C,3,FALSE),LEN(VLOOKUP(B207,Level!A:C,3,FALSE))-1)</f>
        <v>10-7</v>
      </c>
      <c r="I207" t="s">
        <v>743</v>
      </c>
      <c r="J207" t="str">
        <f>IF(AND(SD!$C$19=SD!$H$2,Grade!$G$1="Per level"),VLOOKUP(B207,Grade!$E$1:$F$200,2,FALSE),IF(AND(SD!$C$19=SD!$H$2,Grade!$G$1="Per Bar Size"),VLOOKUP(W207,Grade!$B$1:$C$12,2,0),SD!$C$19))</f>
        <v>A615 Grade 60</v>
      </c>
      <c r="K207" t="s">
        <v>67</v>
      </c>
      <c r="L207" t="str">
        <f>IFERROR(IF(A207&lt;&gt;A208,"",IF(DF207="No Lap","",IF(K208="Lap",U207,IF(K208="Coupler",_xlfn._xlws.FILTER(CCoupler,(CCName=SD!$C$8)*(CBSize=IF(A206=A207,W207&amp;W208,W207&amp;W207))*(CCMFM="Male")),"")))),"N/A")</f>
        <v>5-1</v>
      </c>
      <c r="M207" t="str">
        <f t="shared" si="81"/>
        <v/>
      </c>
      <c r="N207" t="s">
        <v>719</v>
      </c>
      <c r="O207" t="s">
        <v>720</v>
      </c>
      <c r="P207" t="s">
        <v>719</v>
      </c>
      <c r="Q207" t="str">
        <f>IF(AND(SD!$C$29=SD!$P$2,Grade!$O$1="Per level"),VLOOKUP(B207,Grade!$M$1:$N$200,2,FALSE),IF(AND(SD!$C$29=SD!$P$2,Grade!$O$1="Per Bar Size"),VLOOKUP(LEFT(N207,FIND("@",N207)-2),Grade!$J$1:$K$12,2,0),SD!$C$29))</f>
        <v>A615 Grade 60</v>
      </c>
      <c r="R207" t="s">
        <v>742</v>
      </c>
      <c r="S207" s="57">
        <v>207</v>
      </c>
      <c r="U207" t="str">
        <f>IF(Data!$J207="",IFERROR(INDEX(IF(SD!$C$11="Create",Lap!$A$3:$BF$14,IF(SD!$C$11="Per Uploaded File",Lap!$A$19:$BF$30,"")),MATCH(W207,Lap!$A$3:$A$14,0),MATCH(VALUE(D207),Lap!$A$3:$BF$3,0)+IF(IFERROR(FIND("Grade 60",J207),0)&gt;0,0,IF(IFERROR(FIND("Grade 80",J207),0),1,IF(IFERROR(FIND("Grade 75",J207),0),2,"")))),""),Data!J207)</f>
        <v>5-1</v>
      </c>
      <c r="W207" t="s">
        <v>176</v>
      </c>
      <c r="X207">
        <v>6</v>
      </c>
      <c r="Y207" t="str">
        <f t="shared" si="82"/>
        <v>30</v>
      </c>
      <c r="Z207">
        <f t="shared" si="83"/>
        <v>0</v>
      </c>
      <c r="AA207" s="24">
        <f t="shared" si="84"/>
        <v>15.666666666666666</v>
      </c>
      <c r="BB207" t="e" cm="1">
        <f t="array" ref="BB207">_xlfn.LET(_xlpm.PartF,(_xlfn.LET(_xlpm.grade, Q207,_xlpm.gradeRange, IF(_xlpm.grade=SD!$H$3, A615GR60, IF(_xlpm.grade=SD!$H$4, A615GR75, IF(_xlpm.grade=SD!$H$5, A615GR80, IF(_xlpm.grade=SD!$H$6, A615GR100, IF(_xlpm.grade=SD!$H$7, A706GR60, IF(_xlpm.grade=SD!$H$8, A706GR80)))))),_xlpm.matchValue, MATCH(1, (SD!$AW:$AW=AS207)*(SD!$AX:$AX=SD!$C$8), 0),INDEX(_xlpm.gradeRange, _xlpm.matchValue))),IF(AM207="Spiral",CONCATENATE("SP",_xlpm.PartF),_xlpm.PartF))</f>
        <v>#N/A</v>
      </c>
      <c r="BC207" cm="1">
        <f t="array" ref="BC207">_xlfn.LET(_xlpm.leftPart, LEFT(O207, FIND("@", O207) - 2),_xlpm.grade,Q207,_xlpm.gradeRange,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7" cm="1">
        <f t="array" ref="BD207">_xlfn.LET(_xlpm.leftPart, LEFT(P207, FIND("@", P207) - 2),_xlpm.grade, Q207,_xlpm.gradeRange,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7">
        <f t="shared" si="85"/>
        <v>2.5</v>
      </c>
      <c r="BF207">
        <f>IF(SD!$C$32=SD!$I$2,BE207,IF(SD!$C$32=SD!$I$3,DO207,IF(SD!$C$32=SD!$I$5,BA207,IF(SD!$C$32=SD!$I$6,(LEFT(SD!$C$35,FIND("-",SD!$C$35)-1)+RIGHT(SD!$C$35,LEN(SD!$C$35)-FIND("-",SD!$C$35))/12),IF(SD!$C$32=SD!$I$4,(AU207-(BG207+BH207)))))))</f>
        <v>0</v>
      </c>
      <c r="BG207">
        <f>IF(SD!$C$33=SD!$I$2,BE207,IF(SD!$C$33=SD!$I$3,DO207,IF(SD!$C$33=SD!$I$5,BA207,IF(SD!$C$33=SD!$I$6,(LEFT(SD!$C$35,FIND("-",SD!$C$35)-1)+RIGHT(SD!$C$35,LEN(SD!$C$35)-FIND("-",SD!$C$35))/12),IF(SD!$C$33=SD!$I$4,(AU207-(BF207+BH207)))))))</f>
        <v>-1</v>
      </c>
      <c r="BH207">
        <f>IF(SD!$C$34=SD!$I$2,BE207,IF(SD!$C$34=SD!$I$3,DO207,IF(SD!$C$34=SD!$I$5,BA207,IF(SD!$C$34=SD!$I$6,(LEFT(SD!$C$35,FIND("-",SD!$C$35)-1)+RIGHT(SD!$C$35,LEN(SD!$C$35)-FIND("-",SD!$C$35))/12),IF(SD!$C$34=SD!$I$4,(AU207-(BF207+BG207)))))))</f>
        <v>1</v>
      </c>
      <c r="BJ207">
        <f>IF(AM207="Spiral","1",MAX(ROUNDUP(IF(SD!$C$32="",AT207,BF207/(LEFT(RIGHT(N207,LEN(N207)-FIND("@",N207)),LEN(RIGHT(N207,LEN(N207)-FIND("@",N207)))-1)/12)+1),0),0))</f>
        <v>1</v>
      </c>
      <c r="BK207">
        <f>MAX(ROUNDUP(IF(SD!$C$33="","",BG207/(LEFT(RIGHT(O207,LEN(O207)-FIND("@",O207)),LEN(RIGHT(O207,LEN(O207)-FIND("@",O207)))-1)/12)+1),0),0)</f>
        <v>0</v>
      </c>
      <c r="BL207">
        <f>MAX(ROUNDUP(IF(SD!$C$34="","",BH207/(LEFT(RIGHT(P207,LEN(P207)-FIND("@",P207)),LEN(RIGHT(P207,LEN(P207)-FIND("@",P207)))-1)/12)+1),0),0)</f>
        <v>3</v>
      </c>
      <c r="BN207" t="e">
        <f t="shared" si="86"/>
        <v>#N/A</v>
      </c>
      <c r="BO207" t="e">
        <f t="shared" si="87"/>
        <v>#N/A</v>
      </c>
      <c r="BP207" t="e">
        <f t="shared" si="88"/>
        <v>#N/A</v>
      </c>
      <c r="BQ207" s="24" t="e">
        <f>IF(AM207=TRUE,(((Y207-(SD!$E$12*2))*3.14159265359)+BN207+BO207+BP207)/12+AL207,SUM(AF207:AG207,BN207,BO207,BP207,AO207,AQ207)/12)</f>
        <v>#N/A</v>
      </c>
      <c r="BR207" t="e">
        <f t="shared" si="89"/>
        <v>#N/A</v>
      </c>
      <c r="BS207" t="e">
        <f t="shared" si="90"/>
        <v>#N/A</v>
      </c>
      <c r="BT207" t="e">
        <f t="shared" si="91"/>
        <v>#N/A</v>
      </c>
      <c r="BU207" s="24" t="e">
        <f>IF(AM207=TRUE,(((Y207-(SD!$E$12*2))*3.14159265359)+BR207+BS207+BT207)/12+AL207,SUM(AF207:AG207,BR207,BS207,BT207,AO207,AQ207)/12)</f>
        <v>#N/A</v>
      </c>
      <c r="BW207" t="str">
        <f>IFERROR(LEFT(Data!L207,FIND(" -",Data!L207)-1),"")</f>
        <v/>
      </c>
      <c r="BX207" t="str">
        <f>IFERROR(IF(SD!$C$40=SD!$U$2,W207,IF(SD!$C$40=SD!$U$3,RIGHT(Data!L207,LEN(Data!L207)-(FIND("-",Data!L207)+1)),SD!$C$40)),"")</f>
        <v>#10</v>
      </c>
      <c r="BY207" t="str" cm="1">
        <f t="array" ref="BY207">IFERROR(_xlfn.LET(_xlpm.GRR,IF(AND(SD!$C$19=SD!$H$2,Grade!$G$1="Per level"),VLOOKUP(B207,Grade!$E$1:$F$200,2,FALSE),IF(AND(SD!$C$19=SD!$H$2,Grade!$G$1="Per Bar Size"),VLOOKUP(BX207,Grade!$B$1:$C$12,2,0),SD!$C$19)),_xlpm.is_equal, A206=A207,_xlpm.grade_range, IF(_xlpm.GRR=SD!$H$3, A615GR60,IF(_xlpm.GRR=SD!$H$4, A615GR75,IF(_xlpm.GRR=SD!$H$5, A615GR80,IF(_xlpm.GRR=SD!H211, A615GR100,IF(_xlpm.GRR=SD!$H$7, A706GR60,IF(_xlpm.GRR=SD!$H$8, A706GR80)))))),_xlpm.match_result, MATCH(1, (BSize=BX207)*(BCName=SD!$C$8), 0),_xlpm.final_result, INDEX(_xlpm.grade_range, _xlpm.match_result),IF(_xlpm.is_equal, "", _xlpm.final_result)),"")</f>
        <v/>
      </c>
      <c r="BZ207" t="str">
        <f>IF(A206=A207,"",IF(SD!$C$41="Match Vertical Bars ",X207,IF(SD!$C$41=SD!$V$3,BW207,SD!$C$41)))</f>
        <v/>
      </c>
      <c r="CA207" t="str" cm="1">
        <f t="array" ref="CA207">IF(A206=A207,"",IF(SD!$C$44="No T-Head",IF(SD!$C$42=SD!$Q$3,VLOOKUP(BX207,S90Range,3,FALSE),LEFT(SD!$C$42,FIND("-",SD!$C$42)-1)+(RIGHT(SD!$C$42,LEN(SD!$C$42)-FIND("-",SD!$C$42))/12)),IF(SD!$C$44="T-Head",_xlfn._xlws.FILTER(THead,(TCName=SD!$C$8)*(TSize=BX207)),IF(SD!$C$44="Level Wise",_xlfn.LET(_xlpm.result,_xlfn.XLOOKUP(B207,VDLevel,VDLevelStatus,"No"),IF(_xlpm.result="Yes",_xlfn._xlws.FILTER(THead,(TCName=SD!$C$8)*(TSize=BX207)),IF(SD!$C$42=SD!$Q$3,VLOOKUP(BX207,S90Range,3,FALSE),LEFT(SD!$C$42,FIND("-",SD!$C$42)-1)+(RIGHT(SD!$C$42,LEN(SD!$C$42)-FIND("-", SD!$C$42))/12)))),IF(SD!$C$44="BarSize Wise",_xlfn.LET(_xlpm.result,_xlfn.XLOOKUP(BX207,VDBarSize,VDBarSizeStatus,"No"),IF(_xlpm.result="Yes",_xlfn._xlws.FILTER(THead,(TCName=SD!$C$8)*(TSize=BX207)),IF(SD!$C$42=SD!$Q$3,VLOOKUP(BX207,S90Range,3,FALSE),LEFT(SD!$C$42,FIND("-",SD!$C$42)-1)+(RIGHT(SD!$C$42,LEN(SD!$C$42)-FIND("-",SD!$C$42))/12)))), "")))))</f>
        <v/>
      </c>
      <c r="CB207" t="str" cm="1">
        <f t="array" ref="CB207">_xlfn.LET(_xlpm.GRR,IF(AND(SD!$C$19=SD!$H$2,Grade!$G$1="Per level"),VLOOKUP(B207,Grade!$E$1:$F$200,2,FALSE),IF(AND(SD!$C$19=SD!$H$2,Grade!$G$1="Per Bar Size"),VLOOKUP(BX207,Grade!$B$1:$C$12,2,0),SD!$C$19)),_xlpm.is_coupler, K207="Coupler",_xlpm.condition1, SD!$C$43=SD!$W$2,_xlpm.data_j2_empty, Data!$J207="",_xlpm.lookup_table, IF(SD!$C$11="Create", Lap!$A$3:$BF$14, IF(SD!$C$11="Per Uploaded File", Lap!$A$19:$BF$30, "")),_xlpm.row_match, MATCH(BX207, Lap!$A$3:$A$14, 0),_xlpm.grade_offset, IF(IFERROR(FIND("Grade 60",_xlpm.GRR), 0) &gt; 0, 0, IF(IFERROR(FIND("Grade 80",_xlpm.GRR), 0), 1, IF(IFERROR(FIND("Grade 75",_xlpm.GRR), 0), 2, ""))),_xlpm.col_match, MATCH(VALUE(D207), Lap!$A$3:$BF$3, 0) + _xlpm.grade_offset,_xlpm.index_result, IFERROR(INDEX(_xlpm.lookup_table, _xlpm.row_match, _xlpm.col_match), Data!$J207),_xlpm.result_if_condition1, IF(_xlpm.data_j2_empty, _xlpm.index_result, Data!$J207),IF(_xlpm.is_coupler, 0, IF(_xlpm.condition1, _xlpm.result_if_condition1, SD!$C$43)))</f>
        <v>5-1</v>
      </c>
      <c r="CC207" s="24">
        <f t="shared" si="92"/>
        <v>5.083333333333333</v>
      </c>
      <c r="CD207">
        <f t="shared" si="93"/>
        <v>5.75</v>
      </c>
      <c r="CE207" t="str" cm="1">
        <f t="array" ref="CE207">IF(BY207="","",_xlfn._xlws.FILTER(SAC,(CName=SD!$C$8)*(EName="Vert Dowels")))</f>
        <v/>
      </c>
      <c r="CF207" t="str" cm="1">
        <f t="array" ref="CF207">IFERROR(IF(BY207="","",IF(K207="Coupler",_xlfn._xlws.FILTER(CCoupler,(CCName=SD!$C$8)*(CBSize=IF(A206=A207,W206&amp;W207,BX207&amp;W207))*(CCMFM="Male")),"")),"N/A")</f>
        <v/>
      </c>
      <c r="CG207" t="str">
        <f t="shared" si="94"/>
        <v/>
      </c>
      <c r="CH207" t="str">
        <f t="shared" si="95"/>
        <v/>
      </c>
      <c r="CI207" t="str">
        <f>_xlfn.LET(_xlpm.u3_value, U208,_xlpm.hyphen_pos,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K208="Coupler",_xlpm.coupler_value, IF(_xlpm.is_coupler, 0, _xlpm.calculated_value),_xlpm.final_value, _xlpm.calculated_value + SD!$E$13 + _xlpm.coupler_value,IF(CG207="", "", _xlpm.final_value))</f>
        <v/>
      </c>
      <c r="CJ207" t="str" cm="1">
        <f t="array" ref="CJ207">IF(CG207="","",_xlfn._xlws.FILTER(SAC,(CName=SD!$C$8)*(EName="Loose Dowels")))</f>
        <v/>
      </c>
      <c r="CK207" t="str" cm="1">
        <f t="array" ref="CK207">IFERROR(IF(CG207="","",IF(K208="Coupler",_xlfn._xlws.FILTER(CCoupler,(CCName=SD!$C$8)*(CBSize=IF(A207=A208,W207&amp;W208,""))*(CCMFM="Male")),"")),"N/A")</f>
        <v/>
      </c>
      <c r="CL207" t="str">
        <f>IFERROR(IF(AM207="Spiral","",IF(A206=A207,"",IF(SD!$C$37=0,"",SD!$C$37))),"")</f>
        <v/>
      </c>
      <c r="CN207">
        <f>IF(AM207="Spiral","",IFERROR(IF(SD!$C$36=0,"",SD!$C$36),""))</f>
        <v>5</v>
      </c>
      <c r="CP207" t="str">
        <f>IFERROR(IF(SD!$C$42=SD!$Q$3,'Take-off'!CA207,""),"")</f>
        <v/>
      </c>
      <c r="CR207">
        <f>IFERROR(IF(SD!$C$22=SD!$U$2,W207,SD!$C$22),"")</f>
        <v>0</v>
      </c>
      <c r="CS207" t="str" cm="1">
        <f t="array" ref="CS207">_xlfn.LET(_xlpm.GR,IF(AND(SD!$C$19=SD!$H$2,Grade!$G$1="Per level"),VLOOKUP(B207,Grade!$E$1:$F$200,2,FALSE),IF(AND(SD!$C$19=SD!$H$2,Grade!$G$1="Per Bar Size"),VLOOKUP(CR207,Grade!$B$1:$C$12,2,0),SD!$C$19)),IF(SD!$C$20=SD!$R$4,IF(A208=A207,"",INDEX(IF(_xlpm.GR=SD!$H$3,A615GR60,IF(_xlpm.GR=SD!$H$4,A615GR75,IF(_xlpm.GR=SD!$H$5,A615GR80,IF(_xlpm.GR=SD!H211,A615GR100,IF(_xlpm.GR=SD!$H$7,A706GR60,IF(_xlpm.GR=SD!$H$8,A706GR80)))))), MATCH(1, (BSize=CR207)*(BCName=SD!$C$8), 0))),""))</f>
        <v/>
      </c>
      <c r="CT207" t="str">
        <f>IF(A208=A207,"",IF(SD!$C$23="Match Vertical Bars ",X207,SD!$C$23))</f>
        <v/>
      </c>
      <c r="CU207" t="str" cm="1">
        <f t="array" ref="CU207">IF(A208=A207,"",IF(SD!$C$20="Top dowels",IF(SD!$E$25="No T-Head",IF(SD!$C$24=SD!$Q$3,VLOOKUP(CR207,S90Range,3,FALSE),LEFT(SD!$C$24,FIND("-",SD!$C$24)-1)+(RIGHT(SD!$C$24,LEN(SD!$C$24)-FIND("-",SD!$C$24))/12)),IF(SD!$E$25="T-Head",_xlfn._xlws.FILTER(THead,(TCName=SD!$C$8)*(TSize=CR207)),IF(SD!$E$25="Level Wise",_xlfn.LET(_xlpm.result,_xlfn.XLOOKUP(B207,TDLevel,TDLevelStatus,"No"),IF(_xlpm.result="Yes",_xlfn._xlws.FILTER(THead,(TCName=SD!$C$8)*(TSize=CR207)),IF(SD!$C$24=SD!$Q$3,VLOOKUP(CR207,S90Range,3,FALSE),LEFT(SD!$C$24,FIND("-",SD!$C$24)-1)+(RIGHT(SD!$C$24,LEN(SD!$C$24)-FIND("-", SD!$C$24))/12)))),IF(SD!$E$25="BarSize Wise",_xlfn.LET(_xlpm.result,_xlfn.XLOOKUP(CR207,TDBarSize,TDBarSizeStatus,"No"),IF(_xlpm.result="Yes",_xlfn._xlws.FILTER(THead,(TCName=SD!$C$8)*(TSize=CR207)),IF(SD!$C$24=SD!$Q$3,VLOOKUP(CR207,S90Range,3,FALSE),LEFT(SD!$C$24,FIND("-",SD!$C$24)-1)+(RIGHT(SD!$C$24,LEN(SD!$C$24)-FIND("-",SD!$C$24))/12)))), "")))),""))</f>
        <v/>
      </c>
      <c r="CV207" t="str">
        <f>_xlfn.LET(_xlpm.GRR,IF(AND(SD!$C$19=SD!$H$2,Grade!$G$1="Per level"),VLOOKUP(B207,Grade!$E$1:$F$200,2,FALSE),IF(AND(SD!$C$19=SD!$H$2,Grade!$G$1="Per Bar Size"),VLOOKUP(CR207,Grade!$B$1:$C$12,2,0),SD!$C$19)),IF(SD!$C$25=SD!$W$2,IF(Data!$J207="",IFERROR(INDEX(IF(SD!$C$11="Create",Lap!$A$3:$BF$14,IF(SD!$C$11="Per Uploaded File",Lap!$A$19:$BF$30,"")),MATCH(CR207,Lap!$A$3:$A$14,0),MATCH(VALUE(D207),Lap!$A$3:$BF$3,0)+IF(IFERROR(FIND("Grade 60",_xlpm.GRR),0)&gt;0,0,IF(IFERROR(FIND("Grade 80",_xlpm.GRR),0),1,IF(IFERROR(FIND("Grade 75",_xlpm.GRR),0),2,"")))),""),Data!J207),SD!$C$43))</f>
        <v>Match Lap</v>
      </c>
      <c r="CW207">
        <f t="shared" si="96"/>
        <v>0</v>
      </c>
      <c r="CX207">
        <f t="shared" si="97"/>
        <v>0</v>
      </c>
      <c r="CY207" t="str">
        <f t="shared" si="98"/>
        <v/>
      </c>
      <c r="DA207" t="str">
        <f t="shared" si="99"/>
        <v/>
      </c>
      <c r="DB207" t="str">
        <f t="shared" si="100"/>
        <v/>
      </c>
      <c r="DC207" s="24" t="str">
        <f t="shared" si="101"/>
        <v/>
      </c>
      <c r="DD207">
        <f t="shared" si="102"/>
        <v>10.583333333333334</v>
      </c>
      <c r="DE207" t="s">
        <v>785</v>
      </c>
      <c r="DF207" t="s">
        <v>67</v>
      </c>
      <c r="DG207" t="str">
        <f>VLOOKUP(W207,'Level Wise PSI'!$F$2:$G$12,2,FALSE)</f>
        <v>Double Lift</v>
      </c>
      <c r="DI207" t="str" cm="1">
        <f t="array" ref="DI207">_xlfn.LET(_xlpm.Coup,IFERROR(IF(BY207="","",IF(K207="Coupler",_xlfn._xlws.FILTER(CCFCoupler,(CCName=SD!$C$8)*(CBSize=IF(A206=A207,W206&amp;W207,BX207&amp;W207))),"")),"N/A"),IF(_xlpm.Coup=0,"",_xlpm.Coup))</f>
        <v/>
      </c>
      <c r="DJ207" t="str" cm="1">
        <f t="array" ref="DJ207">_xlfn.LET(_xlpm.Coup3,IFERROR(IF(CG207="","",IF(K208="Coupler",_xlfn._xlws.FILTER(CCFCoupler,(CCName=SD!$C$8)*(CBSize=IF(A207=A208,W207&amp;W208,""))),"")),"N/A"),IF(_xlpm.Coup3=0,"",_xlpm.Coup3))</f>
        <v/>
      </c>
      <c r="DK207" t="str" cm="1">
        <f t="array" ref="DK207">_xlfn.LET(_xlpm.Coup2,IFERROR(IF(A207&lt;&gt;A208,"",IF(DF207="No Lap","",IF(K208="Coupler",_xlfn._xlws.FILTER(CCFCoupler,(CCName=SD!$C$8)*(CBSize=IF(A206=A207,W207&amp;W208,W207&amp;W207))),""))),"N/A"),IF(_xlpm.Coup2=0,"",_xlpm.Coup2))</f>
        <v/>
      </c>
      <c r="DM207" t="str">
        <f>IF(AM207="Spiral","",IF(SD!$C$31=SD!$Y$3,SD!$E$32*2,""))</f>
        <v/>
      </c>
      <c r="DO207" s="24">
        <f t="shared" si="103"/>
        <v>2.5</v>
      </c>
      <c r="DQ207" t="str">
        <f t="shared" si="104"/>
        <v>Lig</v>
      </c>
      <c r="DR207" t="str">
        <f>IF(AM207="Spiral",((Y207-(SD!$E$12*2))/12),"")</f>
        <v/>
      </c>
      <c r="DS207" t="str">
        <f t="shared" si="105"/>
        <v/>
      </c>
      <c r="DT207" t="str">
        <f t="shared" si="106"/>
        <v/>
      </c>
      <c r="DU207" t="str">
        <f t="shared" si="107"/>
        <v/>
      </c>
    </row>
    <row r="208" spans="1:125" x14ac:dyDescent="0.25">
      <c r="A208">
        <v>66</v>
      </c>
      <c r="B208" t="s">
        <v>676</v>
      </c>
      <c r="C208" s="15">
        <v>2429</v>
      </c>
      <c r="D208" s="15">
        <v>10000</v>
      </c>
      <c r="E208" t="str">
        <f>IF(B208=Level!$A$2,SD!$C$14,SD!$C$13)</f>
        <v>0-8</v>
      </c>
      <c r="F208" s="15" t="s">
        <v>787</v>
      </c>
      <c r="G208" t="s">
        <v>742</v>
      </c>
      <c r="H208" t="str">
        <f>RIGHT(VLOOKUP(B208,Level!A:C,3,FALSE),LEN(VLOOKUP(B208,Level!A:C,3,FALSE))-1)</f>
        <v>10-7</v>
      </c>
      <c r="I208" t="s">
        <v>743</v>
      </c>
      <c r="J208" t="str">
        <f>IF(AND(SD!$C$19=SD!$H$2,Grade!$G$1="Per level"),VLOOKUP(B208,Grade!$E$1:$F$200,2,FALSE),IF(AND(SD!$C$19=SD!$H$2,Grade!$G$1="Per Bar Size"),VLOOKUP(W208,Grade!$B$1:$C$12,2,0),SD!$C$19))</f>
        <v>A615 Grade 60</v>
      </c>
      <c r="K208" t="s">
        <v>67</v>
      </c>
      <c r="L208" t="str">
        <f>IFERROR(IF(A208&lt;&gt;A209,"",IF(DF208="No Lap","",IF(K209="Lap",U208,IF(K209="Coupler",_xlfn._xlws.FILTER(CCoupler,(CCName=SD!$C$8)*(CBSize=IF(A207=A208,W208&amp;W209,W208&amp;W208))*(CCMFM="Male")),"")))),"N/A")</f>
        <v>5-1</v>
      </c>
      <c r="M208" t="str">
        <f t="shared" si="81"/>
        <v/>
      </c>
      <c r="N208" t="s">
        <v>719</v>
      </c>
      <c r="O208" t="s">
        <v>720</v>
      </c>
      <c r="P208" t="s">
        <v>719</v>
      </c>
      <c r="Q208" t="str">
        <f>IF(AND(SD!$C$29=SD!$P$2,Grade!$O$1="Per level"),VLOOKUP(B208,Grade!$M$1:$N$200,2,FALSE),IF(AND(SD!$C$29=SD!$P$2,Grade!$O$1="Per Bar Size"),VLOOKUP(LEFT(N208,FIND("@",N208)-2),Grade!$J$1:$K$12,2,0),SD!$C$29))</f>
        <v>A615 Grade 60</v>
      </c>
      <c r="R208" t="s">
        <v>742</v>
      </c>
      <c r="S208" s="57">
        <v>208</v>
      </c>
      <c r="U208" t="str">
        <f>IF(Data!$J208="",IFERROR(INDEX(IF(SD!$C$11="Create",Lap!$A$3:$BF$14,IF(SD!$C$11="Per Uploaded File",Lap!$A$19:$BF$30,"")),MATCH(W208,Lap!$A$3:$A$14,0),MATCH(VALUE(D208),Lap!$A$3:$BF$3,0)+IF(IFERROR(FIND("Grade 60",J208),0)&gt;0,0,IF(IFERROR(FIND("Grade 80",J208),0),1,IF(IFERROR(FIND("Grade 75",J208),0),2,"")))),""),Data!J208)</f>
        <v>5-1</v>
      </c>
      <c r="W208" t="s">
        <v>176</v>
      </c>
      <c r="X208">
        <v>6</v>
      </c>
      <c r="Y208" t="str">
        <f t="shared" si="82"/>
        <v>30</v>
      </c>
      <c r="Z208">
        <f t="shared" si="83"/>
        <v>0</v>
      </c>
      <c r="AA208" s="24">
        <f t="shared" si="84"/>
        <v>15.666666666666666</v>
      </c>
      <c r="BB208" t="e" cm="1">
        <f t="array" ref="BB208">_xlfn.LET(_xlpm.PartF,(_xlfn.LET(_xlpm.grade, Q208,_xlpm.gradeRange, IF(_xlpm.grade=SD!$H$3, A615GR60, IF(_xlpm.grade=SD!$H$4, A615GR75, IF(_xlpm.grade=SD!$H$5, A615GR80, IF(_xlpm.grade=SD!$H$6, A615GR100, IF(_xlpm.grade=SD!$H$7, A706GR60, IF(_xlpm.grade=SD!$H$8, A706GR80)))))),_xlpm.matchValue, MATCH(1, (SD!$AW:$AW=AS208)*(SD!$AX:$AX=SD!$C$8), 0),INDEX(_xlpm.gradeRange, _xlpm.matchValue))),IF(AM208="Spiral",CONCATENATE("SP",_xlpm.PartF),_xlpm.PartF))</f>
        <v>#N/A</v>
      </c>
      <c r="BC208" cm="1">
        <f t="array" ref="BC208">_xlfn.LET(_xlpm.leftPart, LEFT(O208, FIND("@", O208) - 2),_xlpm.grade,Q208,_xlpm.gradeRange,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8" cm="1">
        <f t="array" ref="BD208">_xlfn.LET(_xlpm.leftPart, LEFT(P208, FIND("@", P208) - 2),_xlpm.grade, Q208,_xlpm.gradeRange,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8">
        <f t="shared" si="85"/>
        <v>2.5</v>
      </c>
      <c r="BF208">
        <f>IF(SD!$C$32=SD!$I$2,BE208,IF(SD!$C$32=SD!$I$3,DO208,IF(SD!$C$32=SD!$I$5,BA208,IF(SD!$C$32=SD!$I$6,(LEFT(SD!$C$35,FIND("-",SD!$C$35)-1)+RIGHT(SD!$C$35,LEN(SD!$C$35)-FIND("-",SD!$C$35))/12),IF(SD!$C$32=SD!$I$4,(AU208-(BG208+BH208)))))))</f>
        <v>0</v>
      </c>
      <c r="BG208">
        <f>IF(SD!$C$33=SD!$I$2,BE208,IF(SD!$C$33=SD!$I$3,DO208,IF(SD!$C$33=SD!$I$5,BA208,IF(SD!$C$33=SD!$I$6,(LEFT(SD!$C$35,FIND("-",SD!$C$35)-1)+RIGHT(SD!$C$35,LEN(SD!$C$35)-FIND("-",SD!$C$35))/12),IF(SD!$C$33=SD!$I$4,(AU208-(BF208+BH208)))))))</f>
        <v>-1</v>
      </c>
      <c r="BH208">
        <f>IF(SD!$C$34=SD!$I$2,BE208,IF(SD!$C$34=SD!$I$3,DO208,IF(SD!$C$34=SD!$I$5,BA208,IF(SD!$C$34=SD!$I$6,(LEFT(SD!$C$35,FIND("-",SD!$C$35)-1)+RIGHT(SD!$C$35,LEN(SD!$C$35)-FIND("-",SD!$C$35))/12),IF(SD!$C$34=SD!$I$4,(AU208-(BF208+BG208)))))))</f>
        <v>1</v>
      </c>
      <c r="BJ208">
        <f>IF(AM208="Spiral","1",MAX(ROUNDUP(IF(SD!$C$32="",AT208,BF208/(LEFT(RIGHT(N208,LEN(N208)-FIND("@",N208)),LEN(RIGHT(N208,LEN(N208)-FIND("@",N208)))-1)/12)+1),0),0))</f>
        <v>1</v>
      </c>
      <c r="BK208">
        <f>MAX(ROUNDUP(IF(SD!$C$33="","",BG208/(LEFT(RIGHT(O208,LEN(O208)-FIND("@",O208)),LEN(RIGHT(O208,LEN(O208)-FIND("@",O208)))-1)/12)+1),0),0)</f>
        <v>0</v>
      </c>
      <c r="BL208">
        <f>MAX(ROUNDUP(IF(SD!$C$34="","",BH208/(LEFT(RIGHT(P208,LEN(P208)-FIND("@",P208)),LEN(RIGHT(P208,LEN(P208)-FIND("@",P208)))-1)/12)+1),0),0)</f>
        <v>3</v>
      </c>
      <c r="BN208" t="e">
        <f t="shared" si="86"/>
        <v>#N/A</v>
      </c>
      <c r="BO208" t="e">
        <f t="shared" si="87"/>
        <v>#N/A</v>
      </c>
      <c r="BP208" t="e">
        <f t="shared" si="88"/>
        <v>#N/A</v>
      </c>
      <c r="BQ208" s="24" t="e">
        <f>IF(AM208=TRUE,(((Y208-(SD!$E$12*2))*3.14159265359)+BN208+BO208+BP208)/12+AL208,SUM(AF208:AG208,BN208,BO208,BP208,AO208,AQ208)/12)</f>
        <v>#N/A</v>
      </c>
      <c r="BR208" t="e">
        <f t="shared" si="89"/>
        <v>#N/A</v>
      </c>
      <c r="BS208" t="e">
        <f t="shared" si="90"/>
        <v>#N/A</v>
      </c>
      <c r="BT208" t="e">
        <f t="shared" si="91"/>
        <v>#N/A</v>
      </c>
      <c r="BU208" s="24" t="e">
        <f>IF(AM208=TRUE,(((Y208-(SD!$E$12*2))*3.14159265359)+BR208+BS208+BT208)/12+AL208,SUM(AF208:AG208,BR208,BS208,BT208,AO208,AQ208)/12)</f>
        <v>#N/A</v>
      </c>
      <c r="BW208" t="str">
        <f>IFERROR(LEFT(Data!L208,FIND(" -",Data!L208)-1),"")</f>
        <v/>
      </c>
      <c r="BX208" t="str">
        <f>IFERROR(IF(SD!$C$40=SD!$U$2,W208,IF(SD!$C$40=SD!$U$3,RIGHT(Data!L208,LEN(Data!L208)-(FIND("-",Data!L208)+1)),SD!$C$40)),"")</f>
        <v>#10</v>
      </c>
      <c r="BY208" t="str" cm="1">
        <f t="array" ref="BY208">IFERROR(_xlfn.LET(_xlpm.GRR,IF(AND(SD!$C$19=SD!$H$2,Grade!$G$1="Per level"),VLOOKUP(B208,Grade!$E$1:$F$200,2,FALSE),IF(AND(SD!$C$19=SD!$H$2,Grade!$G$1="Per Bar Size"),VLOOKUP(BX208,Grade!$B$1:$C$12,2,0),SD!$C$19)),_xlpm.is_equal, A207=A208,_xlpm.grade_range, IF(_xlpm.GRR=SD!$H$3, A615GR60,IF(_xlpm.GRR=SD!$H$4, A615GR75,IF(_xlpm.GRR=SD!$H$5, A615GR80,IF(_xlpm.GRR=SD!H212, A615GR100,IF(_xlpm.GRR=SD!$H$7, A706GR60,IF(_xlpm.GRR=SD!$H$8, A706GR80)))))),_xlpm.match_result, MATCH(1, (BSize=BX208)*(BCName=SD!$C$8), 0),_xlpm.final_result, INDEX(_xlpm.grade_range, _xlpm.match_result),IF(_xlpm.is_equal, "", _xlpm.final_result)),"")</f>
        <v/>
      </c>
      <c r="BZ208" t="str">
        <f>IF(A207=A208,"",IF(SD!$C$41="Match Vertical Bars ",X208,IF(SD!$C$41=SD!$V$3,BW208,SD!$C$41)))</f>
        <v/>
      </c>
      <c r="CA208" t="str" cm="1">
        <f t="array" ref="CA208">IF(A207=A208,"",IF(SD!$C$44="No T-Head",IF(SD!$C$42=SD!$Q$3,VLOOKUP(BX208,S90Range,3,FALSE),LEFT(SD!$C$42,FIND("-",SD!$C$42)-1)+(RIGHT(SD!$C$42,LEN(SD!$C$42)-FIND("-",SD!$C$42))/12)),IF(SD!$C$44="T-Head",_xlfn._xlws.FILTER(THead,(TCName=SD!$C$8)*(TSize=BX208)),IF(SD!$C$44="Level Wise",_xlfn.LET(_xlpm.result,_xlfn.XLOOKUP(B208,VDLevel,VDLevelStatus,"No"),IF(_xlpm.result="Yes",_xlfn._xlws.FILTER(THead,(TCName=SD!$C$8)*(TSize=BX208)),IF(SD!$C$42=SD!$Q$3,VLOOKUP(BX208,S90Range,3,FALSE),LEFT(SD!$C$42,FIND("-",SD!$C$42)-1)+(RIGHT(SD!$C$42,LEN(SD!$C$42)-FIND("-", SD!$C$42))/12)))),IF(SD!$C$44="BarSize Wise",_xlfn.LET(_xlpm.result,_xlfn.XLOOKUP(BX208,VDBarSize,VDBarSizeStatus,"No"),IF(_xlpm.result="Yes",_xlfn._xlws.FILTER(THead,(TCName=SD!$C$8)*(TSize=BX208)),IF(SD!$C$42=SD!$Q$3,VLOOKUP(BX208,S90Range,3,FALSE),LEFT(SD!$C$42,FIND("-",SD!$C$42)-1)+(RIGHT(SD!$C$42,LEN(SD!$C$42)-FIND("-",SD!$C$42))/12)))), "")))))</f>
        <v/>
      </c>
      <c r="CB208" t="str" cm="1">
        <f t="array" ref="CB208">_xlfn.LET(_xlpm.GRR,IF(AND(SD!$C$19=SD!$H$2,Grade!$G$1="Per level"),VLOOKUP(B208,Grade!$E$1:$F$200,2,FALSE),IF(AND(SD!$C$19=SD!$H$2,Grade!$G$1="Per Bar Size"),VLOOKUP(BX208,Grade!$B$1:$C$12,2,0),SD!$C$19)),_xlpm.is_coupler, K208="Coupler",_xlpm.condition1, SD!$C$43=SD!$W$2,_xlpm.data_j2_empty, Data!$J208="",_xlpm.lookup_table, IF(SD!$C$11="Create", Lap!$A$3:$BF$14, IF(SD!$C$11="Per Uploaded File", Lap!$A$19:$BF$30, "")),_xlpm.row_match, MATCH(BX208, Lap!$A$3:$A$14, 0),_xlpm.grade_offset, IF(IFERROR(FIND("Grade 60",_xlpm.GRR), 0) &gt; 0, 0, IF(IFERROR(FIND("Grade 80",_xlpm.GRR), 0), 1, IF(IFERROR(FIND("Grade 75",_xlpm.GRR), 0), 2, ""))),_xlpm.col_match, MATCH(VALUE(D208), Lap!$A$3:$BF$3, 0) + _xlpm.grade_offset,_xlpm.index_result, IFERROR(INDEX(_xlpm.lookup_table, _xlpm.row_match, _xlpm.col_match), Data!$J208),_xlpm.result_if_condition1, IF(_xlpm.data_j2_empty, _xlpm.index_result, Data!$J208),IF(_xlpm.is_coupler, 0, IF(_xlpm.condition1, _xlpm.result_if_condition1, SD!$C$43)))</f>
        <v>5-1</v>
      </c>
      <c r="CC208" s="24">
        <f t="shared" si="92"/>
        <v>5.083333333333333</v>
      </c>
      <c r="CD208">
        <f t="shared" si="93"/>
        <v>5.75</v>
      </c>
      <c r="CE208" t="str" cm="1">
        <f t="array" ref="CE208">IF(BY208="","",_xlfn._xlws.FILTER(SAC,(CName=SD!$C$8)*(EName="Vert Dowels")))</f>
        <v/>
      </c>
      <c r="CF208" t="str" cm="1">
        <f t="array" ref="CF208">IFERROR(IF(BY208="","",IF(K208="Coupler",_xlfn._xlws.FILTER(CCoupler,(CCName=SD!$C$8)*(CBSize=IF(A207=A208,W207&amp;W208,BX208&amp;W208))*(CCMFM="Male")),"")),"N/A")</f>
        <v/>
      </c>
      <c r="CG208" t="str">
        <f t="shared" si="94"/>
        <v/>
      </c>
      <c r="CH208" t="str">
        <f t="shared" si="95"/>
        <v/>
      </c>
      <c r="CI208" t="str">
        <f>_xlfn.LET(_xlpm.u3_value, U209,_xlpm.hyphen_pos,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K209="Coupler",_xlpm.coupler_value, IF(_xlpm.is_coupler, 0, _xlpm.calculated_value),_xlpm.final_value, _xlpm.calculated_value + SD!$E$13 + _xlpm.coupler_value,IF(CG208="", "", _xlpm.final_value))</f>
        <v/>
      </c>
      <c r="CJ208" t="str" cm="1">
        <f t="array" ref="CJ208">IF(CG208="","",_xlfn._xlws.FILTER(SAC,(CName=SD!$C$8)*(EName="Loose Dowels")))</f>
        <v/>
      </c>
      <c r="CK208" t="str" cm="1">
        <f t="array" ref="CK208">IFERROR(IF(CG208="","",IF(K209="Coupler",_xlfn._xlws.FILTER(CCoupler,(CCName=SD!$C$8)*(CBSize=IF(A208=A209,W208&amp;W209,""))*(CCMFM="Male")),"")),"N/A")</f>
        <v/>
      </c>
      <c r="CL208" t="str">
        <f>IFERROR(IF(AM208="Spiral","",IF(A207=A208,"",IF(SD!$C$37=0,"",SD!$C$37))),"")</f>
        <v/>
      </c>
      <c r="CN208">
        <f>IF(AM208="Spiral","",IFERROR(IF(SD!$C$36=0,"",SD!$C$36),""))</f>
        <v>5</v>
      </c>
      <c r="CP208" t="str">
        <f>IFERROR(IF(SD!$C$42=SD!$Q$3,'Take-off'!CA208,""),"")</f>
        <v/>
      </c>
      <c r="CR208">
        <f>IFERROR(IF(SD!$C$22=SD!$U$2,W208,SD!$C$22),"")</f>
        <v>0</v>
      </c>
      <c r="CS208" t="str" cm="1">
        <f t="array" ref="CS208">_xlfn.LET(_xlpm.GR,IF(AND(SD!$C$19=SD!$H$2,Grade!$G$1="Per level"),VLOOKUP(B208,Grade!$E$1:$F$200,2,FALSE),IF(AND(SD!$C$19=SD!$H$2,Grade!$G$1="Per Bar Size"),VLOOKUP(CR208,Grade!$B$1:$C$12,2,0),SD!$C$19)),IF(SD!$C$20=SD!$R$4,IF(A209=A208,"",INDEX(IF(_xlpm.GR=SD!$H$3,A615GR60,IF(_xlpm.GR=SD!$H$4,A615GR75,IF(_xlpm.GR=SD!$H$5,A615GR80,IF(_xlpm.GR=SD!H212,A615GR100,IF(_xlpm.GR=SD!$H$7,A706GR60,IF(_xlpm.GR=SD!$H$8,A706GR80)))))), MATCH(1, (BSize=CR208)*(BCName=SD!$C$8), 0))),""))</f>
        <v/>
      </c>
      <c r="CT208" t="str">
        <f>IF(A209=A208,"",IF(SD!$C$23="Match Vertical Bars ",X208,SD!$C$23))</f>
        <v/>
      </c>
      <c r="CU208" t="str" cm="1">
        <f t="array" ref="CU208">IF(A209=A208,"",IF(SD!$C$20="Top dowels",IF(SD!$E$25="No T-Head",IF(SD!$C$24=SD!$Q$3,VLOOKUP(CR208,S90Range,3,FALSE),LEFT(SD!$C$24,FIND("-",SD!$C$24)-1)+(RIGHT(SD!$C$24,LEN(SD!$C$24)-FIND("-",SD!$C$24))/12)),IF(SD!$E$25="T-Head",_xlfn._xlws.FILTER(THead,(TCName=SD!$C$8)*(TSize=CR208)),IF(SD!$E$25="Level Wise",_xlfn.LET(_xlpm.result,_xlfn.XLOOKUP(B208,TDLevel,TDLevelStatus,"No"),IF(_xlpm.result="Yes",_xlfn._xlws.FILTER(THead,(TCName=SD!$C$8)*(TSize=CR208)),IF(SD!$C$24=SD!$Q$3,VLOOKUP(CR208,S90Range,3,FALSE),LEFT(SD!$C$24,FIND("-",SD!$C$24)-1)+(RIGHT(SD!$C$24,LEN(SD!$C$24)-FIND("-", SD!$C$24))/12)))),IF(SD!$E$25="BarSize Wise",_xlfn.LET(_xlpm.result,_xlfn.XLOOKUP(CR208,TDBarSize,TDBarSizeStatus,"No"),IF(_xlpm.result="Yes",_xlfn._xlws.FILTER(THead,(TCName=SD!$C$8)*(TSize=CR208)),IF(SD!$C$24=SD!$Q$3,VLOOKUP(CR208,S90Range,3,FALSE),LEFT(SD!$C$24,FIND("-",SD!$C$24)-1)+(RIGHT(SD!$C$24,LEN(SD!$C$24)-FIND("-",SD!$C$24))/12)))), "")))),""))</f>
        <v/>
      </c>
      <c r="CV208" t="str">
        <f>_xlfn.LET(_xlpm.GRR,IF(AND(SD!$C$19=SD!$H$2,Grade!$G$1="Per level"),VLOOKUP(B208,Grade!$E$1:$F$200,2,FALSE),IF(AND(SD!$C$19=SD!$H$2,Grade!$G$1="Per Bar Size"),VLOOKUP(CR208,Grade!$B$1:$C$12,2,0),SD!$C$19)),IF(SD!$C$25=SD!$W$2,IF(Data!$J208="",IFERROR(INDEX(IF(SD!$C$11="Create",Lap!$A$3:$BF$14,IF(SD!$C$11="Per Uploaded File",Lap!$A$19:$BF$30,"")),MATCH(CR208,Lap!$A$3:$A$14,0),MATCH(VALUE(D208),Lap!$A$3:$BF$3,0)+IF(IFERROR(FIND("Grade 60",_xlpm.GRR),0)&gt;0,0,IF(IFERROR(FIND("Grade 80",_xlpm.GRR),0),1,IF(IFERROR(FIND("Grade 75",_xlpm.GRR),0),2,"")))),""),Data!J208),SD!$C$43))</f>
        <v>Match Lap</v>
      </c>
      <c r="CW208">
        <f t="shared" si="96"/>
        <v>0</v>
      </c>
      <c r="CX208">
        <f t="shared" si="97"/>
        <v>0</v>
      </c>
      <c r="CY208" t="str">
        <f t="shared" si="98"/>
        <v/>
      </c>
      <c r="DA208" t="str">
        <f t="shared" si="99"/>
        <v/>
      </c>
      <c r="DB208" t="str">
        <f t="shared" si="100"/>
        <v/>
      </c>
      <c r="DC208" s="24" t="str">
        <f t="shared" si="101"/>
        <v/>
      </c>
      <c r="DD208">
        <f t="shared" si="102"/>
        <v>10.583333333333334</v>
      </c>
      <c r="DE208" t="s">
        <v>785</v>
      </c>
      <c r="DF208" t="s">
        <v>67</v>
      </c>
      <c r="DG208" t="str">
        <f>VLOOKUP(W208,'Level Wise PSI'!$F$2:$G$12,2,FALSE)</f>
        <v>Double Lift</v>
      </c>
      <c r="DI208" t="str" cm="1">
        <f t="array" ref="DI208">_xlfn.LET(_xlpm.Coup,IFERROR(IF(BY208="","",IF(K208="Coupler",_xlfn._xlws.FILTER(CCFCoupler,(CCName=SD!$C$8)*(CBSize=IF(A207=A208,W207&amp;W208,BX208&amp;W208))),"")),"N/A"),IF(_xlpm.Coup=0,"",_xlpm.Coup))</f>
        <v/>
      </c>
      <c r="DJ208" t="str" cm="1">
        <f t="array" ref="DJ208">_xlfn.LET(_xlpm.Coup3,IFERROR(IF(CG208="","",IF(K209="Coupler",_xlfn._xlws.FILTER(CCFCoupler,(CCName=SD!$C$8)*(CBSize=IF(A208=A209,W208&amp;W209,""))),"")),"N/A"),IF(_xlpm.Coup3=0,"",_xlpm.Coup3))</f>
        <v/>
      </c>
      <c r="DK208" t="str" cm="1">
        <f t="array" ref="DK208">_xlfn.LET(_xlpm.Coup2,IFERROR(IF(A208&lt;&gt;A209,"",IF(DF208="No Lap","",IF(K209="Coupler",_xlfn._xlws.FILTER(CCFCoupler,(CCName=SD!$C$8)*(CBSize=IF(A207=A208,W208&amp;W209,W208&amp;W208))),""))),"N/A"),IF(_xlpm.Coup2=0,"",_xlpm.Coup2))</f>
        <v/>
      </c>
      <c r="DM208" t="str">
        <f>IF(AM208="Spiral","",IF(SD!$C$31=SD!$Y$3,SD!$E$32*2,""))</f>
        <v/>
      </c>
      <c r="DO208" s="24">
        <f t="shared" si="103"/>
        <v>2.5</v>
      </c>
      <c r="DQ208" t="str">
        <f t="shared" si="104"/>
        <v>Lig</v>
      </c>
      <c r="DR208" t="str">
        <f>IF(AM208="Spiral",((Y208-(SD!$E$12*2))/12),"")</f>
        <v/>
      </c>
      <c r="DS208" t="str">
        <f t="shared" si="105"/>
        <v/>
      </c>
      <c r="DT208" t="str">
        <f t="shared" si="106"/>
        <v/>
      </c>
      <c r="DU208" t="str">
        <f t="shared" si="107"/>
        <v/>
      </c>
    </row>
    <row r="209" spans="1:125" x14ac:dyDescent="0.25">
      <c r="A209">
        <v>66</v>
      </c>
      <c r="B209" t="s">
        <v>678</v>
      </c>
      <c r="C209" s="15">
        <v>2429</v>
      </c>
      <c r="D209" s="15">
        <v>10000</v>
      </c>
      <c r="E209" t="str">
        <f>IF(B209=Level!$A$2,SD!$C$14,SD!$C$13)</f>
        <v>0-8</v>
      </c>
      <c r="F209" s="15" t="s">
        <v>787</v>
      </c>
      <c r="G209" t="s">
        <v>742</v>
      </c>
      <c r="H209" t="str">
        <f>RIGHT(VLOOKUP(B209,Level!A:C,3,FALSE),LEN(VLOOKUP(B209,Level!A:C,3,FALSE))-1)</f>
        <v>10-7</v>
      </c>
      <c r="I209" t="s">
        <v>743</v>
      </c>
      <c r="J209" t="str">
        <f>IF(AND(SD!$C$19=SD!$H$2,Grade!$G$1="Per level"),VLOOKUP(B209,Grade!$E$1:$F$200,2,FALSE),IF(AND(SD!$C$19=SD!$H$2,Grade!$G$1="Per Bar Size"),VLOOKUP(W209,Grade!$B$1:$C$12,2,0),SD!$C$19))</f>
        <v>A615 Grade 60</v>
      </c>
      <c r="K209" t="s">
        <v>67</v>
      </c>
      <c r="L209" t="str">
        <f>IFERROR(IF(A209&lt;&gt;A210,"",IF(DF209="No Lap","",IF(K210="Lap",U209,IF(K210="Coupler",_xlfn._xlws.FILTER(CCoupler,(CCName=SD!$C$8)*(CBSize=IF(A208=A209,W209&amp;W210,W209&amp;W209))*(CCMFM="Male")),"")))),"N/A")</f>
        <v>5-1</v>
      </c>
      <c r="M209" t="str">
        <f t="shared" si="81"/>
        <v/>
      </c>
      <c r="N209" t="s">
        <v>719</v>
      </c>
      <c r="O209" t="s">
        <v>720</v>
      </c>
      <c r="P209" t="s">
        <v>719</v>
      </c>
      <c r="Q209" t="str">
        <f>IF(AND(SD!$C$29=SD!$P$2,Grade!$O$1="Per level"),VLOOKUP(B209,Grade!$M$1:$N$200,2,FALSE),IF(AND(SD!$C$29=SD!$P$2,Grade!$O$1="Per Bar Size"),VLOOKUP(LEFT(N209,FIND("@",N209)-2),Grade!$J$1:$K$12,2,0),SD!$C$29))</f>
        <v>A615 Grade 60</v>
      </c>
      <c r="R209" t="s">
        <v>742</v>
      </c>
      <c r="S209" s="57">
        <v>209</v>
      </c>
      <c r="U209" t="str">
        <f>IF(Data!$J209="",IFERROR(INDEX(IF(SD!$C$11="Create",Lap!$A$3:$BF$14,IF(SD!$C$11="Per Uploaded File",Lap!$A$19:$BF$30,"")),MATCH(W209,Lap!$A$3:$A$14,0),MATCH(VALUE(D209),Lap!$A$3:$BF$3,0)+IF(IFERROR(FIND("Grade 60",J209),0)&gt;0,0,IF(IFERROR(FIND("Grade 80",J209),0),1,IF(IFERROR(FIND("Grade 75",J209),0),2,"")))),""),Data!J209)</f>
        <v>5-1</v>
      </c>
      <c r="W209" t="s">
        <v>176</v>
      </c>
      <c r="X209">
        <v>6</v>
      </c>
      <c r="Y209" t="str">
        <f t="shared" si="82"/>
        <v>30</v>
      </c>
      <c r="Z209">
        <f t="shared" si="83"/>
        <v>0</v>
      </c>
      <c r="AA209" s="24">
        <f t="shared" si="84"/>
        <v>15.666666666666666</v>
      </c>
      <c r="BB209" t="e" cm="1">
        <f t="array" ref="BB209">_xlfn.LET(_xlpm.PartF,(_xlfn.LET(_xlpm.grade, Q209,_xlpm.gradeRange, IF(_xlpm.grade=SD!$H$3, A615GR60, IF(_xlpm.grade=SD!$H$4, A615GR75, IF(_xlpm.grade=SD!$H$5, A615GR80, IF(_xlpm.grade=SD!$H$6, A615GR100, IF(_xlpm.grade=SD!$H$7, A706GR60, IF(_xlpm.grade=SD!$H$8, A706GR80)))))),_xlpm.matchValue, MATCH(1, (SD!$AW:$AW=AS209)*(SD!$AX:$AX=SD!$C$8), 0),INDEX(_xlpm.gradeRange, _xlpm.matchValue))),IF(AM209="Spiral",CONCATENATE("SP",_xlpm.PartF),_xlpm.PartF))</f>
        <v>#N/A</v>
      </c>
      <c r="BC209" cm="1">
        <f t="array" ref="BC209">_xlfn.LET(_xlpm.leftPart, LEFT(O209, FIND("@", O209) - 2),_xlpm.grade,Q209,_xlpm.gradeRange,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09" cm="1">
        <f t="array" ref="BD209">_xlfn.LET(_xlpm.leftPart, LEFT(P209, FIND("@", P209) - 2),_xlpm.grade, Q209,_xlpm.gradeRange,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09">
        <f t="shared" si="85"/>
        <v>2.5</v>
      </c>
      <c r="BF209">
        <f>IF(SD!$C$32=SD!$I$2,BE209,IF(SD!$C$32=SD!$I$3,DO209,IF(SD!$C$32=SD!$I$5,BA209,IF(SD!$C$32=SD!$I$6,(LEFT(SD!$C$35,FIND("-",SD!$C$35)-1)+RIGHT(SD!$C$35,LEN(SD!$C$35)-FIND("-",SD!$C$35))/12),IF(SD!$C$32=SD!$I$4,(AU209-(BG209+BH209)))))))</f>
        <v>0</v>
      </c>
      <c r="BG209">
        <f>IF(SD!$C$33=SD!$I$2,BE209,IF(SD!$C$33=SD!$I$3,DO209,IF(SD!$C$33=SD!$I$5,BA209,IF(SD!$C$33=SD!$I$6,(LEFT(SD!$C$35,FIND("-",SD!$C$35)-1)+RIGHT(SD!$C$35,LEN(SD!$C$35)-FIND("-",SD!$C$35))/12),IF(SD!$C$33=SD!$I$4,(AU209-(BF209+BH209)))))))</f>
        <v>-1</v>
      </c>
      <c r="BH209">
        <f>IF(SD!$C$34=SD!$I$2,BE209,IF(SD!$C$34=SD!$I$3,DO209,IF(SD!$C$34=SD!$I$5,BA209,IF(SD!$C$34=SD!$I$6,(LEFT(SD!$C$35,FIND("-",SD!$C$35)-1)+RIGHT(SD!$C$35,LEN(SD!$C$35)-FIND("-",SD!$C$35))/12),IF(SD!$C$34=SD!$I$4,(AU209-(BF209+BG209)))))))</f>
        <v>1</v>
      </c>
      <c r="BJ209">
        <f>IF(AM209="Spiral","1",MAX(ROUNDUP(IF(SD!$C$32="",AT209,BF209/(LEFT(RIGHT(N209,LEN(N209)-FIND("@",N209)),LEN(RIGHT(N209,LEN(N209)-FIND("@",N209)))-1)/12)+1),0),0))</f>
        <v>1</v>
      </c>
      <c r="BK209">
        <f>MAX(ROUNDUP(IF(SD!$C$33="","",BG209/(LEFT(RIGHT(O209,LEN(O209)-FIND("@",O209)),LEN(RIGHT(O209,LEN(O209)-FIND("@",O209)))-1)/12)+1),0),0)</f>
        <v>0</v>
      </c>
      <c r="BL209">
        <f>MAX(ROUNDUP(IF(SD!$C$34="","",BH209/(LEFT(RIGHT(P209,LEN(P209)-FIND("@",P209)),LEN(RIGHT(P209,LEN(P209)-FIND("@",P209)))-1)/12)+1),0),0)</f>
        <v>3</v>
      </c>
      <c r="BN209" t="e">
        <f t="shared" si="86"/>
        <v>#N/A</v>
      </c>
      <c r="BO209" t="e">
        <f t="shared" si="87"/>
        <v>#N/A</v>
      </c>
      <c r="BP209" t="e">
        <f t="shared" si="88"/>
        <v>#N/A</v>
      </c>
      <c r="BQ209" s="24" t="e">
        <f>IF(AM209=TRUE,(((Y209-(SD!$E$12*2))*3.14159265359)+BN209+BO209+BP209)/12+AL209,SUM(AF209:AG209,BN209,BO209,BP209,AO209,AQ209)/12)</f>
        <v>#N/A</v>
      </c>
      <c r="BR209" t="e">
        <f t="shared" si="89"/>
        <v>#N/A</v>
      </c>
      <c r="BS209" t="e">
        <f t="shared" si="90"/>
        <v>#N/A</v>
      </c>
      <c r="BT209" t="e">
        <f t="shared" si="91"/>
        <v>#N/A</v>
      </c>
      <c r="BU209" s="24" t="e">
        <f>IF(AM209=TRUE,(((Y209-(SD!$E$12*2))*3.14159265359)+BR209+BS209+BT209)/12+AL209,SUM(AF209:AG209,BR209,BS209,BT209,AO209,AQ209)/12)</f>
        <v>#N/A</v>
      </c>
      <c r="BW209" t="str">
        <f>IFERROR(LEFT(Data!L209,FIND(" -",Data!L209)-1),"")</f>
        <v/>
      </c>
      <c r="BX209" t="str">
        <f>IFERROR(IF(SD!$C$40=SD!$U$2,W209,IF(SD!$C$40=SD!$U$3,RIGHT(Data!L209,LEN(Data!L209)-(FIND("-",Data!L209)+1)),SD!$C$40)),"")</f>
        <v>#10</v>
      </c>
      <c r="BY209" t="str" cm="1">
        <f t="array" ref="BY209">IFERROR(_xlfn.LET(_xlpm.GRR,IF(AND(SD!$C$19=SD!$H$2,Grade!$G$1="Per level"),VLOOKUP(B209,Grade!$E$1:$F$200,2,FALSE),IF(AND(SD!$C$19=SD!$H$2,Grade!$G$1="Per Bar Size"),VLOOKUP(BX209,Grade!$B$1:$C$12,2,0),SD!$C$19)),_xlpm.is_equal, A208=A209,_xlpm.grade_range, IF(_xlpm.GRR=SD!$H$3, A615GR60,IF(_xlpm.GRR=SD!$H$4, A615GR75,IF(_xlpm.GRR=SD!$H$5, A615GR80,IF(_xlpm.GRR=SD!H213, A615GR100,IF(_xlpm.GRR=SD!$H$7, A706GR60,IF(_xlpm.GRR=SD!$H$8, A706GR80)))))),_xlpm.match_result, MATCH(1, (BSize=BX209)*(BCName=SD!$C$8), 0),_xlpm.final_result, INDEX(_xlpm.grade_range, _xlpm.match_result),IF(_xlpm.is_equal, "", _xlpm.final_result)),"")</f>
        <v/>
      </c>
      <c r="BZ209" t="str">
        <f>IF(A208=A209,"",IF(SD!$C$41="Match Vertical Bars ",X209,IF(SD!$C$41=SD!$V$3,BW209,SD!$C$41)))</f>
        <v/>
      </c>
      <c r="CA209" t="str" cm="1">
        <f t="array" ref="CA209">IF(A208=A209,"",IF(SD!$C$44="No T-Head",IF(SD!$C$42=SD!$Q$3,VLOOKUP(BX209,S90Range,3,FALSE),LEFT(SD!$C$42,FIND("-",SD!$C$42)-1)+(RIGHT(SD!$C$42,LEN(SD!$C$42)-FIND("-",SD!$C$42))/12)),IF(SD!$C$44="T-Head",_xlfn._xlws.FILTER(THead,(TCName=SD!$C$8)*(TSize=BX209)),IF(SD!$C$44="Level Wise",_xlfn.LET(_xlpm.result,_xlfn.XLOOKUP(B209,VDLevel,VDLevelStatus,"No"),IF(_xlpm.result="Yes",_xlfn._xlws.FILTER(THead,(TCName=SD!$C$8)*(TSize=BX209)),IF(SD!$C$42=SD!$Q$3,VLOOKUP(BX209,S90Range,3,FALSE),LEFT(SD!$C$42,FIND("-",SD!$C$42)-1)+(RIGHT(SD!$C$42,LEN(SD!$C$42)-FIND("-", SD!$C$42))/12)))),IF(SD!$C$44="BarSize Wise",_xlfn.LET(_xlpm.result,_xlfn.XLOOKUP(BX209,VDBarSize,VDBarSizeStatus,"No"),IF(_xlpm.result="Yes",_xlfn._xlws.FILTER(THead,(TCName=SD!$C$8)*(TSize=BX209)),IF(SD!$C$42=SD!$Q$3,VLOOKUP(BX209,S90Range,3,FALSE),LEFT(SD!$C$42,FIND("-",SD!$C$42)-1)+(RIGHT(SD!$C$42,LEN(SD!$C$42)-FIND("-",SD!$C$42))/12)))), "")))))</f>
        <v/>
      </c>
      <c r="CB209" t="str" cm="1">
        <f t="array" ref="CB209">_xlfn.LET(_xlpm.GRR,IF(AND(SD!$C$19=SD!$H$2,Grade!$G$1="Per level"),VLOOKUP(B209,Grade!$E$1:$F$200,2,FALSE),IF(AND(SD!$C$19=SD!$H$2,Grade!$G$1="Per Bar Size"),VLOOKUP(BX209,Grade!$B$1:$C$12,2,0),SD!$C$19)),_xlpm.is_coupler, K209="Coupler",_xlpm.condition1, SD!$C$43=SD!$W$2,_xlpm.data_j2_empty, Data!$J209="",_xlpm.lookup_table, IF(SD!$C$11="Create", Lap!$A$3:$BF$14, IF(SD!$C$11="Per Uploaded File", Lap!$A$19:$BF$30, "")),_xlpm.row_match, MATCH(BX209, Lap!$A$3:$A$14, 0),_xlpm.grade_offset, IF(IFERROR(FIND("Grade 60",_xlpm.GRR), 0) &gt; 0, 0, IF(IFERROR(FIND("Grade 80",_xlpm.GRR), 0), 1, IF(IFERROR(FIND("Grade 75",_xlpm.GRR), 0), 2, ""))),_xlpm.col_match, MATCH(VALUE(D209), Lap!$A$3:$BF$3, 0) + _xlpm.grade_offset,_xlpm.index_result, IFERROR(INDEX(_xlpm.lookup_table, _xlpm.row_match, _xlpm.col_match), Data!$J209),_xlpm.result_if_condition1, IF(_xlpm.data_j2_empty, _xlpm.index_result, Data!$J209),IF(_xlpm.is_coupler, 0, IF(_xlpm.condition1, _xlpm.result_if_condition1, SD!$C$43)))</f>
        <v>5-1</v>
      </c>
      <c r="CC209" s="24">
        <f t="shared" si="92"/>
        <v>5.083333333333333</v>
      </c>
      <c r="CD209">
        <f t="shared" si="93"/>
        <v>5.75</v>
      </c>
      <c r="CE209" t="str" cm="1">
        <f t="array" ref="CE209">IF(BY209="","",_xlfn._xlws.FILTER(SAC,(CName=SD!$C$8)*(EName="Vert Dowels")))</f>
        <v/>
      </c>
      <c r="CF209" t="str" cm="1">
        <f t="array" ref="CF209">IFERROR(IF(BY209="","",IF(K209="Coupler",_xlfn._xlws.FILTER(CCoupler,(CCName=SD!$C$8)*(CBSize=IF(A208=A209,W208&amp;W209,BX209&amp;W209))*(CCMFM="Male")),"")),"N/A")</f>
        <v/>
      </c>
      <c r="CG209" t="str">
        <f t="shared" si="94"/>
        <v/>
      </c>
      <c r="CH209" t="str">
        <f t="shared" si="95"/>
        <v/>
      </c>
      <c r="CI209" t="str">
        <f>_xlfn.LET(_xlpm.u3_value, U210,_xlpm.hyphen_pos,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K210="Coupler",_xlpm.coupler_value, IF(_xlpm.is_coupler, 0, _xlpm.calculated_value),_xlpm.final_value, _xlpm.calculated_value + SD!$E$13 + _xlpm.coupler_value,IF(CG209="", "", _xlpm.final_value))</f>
        <v/>
      </c>
      <c r="CJ209" t="str" cm="1">
        <f t="array" ref="CJ209">IF(CG209="","",_xlfn._xlws.FILTER(SAC,(CName=SD!$C$8)*(EName="Loose Dowels")))</f>
        <v/>
      </c>
      <c r="CK209" t="str" cm="1">
        <f t="array" ref="CK209">IFERROR(IF(CG209="","",IF(K210="Coupler",_xlfn._xlws.FILTER(CCoupler,(CCName=SD!$C$8)*(CBSize=IF(A209=A210,W209&amp;W210,""))*(CCMFM="Male")),"")),"N/A")</f>
        <v/>
      </c>
      <c r="CL209" t="str">
        <f>IFERROR(IF(AM209="Spiral","",IF(A208=A209,"",IF(SD!$C$37=0,"",SD!$C$37))),"")</f>
        <v/>
      </c>
      <c r="CN209">
        <f>IF(AM209="Spiral","",IFERROR(IF(SD!$C$36=0,"",SD!$C$36),""))</f>
        <v>5</v>
      </c>
      <c r="CP209" t="str">
        <f>IFERROR(IF(SD!$C$42=SD!$Q$3,'Take-off'!CA209,""),"")</f>
        <v/>
      </c>
      <c r="CR209">
        <f>IFERROR(IF(SD!$C$22=SD!$U$2,W209,SD!$C$22),"")</f>
        <v>0</v>
      </c>
      <c r="CS209" t="str" cm="1">
        <f t="array" ref="CS209">_xlfn.LET(_xlpm.GR,IF(AND(SD!$C$19=SD!$H$2,Grade!$G$1="Per level"),VLOOKUP(B209,Grade!$E$1:$F$200,2,FALSE),IF(AND(SD!$C$19=SD!$H$2,Grade!$G$1="Per Bar Size"),VLOOKUP(CR209,Grade!$B$1:$C$12,2,0),SD!$C$19)),IF(SD!$C$20=SD!$R$4,IF(A210=A209,"",INDEX(IF(_xlpm.GR=SD!$H$3,A615GR60,IF(_xlpm.GR=SD!$H$4,A615GR75,IF(_xlpm.GR=SD!$H$5,A615GR80,IF(_xlpm.GR=SD!H213,A615GR100,IF(_xlpm.GR=SD!$H$7,A706GR60,IF(_xlpm.GR=SD!$H$8,A706GR80)))))), MATCH(1, (BSize=CR209)*(BCName=SD!$C$8), 0))),""))</f>
        <v/>
      </c>
      <c r="CT209" t="str">
        <f>IF(A210=A209,"",IF(SD!$C$23="Match Vertical Bars ",X209,SD!$C$23))</f>
        <v/>
      </c>
      <c r="CU209" t="str" cm="1">
        <f t="array" ref="CU209">IF(A210=A209,"",IF(SD!$C$20="Top dowels",IF(SD!$E$25="No T-Head",IF(SD!$C$24=SD!$Q$3,VLOOKUP(CR209,S90Range,3,FALSE),LEFT(SD!$C$24,FIND("-",SD!$C$24)-1)+(RIGHT(SD!$C$24,LEN(SD!$C$24)-FIND("-",SD!$C$24))/12)),IF(SD!$E$25="T-Head",_xlfn._xlws.FILTER(THead,(TCName=SD!$C$8)*(TSize=CR209)),IF(SD!$E$25="Level Wise",_xlfn.LET(_xlpm.result,_xlfn.XLOOKUP(B209,TDLevel,TDLevelStatus,"No"),IF(_xlpm.result="Yes",_xlfn._xlws.FILTER(THead,(TCName=SD!$C$8)*(TSize=CR209)),IF(SD!$C$24=SD!$Q$3,VLOOKUP(CR209,S90Range,3,FALSE),LEFT(SD!$C$24,FIND("-",SD!$C$24)-1)+(RIGHT(SD!$C$24,LEN(SD!$C$24)-FIND("-", SD!$C$24))/12)))),IF(SD!$E$25="BarSize Wise",_xlfn.LET(_xlpm.result,_xlfn.XLOOKUP(CR209,TDBarSize,TDBarSizeStatus,"No"),IF(_xlpm.result="Yes",_xlfn._xlws.FILTER(THead,(TCName=SD!$C$8)*(TSize=CR209)),IF(SD!$C$24=SD!$Q$3,VLOOKUP(CR209,S90Range,3,FALSE),LEFT(SD!$C$24,FIND("-",SD!$C$24)-1)+(RIGHT(SD!$C$24,LEN(SD!$C$24)-FIND("-",SD!$C$24))/12)))), "")))),""))</f>
        <v/>
      </c>
      <c r="CV209" t="str">
        <f>_xlfn.LET(_xlpm.GRR,IF(AND(SD!$C$19=SD!$H$2,Grade!$G$1="Per level"),VLOOKUP(B209,Grade!$E$1:$F$200,2,FALSE),IF(AND(SD!$C$19=SD!$H$2,Grade!$G$1="Per Bar Size"),VLOOKUP(CR209,Grade!$B$1:$C$12,2,0),SD!$C$19)),IF(SD!$C$25=SD!$W$2,IF(Data!$J209="",IFERROR(INDEX(IF(SD!$C$11="Create",Lap!$A$3:$BF$14,IF(SD!$C$11="Per Uploaded File",Lap!$A$19:$BF$30,"")),MATCH(CR209,Lap!$A$3:$A$14,0),MATCH(VALUE(D209),Lap!$A$3:$BF$3,0)+IF(IFERROR(FIND("Grade 60",_xlpm.GRR),0)&gt;0,0,IF(IFERROR(FIND("Grade 80",_xlpm.GRR),0),1,IF(IFERROR(FIND("Grade 75",_xlpm.GRR),0),2,"")))),""),Data!J209),SD!$C$43))</f>
        <v>Match Lap</v>
      </c>
      <c r="CW209">
        <f t="shared" si="96"/>
        <v>0</v>
      </c>
      <c r="CX209">
        <f t="shared" si="97"/>
        <v>0</v>
      </c>
      <c r="CY209" t="str">
        <f t="shared" si="98"/>
        <v/>
      </c>
      <c r="DA209" t="str">
        <f t="shared" si="99"/>
        <v/>
      </c>
      <c r="DB209" t="str">
        <f t="shared" si="100"/>
        <v/>
      </c>
      <c r="DC209" s="24" t="str">
        <f t="shared" si="101"/>
        <v/>
      </c>
      <c r="DD209">
        <f t="shared" si="102"/>
        <v>10.583333333333334</v>
      </c>
      <c r="DE209" t="s">
        <v>785</v>
      </c>
      <c r="DF209" t="s">
        <v>67</v>
      </c>
      <c r="DG209" t="str">
        <f>VLOOKUP(W209,'Level Wise PSI'!$F$2:$G$12,2,FALSE)</f>
        <v>Double Lift</v>
      </c>
      <c r="DI209" t="str" cm="1">
        <f t="array" ref="DI209">_xlfn.LET(_xlpm.Coup,IFERROR(IF(BY209="","",IF(K209="Coupler",_xlfn._xlws.FILTER(CCFCoupler,(CCName=SD!$C$8)*(CBSize=IF(A208=A209,W208&amp;W209,BX209&amp;W209))),"")),"N/A"),IF(_xlpm.Coup=0,"",_xlpm.Coup))</f>
        <v/>
      </c>
      <c r="DJ209" t="str" cm="1">
        <f t="array" ref="DJ209">_xlfn.LET(_xlpm.Coup3,IFERROR(IF(CG209="","",IF(K210="Coupler",_xlfn._xlws.FILTER(CCFCoupler,(CCName=SD!$C$8)*(CBSize=IF(A209=A210,W209&amp;W210,""))),"")),"N/A"),IF(_xlpm.Coup3=0,"",_xlpm.Coup3))</f>
        <v/>
      </c>
      <c r="DK209" t="str" cm="1">
        <f t="array" ref="DK209">_xlfn.LET(_xlpm.Coup2,IFERROR(IF(A209&lt;&gt;A210,"",IF(DF209="No Lap","",IF(K210="Coupler",_xlfn._xlws.FILTER(CCFCoupler,(CCName=SD!$C$8)*(CBSize=IF(A208=A209,W209&amp;W210,W209&amp;W209))),""))),"N/A"),IF(_xlpm.Coup2=0,"",_xlpm.Coup2))</f>
        <v/>
      </c>
      <c r="DM209" t="str">
        <f>IF(AM209="Spiral","",IF(SD!$C$31=SD!$Y$3,SD!$E$32*2,""))</f>
        <v/>
      </c>
      <c r="DO209" s="24">
        <f t="shared" si="103"/>
        <v>2.5</v>
      </c>
      <c r="DQ209" t="str">
        <f t="shared" si="104"/>
        <v>Lig</v>
      </c>
      <c r="DR209" t="str">
        <f>IF(AM209="Spiral",((Y209-(SD!$E$12*2))/12),"")</f>
        <v/>
      </c>
      <c r="DS209" t="str">
        <f t="shared" si="105"/>
        <v/>
      </c>
      <c r="DT209" t="str">
        <f t="shared" si="106"/>
        <v/>
      </c>
      <c r="DU209" t="str">
        <f t="shared" si="107"/>
        <v/>
      </c>
    </row>
    <row r="210" spans="1:125" x14ac:dyDescent="0.25">
      <c r="A210">
        <v>66</v>
      </c>
      <c r="B210" t="s">
        <v>680</v>
      </c>
      <c r="C210" s="15">
        <v>2429</v>
      </c>
      <c r="D210" s="15">
        <v>10000</v>
      </c>
      <c r="E210" t="str">
        <f>IF(B210=Level!$A$2,SD!$C$14,SD!$C$13)</f>
        <v>0-8</v>
      </c>
      <c r="F210" s="15" t="s">
        <v>787</v>
      </c>
      <c r="G210" t="s">
        <v>742</v>
      </c>
      <c r="H210" t="str">
        <f>RIGHT(VLOOKUP(B210,Level!A:C,3,FALSE),LEN(VLOOKUP(B210,Level!A:C,3,FALSE))-1)</f>
        <v>10-7</v>
      </c>
      <c r="I210" t="s">
        <v>743</v>
      </c>
      <c r="J210" t="str">
        <f>IF(AND(SD!$C$19=SD!$H$2,Grade!$G$1="Per level"),VLOOKUP(B210,Grade!$E$1:$F$200,2,FALSE),IF(AND(SD!$C$19=SD!$H$2,Grade!$G$1="Per Bar Size"),VLOOKUP(W210,Grade!$B$1:$C$12,2,0),SD!$C$19))</f>
        <v>A615 Grade 60</v>
      </c>
      <c r="K210" t="s">
        <v>67</v>
      </c>
      <c r="L210" t="str">
        <f>IFERROR(IF(A210&lt;&gt;A211,"",IF(DF210="No Lap","",IF(K211="Lap",U210,IF(K211="Coupler",_xlfn._xlws.FILTER(CCoupler,(CCName=SD!$C$8)*(CBSize=IF(A209=A210,W210&amp;W211,W210&amp;W210))*(CCMFM="Male")),"")))),"N/A")</f>
        <v>5-1</v>
      </c>
      <c r="M210" t="str">
        <f t="shared" si="81"/>
        <v/>
      </c>
      <c r="N210" t="s">
        <v>719</v>
      </c>
      <c r="O210" t="s">
        <v>720</v>
      </c>
      <c r="P210" t="s">
        <v>719</v>
      </c>
      <c r="Q210" t="str">
        <f>IF(AND(SD!$C$29=SD!$P$2,Grade!$O$1="Per level"),VLOOKUP(B210,Grade!$M$1:$N$200,2,FALSE),IF(AND(SD!$C$29=SD!$P$2,Grade!$O$1="Per Bar Size"),VLOOKUP(LEFT(N210,FIND("@",N210)-2),Grade!$J$1:$K$12,2,0),SD!$C$29))</f>
        <v>A615 Grade 60</v>
      </c>
      <c r="R210" t="s">
        <v>742</v>
      </c>
      <c r="S210" s="57">
        <v>210</v>
      </c>
      <c r="U210" t="str">
        <f>IF(Data!$J210="",IFERROR(INDEX(IF(SD!$C$11="Create",Lap!$A$3:$BF$14,IF(SD!$C$11="Per Uploaded File",Lap!$A$19:$BF$30,"")),MATCH(W210,Lap!$A$3:$A$14,0),MATCH(VALUE(D210),Lap!$A$3:$BF$3,0)+IF(IFERROR(FIND("Grade 60",J210),0)&gt;0,0,IF(IFERROR(FIND("Grade 80",J210),0),1,IF(IFERROR(FIND("Grade 75",J210),0),2,"")))),""),Data!J210)</f>
        <v>5-1</v>
      </c>
      <c r="W210" t="s">
        <v>176</v>
      </c>
      <c r="X210">
        <v>6</v>
      </c>
      <c r="Y210" t="str">
        <f t="shared" si="82"/>
        <v>30</v>
      </c>
      <c r="Z210">
        <f t="shared" si="83"/>
        <v>0</v>
      </c>
      <c r="AA210" s="24">
        <f t="shared" si="84"/>
        <v>15.666666666666666</v>
      </c>
      <c r="BB210" t="e" cm="1">
        <f t="array" ref="BB210">_xlfn.LET(_xlpm.PartF,(_xlfn.LET(_xlpm.grade, Q210,_xlpm.gradeRange, IF(_xlpm.grade=SD!$H$3, A615GR60, IF(_xlpm.grade=SD!$H$4, A615GR75, IF(_xlpm.grade=SD!$H$5, A615GR80, IF(_xlpm.grade=SD!$H$6, A615GR100, IF(_xlpm.grade=SD!$H$7, A706GR60, IF(_xlpm.grade=SD!$H$8, A706GR80)))))),_xlpm.matchValue, MATCH(1, (SD!$AW:$AW=AS210)*(SD!$AX:$AX=SD!$C$8), 0),INDEX(_xlpm.gradeRange, _xlpm.matchValue))),IF(AM210="Spiral",CONCATENATE("SP",_xlpm.PartF),_xlpm.PartF))</f>
        <v>#N/A</v>
      </c>
      <c r="BC210" cm="1">
        <f t="array" ref="BC210">_xlfn.LET(_xlpm.leftPart, LEFT(O210, FIND("@", O210) - 2),_xlpm.grade,Q210,_xlpm.gradeRange,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0" cm="1">
        <f t="array" ref="BD210">_xlfn.LET(_xlpm.leftPart, LEFT(P210, FIND("@", P210) - 2),_xlpm.grade, Q210,_xlpm.gradeRange,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0">
        <f t="shared" si="85"/>
        <v>2.5</v>
      </c>
      <c r="BF210">
        <f>IF(SD!$C$32=SD!$I$2,BE210,IF(SD!$C$32=SD!$I$3,DO210,IF(SD!$C$32=SD!$I$5,BA210,IF(SD!$C$32=SD!$I$6,(LEFT(SD!$C$35,FIND("-",SD!$C$35)-1)+RIGHT(SD!$C$35,LEN(SD!$C$35)-FIND("-",SD!$C$35))/12),IF(SD!$C$32=SD!$I$4,(AU210-(BG210+BH210)))))))</f>
        <v>0</v>
      </c>
      <c r="BG210">
        <f>IF(SD!$C$33=SD!$I$2,BE210,IF(SD!$C$33=SD!$I$3,DO210,IF(SD!$C$33=SD!$I$5,BA210,IF(SD!$C$33=SD!$I$6,(LEFT(SD!$C$35,FIND("-",SD!$C$35)-1)+RIGHT(SD!$C$35,LEN(SD!$C$35)-FIND("-",SD!$C$35))/12),IF(SD!$C$33=SD!$I$4,(AU210-(BF210+BH210)))))))</f>
        <v>-1</v>
      </c>
      <c r="BH210">
        <f>IF(SD!$C$34=SD!$I$2,BE210,IF(SD!$C$34=SD!$I$3,DO210,IF(SD!$C$34=SD!$I$5,BA210,IF(SD!$C$34=SD!$I$6,(LEFT(SD!$C$35,FIND("-",SD!$C$35)-1)+RIGHT(SD!$C$35,LEN(SD!$C$35)-FIND("-",SD!$C$35))/12),IF(SD!$C$34=SD!$I$4,(AU210-(BF210+BG210)))))))</f>
        <v>1</v>
      </c>
      <c r="BJ210">
        <f>IF(AM210="Spiral","1",MAX(ROUNDUP(IF(SD!$C$32="",AT210,BF210/(LEFT(RIGHT(N210,LEN(N210)-FIND("@",N210)),LEN(RIGHT(N210,LEN(N210)-FIND("@",N210)))-1)/12)+1),0),0))</f>
        <v>1</v>
      </c>
      <c r="BK210">
        <f>MAX(ROUNDUP(IF(SD!$C$33="","",BG210/(LEFT(RIGHT(O210,LEN(O210)-FIND("@",O210)),LEN(RIGHT(O210,LEN(O210)-FIND("@",O210)))-1)/12)+1),0),0)</f>
        <v>0</v>
      </c>
      <c r="BL210">
        <f>MAX(ROUNDUP(IF(SD!$C$34="","",BH210/(LEFT(RIGHT(P210,LEN(P210)-FIND("@",P210)),LEN(RIGHT(P210,LEN(P210)-FIND("@",P210)))-1)/12)+1),0),0)</f>
        <v>3</v>
      </c>
      <c r="BN210" t="e">
        <f t="shared" si="86"/>
        <v>#N/A</v>
      </c>
      <c r="BO210" t="e">
        <f t="shared" si="87"/>
        <v>#N/A</v>
      </c>
      <c r="BP210" t="e">
        <f t="shared" si="88"/>
        <v>#N/A</v>
      </c>
      <c r="BQ210" s="24" t="e">
        <f>IF(AM210=TRUE,(((Y210-(SD!$E$12*2))*3.14159265359)+BN210+BO210+BP210)/12+AL210,SUM(AF210:AG210,BN210,BO210,BP210,AO210,AQ210)/12)</f>
        <v>#N/A</v>
      </c>
      <c r="BR210" t="e">
        <f t="shared" si="89"/>
        <v>#N/A</v>
      </c>
      <c r="BS210" t="e">
        <f t="shared" si="90"/>
        <v>#N/A</v>
      </c>
      <c r="BT210" t="e">
        <f t="shared" si="91"/>
        <v>#N/A</v>
      </c>
      <c r="BU210" s="24" t="e">
        <f>IF(AM210=TRUE,(((Y210-(SD!$E$12*2))*3.14159265359)+BR210+BS210+BT210)/12+AL210,SUM(AF210:AG210,BR210,BS210,BT210,AO210,AQ210)/12)</f>
        <v>#N/A</v>
      </c>
      <c r="BW210" t="str">
        <f>IFERROR(LEFT(Data!L210,FIND(" -",Data!L210)-1),"")</f>
        <v/>
      </c>
      <c r="BX210" t="str">
        <f>IFERROR(IF(SD!$C$40=SD!$U$2,W210,IF(SD!$C$40=SD!$U$3,RIGHT(Data!L210,LEN(Data!L210)-(FIND("-",Data!L210)+1)),SD!$C$40)),"")</f>
        <v>#10</v>
      </c>
      <c r="BY210" t="str" cm="1">
        <f t="array" ref="BY210">IFERROR(_xlfn.LET(_xlpm.GRR,IF(AND(SD!$C$19=SD!$H$2,Grade!$G$1="Per level"),VLOOKUP(B210,Grade!$E$1:$F$200,2,FALSE),IF(AND(SD!$C$19=SD!$H$2,Grade!$G$1="Per Bar Size"),VLOOKUP(BX210,Grade!$B$1:$C$12,2,0),SD!$C$19)),_xlpm.is_equal, A209=A210,_xlpm.grade_range, IF(_xlpm.GRR=SD!$H$3, A615GR60,IF(_xlpm.GRR=SD!$H$4, A615GR75,IF(_xlpm.GRR=SD!$H$5, A615GR80,IF(_xlpm.GRR=SD!H214, A615GR100,IF(_xlpm.GRR=SD!$H$7, A706GR60,IF(_xlpm.GRR=SD!$H$8, A706GR80)))))),_xlpm.match_result, MATCH(1, (BSize=BX210)*(BCName=SD!$C$8), 0),_xlpm.final_result, INDEX(_xlpm.grade_range, _xlpm.match_result),IF(_xlpm.is_equal, "", _xlpm.final_result)),"")</f>
        <v/>
      </c>
      <c r="BZ210" t="str">
        <f>IF(A209=A210,"",IF(SD!$C$41="Match Vertical Bars ",X210,IF(SD!$C$41=SD!$V$3,BW210,SD!$C$41)))</f>
        <v/>
      </c>
      <c r="CA210" t="str" cm="1">
        <f t="array" ref="CA210">IF(A209=A210,"",IF(SD!$C$44="No T-Head",IF(SD!$C$42=SD!$Q$3,VLOOKUP(BX210,S90Range,3,FALSE),LEFT(SD!$C$42,FIND("-",SD!$C$42)-1)+(RIGHT(SD!$C$42,LEN(SD!$C$42)-FIND("-",SD!$C$42))/12)),IF(SD!$C$44="T-Head",_xlfn._xlws.FILTER(THead,(TCName=SD!$C$8)*(TSize=BX210)),IF(SD!$C$44="Level Wise",_xlfn.LET(_xlpm.result,_xlfn.XLOOKUP(B210,VDLevel,VDLevelStatus,"No"),IF(_xlpm.result="Yes",_xlfn._xlws.FILTER(THead,(TCName=SD!$C$8)*(TSize=BX210)),IF(SD!$C$42=SD!$Q$3,VLOOKUP(BX210,S90Range,3,FALSE),LEFT(SD!$C$42,FIND("-",SD!$C$42)-1)+(RIGHT(SD!$C$42,LEN(SD!$C$42)-FIND("-", SD!$C$42))/12)))),IF(SD!$C$44="BarSize Wise",_xlfn.LET(_xlpm.result,_xlfn.XLOOKUP(BX210,VDBarSize,VDBarSizeStatus,"No"),IF(_xlpm.result="Yes",_xlfn._xlws.FILTER(THead,(TCName=SD!$C$8)*(TSize=BX210)),IF(SD!$C$42=SD!$Q$3,VLOOKUP(BX210,S90Range,3,FALSE),LEFT(SD!$C$42,FIND("-",SD!$C$42)-1)+(RIGHT(SD!$C$42,LEN(SD!$C$42)-FIND("-",SD!$C$42))/12)))), "")))))</f>
        <v/>
      </c>
      <c r="CB210" t="str" cm="1">
        <f t="array" ref="CB210">_xlfn.LET(_xlpm.GRR,IF(AND(SD!$C$19=SD!$H$2,Grade!$G$1="Per level"),VLOOKUP(B210,Grade!$E$1:$F$200,2,FALSE),IF(AND(SD!$C$19=SD!$H$2,Grade!$G$1="Per Bar Size"),VLOOKUP(BX210,Grade!$B$1:$C$12,2,0),SD!$C$19)),_xlpm.is_coupler, K210="Coupler",_xlpm.condition1, SD!$C$43=SD!$W$2,_xlpm.data_j2_empty, Data!$J210="",_xlpm.lookup_table, IF(SD!$C$11="Create", Lap!$A$3:$BF$14, IF(SD!$C$11="Per Uploaded File", Lap!$A$19:$BF$30, "")),_xlpm.row_match, MATCH(BX210, Lap!$A$3:$A$14, 0),_xlpm.grade_offset, IF(IFERROR(FIND("Grade 60",_xlpm.GRR), 0) &gt; 0, 0, IF(IFERROR(FIND("Grade 80",_xlpm.GRR), 0), 1, IF(IFERROR(FIND("Grade 75",_xlpm.GRR), 0), 2, ""))),_xlpm.col_match, MATCH(VALUE(D210), Lap!$A$3:$BF$3, 0) + _xlpm.grade_offset,_xlpm.index_result, IFERROR(INDEX(_xlpm.lookup_table, _xlpm.row_match, _xlpm.col_match), Data!$J210),_xlpm.result_if_condition1, IF(_xlpm.data_j2_empty, _xlpm.index_result, Data!$J210),IF(_xlpm.is_coupler, 0, IF(_xlpm.condition1, _xlpm.result_if_condition1, SD!$C$43)))</f>
        <v>5-1</v>
      </c>
      <c r="CC210" s="24">
        <f t="shared" si="92"/>
        <v>5.083333333333333</v>
      </c>
      <c r="CD210">
        <f t="shared" si="93"/>
        <v>5.75</v>
      </c>
      <c r="CE210" t="str" cm="1">
        <f t="array" ref="CE210">IF(BY210="","",_xlfn._xlws.FILTER(SAC,(CName=SD!$C$8)*(EName="Vert Dowels")))</f>
        <v/>
      </c>
      <c r="CF210" t="str" cm="1">
        <f t="array" ref="CF210">IFERROR(IF(BY210="","",IF(K210="Coupler",_xlfn._xlws.FILTER(CCoupler,(CCName=SD!$C$8)*(CBSize=IF(A209=A210,W209&amp;W210,BX210&amp;W210))*(CCMFM="Male")),"")),"N/A")</f>
        <v/>
      </c>
      <c r="CG210" t="str">
        <f t="shared" si="94"/>
        <v/>
      </c>
      <c r="CH210" t="str">
        <f t="shared" si="95"/>
        <v/>
      </c>
      <c r="CI210" t="str">
        <f>_xlfn.LET(_xlpm.u3_value, U211,_xlpm.hyphen_pos,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K211="Coupler",_xlpm.coupler_value, IF(_xlpm.is_coupler, 0, _xlpm.calculated_value),_xlpm.final_value, _xlpm.calculated_value + SD!$E$13 + _xlpm.coupler_value,IF(CG210="", "", _xlpm.final_value))</f>
        <v/>
      </c>
      <c r="CJ210" t="str" cm="1">
        <f t="array" ref="CJ210">IF(CG210="","",_xlfn._xlws.FILTER(SAC,(CName=SD!$C$8)*(EName="Loose Dowels")))</f>
        <v/>
      </c>
      <c r="CK210" t="str" cm="1">
        <f t="array" ref="CK210">IFERROR(IF(CG210="","",IF(K211="Coupler",_xlfn._xlws.FILTER(CCoupler,(CCName=SD!$C$8)*(CBSize=IF(A210=A211,W210&amp;W211,""))*(CCMFM="Male")),"")),"N/A")</f>
        <v/>
      </c>
      <c r="CL210" t="str">
        <f>IFERROR(IF(AM210="Spiral","",IF(A209=A210,"",IF(SD!$C$37=0,"",SD!$C$37))),"")</f>
        <v/>
      </c>
      <c r="CN210">
        <f>IF(AM210="Spiral","",IFERROR(IF(SD!$C$36=0,"",SD!$C$36),""))</f>
        <v>5</v>
      </c>
      <c r="CP210" t="str">
        <f>IFERROR(IF(SD!$C$42=SD!$Q$3,'Take-off'!CA210,""),"")</f>
        <v/>
      </c>
      <c r="CR210">
        <f>IFERROR(IF(SD!$C$22=SD!$U$2,W210,SD!$C$22),"")</f>
        <v>0</v>
      </c>
      <c r="CS210" t="str" cm="1">
        <f t="array" ref="CS210">_xlfn.LET(_xlpm.GR,IF(AND(SD!$C$19=SD!$H$2,Grade!$G$1="Per level"),VLOOKUP(B210,Grade!$E$1:$F$200,2,FALSE),IF(AND(SD!$C$19=SD!$H$2,Grade!$G$1="Per Bar Size"),VLOOKUP(CR210,Grade!$B$1:$C$12,2,0),SD!$C$19)),IF(SD!$C$20=SD!$R$4,IF(A211=A210,"",INDEX(IF(_xlpm.GR=SD!$H$3,A615GR60,IF(_xlpm.GR=SD!$H$4,A615GR75,IF(_xlpm.GR=SD!$H$5,A615GR80,IF(_xlpm.GR=SD!H214,A615GR100,IF(_xlpm.GR=SD!$H$7,A706GR60,IF(_xlpm.GR=SD!$H$8,A706GR80)))))), MATCH(1, (BSize=CR210)*(BCName=SD!$C$8), 0))),""))</f>
        <v/>
      </c>
      <c r="CT210" t="str">
        <f>IF(A211=A210,"",IF(SD!$C$23="Match Vertical Bars ",X210,SD!$C$23))</f>
        <v/>
      </c>
      <c r="CU210" t="str" cm="1">
        <f t="array" ref="CU210">IF(A211=A210,"",IF(SD!$C$20="Top dowels",IF(SD!$E$25="No T-Head",IF(SD!$C$24=SD!$Q$3,VLOOKUP(CR210,S90Range,3,FALSE),LEFT(SD!$C$24,FIND("-",SD!$C$24)-1)+(RIGHT(SD!$C$24,LEN(SD!$C$24)-FIND("-",SD!$C$24))/12)),IF(SD!$E$25="T-Head",_xlfn._xlws.FILTER(THead,(TCName=SD!$C$8)*(TSize=CR210)),IF(SD!$E$25="Level Wise",_xlfn.LET(_xlpm.result,_xlfn.XLOOKUP(B210,TDLevel,TDLevelStatus,"No"),IF(_xlpm.result="Yes",_xlfn._xlws.FILTER(THead,(TCName=SD!$C$8)*(TSize=CR210)),IF(SD!$C$24=SD!$Q$3,VLOOKUP(CR210,S90Range,3,FALSE),LEFT(SD!$C$24,FIND("-",SD!$C$24)-1)+(RIGHT(SD!$C$24,LEN(SD!$C$24)-FIND("-", SD!$C$24))/12)))),IF(SD!$E$25="BarSize Wise",_xlfn.LET(_xlpm.result,_xlfn.XLOOKUP(CR210,TDBarSize,TDBarSizeStatus,"No"),IF(_xlpm.result="Yes",_xlfn._xlws.FILTER(THead,(TCName=SD!$C$8)*(TSize=CR210)),IF(SD!$C$24=SD!$Q$3,VLOOKUP(CR210,S90Range,3,FALSE),LEFT(SD!$C$24,FIND("-",SD!$C$24)-1)+(RIGHT(SD!$C$24,LEN(SD!$C$24)-FIND("-",SD!$C$24))/12)))), "")))),""))</f>
        <v/>
      </c>
      <c r="CV210" t="str">
        <f>_xlfn.LET(_xlpm.GRR,IF(AND(SD!$C$19=SD!$H$2,Grade!$G$1="Per level"),VLOOKUP(B210,Grade!$E$1:$F$200,2,FALSE),IF(AND(SD!$C$19=SD!$H$2,Grade!$G$1="Per Bar Size"),VLOOKUP(CR210,Grade!$B$1:$C$12,2,0),SD!$C$19)),IF(SD!$C$25=SD!$W$2,IF(Data!$J210="",IFERROR(INDEX(IF(SD!$C$11="Create",Lap!$A$3:$BF$14,IF(SD!$C$11="Per Uploaded File",Lap!$A$19:$BF$30,"")),MATCH(CR210,Lap!$A$3:$A$14,0),MATCH(VALUE(D210),Lap!$A$3:$BF$3,0)+IF(IFERROR(FIND("Grade 60",_xlpm.GRR),0)&gt;0,0,IF(IFERROR(FIND("Grade 80",_xlpm.GRR),0),1,IF(IFERROR(FIND("Grade 75",_xlpm.GRR),0),2,"")))),""),Data!J210),SD!$C$43))</f>
        <v>Match Lap</v>
      </c>
      <c r="CW210">
        <f t="shared" si="96"/>
        <v>0</v>
      </c>
      <c r="CX210">
        <f t="shared" si="97"/>
        <v>0</v>
      </c>
      <c r="CY210" t="str">
        <f t="shared" si="98"/>
        <v/>
      </c>
      <c r="DA210" t="str">
        <f t="shared" si="99"/>
        <v/>
      </c>
      <c r="DB210" t="str">
        <f t="shared" si="100"/>
        <v/>
      </c>
      <c r="DC210" s="24" t="str">
        <f t="shared" si="101"/>
        <v/>
      </c>
      <c r="DD210">
        <f t="shared" si="102"/>
        <v>10.583333333333334</v>
      </c>
      <c r="DE210" t="s">
        <v>785</v>
      </c>
      <c r="DF210" t="s">
        <v>67</v>
      </c>
      <c r="DG210" t="str">
        <f>VLOOKUP(W210,'Level Wise PSI'!$F$2:$G$12,2,FALSE)</f>
        <v>Double Lift</v>
      </c>
      <c r="DI210" t="str" cm="1">
        <f t="array" ref="DI210">_xlfn.LET(_xlpm.Coup,IFERROR(IF(BY210="","",IF(K210="Coupler",_xlfn._xlws.FILTER(CCFCoupler,(CCName=SD!$C$8)*(CBSize=IF(A209=A210,W209&amp;W210,BX210&amp;W210))),"")),"N/A"),IF(_xlpm.Coup=0,"",_xlpm.Coup))</f>
        <v/>
      </c>
      <c r="DJ210" t="str" cm="1">
        <f t="array" ref="DJ210">_xlfn.LET(_xlpm.Coup3,IFERROR(IF(CG210="","",IF(K211="Coupler",_xlfn._xlws.FILTER(CCFCoupler,(CCName=SD!$C$8)*(CBSize=IF(A210=A211,W210&amp;W211,""))),"")),"N/A"),IF(_xlpm.Coup3=0,"",_xlpm.Coup3))</f>
        <v/>
      </c>
      <c r="DK210" t="str" cm="1">
        <f t="array" ref="DK210">_xlfn.LET(_xlpm.Coup2,IFERROR(IF(A210&lt;&gt;A211,"",IF(DF210="No Lap","",IF(K211="Coupler",_xlfn._xlws.FILTER(CCFCoupler,(CCName=SD!$C$8)*(CBSize=IF(A209=A210,W210&amp;W211,W210&amp;W210))),""))),"N/A"),IF(_xlpm.Coup2=0,"",_xlpm.Coup2))</f>
        <v/>
      </c>
      <c r="DM210" t="str">
        <f>IF(AM210="Spiral","",IF(SD!$C$31=SD!$Y$3,SD!$E$32*2,""))</f>
        <v/>
      </c>
      <c r="DO210" s="24">
        <f t="shared" si="103"/>
        <v>2.5</v>
      </c>
      <c r="DQ210" t="str">
        <f t="shared" si="104"/>
        <v>Lig</v>
      </c>
      <c r="DR210" t="str">
        <f>IF(AM210="Spiral",((Y210-(SD!$E$12*2))/12),"")</f>
        <v/>
      </c>
      <c r="DS210" t="str">
        <f t="shared" si="105"/>
        <v/>
      </c>
      <c r="DT210" t="str">
        <f t="shared" si="106"/>
        <v/>
      </c>
      <c r="DU210" t="str">
        <f t="shared" si="107"/>
        <v/>
      </c>
    </row>
    <row r="211" spans="1:125" x14ac:dyDescent="0.25">
      <c r="A211">
        <v>66</v>
      </c>
      <c r="B211" t="s">
        <v>682</v>
      </c>
      <c r="C211" s="15">
        <v>2429</v>
      </c>
      <c r="D211" s="15">
        <v>10000</v>
      </c>
      <c r="E211" t="str">
        <f>IF(B211=Level!$A$2,SD!$C$14,SD!$C$13)</f>
        <v>0-8</v>
      </c>
      <c r="F211" s="15" t="s">
        <v>787</v>
      </c>
      <c r="G211" t="s">
        <v>742</v>
      </c>
      <c r="H211" t="str">
        <f>RIGHT(VLOOKUP(B211,Level!A:C,3,FALSE),LEN(VLOOKUP(B211,Level!A:C,3,FALSE))-1)</f>
        <v>10-7</v>
      </c>
      <c r="I211" t="s">
        <v>743</v>
      </c>
      <c r="J211" t="str">
        <f>IF(AND(SD!$C$19=SD!$H$2,Grade!$G$1="Per level"),VLOOKUP(B211,Grade!$E$1:$F$200,2,FALSE),IF(AND(SD!$C$19=SD!$H$2,Grade!$G$1="Per Bar Size"),VLOOKUP(W211,Grade!$B$1:$C$12,2,0),SD!$C$19))</f>
        <v>A615 Grade 60</v>
      </c>
      <c r="K211" t="s">
        <v>67</v>
      </c>
      <c r="L211" t="str">
        <f>IFERROR(IF(A211&lt;&gt;A212,"",IF(DF211="No Lap","",IF(K212="Lap",U211,IF(K212="Coupler",_xlfn._xlws.FILTER(CCoupler,(CCName=SD!$C$8)*(CBSize=IF(A210=A211,W211&amp;W212,W211&amp;W211))*(CCMFM="Male")),"")))),"N/A")</f>
        <v>5-1</v>
      </c>
      <c r="M211" t="str">
        <f t="shared" si="81"/>
        <v/>
      </c>
      <c r="N211" t="s">
        <v>719</v>
      </c>
      <c r="O211" t="s">
        <v>720</v>
      </c>
      <c r="P211" t="s">
        <v>719</v>
      </c>
      <c r="Q211" t="str">
        <f>IF(AND(SD!$C$29=SD!$P$2,Grade!$O$1="Per level"),VLOOKUP(B211,Grade!$M$1:$N$200,2,FALSE),IF(AND(SD!$C$29=SD!$P$2,Grade!$O$1="Per Bar Size"),VLOOKUP(LEFT(N211,FIND("@",N211)-2),Grade!$J$1:$K$12,2,0),SD!$C$29))</f>
        <v>A615 Grade 60</v>
      </c>
      <c r="R211" t="s">
        <v>742</v>
      </c>
      <c r="S211" s="57">
        <v>211</v>
      </c>
      <c r="U211" t="str">
        <f>IF(Data!$J211="",IFERROR(INDEX(IF(SD!$C$11="Create",Lap!$A$3:$BF$14,IF(SD!$C$11="Per Uploaded File",Lap!$A$19:$BF$30,"")),MATCH(W211,Lap!$A$3:$A$14,0),MATCH(VALUE(D211),Lap!$A$3:$BF$3,0)+IF(IFERROR(FIND("Grade 60",J211),0)&gt;0,0,IF(IFERROR(FIND("Grade 80",J211),0),1,IF(IFERROR(FIND("Grade 75",J211),0),2,"")))),""),Data!J211)</f>
        <v>5-1</v>
      </c>
      <c r="W211" t="s">
        <v>176</v>
      </c>
      <c r="X211">
        <v>6</v>
      </c>
      <c r="Y211" t="str">
        <f t="shared" si="82"/>
        <v>30</v>
      </c>
      <c r="Z211">
        <f t="shared" si="83"/>
        <v>0</v>
      </c>
      <c r="AA211" s="24">
        <f t="shared" si="84"/>
        <v>15.666666666666666</v>
      </c>
      <c r="BB211" t="e" cm="1">
        <f t="array" ref="BB211">_xlfn.LET(_xlpm.PartF,(_xlfn.LET(_xlpm.grade, Q211,_xlpm.gradeRange, IF(_xlpm.grade=SD!$H$3, A615GR60, IF(_xlpm.grade=SD!$H$4, A615GR75, IF(_xlpm.grade=SD!$H$5, A615GR80, IF(_xlpm.grade=SD!$H$6, A615GR100, IF(_xlpm.grade=SD!$H$7, A706GR60, IF(_xlpm.grade=SD!$H$8, A706GR80)))))),_xlpm.matchValue, MATCH(1, (SD!$AW:$AW=AS211)*(SD!$AX:$AX=SD!$C$8), 0),INDEX(_xlpm.gradeRange, _xlpm.matchValue))),IF(AM211="Spiral",CONCATENATE("SP",_xlpm.PartF),_xlpm.PartF))</f>
        <v>#N/A</v>
      </c>
      <c r="BC211" cm="1">
        <f t="array" ref="BC211">_xlfn.LET(_xlpm.leftPart, LEFT(O211, FIND("@", O211) - 2),_xlpm.grade,Q211,_xlpm.gradeRange,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1" cm="1">
        <f t="array" ref="BD211">_xlfn.LET(_xlpm.leftPart, LEFT(P211, FIND("@", P211) - 2),_xlpm.grade, Q211,_xlpm.gradeRange,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1">
        <f t="shared" si="85"/>
        <v>2.5</v>
      </c>
      <c r="BF211">
        <f>IF(SD!$C$32=SD!$I$2,BE211,IF(SD!$C$32=SD!$I$3,DO211,IF(SD!$C$32=SD!$I$5,BA211,IF(SD!$C$32=SD!$I$6,(LEFT(SD!$C$35,FIND("-",SD!$C$35)-1)+RIGHT(SD!$C$35,LEN(SD!$C$35)-FIND("-",SD!$C$35))/12),IF(SD!$C$32=SD!$I$4,(AU211-(BG211+BH211)))))))</f>
        <v>0</v>
      </c>
      <c r="BG211">
        <f>IF(SD!$C$33=SD!$I$2,BE211,IF(SD!$C$33=SD!$I$3,DO211,IF(SD!$C$33=SD!$I$5,BA211,IF(SD!$C$33=SD!$I$6,(LEFT(SD!$C$35,FIND("-",SD!$C$35)-1)+RIGHT(SD!$C$35,LEN(SD!$C$35)-FIND("-",SD!$C$35))/12),IF(SD!$C$33=SD!$I$4,(AU211-(BF211+BH211)))))))</f>
        <v>-1</v>
      </c>
      <c r="BH211">
        <f>IF(SD!$C$34=SD!$I$2,BE211,IF(SD!$C$34=SD!$I$3,DO211,IF(SD!$C$34=SD!$I$5,BA211,IF(SD!$C$34=SD!$I$6,(LEFT(SD!$C$35,FIND("-",SD!$C$35)-1)+RIGHT(SD!$C$35,LEN(SD!$C$35)-FIND("-",SD!$C$35))/12),IF(SD!$C$34=SD!$I$4,(AU211-(BF211+BG211)))))))</f>
        <v>1</v>
      </c>
      <c r="BJ211">
        <f>IF(AM211="Spiral","1",MAX(ROUNDUP(IF(SD!$C$32="",AT211,BF211/(LEFT(RIGHT(N211,LEN(N211)-FIND("@",N211)),LEN(RIGHT(N211,LEN(N211)-FIND("@",N211)))-1)/12)+1),0),0))</f>
        <v>1</v>
      </c>
      <c r="BK211">
        <f>MAX(ROUNDUP(IF(SD!$C$33="","",BG211/(LEFT(RIGHT(O211,LEN(O211)-FIND("@",O211)),LEN(RIGHT(O211,LEN(O211)-FIND("@",O211)))-1)/12)+1),0),0)</f>
        <v>0</v>
      </c>
      <c r="BL211">
        <f>MAX(ROUNDUP(IF(SD!$C$34="","",BH211/(LEFT(RIGHT(P211,LEN(P211)-FIND("@",P211)),LEN(RIGHT(P211,LEN(P211)-FIND("@",P211)))-1)/12)+1),0),0)</f>
        <v>3</v>
      </c>
      <c r="BN211" t="e">
        <f t="shared" si="86"/>
        <v>#N/A</v>
      </c>
      <c r="BO211" t="e">
        <f t="shared" si="87"/>
        <v>#N/A</v>
      </c>
      <c r="BP211" t="e">
        <f t="shared" si="88"/>
        <v>#N/A</v>
      </c>
      <c r="BQ211" s="24" t="e">
        <f>IF(AM211=TRUE,(((Y211-(SD!$E$12*2))*3.14159265359)+BN211+BO211+BP211)/12+AL211,SUM(AF211:AG211,BN211,BO211,BP211,AO211,AQ211)/12)</f>
        <v>#N/A</v>
      </c>
      <c r="BR211" t="e">
        <f t="shared" si="89"/>
        <v>#N/A</v>
      </c>
      <c r="BS211" t="e">
        <f t="shared" si="90"/>
        <v>#N/A</v>
      </c>
      <c r="BT211" t="e">
        <f t="shared" si="91"/>
        <v>#N/A</v>
      </c>
      <c r="BU211" s="24" t="e">
        <f>IF(AM211=TRUE,(((Y211-(SD!$E$12*2))*3.14159265359)+BR211+BS211+BT211)/12+AL211,SUM(AF211:AG211,BR211,BS211,BT211,AO211,AQ211)/12)</f>
        <v>#N/A</v>
      </c>
      <c r="BW211" t="str">
        <f>IFERROR(LEFT(Data!L211,FIND(" -",Data!L211)-1),"")</f>
        <v/>
      </c>
      <c r="BX211" t="str">
        <f>IFERROR(IF(SD!$C$40=SD!$U$2,W211,IF(SD!$C$40=SD!$U$3,RIGHT(Data!L211,LEN(Data!L211)-(FIND("-",Data!L211)+1)),SD!$C$40)),"")</f>
        <v>#10</v>
      </c>
      <c r="BY211" t="str" cm="1">
        <f t="array" ref="BY211">IFERROR(_xlfn.LET(_xlpm.GRR,IF(AND(SD!$C$19=SD!$H$2,Grade!$G$1="Per level"),VLOOKUP(B211,Grade!$E$1:$F$200,2,FALSE),IF(AND(SD!$C$19=SD!$H$2,Grade!$G$1="Per Bar Size"),VLOOKUP(BX211,Grade!$B$1:$C$12,2,0),SD!$C$19)),_xlpm.is_equal, A210=A211,_xlpm.grade_range, IF(_xlpm.GRR=SD!$H$3, A615GR60,IF(_xlpm.GRR=SD!$H$4, A615GR75,IF(_xlpm.GRR=SD!$H$5, A615GR80,IF(_xlpm.GRR=SD!H215, A615GR100,IF(_xlpm.GRR=SD!$H$7, A706GR60,IF(_xlpm.GRR=SD!$H$8, A706GR80)))))),_xlpm.match_result, MATCH(1, (BSize=BX211)*(BCName=SD!$C$8), 0),_xlpm.final_result, INDEX(_xlpm.grade_range, _xlpm.match_result),IF(_xlpm.is_equal, "", _xlpm.final_result)),"")</f>
        <v/>
      </c>
      <c r="BZ211" t="str">
        <f>IF(A210=A211,"",IF(SD!$C$41="Match Vertical Bars ",X211,IF(SD!$C$41=SD!$V$3,BW211,SD!$C$41)))</f>
        <v/>
      </c>
      <c r="CA211" t="str" cm="1">
        <f t="array" ref="CA211">IF(A210=A211,"",IF(SD!$C$44="No T-Head",IF(SD!$C$42=SD!$Q$3,VLOOKUP(BX211,S90Range,3,FALSE),LEFT(SD!$C$42,FIND("-",SD!$C$42)-1)+(RIGHT(SD!$C$42,LEN(SD!$C$42)-FIND("-",SD!$C$42))/12)),IF(SD!$C$44="T-Head",_xlfn._xlws.FILTER(THead,(TCName=SD!$C$8)*(TSize=BX211)),IF(SD!$C$44="Level Wise",_xlfn.LET(_xlpm.result,_xlfn.XLOOKUP(B211,VDLevel,VDLevelStatus,"No"),IF(_xlpm.result="Yes",_xlfn._xlws.FILTER(THead,(TCName=SD!$C$8)*(TSize=BX211)),IF(SD!$C$42=SD!$Q$3,VLOOKUP(BX211,S90Range,3,FALSE),LEFT(SD!$C$42,FIND("-",SD!$C$42)-1)+(RIGHT(SD!$C$42,LEN(SD!$C$42)-FIND("-", SD!$C$42))/12)))),IF(SD!$C$44="BarSize Wise",_xlfn.LET(_xlpm.result,_xlfn.XLOOKUP(BX211,VDBarSize,VDBarSizeStatus,"No"),IF(_xlpm.result="Yes",_xlfn._xlws.FILTER(THead,(TCName=SD!$C$8)*(TSize=BX211)),IF(SD!$C$42=SD!$Q$3,VLOOKUP(BX211,S90Range,3,FALSE),LEFT(SD!$C$42,FIND("-",SD!$C$42)-1)+(RIGHT(SD!$C$42,LEN(SD!$C$42)-FIND("-",SD!$C$42))/12)))), "")))))</f>
        <v/>
      </c>
      <c r="CB211" t="str" cm="1">
        <f t="array" ref="CB211">_xlfn.LET(_xlpm.GRR,IF(AND(SD!$C$19=SD!$H$2,Grade!$G$1="Per level"),VLOOKUP(B211,Grade!$E$1:$F$200,2,FALSE),IF(AND(SD!$C$19=SD!$H$2,Grade!$G$1="Per Bar Size"),VLOOKUP(BX211,Grade!$B$1:$C$12,2,0),SD!$C$19)),_xlpm.is_coupler, K211="Coupler",_xlpm.condition1, SD!$C$43=SD!$W$2,_xlpm.data_j2_empty, Data!$J211="",_xlpm.lookup_table, IF(SD!$C$11="Create", Lap!$A$3:$BF$14, IF(SD!$C$11="Per Uploaded File", Lap!$A$19:$BF$30, "")),_xlpm.row_match, MATCH(BX211, Lap!$A$3:$A$14, 0),_xlpm.grade_offset, IF(IFERROR(FIND("Grade 60",_xlpm.GRR), 0) &gt; 0, 0, IF(IFERROR(FIND("Grade 80",_xlpm.GRR), 0), 1, IF(IFERROR(FIND("Grade 75",_xlpm.GRR), 0), 2, ""))),_xlpm.col_match, MATCH(VALUE(D211), Lap!$A$3:$BF$3, 0) + _xlpm.grade_offset,_xlpm.index_result, IFERROR(INDEX(_xlpm.lookup_table, _xlpm.row_match, _xlpm.col_match), Data!$J211),_xlpm.result_if_condition1, IF(_xlpm.data_j2_empty, _xlpm.index_result, Data!$J211),IF(_xlpm.is_coupler, 0, IF(_xlpm.condition1, _xlpm.result_if_condition1, SD!$C$43)))</f>
        <v>5-1</v>
      </c>
      <c r="CC211" s="24">
        <f t="shared" si="92"/>
        <v>5.083333333333333</v>
      </c>
      <c r="CD211">
        <f t="shared" si="93"/>
        <v>5.75</v>
      </c>
      <c r="CE211" t="str" cm="1">
        <f t="array" ref="CE211">IF(BY211="","",_xlfn._xlws.FILTER(SAC,(CName=SD!$C$8)*(EName="Vert Dowels")))</f>
        <v/>
      </c>
      <c r="CF211" t="str" cm="1">
        <f t="array" ref="CF211">IFERROR(IF(BY211="","",IF(K211="Coupler",_xlfn._xlws.FILTER(CCoupler,(CCName=SD!$C$8)*(CBSize=IF(A210=A211,W210&amp;W211,BX211&amp;W211))*(CCMFM="Male")),"")),"N/A")</f>
        <v/>
      </c>
      <c r="CG211" t="str">
        <f t="shared" si="94"/>
        <v/>
      </c>
      <c r="CH211" t="str">
        <f t="shared" si="95"/>
        <v/>
      </c>
      <c r="CI211" t="str">
        <f>_xlfn.LET(_xlpm.u3_value, U212,_xlpm.hyphen_pos,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K212="Coupler",_xlpm.coupler_value, IF(_xlpm.is_coupler, 0, _xlpm.calculated_value),_xlpm.final_value, _xlpm.calculated_value + SD!$E$13 + _xlpm.coupler_value,IF(CG211="", "", _xlpm.final_value))</f>
        <v/>
      </c>
      <c r="CJ211" t="str" cm="1">
        <f t="array" ref="CJ211">IF(CG211="","",_xlfn._xlws.FILTER(SAC,(CName=SD!$C$8)*(EName="Loose Dowels")))</f>
        <v/>
      </c>
      <c r="CK211" t="str" cm="1">
        <f t="array" ref="CK211">IFERROR(IF(CG211="","",IF(K212="Coupler",_xlfn._xlws.FILTER(CCoupler,(CCName=SD!$C$8)*(CBSize=IF(A211=A212,W211&amp;W212,""))*(CCMFM="Male")),"")),"N/A")</f>
        <v/>
      </c>
      <c r="CL211" t="str">
        <f>IFERROR(IF(AM211="Spiral","",IF(A210=A211,"",IF(SD!$C$37=0,"",SD!$C$37))),"")</f>
        <v/>
      </c>
      <c r="CN211">
        <f>IF(AM211="Spiral","",IFERROR(IF(SD!$C$36=0,"",SD!$C$36),""))</f>
        <v>5</v>
      </c>
      <c r="CP211" t="str">
        <f>IFERROR(IF(SD!$C$42=SD!$Q$3,'Take-off'!CA211,""),"")</f>
        <v/>
      </c>
      <c r="CR211">
        <f>IFERROR(IF(SD!$C$22=SD!$U$2,W211,SD!$C$22),"")</f>
        <v>0</v>
      </c>
      <c r="CS211" t="str" cm="1">
        <f t="array" ref="CS211">_xlfn.LET(_xlpm.GR,IF(AND(SD!$C$19=SD!$H$2,Grade!$G$1="Per level"),VLOOKUP(B211,Grade!$E$1:$F$200,2,FALSE),IF(AND(SD!$C$19=SD!$H$2,Grade!$G$1="Per Bar Size"),VLOOKUP(CR211,Grade!$B$1:$C$12,2,0),SD!$C$19)),IF(SD!$C$20=SD!$R$4,IF(A212=A211,"",INDEX(IF(_xlpm.GR=SD!$H$3,A615GR60,IF(_xlpm.GR=SD!$H$4,A615GR75,IF(_xlpm.GR=SD!$H$5,A615GR80,IF(_xlpm.GR=SD!H215,A615GR100,IF(_xlpm.GR=SD!$H$7,A706GR60,IF(_xlpm.GR=SD!$H$8,A706GR80)))))), MATCH(1, (BSize=CR211)*(BCName=SD!$C$8), 0))),""))</f>
        <v/>
      </c>
      <c r="CT211" t="str">
        <f>IF(A212=A211,"",IF(SD!$C$23="Match Vertical Bars ",X211,SD!$C$23))</f>
        <v/>
      </c>
      <c r="CU211" t="str" cm="1">
        <f t="array" ref="CU211">IF(A212=A211,"",IF(SD!$C$20="Top dowels",IF(SD!$E$25="No T-Head",IF(SD!$C$24=SD!$Q$3,VLOOKUP(CR211,S90Range,3,FALSE),LEFT(SD!$C$24,FIND("-",SD!$C$24)-1)+(RIGHT(SD!$C$24,LEN(SD!$C$24)-FIND("-",SD!$C$24))/12)),IF(SD!$E$25="T-Head",_xlfn._xlws.FILTER(THead,(TCName=SD!$C$8)*(TSize=CR211)),IF(SD!$E$25="Level Wise",_xlfn.LET(_xlpm.result,_xlfn.XLOOKUP(B211,TDLevel,TDLevelStatus,"No"),IF(_xlpm.result="Yes",_xlfn._xlws.FILTER(THead,(TCName=SD!$C$8)*(TSize=CR211)),IF(SD!$C$24=SD!$Q$3,VLOOKUP(CR211,S90Range,3,FALSE),LEFT(SD!$C$24,FIND("-",SD!$C$24)-1)+(RIGHT(SD!$C$24,LEN(SD!$C$24)-FIND("-", SD!$C$24))/12)))),IF(SD!$E$25="BarSize Wise",_xlfn.LET(_xlpm.result,_xlfn.XLOOKUP(CR211,TDBarSize,TDBarSizeStatus,"No"),IF(_xlpm.result="Yes",_xlfn._xlws.FILTER(THead,(TCName=SD!$C$8)*(TSize=CR211)),IF(SD!$C$24=SD!$Q$3,VLOOKUP(CR211,S90Range,3,FALSE),LEFT(SD!$C$24,FIND("-",SD!$C$24)-1)+(RIGHT(SD!$C$24,LEN(SD!$C$24)-FIND("-",SD!$C$24))/12)))), "")))),""))</f>
        <v/>
      </c>
      <c r="CV211" t="str">
        <f>_xlfn.LET(_xlpm.GRR,IF(AND(SD!$C$19=SD!$H$2,Grade!$G$1="Per level"),VLOOKUP(B211,Grade!$E$1:$F$200,2,FALSE),IF(AND(SD!$C$19=SD!$H$2,Grade!$G$1="Per Bar Size"),VLOOKUP(CR211,Grade!$B$1:$C$12,2,0),SD!$C$19)),IF(SD!$C$25=SD!$W$2,IF(Data!$J211="",IFERROR(INDEX(IF(SD!$C$11="Create",Lap!$A$3:$BF$14,IF(SD!$C$11="Per Uploaded File",Lap!$A$19:$BF$30,"")),MATCH(CR211,Lap!$A$3:$A$14,0),MATCH(VALUE(D211),Lap!$A$3:$BF$3,0)+IF(IFERROR(FIND("Grade 60",_xlpm.GRR),0)&gt;0,0,IF(IFERROR(FIND("Grade 80",_xlpm.GRR),0),1,IF(IFERROR(FIND("Grade 75",_xlpm.GRR),0),2,"")))),""),Data!J211),SD!$C$43))</f>
        <v>Match Lap</v>
      </c>
      <c r="CW211">
        <f t="shared" si="96"/>
        <v>0</v>
      </c>
      <c r="CX211">
        <f t="shared" si="97"/>
        <v>0</v>
      </c>
      <c r="CY211" t="str">
        <f t="shared" si="98"/>
        <v/>
      </c>
      <c r="DA211" t="str">
        <f t="shared" si="99"/>
        <v/>
      </c>
      <c r="DB211" t="str">
        <f t="shared" si="100"/>
        <v/>
      </c>
      <c r="DC211" s="24" t="str">
        <f t="shared" si="101"/>
        <v/>
      </c>
      <c r="DD211">
        <f t="shared" si="102"/>
        <v>10.583333333333334</v>
      </c>
      <c r="DE211" t="s">
        <v>785</v>
      </c>
      <c r="DF211" t="s">
        <v>67</v>
      </c>
      <c r="DG211" t="str">
        <f>VLOOKUP(W211,'Level Wise PSI'!$F$2:$G$12,2,FALSE)</f>
        <v>Double Lift</v>
      </c>
      <c r="DI211" t="str" cm="1">
        <f t="array" ref="DI211">_xlfn.LET(_xlpm.Coup,IFERROR(IF(BY211="","",IF(K211="Coupler",_xlfn._xlws.FILTER(CCFCoupler,(CCName=SD!$C$8)*(CBSize=IF(A210=A211,W210&amp;W211,BX211&amp;W211))),"")),"N/A"),IF(_xlpm.Coup=0,"",_xlpm.Coup))</f>
        <v/>
      </c>
      <c r="DJ211" t="str" cm="1">
        <f t="array" ref="DJ211">_xlfn.LET(_xlpm.Coup3,IFERROR(IF(CG211="","",IF(K212="Coupler",_xlfn._xlws.FILTER(CCFCoupler,(CCName=SD!$C$8)*(CBSize=IF(A211=A212,W211&amp;W212,""))),"")),"N/A"),IF(_xlpm.Coup3=0,"",_xlpm.Coup3))</f>
        <v/>
      </c>
      <c r="DK211" t="str" cm="1">
        <f t="array" ref="DK211">_xlfn.LET(_xlpm.Coup2,IFERROR(IF(A211&lt;&gt;A212,"",IF(DF211="No Lap","",IF(K212="Coupler",_xlfn._xlws.FILTER(CCFCoupler,(CCName=SD!$C$8)*(CBSize=IF(A210=A211,W211&amp;W212,W211&amp;W211))),""))),"N/A"),IF(_xlpm.Coup2=0,"",_xlpm.Coup2))</f>
        <v/>
      </c>
      <c r="DM211" t="str">
        <f>IF(AM211="Spiral","",IF(SD!$C$31=SD!$Y$3,SD!$E$32*2,""))</f>
        <v/>
      </c>
      <c r="DO211" s="24">
        <f t="shared" si="103"/>
        <v>2.5</v>
      </c>
      <c r="DQ211" t="str">
        <f t="shared" si="104"/>
        <v>Lig</v>
      </c>
      <c r="DR211" t="str">
        <f>IF(AM211="Spiral",((Y211-(SD!$E$12*2))/12),"")</f>
        <v/>
      </c>
      <c r="DS211" t="str">
        <f t="shared" si="105"/>
        <v/>
      </c>
      <c r="DT211" t="str">
        <f t="shared" si="106"/>
        <v/>
      </c>
      <c r="DU211" t="str">
        <f t="shared" si="107"/>
        <v/>
      </c>
    </row>
    <row r="212" spans="1:125" x14ac:dyDescent="0.25">
      <c r="A212">
        <v>66</v>
      </c>
      <c r="B212" t="s">
        <v>684</v>
      </c>
      <c r="C212" s="15">
        <v>2429</v>
      </c>
      <c r="D212" s="15">
        <v>10000</v>
      </c>
      <c r="E212" t="str">
        <f>IF(B212=Level!$A$2,SD!$C$14,SD!$C$13)</f>
        <v>0-8</v>
      </c>
      <c r="F212" s="15" t="s">
        <v>787</v>
      </c>
      <c r="G212" t="s">
        <v>742</v>
      </c>
      <c r="H212" t="str">
        <f>RIGHT(VLOOKUP(B212,Level!A:C,3,FALSE),LEN(VLOOKUP(B212,Level!A:C,3,FALSE))-1)</f>
        <v>10-7</v>
      </c>
      <c r="I212" t="s">
        <v>743</v>
      </c>
      <c r="J212" t="str">
        <f>IF(AND(SD!$C$19=SD!$H$2,Grade!$G$1="Per level"),VLOOKUP(B212,Grade!$E$1:$F$200,2,FALSE),IF(AND(SD!$C$19=SD!$H$2,Grade!$G$1="Per Bar Size"),VLOOKUP(W212,Grade!$B$1:$C$12,2,0),SD!$C$19))</f>
        <v>A615 Grade 60</v>
      </c>
      <c r="K212" t="s">
        <v>67</v>
      </c>
      <c r="L212" t="str">
        <f>IFERROR(IF(A212&lt;&gt;A213,"",IF(DF212="No Lap","",IF(K213="Lap",U212,IF(K213="Coupler",_xlfn._xlws.FILTER(CCoupler,(CCName=SD!$C$8)*(CBSize=IF(A211=A212,W212&amp;W213,W212&amp;W212))*(CCMFM="Male")),"")))),"N/A")</f>
        <v>5-1</v>
      </c>
      <c r="M212" t="str">
        <f t="shared" si="81"/>
        <v/>
      </c>
      <c r="N212" t="s">
        <v>719</v>
      </c>
      <c r="O212" t="s">
        <v>720</v>
      </c>
      <c r="P212" t="s">
        <v>719</v>
      </c>
      <c r="Q212" t="str">
        <f>IF(AND(SD!$C$29=SD!$P$2,Grade!$O$1="Per level"),VLOOKUP(B212,Grade!$M$1:$N$200,2,FALSE),IF(AND(SD!$C$29=SD!$P$2,Grade!$O$1="Per Bar Size"),VLOOKUP(LEFT(N212,FIND("@",N212)-2),Grade!$J$1:$K$12,2,0),SD!$C$29))</f>
        <v>A615 Grade 60</v>
      </c>
      <c r="R212" t="s">
        <v>742</v>
      </c>
      <c r="S212" s="57">
        <v>212</v>
      </c>
      <c r="U212" t="str">
        <f>IF(Data!$J212="",IFERROR(INDEX(IF(SD!$C$11="Create",Lap!$A$3:$BF$14,IF(SD!$C$11="Per Uploaded File",Lap!$A$19:$BF$30,"")),MATCH(W212,Lap!$A$3:$A$14,0),MATCH(VALUE(D212),Lap!$A$3:$BF$3,0)+IF(IFERROR(FIND("Grade 60",J212),0)&gt;0,0,IF(IFERROR(FIND("Grade 80",J212),0),1,IF(IFERROR(FIND("Grade 75",J212),0),2,"")))),""),Data!J212)</f>
        <v>5-1</v>
      </c>
      <c r="W212" t="s">
        <v>176</v>
      </c>
      <c r="X212">
        <v>6</v>
      </c>
      <c r="Y212" t="str">
        <f t="shared" si="82"/>
        <v>30</v>
      </c>
      <c r="Z212">
        <f t="shared" si="83"/>
        <v>0</v>
      </c>
      <c r="AA212" s="24">
        <f t="shared" si="84"/>
        <v>15.666666666666666</v>
      </c>
      <c r="BB212" t="e" cm="1">
        <f t="array" ref="BB212">_xlfn.LET(_xlpm.PartF,(_xlfn.LET(_xlpm.grade, Q212,_xlpm.gradeRange, IF(_xlpm.grade=SD!$H$3, A615GR60, IF(_xlpm.grade=SD!$H$4, A615GR75, IF(_xlpm.grade=SD!$H$5, A615GR80, IF(_xlpm.grade=SD!$H$6, A615GR100, IF(_xlpm.grade=SD!$H$7, A706GR60, IF(_xlpm.grade=SD!$H$8, A706GR80)))))),_xlpm.matchValue, MATCH(1, (SD!$AW:$AW=AS212)*(SD!$AX:$AX=SD!$C$8), 0),INDEX(_xlpm.gradeRange, _xlpm.matchValue))),IF(AM212="Spiral",CONCATENATE("SP",_xlpm.PartF),_xlpm.PartF))</f>
        <v>#N/A</v>
      </c>
      <c r="BC212" cm="1">
        <f t="array" ref="BC212">_xlfn.LET(_xlpm.leftPart, LEFT(O212, FIND("@", O212) - 2),_xlpm.grade,Q212,_xlpm.gradeRange,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2" cm="1">
        <f t="array" ref="BD212">_xlfn.LET(_xlpm.leftPart, LEFT(P212, FIND("@", P212) - 2),_xlpm.grade, Q212,_xlpm.gradeRange,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2">
        <f t="shared" si="85"/>
        <v>2.5</v>
      </c>
      <c r="BF212">
        <f>IF(SD!$C$32=SD!$I$2,BE212,IF(SD!$C$32=SD!$I$3,DO212,IF(SD!$C$32=SD!$I$5,BA212,IF(SD!$C$32=SD!$I$6,(LEFT(SD!$C$35,FIND("-",SD!$C$35)-1)+RIGHT(SD!$C$35,LEN(SD!$C$35)-FIND("-",SD!$C$35))/12),IF(SD!$C$32=SD!$I$4,(AU212-(BG212+BH212)))))))</f>
        <v>0</v>
      </c>
      <c r="BG212">
        <f>IF(SD!$C$33=SD!$I$2,BE212,IF(SD!$C$33=SD!$I$3,DO212,IF(SD!$C$33=SD!$I$5,BA212,IF(SD!$C$33=SD!$I$6,(LEFT(SD!$C$35,FIND("-",SD!$C$35)-1)+RIGHT(SD!$C$35,LEN(SD!$C$35)-FIND("-",SD!$C$35))/12),IF(SD!$C$33=SD!$I$4,(AU212-(BF212+BH212)))))))</f>
        <v>-1</v>
      </c>
      <c r="BH212">
        <f>IF(SD!$C$34=SD!$I$2,BE212,IF(SD!$C$34=SD!$I$3,DO212,IF(SD!$C$34=SD!$I$5,BA212,IF(SD!$C$34=SD!$I$6,(LEFT(SD!$C$35,FIND("-",SD!$C$35)-1)+RIGHT(SD!$C$35,LEN(SD!$C$35)-FIND("-",SD!$C$35))/12),IF(SD!$C$34=SD!$I$4,(AU212-(BF212+BG212)))))))</f>
        <v>1</v>
      </c>
      <c r="BJ212">
        <f>IF(AM212="Spiral","1",MAX(ROUNDUP(IF(SD!$C$32="",AT212,BF212/(LEFT(RIGHT(N212,LEN(N212)-FIND("@",N212)),LEN(RIGHT(N212,LEN(N212)-FIND("@",N212)))-1)/12)+1),0),0))</f>
        <v>1</v>
      </c>
      <c r="BK212">
        <f>MAX(ROUNDUP(IF(SD!$C$33="","",BG212/(LEFT(RIGHT(O212,LEN(O212)-FIND("@",O212)),LEN(RIGHT(O212,LEN(O212)-FIND("@",O212)))-1)/12)+1),0),0)</f>
        <v>0</v>
      </c>
      <c r="BL212">
        <f>MAX(ROUNDUP(IF(SD!$C$34="","",BH212/(LEFT(RIGHT(P212,LEN(P212)-FIND("@",P212)),LEN(RIGHT(P212,LEN(P212)-FIND("@",P212)))-1)/12)+1),0),0)</f>
        <v>3</v>
      </c>
      <c r="BN212" t="e">
        <f t="shared" si="86"/>
        <v>#N/A</v>
      </c>
      <c r="BO212" t="e">
        <f t="shared" si="87"/>
        <v>#N/A</v>
      </c>
      <c r="BP212" t="e">
        <f t="shared" si="88"/>
        <v>#N/A</v>
      </c>
      <c r="BQ212" s="24" t="e">
        <f>IF(AM212=TRUE,(((Y212-(SD!$E$12*2))*3.14159265359)+BN212+BO212+BP212)/12+AL212,SUM(AF212:AG212,BN212,BO212,BP212,AO212,AQ212)/12)</f>
        <v>#N/A</v>
      </c>
      <c r="BR212" t="e">
        <f t="shared" si="89"/>
        <v>#N/A</v>
      </c>
      <c r="BS212" t="e">
        <f t="shared" si="90"/>
        <v>#N/A</v>
      </c>
      <c r="BT212" t="e">
        <f t="shared" si="91"/>
        <v>#N/A</v>
      </c>
      <c r="BU212" s="24" t="e">
        <f>IF(AM212=TRUE,(((Y212-(SD!$E$12*2))*3.14159265359)+BR212+BS212+BT212)/12+AL212,SUM(AF212:AG212,BR212,BS212,BT212,AO212,AQ212)/12)</f>
        <v>#N/A</v>
      </c>
      <c r="BW212" t="str">
        <f>IFERROR(LEFT(Data!L212,FIND(" -",Data!L212)-1),"")</f>
        <v/>
      </c>
      <c r="BX212" t="str">
        <f>IFERROR(IF(SD!$C$40=SD!$U$2,W212,IF(SD!$C$40=SD!$U$3,RIGHT(Data!L212,LEN(Data!L212)-(FIND("-",Data!L212)+1)),SD!$C$40)),"")</f>
        <v>#10</v>
      </c>
      <c r="BY212" t="str" cm="1">
        <f t="array" ref="BY212">IFERROR(_xlfn.LET(_xlpm.GRR,IF(AND(SD!$C$19=SD!$H$2,Grade!$G$1="Per level"),VLOOKUP(B212,Grade!$E$1:$F$200,2,FALSE),IF(AND(SD!$C$19=SD!$H$2,Grade!$G$1="Per Bar Size"),VLOOKUP(BX212,Grade!$B$1:$C$12,2,0),SD!$C$19)),_xlpm.is_equal, A211=A212,_xlpm.grade_range, IF(_xlpm.GRR=SD!$H$3, A615GR60,IF(_xlpm.GRR=SD!$H$4, A615GR75,IF(_xlpm.GRR=SD!$H$5, A615GR80,IF(_xlpm.GRR=SD!H216, A615GR100,IF(_xlpm.GRR=SD!$H$7, A706GR60,IF(_xlpm.GRR=SD!$H$8, A706GR80)))))),_xlpm.match_result, MATCH(1, (BSize=BX212)*(BCName=SD!$C$8), 0),_xlpm.final_result, INDEX(_xlpm.grade_range, _xlpm.match_result),IF(_xlpm.is_equal, "", _xlpm.final_result)),"")</f>
        <v/>
      </c>
      <c r="BZ212" t="str">
        <f>IF(A211=A212,"",IF(SD!$C$41="Match Vertical Bars ",X212,IF(SD!$C$41=SD!$V$3,BW212,SD!$C$41)))</f>
        <v/>
      </c>
      <c r="CA212" t="str" cm="1">
        <f t="array" ref="CA212">IF(A211=A212,"",IF(SD!$C$44="No T-Head",IF(SD!$C$42=SD!$Q$3,VLOOKUP(BX212,S90Range,3,FALSE),LEFT(SD!$C$42,FIND("-",SD!$C$42)-1)+(RIGHT(SD!$C$42,LEN(SD!$C$42)-FIND("-",SD!$C$42))/12)),IF(SD!$C$44="T-Head",_xlfn._xlws.FILTER(THead,(TCName=SD!$C$8)*(TSize=BX212)),IF(SD!$C$44="Level Wise",_xlfn.LET(_xlpm.result,_xlfn.XLOOKUP(B212,VDLevel,VDLevelStatus,"No"),IF(_xlpm.result="Yes",_xlfn._xlws.FILTER(THead,(TCName=SD!$C$8)*(TSize=BX212)),IF(SD!$C$42=SD!$Q$3,VLOOKUP(BX212,S90Range,3,FALSE),LEFT(SD!$C$42,FIND("-",SD!$C$42)-1)+(RIGHT(SD!$C$42,LEN(SD!$C$42)-FIND("-", SD!$C$42))/12)))),IF(SD!$C$44="BarSize Wise",_xlfn.LET(_xlpm.result,_xlfn.XLOOKUP(BX212,VDBarSize,VDBarSizeStatus,"No"),IF(_xlpm.result="Yes",_xlfn._xlws.FILTER(THead,(TCName=SD!$C$8)*(TSize=BX212)),IF(SD!$C$42=SD!$Q$3,VLOOKUP(BX212,S90Range,3,FALSE),LEFT(SD!$C$42,FIND("-",SD!$C$42)-1)+(RIGHT(SD!$C$42,LEN(SD!$C$42)-FIND("-",SD!$C$42))/12)))), "")))))</f>
        <v/>
      </c>
      <c r="CB212" t="str" cm="1">
        <f t="array" ref="CB212">_xlfn.LET(_xlpm.GRR,IF(AND(SD!$C$19=SD!$H$2,Grade!$G$1="Per level"),VLOOKUP(B212,Grade!$E$1:$F$200,2,FALSE),IF(AND(SD!$C$19=SD!$H$2,Grade!$G$1="Per Bar Size"),VLOOKUP(BX212,Grade!$B$1:$C$12,2,0),SD!$C$19)),_xlpm.is_coupler, K212="Coupler",_xlpm.condition1, SD!$C$43=SD!$W$2,_xlpm.data_j2_empty, Data!$J212="",_xlpm.lookup_table, IF(SD!$C$11="Create", Lap!$A$3:$BF$14, IF(SD!$C$11="Per Uploaded File", Lap!$A$19:$BF$30, "")),_xlpm.row_match, MATCH(BX212, Lap!$A$3:$A$14, 0),_xlpm.grade_offset, IF(IFERROR(FIND("Grade 60",_xlpm.GRR), 0) &gt; 0, 0, IF(IFERROR(FIND("Grade 80",_xlpm.GRR), 0), 1, IF(IFERROR(FIND("Grade 75",_xlpm.GRR), 0), 2, ""))),_xlpm.col_match, MATCH(VALUE(D212), Lap!$A$3:$BF$3, 0) + _xlpm.grade_offset,_xlpm.index_result, IFERROR(INDEX(_xlpm.lookup_table, _xlpm.row_match, _xlpm.col_match), Data!$J212),_xlpm.result_if_condition1, IF(_xlpm.data_j2_empty, _xlpm.index_result, Data!$J212),IF(_xlpm.is_coupler, 0, IF(_xlpm.condition1, _xlpm.result_if_condition1, SD!$C$43)))</f>
        <v>5-1</v>
      </c>
      <c r="CC212" s="24">
        <f t="shared" si="92"/>
        <v>5.083333333333333</v>
      </c>
      <c r="CD212">
        <f t="shared" si="93"/>
        <v>5.75</v>
      </c>
      <c r="CE212" t="str" cm="1">
        <f t="array" ref="CE212">IF(BY212="","",_xlfn._xlws.FILTER(SAC,(CName=SD!$C$8)*(EName="Vert Dowels")))</f>
        <v/>
      </c>
      <c r="CF212" t="str" cm="1">
        <f t="array" ref="CF212">IFERROR(IF(BY212="","",IF(K212="Coupler",_xlfn._xlws.FILTER(CCoupler,(CCName=SD!$C$8)*(CBSize=IF(A211=A212,W211&amp;W212,BX212&amp;W212))*(CCMFM="Male")),"")),"N/A")</f>
        <v/>
      </c>
      <c r="CG212" t="str">
        <f t="shared" si="94"/>
        <v/>
      </c>
      <c r="CH212" t="str">
        <f t="shared" si="95"/>
        <v/>
      </c>
      <c r="CI212" t="str">
        <f>_xlfn.LET(_xlpm.u3_value, U213,_xlpm.hyphen_pos,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K213="Coupler",_xlpm.coupler_value, IF(_xlpm.is_coupler, 0, _xlpm.calculated_value),_xlpm.final_value, _xlpm.calculated_value + SD!$E$13 + _xlpm.coupler_value,IF(CG212="", "", _xlpm.final_value))</f>
        <v/>
      </c>
      <c r="CJ212" t="str" cm="1">
        <f t="array" ref="CJ212">IF(CG212="","",_xlfn._xlws.FILTER(SAC,(CName=SD!$C$8)*(EName="Loose Dowels")))</f>
        <v/>
      </c>
      <c r="CK212" t="str" cm="1">
        <f t="array" ref="CK212">IFERROR(IF(CG212="","",IF(K213="Coupler",_xlfn._xlws.FILTER(CCoupler,(CCName=SD!$C$8)*(CBSize=IF(A212=A213,W212&amp;W213,""))*(CCMFM="Male")),"")),"N/A")</f>
        <v/>
      </c>
      <c r="CL212" t="str">
        <f>IFERROR(IF(AM212="Spiral","",IF(A211=A212,"",IF(SD!$C$37=0,"",SD!$C$37))),"")</f>
        <v/>
      </c>
      <c r="CN212">
        <f>IF(AM212="Spiral","",IFERROR(IF(SD!$C$36=0,"",SD!$C$36),""))</f>
        <v>5</v>
      </c>
      <c r="CP212" t="str">
        <f>IFERROR(IF(SD!$C$42=SD!$Q$3,'Take-off'!CA212,""),"")</f>
        <v/>
      </c>
      <c r="CR212">
        <f>IFERROR(IF(SD!$C$22=SD!$U$2,W212,SD!$C$22),"")</f>
        <v>0</v>
      </c>
      <c r="CS212" t="str" cm="1">
        <f t="array" ref="CS212">_xlfn.LET(_xlpm.GR,IF(AND(SD!$C$19=SD!$H$2,Grade!$G$1="Per level"),VLOOKUP(B212,Grade!$E$1:$F$200,2,FALSE),IF(AND(SD!$C$19=SD!$H$2,Grade!$G$1="Per Bar Size"),VLOOKUP(CR212,Grade!$B$1:$C$12,2,0),SD!$C$19)),IF(SD!$C$20=SD!$R$4,IF(A213=A212,"",INDEX(IF(_xlpm.GR=SD!$H$3,A615GR60,IF(_xlpm.GR=SD!$H$4,A615GR75,IF(_xlpm.GR=SD!$H$5,A615GR80,IF(_xlpm.GR=SD!H216,A615GR100,IF(_xlpm.GR=SD!$H$7,A706GR60,IF(_xlpm.GR=SD!$H$8,A706GR80)))))), MATCH(1, (BSize=CR212)*(BCName=SD!$C$8), 0))),""))</f>
        <v/>
      </c>
      <c r="CT212" t="str">
        <f>IF(A213=A212,"",IF(SD!$C$23="Match Vertical Bars ",X212,SD!$C$23))</f>
        <v/>
      </c>
      <c r="CU212" t="str" cm="1">
        <f t="array" ref="CU212">IF(A213=A212,"",IF(SD!$C$20="Top dowels",IF(SD!$E$25="No T-Head",IF(SD!$C$24=SD!$Q$3,VLOOKUP(CR212,S90Range,3,FALSE),LEFT(SD!$C$24,FIND("-",SD!$C$24)-1)+(RIGHT(SD!$C$24,LEN(SD!$C$24)-FIND("-",SD!$C$24))/12)),IF(SD!$E$25="T-Head",_xlfn._xlws.FILTER(THead,(TCName=SD!$C$8)*(TSize=CR212)),IF(SD!$E$25="Level Wise",_xlfn.LET(_xlpm.result,_xlfn.XLOOKUP(B212,TDLevel,TDLevelStatus,"No"),IF(_xlpm.result="Yes",_xlfn._xlws.FILTER(THead,(TCName=SD!$C$8)*(TSize=CR212)),IF(SD!$C$24=SD!$Q$3,VLOOKUP(CR212,S90Range,3,FALSE),LEFT(SD!$C$24,FIND("-",SD!$C$24)-1)+(RIGHT(SD!$C$24,LEN(SD!$C$24)-FIND("-", SD!$C$24))/12)))),IF(SD!$E$25="BarSize Wise",_xlfn.LET(_xlpm.result,_xlfn.XLOOKUP(CR212,TDBarSize,TDBarSizeStatus,"No"),IF(_xlpm.result="Yes",_xlfn._xlws.FILTER(THead,(TCName=SD!$C$8)*(TSize=CR212)),IF(SD!$C$24=SD!$Q$3,VLOOKUP(CR212,S90Range,3,FALSE),LEFT(SD!$C$24,FIND("-",SD!$C$24)-1)+(RIGHT(SD!$C$24,LEN(SD!$C$24)-FIND("-",SD!$C$24))/12)))), "")))),""))</f>
        <v/>
      </c>
      <c r="CV212" t="str">
        <f>_xlfn.LET(_xlpm.GRR,IF(AND(SD!$C$19=SD!$H$2,Grade!$G$1="Per level"),VLOOKUP(B212,Grade!$E$1:$F$200,2,FALSE),IF(AND(SD!$C$19=SD!$H$2,Grade!$G$1="Per Bar Size"),VLOOKUP(CR212,Grade!$B$1:$C$12,2,0),SD!$C$19)),IF(SD!$C$25=SD!$W$2,IF(Data!$J212="",IFERROR(INDEX(IF(SD!$C$11="Create",Lap!$A$3:$BF$14,IF(SD!$C$11="Per Uploaded File",Lap!$A$19:$BF$30,"")),MATCH(CR212,Lap!$A$3:$A$14,0),MATCH(VALUE(D212),Lap!$A$3:$BF$3,0)+IF(IFERROR(FIND("Grade 60",_xlpm.GRR),0)&gt;0,0,IF(IFERROR(FIND("Grade 80",_xlpm.GRR),0),1,IF(IFERROR(FIND("Grade 75",_xlpm.GRR),0),2,"")))),""),Data!J212),SD!$C$43))</f>
        <v>Match Lap</v>
      </c>
      <c r="CW212">
        <f t="shared" si="96"/>
        <v>0</v>
      </c>
      <c r="CX212">
        <f t="shared" si="97"/>
        <v>0</v>
      </c>
      <c r="CY212" t="str">
        <f t="shared" si="98"/>
        <v/>
      </c>
      <c r="DA212" t="str">
        <f t="shared" si="99"/>
        <v/>
      </c>
      <c r="DB212" t="str">
        <f t="shared" si="100"/>
        <v/>
      </c>
      <c r="DC212" s="24" t="str">
        <f t="shared" si="101"/>
        <v/>
      </c>
      <c r="DD212">
        <f t="shared" si="102"/>
        <v>10.583333333333334</v>
      </c>
      <c r="DE212" t="s">
        <v>785</v>
      </c>
      <c r="DF212" t="s">
        <v>67</v>
      </c>
      <c r="DG212" t="str">
        <f>VLOOKUP(W212,'Level Wise PSI'!$F$2:$G$12,2,FALSE)</f>
        <v>Double Lift</v>
      </c>
      <c r="DI212" t="str" cm="1">
        <f t="array" ref="DI212">_xlfn.LET(_xlpm.Coup,IFERROR(IF(BY212="","",IF(K212="Coupler",_xlfn._xlws.FILTER(CCFCoupler,(CCName=SD!$C$8)*(CBSize=IF(A211=A212,W211&amp;W212,BX212&amp;W212))),"")),"N/A"),IF(_xlpm.Coup=0,"",_xlpm.Coup))</f>
        <v/>
      </c>
      <c r="DJ212" t="str" cm="1">
        <f t="array" ref="DJ212">_xlfn.LET(_xlpm.Coup3,IFERROR(IF(CG212="","",IF(K213="Coupler",_xlfn._xlws.FILTER(CCFCoupler,(CCName=SD!$C$8)*(CBSize=IF(A212=A213,W212&amp;W213,""))),"")),"N/A"),IF(_xlpm.Coup3=0,"",_xlpm.Coup3))</f>
        <v/>
      </c>
      <c r="DK212" t="str" cm="1">
        <f t="array" ref="DK212">_xlfn.LET(_xlpm.Coup2,IFERROR(IF(A212&lt;&gt;A213,"",IF(DF212="No Lap","",IF(K213="Coupler",_xlfn._xlws.FILTER(CCFCoupler,(CCName=SD!$C$8)*(CBSize=IF(A211=A212,W212&amp;W213,W212&amp;W212))),""))),"N/A"),IF(_xlpm.Coup2=0,"",_xlpm.Coup2))</f>
        <v/>
      </c>
      <c r="DM212" t="str">
        <f>IF(AM212="Spiral","",IF(SD!$C$31=SD!$Y$3,SD!$E$32*2,""))</f>
        <v/>
      </c>
      <c r="DO212" s="24">
        <f t="shared" si="103"/>
        <v>2.5</v>
      </c>
      <c r="DQ212" t="str">
        <f t="shared" si="104"/>
        <v>Lig</v>
      </c>
      <c r="DR212" t="str">
        <f>IF(AM212="Spiral",((Y212-(SD!$E$12*2))/12),"")</f>
        <v/>
      </c>
      <c r="DS212" t="str">
        <f t="shared" si="105"/>
        <v/>
      </c>
      <c r="DT212" t="str">
        <f t="shared" si="106"/>
        <v/>
      </c>
      <c r="DU212" t="str">
        <f t="shared" si="107"/>
        <v/>
      </c>
    </row>
    <row r="213" spans="1:125" x14ac:dyDescent="0.25">
      <c r="A213">
        <v>66</v>
      </c>
      <c r="B213" t="s">
        <v>686</v>
      </c>
      <c r="C213" s="15">
        <v>2429</v>
      </c>
      <c r="D213" s="15">
        <v>10000</v>
      </c>
      <c r="E213" t="str">
        <f>IF(B213=Level!$A$2,SD!$C$14,SD!$C$13)</f>
        <v>0-8</v>
      </c>
      <c r="F213" s="15" t="s">
        <v>787</v>
      </c>
      <c r="G213" t="s">
        <v>742</v>
      </c>
      <c r="H213" t="str">
        <f>RIGHT(VLOOKUP(B213,Level!A:C,3,FALSE),LEN(VLOOKUP(B213,Level!A:C,3,FALSE))-1)</f>
        <v>10-7</v>
      </c>
      <c r="I213" t="s">
        <v>743</v>
      </c>
      <c r="J213" t="str">
        <f>IF(AND(SD!$C$19=SD!$H$2,Grade!$G$1="Per level"),VLOOKUP(B213,Grade!$E$1:$F$200,2,FALSE),IF(AND(SD!$C$19=SD!$H$2,Grade!$G$1="Per Bar Size"),VLOOKUP(W213,Grade!$B$1:$C$12,2,0),SD!$C$19))</f>
        <v>A615 Grade 60</v>
      </c>
      <c r="K213" t="s">
        <v>67</v>
      </c>
      <c r="L213" t="str">
        <f>IFERROR(IF(A213&lt;&gt;A214,"",IF(DF213="No Lap","",IF(K214="Lap",U213,IF(K214="Coupler",_xlfn._xlws.FILTER(CCoupler,(CCName=SD!$C$8)*(CBSize=IF(A212=A213,W213&amp;W214,W213&amp;W213))*(CCMFM="Male")),"")))),"N/A")</f>
        <v>5-1</v>
      </c>
      <c r="M213" t="str">
        <f t="shared" si="81"/>
        <v/>
      </c>
      <c r="N213" t="s">
        <v>719</v>
      </c>
      <c r="O213" t="s">
        <v>720</v>
      </c>
      <c r="P213" t="s">
        <v>719</v>
      </c>
      <c r="Q213" t="str">
        <f>IF(AND(SD!$C$29=SD!$P$2,Grade!$O$1="Per level"),VLOOKUP(B213,Grade!$M$1:$N$200,2,FALSE),IF(AND(SD!$C$29=SD!$P$2,Grade!$O$1="Per Bar Size"),VLOOKUP(LEFT(N213,FIND("@",N213)-2),Grade!$J$1:$K$12,2,0),SD!$C$29))</f>
        <v>A615 Grade 60</v>
      </c>
      <c r="R213" t="s">
        <v>742</v>
      </c>
      <c r="S213" s="57">
        <v>213</v>
      </c>
      <c r="U213" t="str">
        <f>IF(Data!$J213="",IFERROR(INDEX(IF(SD!$C$11="Create",Lap!$A$3:$BF$14,IF(SD!$C$11="Per Uploaded File",Lap!$A$19:$BF$30,"")),MATCH(W213,Lap!$A$3:$A$14,0),MATCH(VALUE(D213),Lap!$A$3:$BF$3,0)+IF(IFERROR(FIND("Grade 60",J213),0)&gt;0,0,IF(IFERROR(FIND("Grade 80",J213),0),1,IF(IFERROR(FIND("Grade 75",J213),0),2,"")))),""),Data!J213)</f>
        <v>5-1</v>
      </c>
      <c r="W213" t="s">
        <v>176</v>
      </c>
      <c r="X213">
        <v>6</v>
      </c>
      <c r="Y213" t="str">
        <f t="shared" si="82"/>
        <v>30</v>
      </c>
      <c r="Z213">
        <f t="shared" si="83"/>
        <v>0</v>
      </c>
      <c r="AA213" s="24">
        <f t="shared" si="84"/>
        <v>15.666666666666666</v>
      </c>
      <c r="BB213" t="e" cm="1">
        <f t="array" ref="BB213">_xlfn.LET(_xlpm.PartF,(_xlfn.LET(_xlpm.grade, Q213,_xlpm.gradeRange, IF(_xlpm.grade=SD!$H$3, A615GR60, IF(_xlpm.grade=SD!$H$4, A615GR75, IF(_xlpm.grade=SD!$H$5, A615GR80, IF(_xlpm.grade=SD!$H$6, A615GR100, IF(_xlpm.grade=SD!$H$7, A706GR60, IF(_xlpm.grade=SD!$H$8, A706GR80)))))),_xlpm.matchValue, MATCH(1, (SD!$AW:$AW=AS213)*(SD!$AX:$AX=SD!$C$8), 0),INDEX(_xlpm.gradeRange, _xlpm.matchValue))),IF(AM213="Spiral",CONCATENATE("SP",_xlpm.PartF),_xlpm.PartF))</f>
        <v>#N/A</v>
      </c>
      <c r="BC213" cm="1">
        <f t="array" ref="BC213">_xlfn.LET(_xlpm.leftPart, LEFT(O213, FIND("@", O213) - 2),_xlpm.grade,Q213,_xlpm.gradeRange,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3" cm="1">
        <f t="array" ref="BD213">_xlfn.LET(_xlpm.leftPart, LEFT(P213, FIND("@", P213) - 2),_xlpm.grade, Q213,_xlpm.gradeRange,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3">
        <f t="shared" si="85"/>
        <v>2.5</v>
      </c>
      <c r="BF213">
        <f>IF(SD!$C$32=SD!$I$2,BE213,IF(SD!$C$32=SD!$I$3,DO213,IF(SD!$C$32=SD!$I$5,BA213,IF(SD!$C$32=SD!$I$6,(LEFT(SD!$C$35,FIND("-",SD!$C$35)-1)+RIGHT(SD!$C$35,LEN(SD!$C$35)-FIND("-",SD!$C$35))/12),IF(SD!$C$32=SD!$I$4,(AU213-(BG213+BH213)))))))</f>
        <v>0</v>
      </c>
      <c r="BG213">
        <f>IF(SD!$C$33=SD!$I$2,BE213,IF(SD!$C$33=SD!$I$3,DO213,IF(SD!$C$33=SD!$I$5,BA213,IF(SD!$C$33=SD!$I$6,(LEFT(SD!$C$35,FIND("-",SD!$C$35)-1)+RIGHT(SD!$C$35,LEN(SD!$C$35)-FIND("-",SD!$C$35))/12),IF(SD!$C$33=SD!$I$4,(AU213-(BF213+BH213)))))))</f>
        <v>-1</v>
      </c>
      <c r="BH213">
        <f>IF(SD!$C$34=SD!$I$2,BE213,IF(SD!$C$34=SD!$I$3,DO213,IF(SD!$C$34=SD!$I$5,BA213,IF(SD!$C$34=SD!$I$6,(LEFT(SD!$C$35,FIND("-",SD!$C$35)-1)+RIGHT(SD!$C$35,LEN(SD!$C$35)-FIND("-",SD!$C$35))/12),IF(SD!$C$34=SD!$I$4,(AU213-(BF213+BG213)))))))</f>
        <v>1</v>
      </c>
      <c r="BJ213">
        <f>IF(AM213="Spiral","1",MAX(ROUNDUP(IF(SD!$C$32="",AT213,BF213/(LEFT(RIGHT(N213,LEN(N213)-FIND("@",N213)),LEN(RIGHT(N213,LEN(N213)-FIND("@",N213)))-1)/12)+1),0),0))</f>
        <v>1</v>
      </c>
      <c r="BK213">
        <f>MAX(ROUNDUP(IF(SD!$C$33="","",BG213/(LEFT(RIGHT(O213,LEN(O213)-FIND("@",O213)),LEN(RIGHT(O213,LEN(O213)-FIND("@",O213)))-1)/12)+1),0),0)</f>
        <v>0</v>
      </c>
      <c r="BL213">
        <f>MAX(ROUNDUP(IF(SD!$C$34="","",BH213/(LEFT(RIGHT(P213,LEN(P213)-FIND("@",P213)),LEN(RIGHT(P213,LEN(P213)-FIND("@",P213)))-1)/12)+1),0),0)</f>
        <v>3</v>
      </c>
      <c r="BN213" t="e">
        <f t="shared" si="86"/>
        <v>#N/A</v>
      </c>
      <c r="BO213" t="e">
        <f t="shared" si="87"/>
        <v>#N/A</v>
      </c>
      <c r="BP213" t="e">
        <f t="shared" si="88"/>
        <v>#N/A</v>
      </c>
      <c r="BQ213" s="24" t="e">
        <f>IF(AM213=TRUE,(((Y213-(SD!$E$12*2))*3.14159265359)+BN213+BO213+BP213)/12+AL213,SUM(AF213:AG213,BN213,BO213,BP213,AO213,AQ213)/12)</f>
        <v>#N/A</v>
      </c>
      <c r="BR213" t="e">
        <f t="shared" si="89"/>
        <v>#N/A</v>
      </c>
      <c r="BS213" t="e">
        <f t="shared" si="90"/>
        <v>#N/A</v>
      </c>
      <c r="BT213" t="e">
        <f t="shared" si="91"/>
        <v>#N/A</v>
      </c>
      <c r="BU213" s="24" t="e">
        <f>IF(AM213=TRUE,(((Y213-(SD!$E$12*2))*3.14159265359)+BR213+BS213+BT213)/12+AL213,SUM(AF213:AG213,BR213,BS213,BT213,AO213,AQ213)/12)</f>
        <v>#N/A</v>
      </c>
      <c r="BW213" t="str">
        <f>IFERROR(LEFT(Data!L213,FIND(" -",Data!L213)-1),"")</f>
        <v/>
      </c>
      <c r="BX213" t="str">
        <f>IFERROR(IF(SD!$C$40=SD!$U$2,W213,IF(SD!$C$40=SD!$U$3,RIGHT(Data!L213,LEN(Data!L213)-(FIND("-",Data!L213)+1)),SD!$C$40)),"")</f>
        <v>#10</v>
      </c>
      <c r="BY213" t="str" cm="1">
        <f t="array" ref="BY213">IFERROR(_xlfn.LET(_xlpm.GRR,IF(AND(SD!$C$19=SD!$H$2,Grade!$G$1="Per level"),VLOOKUP(B213,Grade!$E$1:$F$200,2,FALSE),IF(AND(SD!$C$19=SD!$H$2,Grade!$G$1="Per Bar Size"),VLOOKUP(BX213,Grade!$B$1:$C$12,2,0),SD!$C$19)),_xlpm.is_equal, A212=A213,_xlpm.grade_range, IF(_xlpm.GRR=SD!$H$3, A615GR60,IF(_xlpm.GRR=SD!$H$4, A615GR75,IF(_xlpm.GRR=SD!$H$5, A615GR80,IF(_xlpm.GRR=SD!H217, A615GR100,IF(_xlpm.GRR=SD!$H$7, A706GR60,IF(_xlpm.GRR=SD!$H$8, A706GR80)))))),_xlpm.match_result, MATCH(1, (BSize=BX213)*(BCName=SD!$C$8), 0),_xlpm.final_result, INDEX(_xlpm.grade_range, _xlpm.match_result),IF(_xlpm.is_equal, "", _xlpm.final_result)),"")</f>
        <v/>
      </c>
      <c r="BZ213" t="str">
        <f>IF(A212=A213,"",IF(SD!$C$41="Match Vertical Bars ",X213,IF(SD!$C$41=SD!$V$3,BW213,SD!$C$41)))</f>
        <v/>
      </c>
      <c r="CA213" t="str" cm="1">
        <f t="array" ref="CA213">IF(A212=A213,"",IF(SD!$C$44="No T-Head",IF(SD!$C$42=SD!$Q$3,VLOOKUP(BX213,S90Range,3,FALSE),LEFT(SD!$C$42,FIND("-",SD!$C$42)-1)+(RIGHT(SD!$C$42,LEN(SD!$C$42)-FIND("-",SD!$C$42))/12)),IF(SD!$C$44="T-Head",_xlfn._xlws.FILTER(THead,(TCName=SD!$C$8)*(TSize=BX213)),IF(SD!$C$44="Level Wise",_xlfn.LET(_xlpm.result,_xlfn.XLOOKUP(B213,VDLevel,VDLevelStatus,"No"),IF(_xlpm.result="Yes",_xlfn._xlws.FILTER(THead,(TCName=SD!$C$8)*(TSize=BX213)),IF(SD!$C$42=SD!$Q$3,VLOOKUP(BX213,S90Range,3,FALSE),LEFT(SD!$C$42,FIND("-",SD!$C$42)-1)+(RIGHT(SD!$C$42,LEN(SD!$C$42)-FIND("-", SD!$C$42))/12)))),IF(SD!$C$44="BarSize Wise",_xlfn.LET(_xlpm.result,_xlfn.XLOOKUP(BX213,VDBarSize,VDBarSizeStatus,"No"),IF(_xlpm.result="Yes",_xlfn._xlws.FILTER(THead,(TCName=SD!$C$8)*(TSize=BX213)),IF(SD!$C$42=SD!$Q$3,VLOOKUP(BX213,S90Range,3,FALSE),LEFT(SD!$C$42,FIND("-",SD!$C$42)-1)+(RIGHT(SD!$C$42,LEN(SD!$C$42)-FIND("-",SD!$C$42))/12)))), "")))))</f>
        <v/>
      </c>
      <c r="CB213" t="str" cm="1">
        <f t="array" ref="CB213">_xlfn.LET(_xlpm.GRR,IF(AND(SD!$C$19=SD!$H$2,Grade!$G$1="Per level"),VLOOKUP(B213,Grade!$E$1:$F$200,2,FALSE),IF(AND(SD!$C$19=SD!$H$2,Grade!$G$1="Per Bar Size"),VLOOKUP(BX213,Grade!$B$1:$C$12,2,0),SD!$C$19)),_xlpm.is_coupler, K213="Coupler",_xlpm.condition1, SD!$C$43=SD!$W$2,_xlpm.data_j2_empty, Data!$J213="",_xlpm.lookup_table, IF(SD!$C$11="Create", Lap!$A$3:$BF$14, IF(SD!$C$11="Per Uploaded File", Lap!$A$19:$BF$30, "")),_xlpm.row_match, MATCH(BX213, Lap!$A$3:$A$14, 0),_xlpm.grade_offset, IF(IFERROR(FIND("Grade 60",_xlpm.GRR), 0) &gt; 0, 0, IF(IFERROR(FIND("Grade 80",_xlpm.GRR), 0), 1, IF(IFERROR(FIND("Grade 75",_xlpm.GRR), 0), 2, ""))),_xlpm.col_match, MATCH(VALUE(D213), Lap!$A$3:$BF$3, 0) + _xlpm.grade_offset,_xlpm.index_result, IFERROR(INDEX(_xlpm.lookup_table, _xlpm.row_match, _xlpm.col_match), Data!$J213),_xlpm.result_if_condition1, IF(_xlpm.data_j2_empty, _xlpm.index_result, Data!$J213),IF(_xlpm.is_coupler, 0, IF(_xlpm.condition1, _xlpm.result_if_condition1, SD!$C$43)))</f>
        <v>5-1</v>
      </c>
      <c r="CC213" s="24">
        <f t="shared" si="92"/>
        <v>5.083333333333333</v>
      </c>
      <c r="CD213">
        <f t="shared" si="93"/>
        <v>5.75</v>
      </c>
      <c r="CE213" t="str" cm="1">
        <f t="array" ref="CE213">IF(BY213="","",_xlfn._xlws.FILTER(SAC,(CName=SD!$C$8)*(EName="Vert Dowels")))</f>
        <v/>
      </c>
      <c r="CF213" t="str" cm="1">
        <f t="array" ref="CF213">IFERROR(IF(BY213="","",IF(K213="Coupler",_xlfn._xlws.FILTER(CCoupler,(CCName=SD!$C$8)*(CBSize=IF(A212=A213,W212&amp;W213,BX213&amp;W213))*(CCMFM="Male")),"")),"N/A")</f>
        <v/>
      </c>
      <c r="CG213" t="str">
        <f t="shared" si="94"/>
        <v/>
      </c>
      <c r="CH213" t="str">
        <f t="shared" si="95"/>
        <v/>
      </c>
      <c r="CI213" t="str">
        <f>_xlfn.LET(_xlpm.u3_value, U214,_xlpm.hyphen_pos,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K214="Coupler",_xlpm.coupler_value, IF(_xlpm.is_coupler, 0, _xlpm.calculated_value),_xlpm.final_value, _xlpm.calculated_value + SD!$E$13 + _xlpm.coupler_value,IF(CG213="", "", _xlpm.final_value))</f>
        <v/>
      </c>
      <c r="CJ213" t="str" cm="1">
        <f t="array" ref="CJ213">IF(CG213="","",_xlfn._xlws.FILTER(SAC,(CName=SD!$C$8)*(EName="Loose Dowels")))</f>
        <v/>
      </c>
      <c r="CK213" t="str" cm="1">
        <f t="array" ref="CK213">IFERROR(IF(CG213="","",IF(K214="Coupler",_xlfn._xlws.FILTER(CCoupler,(CCName=SD!$C$8)*(CBSize=IF(A213=A214,W213&amp;W214,""))*(CCMFM="Male")),"")),"N/A")</f>
        <v/>
      </c>
      <c r="CL213" t="str">
        <f>IFERROR(IF(AM213="Spiral","",IF(A212=A213,"",IF(SD!$C$37=0,"",SD!$C$37))),"")</f>
        <v/>
      </c>
      <c r="CN213">
        <f>IF(AM213="Spiral","",IFERROR(IF(SD!$C$36=0,"",SD!$C$36),""))</f>
        <v>5</v>
      </c>
      <c r="CP213" t="str">
        <f>IFERROR(IF(SD!$C$42=SD!$Q$3,'Take-off'!CA213,""),"")</f>
        <v/>
      </c>
      <c r="CR213">
        <f>IFERROR(IF(SD!$C$22=SD!$U$2,W213,SD!$C$22),"")</f>
        <v>0</v>
      </c>
      <c r="CS213" t="str" cm="1">
        <f t="array" ref="CS213">_xlfn.LET(_xlpm.GR,IF(AND(SD!$C$19=SD!$H$2,Grade!$G$1="Per level"),VLOOKUP(B213,Grade!$E$1:$F$200,2,FALSE),IF(AND(SD!$C$19=SD!$H$2,Grade!$G$1="Per Bar Size"),VLOOKUP(CR213,Grade!$B$1:$C$12,2,0),SD!$C$19)),IF(SD!$C$20=SD!$R$4,IF(A214=A213,"",INDEX(IF(_xlpm.GR=SD!$H$3,A615GR60,IF(_xlpm.GR=SD!$H$4,A615GR75,IF(_xlpm.GR=SD!$H$5,A615GR80,IF(_xlpm.GR=SD!H217,A615GR100,IF(_xlpm.GR=SD!$H$7,A706GR60,IF(_xlpm.GR=SD!$H$8,A706GR80)))))), MATCH(1, (BSize=CR213)*(BCName=SD!$C$8), 0))),""))</f>
        <v/>
      </c>
      <c r="CT213" t="str">
        <f>IF(A214=A213,"",IF(SD!$C$23="Match Vertical Bars ",X213,SD!$C$23))</f>
        <v/>
      </c>
      <c r="CU213" t="str" cm="1">
        <f t="array" ref="CU213">IF(A214=A213,"",IF(SD!$C$20="Top dowels",IF(SD!$E$25="No T-Head",IF(SD!$C$24=SD!$Q$3,VLOOKUP(CR213,S90Range,3,FALSE),LEFT(SD!$C$24,FIND("-",SD!$C$24)-1)+(RIGHT(SD!$C$24,LEN(SD!$C$24)-FIND("-",SD!$C$24))/12)),IF(SD!$E$25="T-Head",_xlfn._xlws.FILTER(THead,(TCName=SD!$C$8)*(TSize=CR213)),IF(SD!$E$25="Level Wise",_xlfn.LET(_xlpm.result,_xlfn.XLOOKUP(B213,TDLevel,TDLevelStatus,"No"),IF(_xlpm.result="Yes",_xlfn._xlws.FILTER(THead,(TCName=SD!$C$8)*(TSize=CR213)),IF(SD!$C$24=SD!$Q$3,VLOOKUP(CR213,S90Range,3,FALSE),LEFT(SD!$C$24,FIND("-",SD!$C$24)-1)+(RIGHT(SD!$C$24,LEN(SD!$C$24)-FIND("-", SD!$C$24))/12)))),IF(SD!$E$25="BarSize Wise",_xlfn.LET(_xlpm.result,_xlfn.XLOOKUP(CR213,TDBarSize,TDBarSizeStatus,"No"),IF(_xlpm.result="Yes",_xlfn._xlws.FILTER(THead,(TCName=SD!$C$8)*(TSize=CR213)),IF(SD!$C$24=SD!$Q$3,VLOOKUP(CR213,S90Range,3,FALSE),LEFT(SD!$C$24,FIND("-",SD!$C$24)-1)+(RIGHT(SD!$C$24,LEN(SD!$C$24)-FIND("-",SD!$C$24))/12)))), "")))),""))</f>
        <v/>
      </c>
      <c r="CV213" t="str">
        <f>_xlfn.LET(_xlpm.GRR,IF(AND(SD!$C$19=SD!$H$2,Grade!$G$1="Per level"),VLOOKUP(B213,Grade!$E$1:$F$200,2,FALSE),IF(AND(SD!$C$19=SD!$H$2,Grade!$G$1="Per Bar Size"),VLOOKUP(CR213,Grade!$B$1:$C$12,2,0),SD!$C$19)),IF(SD!$C$25=SD!$W$2,IF(Data!$J213="",IFERROR(INDEX(IF(SD!$C$11="Create",Lap!$A$3:$BF$14,IF(SD!$C$11="Per Uploaded File",Lap!$A$19:$BF$30,"")),MATCH(CR213,Lap!$A$3:$A$14,0),MATCH(VALUE(D213),Lap!$A$3:$BF$3,0)+IF(IFERROR(FIND("Grade 60",_xlpm.GRR),0)&gt;0,0,IF(IFERROR(FIND("Grade 80",_xlpm.GRR),0),1,IF(IFERROR(FIND("Grade 75",_xlpm.GRR),0),2,"")))),""),Data!J213),SD!$C$43))</f>
        <v>Match Lap</v>
      </c>
      <c r="CW213">
        <f t="shared" si="96"/>
        <v>0</v>
      </c>
      <c r="CX213">
        <f t="shared" si="97"/>
        <v>0</v>
      </c>
      <c r="CY213" t="str">
        <f t="shared" si="98"/>
        <v/>
      </c>
      <c r="DA213" t="str">
        <f t="shared" si="99"/>
        <v/>
      </c>
      <c r="DB213" t="str">
        <f t="shared" si="100"/>
        <v/>
      </c>
      <c r="DC213" s="24" t="str">
        <f t="shared" si="101"/>
        <v/>
      </c>
      <c r="DD213">
        <f t="shared" si="102"/>
        <v>10.583333333333334</v>
      </c>
      <c r="DE213" t="s">
        <v>785</v>
      </c>
      <c r="DF213" t="s">
        <v>67</v>
      </c>
      <c r="DG213" t="str">
        <f>VLOOKUP(W213,'Level Wise PSI'!$F$2:$G$12,2,FALSE)</f>
        <v>Double Lift</v>
      </c>
      <c r="DI213" t="str" cm="1">
        <f t="array" ref="DI213">_xlfn.LET(_xlpm.Coup,IFERROR(IF(BY213="","",IF(K213="Coupler",_xlfn._xlws.FILTER(CCFCoupler,(CCName=SD!$C$8)*(CBSize=IF(A212=A213,W212&amp;W213,BX213&amp;W213))),"")),"N/A"),IF(_xlpm.Coup=0,"",_xlpm.Coup))</f>
        <v/>
      </c>
      <c r="DJ213" t="str" cm="1">
        <f t="array" ref="DJ213">_xlfn.LET(_xlpm.Coup3,IFERROR(IF(CG213="","",IF(K214="Coupler",_xlfn._xlws.FILTER(CCFCoupler,(CCName=SD!$C$8)*(CBSize=IF(A213=A214,W213&amp;W214,""))),"")),"N/A"),IF(_xlpm.Coup3=0,"",_xlpm.Coup3))</f>
        <v/>
      </c>
      <c r="DK213" t="str" cm="1">
        <f t="array" ref="DK213">_xlfn.LET(_xlpm.Coup2,IFERROR(IF(A213&lt;&gt;A214,"",IF(DF213="No Lap","",IF(K214="Coupler",_xlfn._xlws.FILTER(CCFCoupler,(CCName=SD!$C$8)*(CBSize=IF(A212=A213,W213&amp;W214,W213&amp;W213))),""))),"N/A"),IF(_xlpm.Coup2=0,"",_xlpm.Coup2))</f>
        <v/>
      </c>
      <c r="DM213" t="str">
        <f>IF(AM213="Spiral","",IF(SD!$C$31=SD!$Y$3,SD!$E$32*2,""))</f>
        <v/>
      </c>
      <c r="DO213" s="24">
        <f t="shared" si="103"/>
        <v>2.5</v>
      </c>
      <c r="DQ213" t="str">
        <f t="shared" si="104"/>
        <v>Lig</v>
      </c>
      <c r="DR213" t="str">
        <f>IF(AM213="Spiral",((Y213-(SD!$E$12*2))/12),"")</f>
        <v/>
      </c>
      <c r="DS213" t="str">
        <f t="shared" si="105"/>
        <v/>
      </c>
      <c r="DT213" t="str">
        <f t="shared" si="106"/>
        <v/>
      </c>
      <c r="DU213" t="str">
        <f t="shared" si="107"/>
        <v/>
      </c>
    </row>
    <row r="214" spans="1:125" x14ac:dyDescent="0.25">
      <c r="A214">
        <v>66</v>
      </c>
      <c r="B214" t="s">
        <v>688</v>
      </c>
      <c r="C214" s="15">
        <v>2429</v>
      </c>
      <c r="D214" s="15">
        <v>10000</v>
      </c>
      <c r="E214" t="str">
        <f>IF(B214=Level!$A$2,SD!$C$14,SD!$C$13)</f>
        <v>0-8</v>
      </c>
      <c r="F214" s="15" t="s">
        <v>787</v>
      </c>
      <c r="G214" t="s">
        <v>742</v>
      </c>
      <c r="H214" t="str">
        <f>RIGHT(VLOOKUP(B214,Level!A:C,3,FALSE),LEN(VLOOKUP(B214,Level!A:C,3,FALSE))-1)</f>
        <v>10-7</v>
      </c>
      <c r="I214" t="s">
        <v>744</v>
      </c>
      <c r="J214" t="str">
        <f>IF(AND(SD!$C$19=SD!$H$2,Grade!$G$1="Per level"),VLOOKUP(B214,Grade!$E$1:$F$200,2,FALSE),IF(AND(SD!$C$19=SD!$H$2,Grade!$G$1="Per Bar Size"),VLOOKUP(W214,Grade!$B$1:$C$12,2,0),SD!$C$19))</f>
        <v>A615 Grade 60</v>
      </c>
      <c r="K214" t="s">
        <v>67</v>
      </c>
      <c r="L214" t="str">
        <f>IFERROR(IF(A214&lt;&gt;A215,"",IF(DF214="No Lap","",IF(K215="Lap",U214,IF(K215="Coupler",_xlfn._xlws.FILTER(CCoupler,(CCName=SD!$C$8)*(CBSize=IF(A213=A214,W214&amp;W215,W214&amp;W214))*(CCMFM="Male")),"")))),"N/A")</f>
        <v/>
      </c>
      <c r="M214" t="str">
        <f t="shared" si="81"/>
        <v/>
      </c>
      <c r="N214" t="s">
        <v>719</v>
      </c>
      <c r="O214" t="s">
        <v>720</v>
      </c>
      <c r="P214" t="s">
        <v>719</v>
      </c>
      <c r="Q214" t="str">
        <f>IF(AND(SD!$C$29=SD!$P$2,Grade!$O$1="Per level"),VLOOKUP(B214,Grade!$M$1:$N$200,2,FALSE),IF(AND(SD!$C$29=SD!$P$2,Grade!$O$1="Per Bar Size"),VLOOKUP(LEFT(N214,FIND("@",N214)-2),Grade!$J$1:$K$12,2,0),SD!$C$29))</f>
        <v>A615 Grade 60</v>
      </c>
      <c r="R214" t="s">
        <v>742</v>
      </c>
      <c r="S214" s="57">
        <v>214</v>
      </c>
      <c r="U214" t="str">
        <f>IF(Data!$J214="",IFERROR(INDEX(IF(SD!$C$11="Create",Lap!$A$3:$BF$14,IF(SD!$C$11="Per Uploaded File",Lap!$A$19:$BF$30,"")),MATCH(W214,Lap!$A$3:$A$14,0),MATCH(VALUE(D214),Lap!$A$3:$BF$3,0)+IF(IFERROR(FIND("Grade 60",J214),0)&gt;0,0,IF(IFERROR(FIND("Grade 80",J214),0),1,IF(IFERROR(FIND("Grade 75",J214),0),2,"")))),""),Data!J214)</f>
        <v>4-0</v>
      </c>
      <c r="W214" t="s">
        <v>151</v>
      </c>
      <c r="X214">
        <v>10</v>
      </c>
      <c r="Y214" t="str">
        <f t="shared" si="82"/>
        <v>30</v>
      </c>
      <c r="Z214">
        <f t="shared" si="83"/>
        <v>0</v>
      </c>
      <c r="AA214" s="24">
        <f t="shared" si="84"/>
        <v>10.583333333333334</v>
      </c>
      <c r="BB214" t="e" cm="1">
        <f t="array" ref="BB214">_xlfn.LET(_xlpm.PartF,(_xlfn.LET(_xlpm.grade, Q214,_xlpm.gradeRange, IF(_xlpm.grade=SD!$H$3, A615GR60, IF(_xlpm.grade=SD!$H$4, A615GR75, IF(_xlpm.grade=SD!$H$5, A615GR80, IF(_xlpm.grade=SD!$H$6, A615GR100, IF(_xlpm.grade=SD!$H$7, A706GR60, IF(_xlpm.grade=SD!$H$8, A706GR80)))))),_xlpm.matchValue, MATCH(1, (SD!$AW:$AW=AS214)*(SD!$AX:$AX=SD!$C$8), 0),INDEX(_xlpm.gradeRange, _xlpm.matchValue))),IF(AM214="Spiral",CONCATENATE("SP",_xlpm.PartF),_xlpm.PartF))</f>
        <v>#N/A</v>
      </c>
      <c r="BC214" cm="1">
        <f t="array" ref="BC214">_xlfn.LET(_xlpm.leftPart, LEFT(O214, FIND("@", O214) - 2),_xlpm.grade,Q214,_xlpm.gradeRange,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4" cm="1">
        <f t="array" ref="BD214">_xlfn.LET(_xlpm.leftPart, LEFT(P214, FIND("@", P214) - 2),_xlpm.grade, Q214,_xlpm.gradeRange,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4">
        <f t="shared" si="85"/>
        <v>2.5</v>
      </c>
      <c r="BF214">
        <f>IF(SD!$C$32=SD!$I$2,BE214,IF(SD!$C$32=SD!$I$3,DO214,IF(SD!$C$32=SD!$I$5,BA214,IF(SD!$C$32=SD!$I$6,(LEFT(SD!$C$35,FIND("-",SD!$C$35)-1)+RIGHT(SD!$C$35,LEN(SD!$C$35)-FIND("-",SD!$C$35))/12),IF(SD!$C$32=SD!$I$4,(AU214-(BG214+BH214)))))))</f>
        <v>0</v>
      </c>
      <c r="BG214">
        <f>IF(SD!$C$33=SD!$I$2,BE214,IF(SD!$C$33=SD!$I$3,DO214,IF(SD!$C$33=SD!$I$5,BA214,IF(SD!$C$33=SD!$I$6,(LEFT(SD!$C$35,FIND("-",SD!$C$35)-1)+RIGHT(SD!$C$35,LEN(SD!$C$35)-FIND("-",SD!$C$35))/12),IF(SD!$C$33=SD!$I$4,(AU214-(BF214+BH214)))))))</f>
        <v>-1</v>
      </c>
      <c r="BH214">
        <f>IF(SD!$C$34=SD!$I$2,BE214,IF(SD!$C$34=SD!$I$3,DO214,IF(SD!$C$34=SD!$I$5,BA214,IF(SD!$C$34=SD!$I$6,(LEFT(SD!$C$35,FIND("-",SD!$C$35)-1)+RIGHT(SD!$C$35,LEN(SD!$C$35)-FIND("-",SD!$C$35))/12),IF(SD!$C$34=SD!$I$4,(AU214-(BF214+BG214)))))))</f>
        <v>1</v>
      </c>
      <c r="BJ214">
        <f>IF(AM214="Spiral","1",MAX(ROUNDUP(IF(SD!$C$32="",AT214,BF214/(LEFT(RIGHT(N214,LEN(N214)-FIND("@",N214)),LEN(RIGHT(N214,LEN(N214)-FIND("@",N214)))-1)/12)+1),0),0))</f>
        <v>1</v>
      </c>
      <c r="BK214">
        <f>MAX(ROUNDUP(IF(SD!$C$33="","",BG214/(LEFT(RIGHT(O214,LEN(O214)-FIND("@",O214)),LEN(RIGHT(O214,LEN(O214)-FIND("@",O214)))-1)/12)+1),0),0)</f>
        <v>0</v>
      </c>
      <c r="BL214">
        <f>MAX(ROUNDUP(IF(SD!$C$34="","",BH214/(LEFT(RIGHT(P214,LEN(P214)-FIND("@",P214)),LEN(RIGHT(P214,LEN(P214)-FIND("@",P214)))-1)/12)+1),0),0)</f>
        <v>3</v>
      </c>
      <c r="BN214" t="e">
        <f t="shared" si="86"/>
        <v>#N/A</v>
      </c>
      <c r="BO214" t="e">
        <f t="shared" si="87"/>
        <v>#N/A</v>
      </c>
      <c r="BP214" t="e">
        <f t="shared" si="88"/>
        <v>#N/A</v>
      </c>
      <c r="BQ214" s="24" t="e">
        <f>IF(AM214=TRUE,(((Y214-(SD!$E$12*2))*3.14159265359)+BN214+BO214+BP214)/12+AL214,SUM(AF214:AG214,BN214,BO214,BP214,AO214,AQ214)/12)</f>
        <v>#N/A</v>
      </c>
      <c r="BR214" t="e">
        <f t="shared" si="89"/>
        <v>#N/A</v>
      </c>
      <c r="BS214" t="e">
        <f t="shared" si="90"/>
        <v>#N/A</v>
      </c>
      <c r="BT214" t="e">
        <f t="shared" si="91"/>
        <v>#N/A</v>
      </c>
      <c r="BU214" s="24" t="e">
        <f>IF(AM214=TRUE,(((Y214-(SD!$E$12*2))*3.14159265359)+BR214+BS214+BT214)/12+AL214,SUM(AF214:AG214,BR214,BS214,BT214,AO214,AQ214)/12)</f>
        <v>#N/A</v>
      </c>
      <c r="BW214" t="str">
        <f>IFERROR(LEFT(Data!L214,FIND(" -",Data!L214)-1),"")</f>
        <v/>
      </c>
      <c r="BX214" t="str">
        <f>IFERROR(IF(SD!$C$40=SD!$U$2,W214,IF(SD!$C$40=SD!$U$3,RIGHT(Data!L214,LEN(Data!L214)-(FIND("-",Data!L214)+1)),SD!$C$40)),"")</f>
        <v>#8</v>
      </c>
      <c r="BY214" t="str" cm="1">
        <f t="array" ref="BY214">IFERROR(_xlfn.LET(_xlpm.GRR,IF(AND(SD!$C$19=SD!$H$2,Grade!$G$1="Per level"),VLOOKUP(B214,Grade!$E$1:$F$200,2,FALSE),IF(AND(SD!$C$19=SD!$H$2,Grade!$G$1="Per Bar Size"),VLOOKUP(BX214,Grade!$B$1:$C$12,2,0),SD!$C$19)),_xlpm.is_equal, A213=A214,_xlpm.grade_range, IF(_xlpm.GRR=SD!$H$3, A615GR60,IF(_xlpm.GRR=SD!$H$4, A615GR75,IF(_xlpm.GRR=SD!$H$5, A615GR80,IF(_xlpm.GRR=SD!H218, A615GR100,IF(_xlpm.GRR=SD!$H$7, A706GR60,IF(_xlpm.GRR=SD!$H$8, A706GR80)))))),_xlpm.match_result, MATCH(1, (BSize=BX214)*(BCName=SD!$C$8), 0),_xlpm.final_result, INDEX(_xlpm.grade_range, _xlpm.match_result),IF(_xlpm.is_equal, "", _xlpm.final_result)),"")</f>
        <v/>
      </c>
      <c r="BZ214" t="str">
        <f>IF(A213=A214,"",IF(SD!$C$41="Match Vertical Bars ",X214,IF(SD!$C$41=SD!$V$3,BW214,SD!$C$41)))</f>
        <v/>
      </c>
      <c r="CA214" t="str" cm="1">
        <f t="array" ref="CA214">IF(A213=A214,"",IF(SD!$C$44="No T-Head",IF(SD!$C$42=SD!$Q$3,VLOOKUP(BX214,S90Range,3,FALSE),LEFT(SD!$C$42,FIND("-",SD!$C$42)-1)+(RIGHT(SD!$C$42,LEN(SD!$C$42)-FIND("-",SD!$C$42))/12)),IF(SD!$C$44="T-Head",_xlfn._xlws.FILTER(THead,(TCName=SD!$C$8)*(TSize=BX214)),IF(SD!$C$44="Level Wise",_xlfn.LET(_xlpm.result,_xlfn.XLOOKUP(B214,VDLevel,VDLevelStatus,"No"),IF(_xlpm.result="Yes",_xlfn._xlws.FILTER(THead,(TCName=SD!$C$8)*(TSize=BX214)),IF(SD!$C$42=SD!$Q$3,VLOOKUP(BX214,S90Range,3,FALSE),LEFT(SD!$C$42,FIND("-",SD!$C$42)-1)+(RIGHT(SD!$C$42,LEN(SD!$C$42)-FIND("-", SD!$C$42))/12)))),IF(SD!$C$44="BarSize Wise",_xlfn.LET(_xlpm.result,_xlfn.XLOOKUP(BX214,VDBarSize,VDBarSizeStatus,"No"),IF(_xlpm.result="Yes",_xlfn._xlws.FILTER(THead,(TCName=SD!$C$8)*(TSize=BX214)),IF(SD!$C$42=SD!$Q$3,VLOOKUP(BX214,S90Range,3,FALSE),LEFT(SD!$C$42,FIND("-",SD!$C$42)-1)+(RIGHT(SD!$C$42,LEN(SD!$C$42)-FIND("-",SD!$C$42))/12)))), "")))))</f>
        <v/>
      </c>
      <c r="CB214" t="str" cm="1">
        <f t="array" ref="CB214">_xlfn.LET(_xlpm.GRR,IF(AND(SD!$C$19=SD!$H$2,Grade!$G$1="Per level"),VLOOKUP(B214,Grade!$E$1:$F$200,2,FALSE),IF(AND(SD!$C$19=SD!$H$2,Grade!$G$1="Per Bar Size"),VLOOKUP(BX214,Grade!$B$1:$C$12,2,0),SD!$C$19)),_xlpm.is_coupler, K214="Coupler",_xlpm.condition1, SD!$C$43=SD!$W$2,_xlpm.data_j2_empty, Data!$J214="",_xlpm.lookup_table, IF(SD!$C$11="Create", Lap!$A$3:$BF$14, IF(SD!$C$11="Per Uploaded File", Lap!$A$19:$BF$30, "")),_xlpm.row_match, MATCH(BX214, Lap!$A$3:$A$14, 0),_xlpm.grade_offset, IF(IFERROR(FIND("Grade 60",_xlpm.GRR), 0) &gt; 0, 0, IF(IFERROR(FIND("Grade 80",_xlpm.GRR), 0), 1, IF(IFERROR(FIND("Grade 75",_xlpm.GRR), 0), 2, ""))),_xlpm.col_match, MATCH(VALUE(D214), Lap!$A$3:$BF$3, 0) + _xlpm.grade_offset,_xlpm.index_result, IFERROR(INDEX(_xlpm.lookup_table, _xlpm.row_match, _xlpm.col_match), Data!$J214),_xlpm.result_if_condition1, IF(_xlpm.data_j2_empty, _xlpm.index_result, Data!$J214),IF(_xlpm.is_coupler, 0, IF(_xlpm.condition1, _xlpm.result_if_condition1, SD!$C$43)))</f>
        <v>4-0</v>
      </c>
      <c r="CC214" s="24">
        <f t="shared" si="92"/>
        <v>4</v>
      </c>
      <c r="CD214">
        <f t="shared" si="93"/>
        <v>4.666666666666667</v>
      </c>
      <c r="CE214" t="str" cm="1">
        <f t="array" ref="CE214">IF(BY214="","",_xlfn._xlws.FILTER(SAC,(CName=SD!$C$8)*(EName="Vert Dowels")))</f>
        <v/>
      </c>
      <c r="CF214" t="str" cm="1">
        <f t="array" ref="CF214">IFERROR(IF(BY214="","",IF(K214="Coupler",_xlfn._xlws.FILTER(CCoupler,(CCName=SD!$C$8)*(CBSize=IF(A213=A214,W213&amp;W214,BX214&amp;W214))*(CCMFM="Male")),"")),"N/A")</f>
        <v/>
      </c>
      <c r="CG214" t="str">
        <f t="shared" si="94"/>
        <v/>
      </c>
      <c r="CH214" t="str">
        <f t="shared" si="95"/>
        <v/>
      </c>
      <c r="CI214" t="str">
        <f>_xlfn.LET(_xlpm.u3_value, U215,_xlpm.hyphen_pos,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K215="Coupler",_xlpm.coupler_value, IF(_xlpm.is_coupler, 0, _xlpm.calculated_value),_xlpm.final_value, _xlpm.calculated_value + SD!$E$13 + _xlpm.coupler_value,IF(CG214="", "", _xlpm.final_value))</f>
        <v/>
      </c>
      <c r="CJ214" t="str" cm="1">
        <f t="array" ref="CJ214">IF(CG214="","",_xlfn._xlws.FILTER(SAC,(CName=SD!$C$8)*(EName="Loose Dowels")))</f>
        <v/>
      </c>
      <c r="CK214" t="str" cm="1">
        <f t="array" ref="CK214">IFERROR(IF(CG214="","",IF(K215="Coupler",_xlfn._xlws.FILTER(CCoupler,(CCName=SD!$C$8)*(CBSize=IF(A214=A215,W214&amp;W215,""))*(CCMFM="Male")),"")),"N/A")</f>
        <v/>
      </c>
      <c r="CL214" t="str">
        <f>IFERROR(IF(AM214="Spiral","",IF(A213=A214,"",IF(SD!$C$37=0,"",SD!$C$37))),"")</f>
        <v/>
      </c>
      <c r="CN214">
        <f>IF(AM214="Spiral","",IFERROR(IF(SD!$C$36=0,"",SD!$C$36),""))</f>
        <v>5</v>
      </c>
      <c r="CP214" t="str">
        <f>IFERROR(IF(SD!$C$42=SD!$Q$3,'Take-off'!CA214,""),"")</f>
        <v/>
      </c>
      <c r="CR214">
        <f>IFERROR(IF(SD!$C$22=SD!$U$2,W214,SD!$C$22),"")</f>
        <v>0</v>
      </c>
      <c r="CS214" t="str" cm="1">
        <f t="array" ref="CS214">_xlfn.LET(_xlpm.GR,IF(AND(SD!$C$19=SD!$H$2,Grade!$G$1="Per level"),VLOOKUP(B214,Grade!$E$1:$F$200,2,FALSE),IF(AND(SD!$C$19=SD!$H$2,Grade!$G$1="Per Bar Size"),VLOOKUP(CR214,Grade!$B$1:$C$12,2,0),SD!$C$19)),IF(SD!$C$20=SD!$R$4,IF(A215=A214,"",INDEX(IF(_xlpm.GR=SD!$H$3,A615GR60,IF(_xlpm.GR=SD!$H$4,A615GR75,IF(_xlpm.GR=SD!$H$5,A615GR80,IF(_xlpm.GR=SD!H218,A615GR100,IF(_xlpm.GR=SD!$H$7,A706GR60,IF(_xlpm.GR=SD!$H$8,A706GR80)))))), MATCH(1, (BSize=CR214)*(BCName=SD!$C$8), 0))),""))</f>
        <v/>
      </c>
      <c r="CT214">
        <f>IF(A215=A214,"",IF(SD!$C$23="Match Vertical Bars ",X214,SD!$C$23))</f>
        <v>0</v>
      </c>
      <c r="CU214" t="str" cm="1">
        <f t="array" ref="CU214">IF(A215=A214,"",IF(SD!$C$20="Top dowels",IF(SD!$E$25="No T-Head",IF(SD!$C$24=SD!$Q$3,VLOOKUP(CR214,S90Range,3,FALSE),LEFT(SD!$C$24,FIND("-",SD!$C$24)-1)+(RIGHT(SD!$C$24,LEN(SD!$C$24)-FIND("-",SD!$C$24))/12)),IF(SD!$E$25="T-Head",_xlfn._xlws.FILTER(THead,(TCName=SD!$C$8)*(TSize=CR214)),IF(SD!$E$25="Level Wise",_xlfn.LET(_xlpm.result,_xlfn.XLOOKUP(B214,TDLevel,TDLevelStatus,"No"),IF(_xlpm.result="Yes",_xlfn._xlws.FILTER(THead,(TCName=SD!$C$8)*(TSize=CR214)),IF(SD!$C$24=SD!$Q$3,VLOOKUP(CR214,S90Range,3,FALSE),LEFT(SD!$C$24,FIND("-",SD!$C$24)-1)+(RIGHT(SD!$C$24,LEN(SD!$C$24)-FIND("-", SD!$C$24))/12)))),IF(SD!$E$25="BarSize Wise",_xlfn.LET(_xlpm.result,_xlfn.XLOOKUP(CR214,TDBarSize,TDBarSizeStatus,"No"),IF(_xlpm.result="Yes",_xlfn._xlws.FILTER(THead,(TCName=SD!$C$8)*(TSize=CR214)),IF(SD!$C$24=SD!$Q$3,VLOOKUP(CR214,S90Range,3,FALSE),LEFT(SD!$C$24,FIND("-",SD!$C$24)-1)+(RIGHT(SD!$C$24,LEN(SD!$C$24)-FIND("-",SD!$C$24))/12)))), "")))),""))</f>
        <v/>
      </c>
      <c r="CV214" t="str">
        <f>_xlfn.LET(_xlpm.GRR,IF(AND(SD!$C$19=SD!$H$2,Grade!$G$1="Per level"),VLOOKUP(B214,Grade!$E$1:$F$200,2,FALSE),IF(AND(SD!$C$19=SD!$H$2,Grade!$G$1="Per Bar Size"),VLOOKUP(CR214,Grade!$B$1:$C$12,2,0),SD!$C$19)),IF(SD!$C$25=SD!$W$2,IF(Data!$J214="",IFERROR(INDEX(IF(SD!$C$11="Create",Lap!$A$3:$BF$14,IF(SD!$C$11="Per Uploaded File",Lap!$A$19:$BF$30,"")),MATCH(CR214,Lap!$A$3:$A$14,0),MATCH(VALUE(D214),Lap!$A$3:$BF$3,0)+IF(IFERROR(FIND("Grade 60",_xlpm.GRR),0)&gt;0,0,IF(IFERROR(FIND("Grade 80",_xlpm.GRR),0),1,IF(IFERROR(FIND("Grade 75",_xlpm.GRR),0),2,"")))),""),Data!J214),SD!$C$43))</f>
        <v>Match Lap</v>
      </c>
      <c r="CW214">
        <f t="shared" si="96"/>
        <v>0</v>
      </c>
      <c r="CX214">
        <f t="shared" si="97"/>
        <v>0</v>
      </c>
      <c r="CY214" t="str">
        <f t="shared" si="98"/>
        <v/>
      </c>
      <c r="DA214" t="str">
        <f t="shared" si="99"/>
        <v/>
      </c>
      <c r="DB214" t="str">
        <f t="shared" si="100"/>
        <v/>
      </c>
      <c r="DC214" s="24" t="str">
        <f t="shared" si="101"/>
        <v/>
      </c>
      <c r="DD214">
        <f t="shared" si="102"/>
        <v>10.583333333333334</v>
      </c>
      <c r="DE214" t="s">
        <v>785</v>
      </c>
      <c r="DF214" t="s">
        <v>67</v>
      </c>
      <c r="DG214" t="str">
        <f>VLOOKUP(W214,'Level Wise PSI'!$F$2:$G$12,2,FALSE)</f>
        <v>Double Lift</v>
      </c>
      <c r="DI214" t="str" cm="1">
        <f t="array" ref="DI214">_xlfn.LET(_xlpm.Coup,IFERROR(IF(BY214="","",IF(K214="Coupler",_xlfn._xlws.FILTER(CCFCoupler,(CCName=SD!$C$8)*(CBSize=IF(A213=A214,W213&amp;W214,BX214&amp;W214))),"")),"N/A"),IF(_xlpm.Coup=0,"",_xlpm.Coup))</f>
        <v/>
      </c>
      <c r="DJ214" t="str" cm="1">
        <f t="array" ref="DJ214">_xlfn.LET(_xlpm.Coup3,IFERROR(IF(CG214="","",IF(K215="Coupler",_xlfn._xlws.FILTER(CCFCoupler,(CCName=SD!$C$8)*(CBSize=IF(A214=A215,W214&amp;W215,""))),"")),"N/A"),IF(_xlpm.Coup3=0,"",_xlpm.Coup3))</f>
        <v/>
      </c>
      <c r="DK214" t="str" cm="1">
        <f t="array" ref="DK214">_xlfn.LET(_xlpm.Coup2,IFERROR(IF(A214&lt;&gt;A215,"",IF(DF214="No Lap","",IF(K215="Coupler",_xlfn._xlws.FILTER(CCFCoupler,(CCName=SD!$C$8)*(CBSize=IF(A213=A214,W214&amp;W215,W214&amp;W214))),""))),"N/A"),IF(_xlpm.Coup2=0,"",_xlpm.Coup2))</f>
        <v/>
      </c>
      <c r="DM214" t="str">
        <f>IF(AM214="Spiral","",IF(SD!$C$31=SD!$Y$3,SD!$E$32*2,""))</f>
        <v/>
      </c>
      <c r="DO214" s="24">
        <f t="shared" si="103"/>
        <v>2.5</v>
      </c>
      <c r="DQ214" t="str">
        <f t="shared" si="104"/>
        <v>Lig</v>
      </c>
      <c r="DR214" t="str">
        <f>IF(AM214="Spiral",((Y214-(SD!$E$12*2))/12),"")</f>
        <v/>
      </c>
      <c r="DS214" t="str">
        <f t="shared" si="105"/>
        <v/>
      </c>
      <c r="DT214" t="str">
        <f t="shared" si="106"/>
        <v/>
      </c>
      <c r="DU214" t="str">
        <f t="shared" si="107"/>
        <v/>
      </c>
    </row>
    <row r="215" spans="1:125" x14ac:dyDescent="0.25">
      <c r="A215">
        <v>67</v>
      </c>
      <c r="B215" t="s">
        <v>667</v>
      </c>
      <c r="C215" s="15">
        <v>2429</v>
      </c>
      <c r="D215" s="15">
        <v>10000</v>
      </c>
      <c r="E215" s="15" t="s">
        <v>708</v>
      </c>
      <c r="F215" s="15" t="s">
        <v>787</v>
      </c>
      <c r="G215" t="s">
        <v>740</v>
      </c>
      <c r="H215" t="str">
        <f>RIGHT(VLOOKUP(B215,Level!A:C,3,FALSE),LEN(VLOOKUP(B215,Level!A:C,3,FALSE))-1)</f>
        <v>10-7</v>
      </c>
      <c r="I215" t="s">
        <v>741</v>
      </c>
      <c r="J215" t="str">
        <f>IF(AND(SD!$C$19=SD!$H$2,Grade!$G$1="Per level"),VLOOKUP(B215,Grade!$E$1:$F$200,2,FALSE),IF(AND(SD!$C$19=SD!$H$2,Grade!$G$1="Per Bar Size"),VLOOKUP(W215,Grade!$B$1:$C$12,2,0),SD!$C$19))</f>
        <v>A615 Grade 60</v>
      </c>
      <c r="K215" t="s">
        <v>67</v>
      </c>
      <c r="L215" t="str">
        <f>IFERROR(IF(A215&lt;&gt;A216,"",IF(DF215="No Lap","",IF(K216="Lap",U215,IF(K216="Coupler",_xlfn._xlws.FILTER(CCoupler,(CCName=SD!$C$8)*(CBSize=IF(A214=A215,W215&amp;W216,W215&amp;W215))*(CCMFM="Male")),"")))),"N/A")</f>
        <v>5-1</v>
      </c>
      <c r="M215" t="str">
        <f t="shared" si="81"/>
        <v/>
      </c>
      <c r="N215" t="s">
        <v>719</v>
      </c>
      <c r="O215" t="s">
        <v>720</v>
      </c>
      <c r="P215" t="s">
        <v>719</v>
      </c>
      <c r="Q215" t="str">
        <f>IF(AND(SD!$C$29=SD!$P$2,Grade!$O$1="Per level"),VLOOKUP(B215,Grade!$M$1:$N$200,2,FALSE),IF(AND(SD!$C$29=SD!$P$2,Grade!$O$1="Per Bar Size"),VLOOKUP(LEFT(N215,FIND("@",N215)-2),Grade!$J$1:$K$12,2,0),SD!$C$29))</f>
        <v>A615 Grade 60</v>
      </c>
      <c r="R215" t="s">
        <v>740</v>
      </c>
      <c r="S215" s="57">
        <v>215</v>
      </c>
      <c r="U215" t="str">
        <f>IF(Data!$J215="",IFERROR(INDEX(IF(SD!$C$11="Create",Lap!$A$3:$BF$14,IF(SD!$C$11="Per Uploaded File",Lap!$A$19:$BF$30,"")),MATCH(W215,Lap!$A$3:$A$14,0),MATCH(VALUE(D215),Lap!$A$3:$BF$3,0)+IF(IFERROR(FIND("Grade 60",J215),0)&gt;0,0,IF(IFERROR(FIND("Grade 80",J215),0),1,IF(IFERROR(FIND("Grade 75",J215),0),2,"")))),""),Data!J215)</f>
        <v>5-1</v>
      </c>
      <c r="W215" t="s">
        <v>176</v>
      </c>
      <c r="X215">
        <v>10</v>
      </c>
      <c r="Y215" t="str">
        <f t="shared" si="82"/>
        <v>36</v>
      </c>
      <c r="Z215">
        <f t="shared" si="83"/>
        <v>0</v>
      </c>
      <c r="AA215" s="24">
        <f t="shared" si="84"/>
        <v>15.666666666666666</v>
      </c>
      <c r="BB215" t="e" cm="1">
        <f t="array" ref="BB215">_xlfn.LET(_xlpm.PartF,(_xlfn.LET(_xlpm.grade, Q215,_xlpm.gradeRange, IF(_xlpm.grade=SD!$H$3, A615GR60, IF(_xlpm.grade=SD!$H$4, A615GR75, IF(_xlpm.grade=SD!$H$5, A615GR80, IF(_xlpm.grade=SD!$H$6, A615GR100, IF(_xlpm.grade=SD!$H$7, A706GR60, IF(_xlpm.grade=SD!$H$8, A706GR80)))))),_xlpm.matchValue, MATCH(1, (SD!$AW:$AW=AS215)*(SD!$AX:$AX=SD!$C$8), 0),INDEX(_xlpm.gradeRange, _xlpm.matchValue))),IF(AM215="Spiral",CONCATENATE("SP",_xlpm.PartF),_xlpm.PartF))</f>
        <v>#N/A</v>
      </c>
      <c r="BC215" cm="1">
        <f t="array" ref="BC215">_xlfn.LET(_xlpm.leftPart, LEFT(O215, FIND("@", O215) - 2),_xlpm.grade,Q215,_xlpm.gradeRange,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5" cm="1">
        <f t="array" ref="BD215">_xlfn.LET(_xlpm.leftPart, LEFT(P215, FIND("@", P215) - 2),_xlpm.grade, Q215,_xlpm.gradeRange,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5">
        <f t="shared" si="85"/>
        <v>3</v>
      </c>
      <c r="BF215">
        <f>IF(SD!$C$32=SD!$I$2,BE215,IF(SD!$C$32=SD!$I$3,DO215,IF(SD!$C$32=SD!$I$5,BA215,IF(SD!$C$32=SD!$I$6,(LEFT(SD!$C$35,FIND("-",SD!$C$35)-1)+RIGHT(SD!$C$35,LEN(SD!$C$35)-FIND("-",SD!$C$35))/12),IF(SD!$C$32=SD!$I$4,(AU215-(BG215+BH215)))))))</f>
        <v>0</v>
      </c>
      <c r="BG215">
        <f>IF(SD!$C$33=SD!$I$2,BE215,IF(SD!$C$33=SD!$I$3,DO215,IF(SD!$C$33=SD!$I$5,BA215,IF(SD!$C$33=SD!$I$6,(LEFT(SD!$C$35,FIND("-",SD!$C$35)-1)+RIGHT(SD!$C$35,LEN(SD!$C$35)-FIND("-",SD!$C$35))/12),IF(SD!$C$33=SD!$I$4,(AU215-(BF215+BH215)))))))</f>
        <v>-1</v>
      </c>
      <c r="BH215">
        <f>IF(SD!$C$34=SD!$I$2,BE215,IF(SD!$C$34=SD!$I$3,DO215,IF(SD!$C$34=SD!$I$5,BA215,IF(SD!$C$34=SD!$I$6,(LEFT(SD!$C$35,FIND("-",SD!$C$35)-1)+RIGHT(SD!$C$35,LEN(SD!$C$35)-FIND("-",SD!$C$35))/12),IF(SD!$C$34=SD!$I$4,(AU215-(BF215+BG215)))))))</f>
        <v>1</v>
      </c>
      <c r="BJ215">
        <f>IF(AM215="Spiral","1",MAX(ROUNDUP(IF(SD!$C$32="",AT215,BF215/(LEFT(RIGHT(N215,LEN(N215)-FIND("@",N215)),LEN(RIGHT(N215,LEN(N215)-FIND("@",N215)))-1)/12)+1),0),0))</f>
        <v>1</v>
      </c>
      <c r="BK215">
        <f>MAX(ROUNDUP(IF(SD!$C$33="","",BG215/(LEFT(RIGHT(O215,LEN(O215)-FIND("@",O215)),LEN(RIGHT(O215,LEN(O215)-FIND("@",O215)))-1)/12)+1),0),0)</f>
        <v>0</v>
      </c>
      <c r="BL215">
        <f>MAX(ROUNDUP(IF(SD!$C$34="","",BH215/(LEFT(RIGHT(P215,LEN(P215)-FIND("@",P215)),LEN(RIGHT(P215,LEN(P215)-FIND("@",P215)))-1)/12)+1),0),0)</f>
        <v>3</v>
      </c>
      <c r="BN215" t="e">
        <f t="shared" si="86"/>
        <v>#N/A</v>
      </c>
      <c r="BO215" t="e">
        <f t="shared" si="87"/>
        <v>#N/A</v>
      </c>
      <c r="BP215" t="e">
        <f t="shared" si="88"/>
        <v>#N/A</v>
      </c>
      <c r="BQ215" s="24" t="e">
        <f>IF(AM215=TRUE,(((Y215-(SD!$E$12*2))*3.14159265359)+BN215+BO215+BP215)/12+AL215,SUM(AF215:AG215,BN215,BO215,BP215,AO215,AQ215)/12)</f>
        <v>#N/A</v>
      </c>
      <c r="BR215" t="e">
        <f t="shared" si="89"/>
        <v>#N/A</v>
      </c>
      <c r="BS215" t="e">
        <f t="shared" si="90"/>
        <v>#N/A</v>
      </c>
      <c r="BT215" t="e">
        <f t="shared" si="91"/>
        <v>#N/A</v>
      </c>
      <c r="BU215" s="24" t="e">
        <f>IF(AM215=TRUE,(((Y215-(SD!$E$12*2))*3.14159265359)+BR215+BS215+BT215)/12+AL215,SUM(AF215:AG215,BR215,BS215,BT215,AO215,AQ215)/12)</f>
        <v>#N/A</v>
      </c>
      <c r="BW215" t="str">
        <f>IFERROR(LEFT(Data!L215,FIND(" -",Data!L215)-1),"")</f>
        <v/>
      </c>
      <c r="BX215" t="str">
        <f>IFERROR(IF(SD!$C$40=SD!$U$2,W215,IF(SD!$C$40=SD!$U$3,RIGHT(Data!L215,LEN(Data!L215)-(FIND("-",Data!L215)+1)),SD!$C$40)),"")</f>
        <v>#10</v>
      </c>
      <c r="BY215" cm="1">
        <f t="array" ref="BY215">IFERROR(_xlfn.LET(_xlpm.GRR,IF(AND(SD!$C$19=SD!$H$2,Grade!$G$1="Per level"),VLOOKUP(B215,Grade!$E$1:$F$200,2,FALSE),IF(AND(SD!$C$19=SD!$H$2,Grade!$G$1="Per Bar Size"),VLOOKUP(BX215,Grade!$B$1:$C$12,2,0),SD!$C$19)),_xlpm.is_equal, A214=A215,_xlpm.grade_range, IF(_xlpm.GRR=SD!$H$3, A615GR60,IF(_xlpm.GRR=SD!$H$4, A615GR75,IF(_xlpm.GRR=SD!$H$5, A615GR80,IF(_xlpm.GRR=SD!H219, A615GR100,IF(_xlpm.GRR=SD!$H$7, A706GR60,IF(_xlpm.GRR=SD!$H$8, A706GR80)))))),_xlpm.match_result, MATCH(1, (BSize=BX215)*(BCName=SD!$C$8), 0),_xlpm.final_result, INDEX(_xlpm.grade_range, _xlpm.match_result),IF(_xlpm.is_equal, "", _xlpm.final_result)),"")</f>
        <v>10</v>
      </c>
      <c r="BZ215">
        <f>IF(A214=A215,"",IF(SD!$C$41="Match Vertical Bars ",X215,IF(SD!$C$41=SD!$V$3,BW215,SD!$C$41)))</f>
        <v>10</v>
      </c>
      <c r="CA215" cm="1">
        <f t="array" ref="CA215">IF(A214=A215,"",IF(SD!$C$44="No T-Head",IF(SD!$C$42=SD!$Q$3,VLOOKUP(BX215,S90Range,3,FALSE),LEFT(SD!$C$42,FIND("-",SD!$C$42)-1)+(RIGHT(SD!$C$42,LEN(SD!$C$42)-FIND("-",SD!$C$42))/12)),IF(SD!$C$44="T-Head",_xlfn._xlws.FILTER(THead,(TCName=SD!$C$8)*(TSize=BX215)),IF(SD!$C$44="Level Wise",_xlfn.LET(_xlpm.result,_xlfn.XLOOKUP(B215,VDLevel,VDLevelStatus,"No"),IF(_xlpm.result="Yes",_xlfn._xlws.FILTER(THead,(TCName=SD!$C$8)*(TSize=BX215)),IF(SD!$C$42=SD!$Q$3,VLOOKUP(BX215,S90Range,3,FALSE),LEFT(SD!$C$42,FIND("-",SD!$C$42)-1)+(RIGHT(SD!$C$42,LEN(SD!$C$42)-FIND("-", SD!$C$42))/12)))),IF(SD!$C$44="BarSize Wise",_xlfn.LET(_xlpm.result,_xlfn.XLOOKUP(BX215,VDBarSize,VDBarSizeStatus,"No"),IF(_xlpm.result="Yes",_xlfn._xlws.FILTER(THead,(TCName=SD!$C$8)*(TSize=BX215)),IF(SD!$C$42=SD!$Q$3,VLOOKUP(BX215,S90Range,3,FALSE),LEFT(SD!$C$42,FIND("-",SD!$C$42)-1)+(RIGHT(SD!$C$42,LEN(SD!$C$42)-FIND("-",SD!$C$42))/12)))), "")))))</f>
        <v>1.8333333333333335</v>
      </c>
      <c r="CB215" t="str" cm="1">
        <f t="array" ref="CB215">_xlfn.LET(_xlpm.GRR,IF(AND(SD!$C$19=SD!$H$2,Grade!$G$1="Per level"),VLOOKUP(B215,Grade!$E$1:$F$200,2,FALSE),IF(AND(SD!$C$19=SD!$H$2,Grade!$G$1="Per Bar Size"),VLOOKUP(BX215,Grade!$B$1:$C$12,2,0),SD!$C$19)),_xlpm.is_coupler, K215="Coupler",_xlpm.condition1, SD!$C$43=SD!$W$2,_xlpm.data_j2_empty, Data!$J215="",_xlpm.lookup_table, IF(SD!$C$11="Create", Lap!$A$3:$BF$14, IF(SD!$C$11="Per Uploaded File", Lap!$A$19:$BF$30, "")),_xlpm.row_match, MATCH(BX215, Lap!$A$3:$A$14, 0),_xlpm.grade_offset, IF(IFERROR(FIND("Grade 60",_xlpm.GRR), 0) &gt; 0, 0, IF(IFERROR(FIND("Grade 80",_xlpm.GRR), 0), 1, IF(IFERROR(FIND("Grade 75",_xlpm.GRR), 0), 2, ""))),_xlpm.col_match, MATCH(VALUE(D215), Lap!$A$3:$BF$3, 0) + _xlpm.grade_offset,_xlpm.index_result, IFERROR(INDEX(_xlpm.lookup_table, _xlpm.row_match, _xlpm.col_match), Data!$J215),_xlpm.result_if_condition1, IF(_xlpm.data_j2_empty, _xlpm.index_result, Data!$J215),IF(_xlpm.is_coupler, 0, IF(_xlpm.condition1, _xlpm.result_if_condition1, SD!$C$43)))</f>
        <v>5-1</v>
      </c>
      <c r="CC215" s="24">
        <f t="shared" si="92"/>
        <v>5.083333333333333</v>
      </c>
      <c r="CD215">
        <f t="shared" si="93"/>
        <v>11.916666666666666</v>
      </c>
      <c r="CE215" t="str" cm="1">
        <f t="array" ref="CE215">IF(BY215="","",_xlfn._xlws.FILTER(SAC,(CName=SD!$C$8)*(EName="Vert Dowels")))</f>
        <v>2200 CD</v>
      </c>
      <c r="CF215" t="str" cm="1">
        <f t="array" ref="CF215">IFERROR(IF(BY215="","",IF(K215="Coupler",_xlfn._xlws.FILTER(CCoupler,(CCName=SD!$C$8)*(CBSize=IF(A214=A215,W214&amp;W215,BX215&amp;W215))*(CCMFM="Male")),"")),"N/A")</f>
        <v/>
      </c>
      <c r="CG215" t="str">
        <f t="shared" si="94"/>
        <v/>
      </c>
      <c r="CH215" t="str">
        <f t="shared" si="95"/>
        <v/>
      </c>
      <c r="CI215" t="str">
        <f>_xlfn.LET(_xlpm.u3_value, U216,_xlpm.hyphen_pos,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K216="Coupler",_xlpm.coupler_value, IF(_xlpm.is_coupler, 0, _xlpm.calculated_value),_xlpm.final_value, _xlpm.calculated_value + SD!$E$13 + _xlpm.coupler_value,IF(CG215="", "", _xlpm.final_value))</f>
        <v/>
      </c>
      <c r="CJ215" t="str" cm="1">
        <f t="array" ref="CJ215">IF(CG215="","",_xlfn._xlws.FILTER(SAC,(CName=SD!$C$8)*(EName="Loose Dowels")))</f>
        <v/>
      </c>
      <c r="CK215" t="str" cm="1">
        <f t="array" ref="CK215">IFERROR(IF(CG215="","",IF(K216="Coupler",_xlfn._xlws.FILTER(CCoupler,(CCName=SD!$C$8)*(CBSize=IF(A215=A216,W215&amp;W216,""))*(CCMFM="Male")),"")),"N/A")</f>
        <v/>
      </c>
      <c r="CL215">
        <f>IFERROR(IF(AM215="Spiral","",IF(A214=A215,"",IF(SD!$C$37=0,"",SD!$C$37))),"")</f>
        <v>3</v>
      </c>
      <c r="CN215">
        <f>IF(AM215="Spiral","",IFERROR(IF(SD!$C$36=0,"",SD!$C$36),""))</f>
        <v>5</v>
      </c>
      <c r="CP215">
        <f>IFERROR(IF(SD!$C$42=SD!$Q$3,'Take-off'!CA215,""),"")</f>
        <v>1.8333333333333335</v>
      </c>
      <c r="CR215">
        <f>IFERROR(IF(SD!$C$22=SD!$U$2,W215,SD!$C$22),"")</f>
        <v>0</v>
      </c>
      <c r="CS215" t="str" cm="1">
        <f t="array" ref="CS215">_xlfn.LET(_xlpm.GR,IF(AND(SD!$C$19=SD!$H$2,Grade!$G$1="Per level"),VLOOKUP(B215,Grade!$E$1:$F$200,2,FALSE),IF(AND(SD!$C$19=SD!$H$2,Grade!$G$1="Per Bar Size"),VLOOKUP(CR215,Grade!$B$1:$C$12,2,0),SD!$C$19)),IF(SD!$C$20=SD!$R$4,IF(A216=A215,"",INDEX(IF(_xlpm.GR=SD!$H$3,A615GR60,IF(_xlpm.GR=SD!$H$4,A615GR75,IF(_xlpm.GR=SD!$H$5,A615GR80,IF(_xlpm.GR=SD!H219,A615GR100,IF(_xlpm.GR=SD!$H$7,A706GR60,IF(_xlpm.GR=SD!$H$8,A706GR80)))))), MATCH(1, (BSize=CR215)*(BCName=SD!$C$8), 0))),""))</f>
        <v/>
      </c>
      <c r="CT215" t="str">
        <f>IF(A216=A215,"",IF(SD!$C$23="Match Vertical Bars ",X215,SD!$C$23))</f>
        <v/>
      </c>
      <c r="CU215" t="str" cm="1">
        <f t="array" ref="CU215">IF(A216=A215,"",IF(SD!$C$20="Top dowels",IF(SD!$E$25="No T-Head",IF(SD!$C$24=SD!$Q$3,VLOOKUP(CR215,S90Range,3,FALSE),LEFT(SD!$C$24,FIND("-",SD!$C$24)-1)+(RIGHT(SD!$C$24,LEN(SD!$C$24)-FIND("-",SD!$C$24))/12)),IF(SD!$E$25="T-Head",_xlfn._xlws.FILTER(THead,(TCName=SD!$C$8)*(TSize=CR215)),IF(SD!$E$25="Level Wise",_xlfn.LET(_xlpm.result,_xlfn.XLOOKUP(B215,TDLevel,TDLevelStatus,"No"),IF(_xlpm.result="Yes",_xlfn._xlws.FILTER(THead,(TCName=SD!$C$8)*(TSize=CR215)),IF(SD!$C$24=SD!$Q$3,VLOOKUP(CR215,S90Range,3,FALSE),LEFT(SD!$C$24,FIND("-",SD!$C$24)-1)+(RIGHT(SD!$C$24,LEN(SD!$C$24)-FIND("-", SD!$C$24))/12)))),IF(SD!$E$25="BarSize Wise",_xlfn.LET(_xlpm.result,_xlfn.XLOOKUP(CR215,TDBarSize,TDBarSizeStatus,"No"),IF(_xlpm.result="Yes",_xlfn._xlws.FILTER(THead,(TCName=SD!$C$8)*(TSize=CR215)),IF(SD!$C$24=SD!$Q$3,VLOOKUP(CR215,S90Range,3,FALSE),LEFT(SD!$C$24,FIND("-",SD!$C$24)-1)+(RIGHT(SD!$C$24,LEN(SD!$C$24)-FIND("-",SD!$C$24))/12)))), "")))),""))</f>
        <v/>
      </c>
      <c r="CV215" t="str">
        <f>_xlfn.LET(_xlpm.GRR,IF(AND(SD!$C$19=SD!$H$2,Grade!$G$1="Per level"),VLOOKUP(B215,Grade!$E$1:$F$200,2,FALSE),IF(AND(SD!$C$19=SD!$H$2,Grade!$G$1="Per Bar Size"),VLOOKUP(CR215,Grade!$B$1:$C$12,2,0),SD!$C$19)),IF(SD!$C$25=SD!$W$2,IF(Data!$J215="",IFERROR(INDEX(IF(SD!$C$11="Create",Lap!$A$3:$BF$14,IF(SD!$C$11="Per Uploaded File",Lap!$A$19:$BF$30,"")),MATCH(CR215,Lap!$A$3:$A$14,0),MATCH(VALUE(D215),Lap!$A$3:$BF$3,0)+IF(IFERROR(FIND("Grade 60",_xlpm.GRR),0)&gt;0,0,IF(IFERROR(FIND("Grade 80",_xlpm.GRR),0),1,IF(IFERROR(FIND("Grade 75",_xlpm.GRR),0),2,"")))),""),Data!J215),SD!$C$43))</f>
        <v>Match Lap</v>
      </c>
      <c r="CW215">
        <f t="shared" si="96"/>
        <v>0</v>
      </c>
      <c r="CX215">
        <f t="shared" si="97"/>
        <v>0</v>
      </c>
      <c r="CY215" t="str">
        <f t="shared" si="98"/>
        <v/>
      </c>
      <c r="DA215">
        <f t="shared" si="99"/>
        <v>67</v>
      </c>
      <c r="DB215" t="str">
        <f t="shared" si="100"/>
        <v>116-5</v>
      </c>
      <c r="DC215" s="24">
        <f t="shared" si="101"/>
        <v>116.41666666666666</v>
      </c>
      <c r="DD215">
        <f t="shared" si="102"/>
        <v>10.583333333333334</v>
      </c>
      <c r="DE215" t="s">
        <v>785</v>
      </c>
      <c r="DF215" t="s">
        <v>67</v>
      </c>
      <c r="DG215" t="str">
        <f>VLOOKUP(W215,'Level Wise PSI'!$F$2:$G$12,2,FALSE)</f>
        <v>Double Lift</v>
      </c>
      <c r="DI215" t="str" cm="1">
        <f t="array" ref="DI215">_xlfn.LET(_xlpm.Coup,IFERROR(IF(BY215="","",IF(K215="Coupler",_xlfn._xlws.FILTER(CCFCoupler,(CCName=SD!$C$8)*(CBSize=IF(A214=A215,W214&amp;W215,BX215&amp;W215))),"")),"N/A"),IF(_xlpm.Coup=0,"",_xlpm.Coup))</f>
        <v/>
      </c>
      <c r="DJ215" t="str" cm="1">
        <f t="array" ref="DJ215">_xlfn.LET(_xlpm.Coup3,IFERROR(IF(CG215="","",IF(K216="Coupler",_xlfn._xlws.FILTER(CCFCoupler,(CCName=SD!$C$8)*(CBSize=IF(A215=A216,W215&amp;W216,""))),"")),"N/A"),IF(_xlpm.Coup3=0,"",_xlpm.Coup3))</f>
        <v/>
      </c>
      <c r="DK215" t="str" cm="1">
        <f t="array" ref="DK215">_xlfn.LET(_xlpm.Coup2,IFERROR(IF(A215&lt;&gt;A216,"",IF(DF215="No Lap","",IF(K216="Coupler",_xlfn._xlws.FILTER(CCFCoupler,(CCName=SD!$C$8)*(CBSize=IF(A214=A215,W215&amp;W216,W215&amp;W215))),""))),"N/A"),IF(_xlpm.Coup2=0,"",_xlpm.Coup2))</f>
        <v/>
      </c>
      <c r="DM215" t="str">
        <f>IF(AM215="Spiral","",IF(SD!$C$31=SD!$Y$3,SD!$E$32*2,""))</f>
        <v/>
      </c>
      <c r="DO215" s="24">
        <f t="shared" si="103"/>
        <v>3</v>
      </c>
      <c r="DQ215" t="str">
        <f t="shared" si="104"/>
        <v>Lig</v>
      </c>
      <c r="DR215" t="str">
        <f>IF(AM215="Spiral",((Y215-(SD!$E$12*2))/12),"")</f>
        <v/>
      </c>
      <c r="DS215" t="str">
        <f t="shared" si="105"/>
        <v/>
      </c>
      <c r="DT215" t="str">
        <f t="shared" si="106"/>
        <v/>
      </c>
      <c r="DU215" t="str">
        <f t="shared" si="107"/>
        <v/>
      </c>
    </row>
    <row r="216" spans="1:125" x14ac:dyDescent="0.25">
      <c r="A216">
        <v>67</v>
      </c>
      <c r="B216" t="s">
        <v>670</v>
      </c>
      <c r="C216" s="15">
        <v>2429</v>
      </c>
      <c r="D216" s="15">
        <v>10000</v>
      </c>
      <c r="E216" t="str">
        <f>IF(B216=Level!$A$2,SD!$C$14,SD!$C$13)</f>
        <v>0-8</v>
      </c>
      <c r="F216" s="15" t="s">
        <v>787</v>
      </c>
      <c r="G216" t="s">
        <v>742</v>
      </c>
      <c r="H216" t="str">
        <f>RIGHT(VLOOKUP(B216,Level!A:C,3,FALSE),LEN(VLOOKUP(B216,Level!A:C,3,FALSE))-1)</f>
        <v>10-7</v>
      </c>
      <c r="I216" t="s">
        <v>743</v>
      </c>
      <c r="J216" t="str">
        <f>IF(AND(SD!$C$19=SD!$H$2,Grade!$G$1="Per level"),VLOOKUP(B216,Grade!$E$1:$F$200,2,FALSE),IF(AND(SD!$C$19=SD!$H$2,Grade!$G$1="Per Bar Size"),VLOOKUP(W216,Grade!$B$1:$C$12,2,0),SD!$C$19))</f>
        <v>A615 Grade 60</v>
      </c>
      <c r="K216" t="s">
        <v>67</v>
      </c>
      <c r="L216" t="str">
        <f>IFERROR(IF(A216&lt;&gt;A217,"",IF(DF216="No Lap","",IF(K217="Lap",U216,IF(K217="Coupler",_xlfn._xlws.FILTER(CCoupler,(CCName=SD!$C$8)*(CBSize=IF(A215=A216,W216&amp;W217,W216&amp;W216))*(CCMFM="Male")),"")))),"N/A")</f>
        <v>5-1</v>
      </c>
      <c r="M216" t="str">
        <f t="shared" si="81"/>
        <v/>
      </c>
      <c r="N216" t="s">
        <v>719</v>
      </c>
      <c r="O216" t="s">
        <v>720</v>
      </c>
      <c r="P216" t="s">
        <v>719</v>
      </c>
      <c r="Q216" t="str">
        <f>IF(AND(SD!$C$29=SD!$P$2,Grade!$O$1="Per level"),VLOOKUP(B216,Grade!$M$1:$N$200,2,FALSE),IF(AND(SD!$C$29=SD!$P$2,Grade!$O$1="Per Bar Size"),VLOOKUP(LEFT(N216,FIND("@",N216)-2),Grade!$J$1:$K$12,2,0),SD!$C$29))</f>
        <v>A615 Grade 60</v>
      </c>
      <c r="R216" t="s">
        <v>742</v>
      </c>
      <c r="S216" s="57">
        <v>216</v>
      </c>
      <c r="U216" t="str">
        <f>IF(Data!$J216="",IFERROR(INDEX(IF(SD!$C$11="Create",Lap!$A$3:$BF$14,IF(SD!$C$11="Per Uploaded File",Lap!$A$19:$BF$30,"")),MATCH(W216,Lap!$A$3:$A$14,0),MATCH(VALUE(D216),Lap!$A$3:$BF$3,0)+IF(IFERROR(FIND("Grade 60",J216),0)&gt;0,0,IF(IFERROR(FIND("Grade 80",J216),0),1,IF(IFERROR(FIND("Grade 75",J216),0),2,"")))),""),Data!J216)</f>
        <v>5-1</v>
      </c>
      <c r="W216" t="s">
        <v>176</v>
      </c>
      <c r="X216">
        <v>6</v>
      </c>
      <c r="Y216" t="str">
        <f t="shared" si="82"/>
        <v>30</v>
      </c>
      <c r="Z216">
        <f t="shared" si="83"/>
        <v>0</v>
      </c>
      <c r="AA216" s="24">
        <f t="shared" si="84"/>
        <v>15.666666666666666</v>
      </c>
      <c r="BB216" t="e" cm="1">
        <f t="array" ref="BB216">_xlfn.LET(_xlpm.PartF,(_xlfn.LET(_xlpm.grade, Q216,_xlpm.gradeRange, IF(_xlpm.grade=SD!$H$3, A615GR60, IF(_xlpm.grade=SD!$H$4, A615GR75, IF(_xlpm.grade=SD!$H$5, A615GR80, IF(_xlpm.grade=SD!$H$6, A615GR100, IF(_xlpm.grade=SD!$H$7, A706GR60, IF(_xlpm.grade=SD!$H$8, A706GR80)))))),_xlpm.matchValue, MATCH(1, (SD!$AW:$AW=AS216)*(SD!$AX:$AX=SD!$C$8), 0),INDEX(_xlpm.gradeRange, _xlpm.matchValue))),IF(AM216="Spiral",CONCATENATE("SP",_xlpm.PartF),_xlpm.PartF))</f>
        <v>#N/A</v>
      </c>
      <c r="BC216" cm="1">
        <f t="array" ref="BC216">_xlfn.LET(_xlpm.leftPart, LEFT(O216, FIND("@", O216) - 2),_xlpm.grade,Q216,_xlpm.gradeRange,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6" cm="1">
        <f t="array" ref="BD216">_xlfn.LET(_xlpm.leftPart, LEFT(P216, FIND("@", P216) - 2),_xlpm.grade, Q216,_xlpm.gradeRange,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6">
        <f t="shared" si="85"/>
        <v>2.5</v>
      </c>
      <c r="BF216">
        <f>IF(SD!$C$32=SD!$I$2,BE216,IF(SD!$C$32=SD!$I$3,DO216,IF(SD!$C$32=SD!$I$5,BA216,IF(SD!$C$32=SD!$I$6,(LEFT(SD!$C$35,FIND("-",SD!$C$35)-1)+RIGHT(SD!$C$35,LEN(SD!$C$35)-FIND("-",SD!$C$35))/12),IF(SD!$C$32=SD!$I$4,(AU216-(BG216+BH216)))))))</f>
        <v>0</v>
      </c>
      <c r="BG216">
        <f>IF(SD!$C$33=SD!$I$2,BE216,IF(SD!$C$33=SD!$I$3,DO216,IF(SD!$C$33=SD!$I$5,BA216,IF(SD!$C$33=SD!$I$6,(LEFT(SD!$C$35,FIND("-",SD!$C$35)-1)+RIGHT(SD!$C$35,LEN(SD!$C$35)-FIND("-",SD!$C$35))/12),IF(SD!$C$33=SD!$I$4,(AU216-(BF216+BH216)))))))</f>
        <v>-1</v>
      </c>
      <c r="BH216">
        <f>IF(SD!$C$34=SD!$I$2,BE216,IF(SD!$C$34=SD!$I$3,DO216,IF(SD!$C$34=SD!$I$5,BA216,IF(SD!$C$34=SD!$I$6,(LEFT(SD!$C$35,FIND("-",SD!$C$35)-1)+RIGHT(SD!$C$35,LEN(SD!$C$35)-FIND("-",SD!$C$35))/12),IF(SD!$C$34=SD!$I$4,(AU216-(BF216+BG216)))))))</f>
        <v>1</v>
      </c>
      <c r="BJ216">
        <f>IF(AM216="Spiral","1",MAX(ROUNDUP(IF(SD!$C$32="",AT216,BF216/(LEFT(RIGHT(N216,LEN(N216)-FIND("@",N216)),LEN(RIGHT(N216,LEN(N216)-FIND("@",N216)))-1)/12)+1),0),0))</f>
        <v>1</v>
      </c>
      <c r="BK216">
        <f>MAX(ROUNDUP(IF(SD!$C$33="","",BG216/(LEFT(RIGHT(O216,LEN(O216)-FIND("@",O216)),LEN(RIGHT(O216,LEN(O216)-FIND("@",O216)))-1)/12)+1),0),0)</f>
        <v>0</v>
      </c>
      <c r="BL216">
        <f>MAX(ROUNDUP(IF(SD!$C$34="","",BH216/(LEFT(RIGHT(P216,LEN(P216)-FIND("@",P216)),LEN(RIGHT(P216,LEN(P216)-FIND("@",P216)))-1)/12)+1),0),0)</f>
        <v>3</v>
      </c>
      <c r="BN216" t="e">
        <f t="shared" si="86"/>
        <v>#N/A</v>
      </c>
      <c r="BO216" t="e">
        <f t="shared" si="87"/>
        <v>#N/A</v>
      </c>
      <c r="BP216" t="e">
        <f t="shared" si="88"/>
        <v>#N/A</v>
      </c>
      <c r="BQ216" s="24" t="e">
        <f>IF(AM216=TRUE,(((Y216-(SD!$E$12*2))*3.14159265359)+BN216+BO216+BP216)/12+AL216,SUM(AF216:AG216,BN216,BO216,BP216,AO216,AQ216)/12)</f>
        <v>#N/A</v>
      </c>
      <c r="BR216" t="e">
        <f t="shared" si="89"/>
        <v>#N/A</v>
      </c>
      <c r="BS216" t="e">
        <f t="shared" si="90"/>
        <v>#N/A</v>
      </c>
      <c r="BT216" t="e">
        <f t="shared" si="91"/>
        <v>#N/A</v>
      </c>
      <c r="BU216" s="24" t="e">
        <f>IF(AM216=TRUE,(((Y216-(SD!$E$12*2))*3.14159265359)+BR216+BS216+BT216)/12+AL216,SUM(AF216:AG216,BR216,BS216,BT216,AO216,AQ216)/12)</f>
        <v>#N/A</v>
      </c>
      <c r="BW216" t="str">
        <f>IFERROR(LEFT(Data!L216,FIND(" -",Data!L216)-1),"")</f>
        <v/>
      </c>
      <c r="BX216" t="str">
        <f>IFERROR(IF(SD!$C$40=SD!$U$2,W216,IF(SD!$C$40=SD!$U$3,RIGHT(Data!L216,LEN(Data!L216)-(FIND("-",Data!L216)+1)),SD!$C$40)),"")</f>
        <v>#10</v>
      </c>
      <c r="BY216" t="str" cm="1">
        <f t="array" ref="BY216">IFERROR(_xlfn.LET(_xlpm.GRR,IF(AND(SD!$C$19=SD!$H$2,Grade!$G$1="Per level"),VLOOKUP(B216,Grade!$E$1:$F$200,2,FALSE),IF(AND(SD!$C$19=SD!$H$2,Grade!$G$1="Per Bar Size"),VLOOKUP(BX216,Grade!$B$1:$C$12,2,0),SD!$C$19)),_xlpm.is_equal, A215=A216,_xlpm.grade_range, IF(_xlpm.GRR=SD!$H$3, A615GR60,IF(_xlpm.GRR=SD!$H$4, A615GR75,IF(_xlpm.GRR=SD!$H$5, A615GR80,IF(_xlpm.GRR=SD!H220, A615GR100,IF(_xlpm.GRR=SD!$H$7, A706GR60,IF(_xlpm.GRR=SD!$H$8, A706GR80)))))),_xlpm.match_result, MATCH(1, (BSize=BX216)*(BCName=SD!$C$8), 0),_xlpm.final_result, INDEX(_xlpm.grade_range, _xlpm.match_result),IF(_xlpm.is_equal, "", _xlpm.final_result)),"")</f>
        <v/>
      </c>
      <c r="BZ216" t="str">
        <f>IF(A215=A216,"",IF(SD!$C$41="Match Vertical Bars ",X216,IF(SD!$C$41=SD!$V$3,BW216,SD!$C$41)))</f>
        <v/>
      </c>
      <c r="CA216" t="str" cm="1">
        <f t="array" ref="CA216">IF(A215=A216,"",IF(SD!$C$44="No T-Head",IF(SD!$C$42=SD!$Q$3,VLOOKUP(BX216,S90Range,3,FALSE),LEFT(SD!$C$42,FIND("-",SD!$C$42)-1)+(RIGHT(SD!$C$42,LEN(SD!$C$42)-FIND("-",SD!$C$42))/12)),IF(SD!$C$44="T-Head",_xlfn._xlws.FILTER(THead,(TCName=SD!$C$8)*(TSize=BX216)),IF(SD!$C$44="Level Wise",_xlfn.LET(_xlpm.result,_xlfn.XLOOKUP(B216,VDLevel,VDLevelStatus,"No"),IF(_xlpm.result="Yes",_xlfn._xlws.FILTER(THead,(TCName=SD!$C$8)*(TSize=BX216)),IF(SD!$C$42=SD!$Q$3,VLOOKUP(BX216,S90Range,3,FALSE),LEFT(SD!$C$42,FIND("-",SD!$C$42)-1)+(RIGHT(SD!$C$42,LEN(SD!$C$42)-FIND("-", SD!$C$42))/12)))),IF(SD!$C$44="BarSize Wise",_xlfn.LET(_xlpm.result,_xlfn.XLOOKUP(BX216,VDBarSize,VDBarSizeStatus,"No"),IF(_xlpm.result="Yes",_xlfn._xlws.FILTER(THead,(TCName=SD!$C$8)*(TSize=BX216)),IF(SD!$C$42=SD!$Q$3,VLOOKUP(BX216,S90Range,3,FALSE),LEFT(SD!$C$42,FIND("-",SD!$C$42)-1)+(RIGHT(SD!$C$42,LEN(SD!$C$42)-FIND("-",SD!$C$42))/12)))), "")))))</f>
        <v/>
      </c>
      <c r="CB216" t="str" cm="1">
        <f t="array" ref="CB216">_xlfn.LET(_xlpm.GRR,IF(AND(SD!$C$19=SD!$H$2,Grade!$G$1="Per level"),VLOOKUP(B216,Grade!$E$1:$F$200,2,FALSE),IF(AND(SD!$C$19=SD!$H$2,Grade!$G$1="Per Bar Size"),VLOOKUP(BX216,Grade!$B$1:$C$12,2,0),SD!$C$19)),_xlpm.is_coupler, K216="Coupler",_xlpm.condition1, SD!$C$43=SD!$W$2,_xlpm.data_j2_empty, Data!$J216="",_xlpm.lookup_table, IF(SD!$C$11="Create", Lap!$A$3:$BF$14, IF(SD!$C$11="Per Uploaded File", Lap!$A$19:$BF$30, "")),_xlpm.row_match, MATCH(BX216, Lap!$A$3:$A$14, 0),_xlpm.grade_offset, IF(IFERROR(FIND("Grade 60",_xlpm.GRR), 0) &gt; 0, 0, IF(IFERROR(FIND("Grade 80",_xlpm.GRR), 0), 1, IF(IFERROR(FIND("Grade 75",_xlpm.GRR), 0), 2, ""))),_xlpm.col_match, MATCH(VALUE(D216), Lap!$A$3:$BF$3, 0) + _xlpm.grade_offset,_xlpm.index_result, IFERROR(INDEX(_xlpm.lookup_table, _xlpm.row_match, _xlpm.col_match), Data!$J216),_xlpm.result_if_condition1, IF(_xlpm.data_j2_empty, _xlpm.index_result, Data!$J216),IF(_xlpm.is_coupler, 0, IF(_xlpm.condition1, _xlpm.result_if_condition1, SD!$C$43)))</f>
        <v>5-1</v>
      </c>
      <c r="CC216" s="24">
        <f t="shared" si="92"/>
        <v>5.083333333333333</v>
      </c>
      <c r="CD216">
        <f t="shared" si="93"/>
        <v>5.75</v>
      </c>
      <c r="CE216" t="str" cm="1">
        <f t="array" ref="CE216">IF(BY216="","",_xlfn._xlws.FILTER(SAC,(CName=SD!$C$8)*(EName="Vert Dowels")))</f>
        <v/>
      </c>
      <c r="CF216" t="str" cm="1">
        <f t="array" ref="CF216">IFERROR(IF(BY216="","",IF(K216="Coupler",_xlfn._xlws.FILTER(CCoupler,(CCName=SD!$C$8)*(CBSize=IF(A215=A216,W215&amp;W216,BX216&amp;W216))*(CCMFM="Male")),"")),"N/A")</f>
        <v/>
      </c>
      <c r="CG216" t="str">
        <f t="shared" si="94"/>
        <v/>
      </c>
      <c r="CH216" t="str">
        <f t="shared" si="95"/>
        <v/>
      </c>
      <c r="CI216" t="str">
        <f>_xlfn.LET(_xlpm.u3_value, U217,_xlpm.hyphen_pos,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K217="Coupler",_xlpm.coupler_value, IF(_xlpm.is_coupler, 0, _xlpm.calculated_value),_xlpm.final_value, _xlpm.calculated_value + SD!$E$13 + _xlpm.coupler_value,IF(CG216="", "", _xlpm.final_value))</f>
        <v/>
      </c>
      <c r="CJ216" t="str" cm="1">
        <f t="array" ref="CJ216">IF(CG216="","",_xlfn._xlws.FILTER(SAC,(CName=SD!$C$8)*(EName="Loose Dowels")))</f>
        <v/>
      </c>
      <c r="CK216" t="str" cm="1">
        <f t="array" ref="CK216">IFERROR(IF(CG216="","",IF(K217="Coupler",_xlfn._xlws.FILTER(CCoupler,(CCName=SD!$C$8)*(CBSize=IF(A216=A217,W216&amp;W217,""))*(CCMFM="Male")),"")),"N/A")</f>
        <v/>
      </c>
      <c r="CL216" t="str">
        <f>IFERROR(IF(AM216="Spiral","",IF(A215=A216,"",IF(SD!$C$37=0,"",SD!$C$37))),"")</f>
        <v/>
      </c>
      <c r="CN216">
        <f>IF(AM216="Spiral","",IFERROR(IF(SD!$C$36=0,"",SD!$C$36),""))</f>
        <v>5</v>
      </c>
      <c r="CP216" t="str">
        <f>IFERROR(IF(SD!$C$42=SD!$Q$3,'Take-off'!CA216,""),"")</f>
        <v/>
      </c>
      <c r="CR216">
        <f>IFERROR(IF(SD!$C$22=SD!$U$2,W216,SD!$C$22),"")</f>
        <v>0</v>
      </c>
      <c r="CS216" t="str" cm="1">
        <f t="array" ref="CS216">_xlfn.LET(_xlpm.GR,IF(AND(SD!$C$19=SD!$H$2,Grade!$G$1="Per level"),VLOOKUP(B216,Grade!$E$1:$F$200,2,FALSE),IF(AND(SD!$C$19=SD!$H$2,Grade!$G$1="Per Bar Size"),VLOOKUP(CR216,Grade!$B$1:$C$12,2,0),SD!$C$19)),IF(SD!$C$20=SD!$R$4,IF(A217=A216,"",INDEX(IF(_xlpm.GR=SD!$H$3,A615GR60,IF(_xlpm.GR=SD!$H$4,A615GR75,IF(_xlpm.GR=SD!$H$5,A615GR80,IF(_xlpm.GR=SD!H220,A615GR100,IF(_xlpm.GR=SD!$H$7,A706GR60,IF(_xlpm.GR=SD!$H$8,A706GR80)))))), MATCH(1, (BSize=CR216)*(BCName=SD!$C$8), 0))),""))</f>
        <v/>
      </c>
      <c r="CT216" t="str">
        <f>IF(A217=A216,"",IF(SD!$C$23="Match Vertical Bars ",X216,SD!$C$23))</f>
        <v/>
      </c>
      <c r="CU216" t="str" cm="1">
        <f t="array" ref="CU216">IF(A217=A216,"",IF(SD!$C$20="Top dowels",IF(SD!$E$25="No T-Head",IF(SD!$C$24=SD!$Q$3,VLOOKUP(CR216,S90Range,3,FALSE),LEFT(SD!$C$24,FIND("-",SD!$C$24)-1)+(RIGHT(SD!$C$24,LEN(SD!$C$24)-FIND("-",SD!$C$24))/12)),IF(SD!$E$25="T-Head",_xlfn._xlws.FILTER(THead,(TCName=SD!$C$8)*(TSize=CR216)),IF(SD!$E$25="Level Wise",_xlfn.LET(_xlpm.result,_xlfn.XLOOKUP(B216,TDLevel,TDLevelStatus,"No"),IF(_xlpm.result="Yes",_xlfn._xlws.FILTER(THead,(TCName=SD!$C$8)*(TSize=CR216)),IF(SD!$C$24=SD!$Q$3,VLOOKUP(CR216,S90Range,3,FALSE),LEFT(SD!$C$24,FIND("-",SD!$C$24)-1)+(RIGHT(SD!$C$24,LEN(SD!$C$24)-FIND("-", SD!$C$24))/12)))),IF(SD!$E$25="BarSize Wise",_xlfn.LET(_xlpm.result,_xlfn.XLOOKUP(CR216,TDBarSize,TDBarSizeStatus,"No"),IF(_xlpm.result="Yes",_xlfn._xlws.FILTER(THead,(TCName=SD!$C$8)*(TSize=CR216)),IF(SD!$C$24=SD!$Q$3,VLOOKUP(CR216,S90Range,3,FALSE),LEFT(SD!$C$24,FIND("-",SD!$C$24)-1)+(RIGHT(SD!$C$24,LEN(SD!$C$24)-FIND("-",SD!$C$24))/12)))), "")))),""))</f>
        <v/>
      </c>
      <c r="CV216" t="str">
        <f>_xlfn.LET(_xlpm.GRR,IF(AND(SD!$C$19=SD!$H$2,Grade!$G$1="Per level"),VLOOKUP(B216,Grade!$E$1:$F$200,2,FALSE),IF(AND(SD!$C$19=SD!$H$2,Grade!$G$1="Per Bar Size"),VLOOKUP(CR216,Grade!$B$1:$C$12,2,0),SD!$C$19)),IF(SD!$C$25=SD!$W$2,IF(Data!$J216="",IFERROR(INDEX(IF(SD!$C$11="Create",Lap!$A$3:$BF$14,IF(SD!$C$11="Per Uploaded File",Lap!$A$19:$BF$30,"")),MATCH(CR216,Lap!$A$3:$A$14,0),MATCH(VALUE(D216),Lap!$A$3:$BF$3,0)+IF(IFERROR(FIND("Grade 60",_xlpm.GRR),0)&gt;0,0,IF(IFERROR(FIND("Grade 80",_xlpm.GRR),0),1,IF(IFERROR(FIND("Grade 75",_xlpm.GRR),0),2,"")))),""),Data!J216),SD!$C$43))</f>
        <v>Match Lap</v>
      </c>
      <c r="CW216">
        <f t="shared" si="96"/>
        <v>0</v>
      </c>
      <c r="CX216">
        <f t="shared" si="97"/>
        <v>0</v>
      </c>
      <c r="CY216" t="str">
        <f t="shared" si="98"/>
        <v/>
      </c>
      <c r="DA216" t="str">
        <f t="shared" si="99"/>
        <v/>
      </c>
      <c r="DB216" t="str">
        <f t="shared" si="100"/>
        <v/>
      </c>
      <c r="DC216" s="24" t="str">
        <f t="shared" si="101"/>
        <v/>
      </c>
      <c r="DD216">
        <f t="shared" si="102"/>
        <v>10.583333333333334</v>
      </c>
      <c r="DE216" t="s">
        <v>785</v>
      </c>
      <c r="DF216" t="s">
        <v>67</v>
      </c>
      <c r="DG216" t="str">
        <f>VLOOKUP(W216,'Level Wise PSI'!$F$2:$G$12,2,FALSE)</f>
        <v>Double Lift</v>
      </c>
      <c r="DI216" t="str" cm="1">
        <f t="array" ref="DI216">_xlfn.LET(_xlpm.Coup,IFERROR(IF(BY216="","",IF(K216="Coupler",_xlfn._xlws.FILTER(CCFCoupler,(CCName=SD!$C$8)*(CBSize=IF(A215=A216,W215&amp;W216,BX216&amp;W216))),"")),"N/A"),IF(_xlpm.Coup=0,"",_xlpm.Coup))</f>
        <v/>
      </c>
      <c r="DJ216" t="str" cm="1">
        <f t="array" ref="DJ216">_xlfn.LET(_xlpm.Coup3,IFERROR(IF(CG216="","",IF(K217="Coupler",_xlfn._xlws.FILTER(CCFCoupler,(CCName=SD!$C$8)*(CBSize=IF(A216=A217,W216&amp;W217,""))),"")),"N/A"),IF(_xlpm.Coup3=0,"",_xlpm.Coup3))</f>
        <v/>
      </c>
      <c r="DK216" t="str" cm="1">
        <f t="array" ref="DK216">_xlfn.LET(_xlpm.Coup2,IFERROR(IF(A216&lt;&gt;A217,"",IF(DF216="No Lap","",IF(K217="Coupler",_xlfn._xlws.FILTER(CCFCoupler,(CCName=SD!$C$8)*(CBSize=IF(A215=A216,W216&amp;W217,W216&amp;W216))),""))),"N/A"),IF(_xlpm.Coup2=0,"",_xlpm.Coup2))</f>
        <v/>
      </c>
      <c r="DM216" t="str">
        <f>IF(AM216="Spiral","",IF(SD!$C$31=SD!$Y$3,SD!$E$32*2,""))</f>
        <v/>
      </c>
      <c r="DO216" s="24">
        <f t="shared" si="103"/>
        <v>2.5</v>
      </c>
      <c r="DQ216" t="str">
        <f t="shared" si="104"/>
        <v>Lig</v>
      </c>
      <c r="DR216" t="str">
        <f>IF(AM216="Spiral",((Y216-(SD!$E$12*2))/12),"")</f>
        <v/>
      </c>
      <c r="DS216" t="str">
        <f t="shared" si="105"/>
        <v/>
      </c>
      <c r="DT216" t="str">
        <f t="shared" si="106"/>
        <v/>
      </c>
      <c r="DU216" t="str">
        <f t="shared" si="107"/>
        <v/>
      </c>
    </row>
    <row r="217" spans="1:125" x14ac:dyDescent="0.25">
      <c r="A217">
        <v>67</v>
      </c>
      <c r="B217" t="s">
        <v>672</v>
      </c>
      <c r="C217" s="15">
        <v>2429</v>
      </c>
      <c r="D217" s="15">
        <v>10000</v>
      </c>
      <c r="E217" t="str">
        <f>IF(B217=Level!$A$2,SD!$C$14,SD!$C$13)</f>
        <v>0-8</v>
      </c>
      <c r="F217" s="15" t="s">
        <v>787</v>
      </c>
      <c r="G217" t="s">
        <v>742</v>
      </c>
      <c r="H217" t="str">
        <f>RIGHT(VLOOKUP(B217,Level!A:C,3,FALSE),LEN(VLOOKUP(B217,Level!A:C,3,FALSE))-1)</f>
        <v>10-7</v>
      </c>
      <c r="I217" t="s">
        <v>743</v>
      </c>
      <c r="J217" t="str">
        <f>IF(AND(SD!$C$19=SD!$H$2,Grade!$G$1="Per level"),VLOOKUP(B217,Grade!$E$1:$F$200,2,FALSE),IF(AND(SD!$C$19=SD!$H$2,Grade!$G$1="Per Bar Size"),VLOOKUP(W217,Grade!$B$1:$C$12,2,0),SD!$C$19))</f>
        <v>A615 Grade 60</v>
      </c>
      <c r="K217" t="s">
        <v>67</v>
      </c>
      <c r="L217" t="str">
        <f>IFERROR(IF(A217&lt;&gt;A218,"",IF(DF217="No Lap","",IF(K218="Lap",U217,IF(K218="Coupler",_xlfn._xlws.FILTER(CCoupler,(CCName=SD!$C$8)*(CBSize=IF(A216=A217,W217&amp;W218,W217&amp;W217))*(CCMFM="Male")),"")))),"N/A")</f>
        <v>5-1</v>
      </c>
      <c r="M217" t="str">
        <f t="shared" si="81"/>
        <v/>
      </c>
      <c r="N217" t="s">
        <v>719</v>
      </c>
      <c r="O217" t="s">
        <v>720</v>
      </c>
      <c r="P217" t="s">
        <v>719</v>
      </c>
      <c r="Q217" t="str">
        <f>IF(AND(SD!$C$29=SD!$P$2,Grade!$O$1="Per level"),VLOOKUP(B217,Grade!$M$1:$N$200,2,FALSE),IF(AND(SD!$C$29=SD!$P$2,Grade!$O$1="Per Bar Size"),VLOOKUP(LEFT(N217,FIND("@",N217)-2),Grade!$J$1:$K$12,2,0),SD!$C$29))</f>
        <v>A615 Grade 60</v>
      </c>
      <c r="R217" t="s">
        <v>742</v>
      </c>
      <c r="S217" s="57">
        <v>217</v>
      </c>
      <c r="U217" t="str">
        <f>IF(Data!$J217="",IFERROR(INDEX(IF(SD!$C$11="Create",Lap!$A$3:$BF$14,IF(SD!$C$11="Per Uploaded File",Lap!$A$19:$BF$30,"")),MATCH(W217,Lap!$A$3:$A$14,0),MATCH(VALUE(D217),Lap!$A$3:$BF$3,0)+IF(IFERROR(FIND("Grade 60",J217),0)&gt;0,0,IF(IFERROR(FIND("Grade 80",J217),0),1,IF(IFERROR(FIND("Grade 75",J217),0),2,"")))),""),Data!J217)</f>
        <v>5-1</v>
      </c>
      <c r="W217" t="s">
        <v>176</v>
      </c>
      <c r="X217">
        <v>6</v>
      </c>
      <c r="Y217" t="str">
        <f t="shared" si="82"/>
        <v>30</v>
      </c>
      <c r="Z217">
        <f t="shared" si="83"/>
        <v>0</v>
      </c>
      <c r="AA217" s="24">
        <f t="shared" si="84"/>
        <v>15.666666666666666</v>
      </c>
      <c r="BB217" t="e" cm="1">
        <f t="array" ref="BB217">_xlfn.LET(_xlpm.PartF,(_xlfn.LET(_xlpm.grade, Q217,_xlpm.gradeRange, IF(_xlpm.grade=SD!$H$3, A615GR60, IF(_xlpm.grade=SD!$H$4, A615GR75, IF(_xlpm.grade=SD!$H$5, A615GR80, IF(_xlpm.grade=SD!$H$6, A615GR100, IF(_xlpm.grade=SD!$H$7, A706GR60, IF(_xlpm.grade=SD!$H$8, A706GR80)))))),_xlpm.matchValue, MATCH(1, (SD!$AW:$AW=AS217)*(SD!$AX:$AX=SD!$C$8), 0),INDEX(_xlpm.gradeRange, _xlpm.matchValue))),IF(AM217="Spiral",CONCATENATE("SP",_xlpm.PartF),_xlpm.PartF))</f>
        <v>#N/A</v>
      </c>
      <c r="BC217" cm="1">
        <f t="array" ref="BC217">_xlfn.LET(_xlpm.leftPart, LEFT(O217, FIND("@", O217) - 2),_xlpm.grade,Q217,_xlpm.gradeRange,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7" cm="1">
        <f t="array" ref="BD217">_xlfn.LET(_xlpm.leftPart, LEFT(P217, FIND("@", P217) - 2),_xlpm.grade, Q217,_xlpm.gradeRange,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7">
        <f t="shared" si="85"/>
        <v>2.5</v>
      </c>
      <c r="BF217">
        <f>IF(SD!$C$32=SD!$I$2,BE217,IF(SD!$C$32=SD!$I$3,DO217,IF(SD!$C$32=SD!$I$5,BA217,IF(SD!$C$32=SD!$I$6,(LEFT(SD!$C$35,FIND("-",SD!$C$35)-1)+RIGHT(SD!$C$35,LEN(SD!$C$35)-FIND("-",SD!$C$35))/12),IF(SD!$C$32=SD!$I$4,(AU217-(BG217+BH217)))))))</f>
        <v>0</v>
      </c>
      <c r="BG217">
        <f>IF(SD!$C$33=SD!$I$2,BE217,IF(SD!$C$33=SD!$I$3,DO217,IF(SD!$C$33=SD!$I$5,BA217,IF(SD!$C$33=SD!$I$6,(LEFT(SD!$C$35,FIND("-",SD!$C$35)-1)+RIGHT(SD!$C$35,LEN(SD!$C$35)-FIND("-",SD!$C$35))/12),IF(SD!$C$33=SD!$I$4,(AU217-(BF217+BH217)))))))</f>
        <v>-1</v>
      </c>
      <c r="BH217">
        <f>IF(SD!$C$34=SD!$I$2,BE217,IF(SD!$C$34=SD!$I$3,DO217,IF(SD!$C$34=SD!$I$5,BA217,IF(SD!$C$34=SD!$I$6,(LEFT(SD!$C$35,FIND("-",SD!$C$35)-1)+RIGHT(SD!$C$35,LEN(SD!$C$35)-FIND("-",SD!$C$35))/12),IF(SD!$C$34=SD!$I$4,(AU217-(BF217+BG217)))))))</f>
        <v>1</v>
      </c>
      <c r="BJ217">
        <f>IF(AM217="Spiral","1",MAX(ROUNDUP(IF(SD!$C$32="",AT217,BF217/(LEFT(RIGHT(N217,LEN(N217)-FIND("@",N217)),LEN(RIGHT(N217,LEN(N217)-FIND("@",N217)))-1)/12)+1),0),0))</f>
        <v>1</v>
      </c>
      <c r="BK217">
        <f>MAX(ROUNDUP(IF(SD!$C$33="","",BG217/(LEFT(RIGHT(O217,LEN(O217)-FIND("@",O217)),LEN(RIGHT(O217,LEN(O217)-FIND("@",O217)))-1)/12)+1),0),0)</f>
        <v>0</v>
      </c>
      <c r="BL217">
        <f>MAX(ROUNDUP(IF(SD!$C$34="","",BH217/(LEFT(RIGHT(P217,LEN(P217)-FIND("@",P217)),LEN(RIGHT(P217,LEN(P217)-FIND("@",P217)))-1)/12)+1),0),0)</f>
        <v>3</v>
      </c>
      <c r="BN217" t="e">
        <f t="shared" si="86"/>
        <v>#N/A</v>
      </c>
      <c r="BO217" t="e">
        <f t="shared" si="87"/>
        <v>#N/A</v>
      </c>
      <c r="BP217" t="e">
        <f t="shared" si="88"/>
        <v>#N/A</v>
      </c>
      <c r="BQ217" s="24" t="e">
        <f>IF(AM217=TRUE,(((Y217-(SD!$E$12*2))*3.14159265359)+BN217+BO217+BP217)/12+AL217,SUM(AF217:AG217,BN217,BO217,BP217,AO217,AQ217)/12)</f>
        <v>#N/A</v>
      </c>
      <c r="BR217" t="e">
        <f t="shared" si="89"/>
        <v>#N/A</v>
      </c>
      <c r="BS217" t="e">
        <f t="shared" si="90"/>
        <v>#N/A</v>
      </c>
      <c r="BT217" t="e">
        <f t="shared" si="91"/>
        <v>#N/A</v>
      </c>
      <c r="BU217" s="24" t="e">
        <f>IF(AM217=TRUE,(((Y217-(SD!$E$12*2))*3.14159265359)+BR217+BS217+BT217)/12+AL217,SUM(AF217:AG217,BR217,BS217,BT217,AO217,AQ217)/12)</f>
        <v>#N/A</v>
      </c>
      <c r="BW217" t="str">
        <f>IFERROR(LEFT(Data!L217,FIND(" -",Data!L217)-1),"")</f>
        <v/>
      </c>
      <c r="BX217" t="str">
        <f>IFERROR(IF(SD!$C$40=SD!$U$2,W217,IF(SD!$C$40=SD!$U$3,RIGHT(Data!L217,LEN(Data!L217)-(FIND("-",Data!L217)+1)),SD!$C$40)),"")</f>
        <v>#10</v>
      </c>
      <c r="BY217" t="str" cm="1">
        <f t="array" ref="BY217">IFERROR(_xlfn.LET(_xlpm.GRR,IF(AND(SD!$C$19=SD!$H$2,Grade!$G$1="Per level"),VLOOKUP(B217,Grade!$E$1:$F$200,2,FALSE),IF(AND(SD!$C$19=SD!$H$2,Grade!$G$1="Per Bar Size"),VLOOKUP(BX217,Grade!$B$1:$C$12,2,0),SD!$C$19)),_xlpm.is_equal, A216=A217,_xlpm.grade_range, IF(_xlpm.GRR=SD!$H$3, A615GR60,IF(_xlpm.GRR=SD!$H$4, A615GR75,IF(_xlpm.GRR=SD!$H$5, A615GR80,IF(_xlpm.GRR=SD!H221, A615GR100,IF(_xlpm.GRR=SD!$H$7, A706GR60,IF(_xlpm.GRR=SD!$H$8, A706GR80)))))),_xlpm.match_result, MATCH(1, (BSize=BX217)*(BCName=SD!$C$8), 0),_xlpm.final_result, INDEX(_xlpm.grade_range, _xlpm.match_result),IF(_xlpm.is_equal, "", _xlpm.final_result)),"")</f>
        <v/>
      </c>
      <c r="BZ217" t="str">
        <f>IF(A216=A217,"",IF(SD!$C$41="Match Vertical Bars ",X217,IF(SD!$C$41=SD!$V$3,BW217,SD!$C$41)))</f>
        <v/>
      </c>
      <c r="CA217" t="str" cm="1">
        <f t="array" ref="CA217">IF(A216=A217,"",IF(SD!$C$44="No T-Head",IF(SD!$C$42=SD!$Q$3,VLOOKUP(BX217,S90Range,3,FALSE),LEFT(SD!$C$42,FIND("-",SD!$C$42)-1)+(RIGHT(SD!$C$42,LEN(SD!$C$42)-FIND("-",SD!$C$42))/12)),IF(SD!$C$44="T-Head",_xlfn._xlws.FILTER(THead,(TCName=SD!$C$8)*(TSize=BX217)),IF(SD!$C$44="Level Wise",_xlfn.LET(_xlpm.result,_xlfn.XLOOKUP(B217,VDLevel,VDLevelStatus,"No"),IF(_xlpm.result="Yes",_xlfn._xlws.FILTER(THead,(TCName=SD!$C$8)*(TSize=BX217)),IF(SD!$C$42=SD!$Q$3,VLOOKUP(BX217,S90Range,3,FALSE),LEFT(SD!$C$42,FIND("-",SD!$C$42)-1)+(RIGHT(SD!$C$42,LEN(SD!$C$42)-FIND("-", SD!$C$42))/12)))),IF(SD!$C$44="BarSize Wise",_xlfn.LET(_xlpm.result,_xlfn.XLOOKUP(BX217,VDBarSize,VDBarSizeStatus,"No"),IF(_xlpm.result="Yes",_xlfn._xlws.FILTER(THead,(TCName=SD!$C$8)*(TSize=BX217)),IF(SD!$C$42=SD!$Q$3,VLOOKUP(BX217,S90Range,3,FALSE),LEFT(SD!$C$42,FIND("-",SD!$C$42)-1)+(RIGHT(SD!$C$42,LEN(SD!$C$42)-FIND("-",SD!$C$42))/12)))), "")))))</f>
        <v/>
      </c>
      <c r="CB217" t="str" cm="1">
        <f t="array" ref="CB217">_xlfn.LET(_xlpm.GRR,IF(AND(SD!$C$19=SD!$H$2,Grade!$G$1="Per level"),VLOOKUP(B217,Grade!$E$1:$F$200,2,FALSE),IF(AND(SD!$C$19=SD!$H$2,Grade!$G$1="Per Bar Size"),VLOOKUP(BX217,Grade!$B$1:$C$12,2,0),SD!$C$19)),_xlpm.is_coupler, K217="Coupler",_xlpm.condition1, SD!$C$43=SD!$W$2,_xlpm.data_j2_empty, Data!$J217="",_xlpm.lookup_table, IF(SD!$C$11="Create", Lap!$A$3:$BF$14, IF(SD!$C$11="Per Uploaded File", Lap!$A$19:$BF$30, "")),_xlpm.row_match, MATCH(BX217, Lap!$A$3:$A$14, 0),_xlpm.grade_offset, IF(IFERROR(FIND("Grade 60",_xlpm.GRR), 0) &gt; 0, 0, IF(IFERROR(FIND("Grade 80",_xlpm.GRR), 0), 1, IF(IFERROR(FIND("Grade 75",_xlpm.GRR), 0), 2, ""))),_xlpm.col_match, MATCH(VALUE(D217), Lap!$A$3:$BF$3, 0) + _xlpm.grade_offset,_xlpm.index_result, IFERROR(INDEX(_xlpm.lookup_table, _xlpm.row_match, _xlpm.col_match), Data!$J217),_xlpm.result_if_condition1, IF(_xlpm.data_j2_empty, _xlpm.index_result, Data!$J217),IF(_xlpm.is_coupler, 0, IF(_xlpm.condition1, _xlpm.result_if_condition1, SD!$C$43)))</f>
        <v>5-1</v>
      </c>
      <c r="CC217" s="24">
        <f t="shared" si="92"/>
        <v>5.083333333333333</v>
      </c>
      <c r="CD217">
        <f t="shared" si="93"/>
        <v>5.75</v>
      </c>
      <c r="CE217" t="str" cm="1">
        <f t="array" ref="CE217">IF(BY217="","",_xlfn._xlws.FILTER(SAC,(CName=SD!$C$8)*(EName="Vert Dowels")))</f>
        <v/>
      </c>
      <c r="CF217" t="str" cm="1">
        <f t="array" ref="CF217">IFERROR(IF(BY217="","",IF(K217="Coupler",_xlfn._xlws.FILTER(CCoupler,(CCName=SD!$C$8)*(CBSize=IF(A216=A217,W216&amp;W217,BX217&amp;W217))*(CCMFM="Male")),"")),"N/A")</f>
        <v/>
      </c>
      <c r="CG217" t="str">
        <f t="shared" si="94"/>
        <v/>
      </c>
      <c r="CH217" t="str">
        <f t="shared" si="95"/>
        <v/>
      </c>
      <c r="CI217" t="str">
        <f>_xlfn.LET(_xlpm.u3_value, U218,_xlpm.hyphen_pos,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K218="Coupler",_xlpm.coupler_value, IF(_xlpm.is_coupler, 0, _xlpm.calculated_value),_xlpm.final_value, _xlpm.calculated_value + SD!$E$13 + _xlpm.coupler_value,IF(CG217="", "", _xlpm.final_value))</f>
        <v/>
      </c>
      <c r="CJ217" t="str" cm="1">
        <f t="array" ref="CJ217">IF(CG217="","",_xlfn._xlws.FILTER(SAC,(CName=SD!$C$8)*(EName="Loose Dowels")))</f>
        <v/>
      </c>
      <c r="CK217" t="str" cm="1">
        <f t="array" ref="CK217">IFERROR(IF(CG217="","",IF(K218="Coupler",_xlfn._xlws.FILTER(CCoupler,(CCName=SD!$C$8)*(CBSize=IF(A217=A218,W217&amp;W218,""))*(CCMFM="Male")),"")),"N/A")</f>
        <v/>
      </c>
      <c r="CL217" t="str">
        <f>IFERROR(IF(AM217="Spiral","",IF(A216=A217,"",IF(SD!$C$37=0,"",SD!$C$37))),"")</f>
        <v/>
      </c>
      <c r="CN217">
        <f>IF(AM217="Spiral","",IFERROR(IF(SD!$C$36=0,"",SD!$C$36),""))</f>
        <v>5</v>
      </c>
      <c r="CP217" t="str">
        <f>IFERROR(IF(SD!$C$42=SD!$Q$3,'Take-off'!CA217,""),"")</f>
        <v/>
      </c>
      <c r="CR217">
        <f>IFERROR(IF(SD!$C$22=SD!$U$2,W217,SD!$C$22),"")</f>
        <v>0</v>
      </c>
      <c r="CS217" t="str" cm="1">
        <f t="array" ref="CS217">_xlfn.LET(_xlpm.GR,IF(AND(SD!$C$19=SD!$H$2,Grade!$G$1="Per level"),VLOOKUP(B217,Grade!$E$1:$F$200,2,FALSE),IF(AND(SD!$C$19=SD!$H$2,Grade!$G$1="Per Bar Size"),VLOOKUP(CR217,Grade!$B$1:$C$12,2,0),SD!$C$19)),IF(SD!$C$20=SD!$R$4,IF(A218=A217,"",INDEX(IF(_xlpm.GR=SD!$H$3,A615GR60,IF(_xlpm.GR=SD!$H$4,A615GR75,IF(_xlpm.GR=SD!$H$5,A615GR80,IF(_xlpm.GR=SD!H221,A615GR100,IF(_xlpm.GR=SD!$H$7,A706GR60,IF(_xlpm.GR=SD!$H$8,A706GR80)))))), MATCH(1, (BSize=CR217)*(BCName=SD!$C$8), 0))),""))</f>
        <v/>
      </c>
      <c r="CT217" t="str">
        <f>IF(A218=A217,"",IF(SD!$C$23="Match Vertical Bars ",X217,SD!$C$23))</f>
        <v/>
      </c>
      <c r="CU217" t="str" cm="1">
        <f t="array" ref="CU217">IF(A218=A217,"",IF(SD!$C$20="Top dowels",IF(SD!$E$25="No T-Head",IF(SD!$C$24=SD!$Q$3,VLOOKUP(CR217,S90Range,3,FALSE),LEFT(SD!$C$24,FIND("-",SD!$C$24)-1)+(RIGHT(SD!$C$24,LEN(SD!$C$24)-FIND("-",SD!$C$24))/12)),IF(SD!$E$25="T-Head",_xlfn._xlws.FILTER(THead,(TCName=SD!$C$8)*(TSize=CR217)),IF(SD!$E$25="Level Wise",_xlfn.LET(_xlpm.result,_xlfn.XLOOKUP(B217,TDLevel,TDLevelStatus,"No"),IF(_xlpm.result="Yes",_xlfn._xlws.FILTER(THead,(TCName=SD!$C$8)*(TSize=CR217)),IF(SD!$C$24=SD!$Q$3,VLOOKUP(CR217,S90Range,3,FALSE),LEFT(SD!$C$24,FIND("-",SD!$C$24)-1)+(RIGHT(SD!$C$24,LEN(SD!$C$24)-FIND("-", SD!$C$24))/12)))),IF(SD!$E$25="BarSize Wise",_xlfn.LET(_xlpm.result,_xlfn.XLOOKUP(CR217,TDBarSize,TDBarSizeStatus,"No"),IF(_xlpm.result="Yes",_xlfn._xlws.FILTER(THead,(TCName=SD!$C$8)*(TSize=CR217)),IF(SD!$C$24=SD!$Q$3,VLOOKUP(CR217,S90Range,3,FALSE),LEFT(SD!$C$24,FIND("-",SD!$C$24)-1)+(RIGHT(SD!$C$24,LEN(SD!$C$24)-FIND("-",SD!$C$24))/12)))), "")))),""))</f>
        <v/>
      </c>
      <c r="CV217" t="str">
        <f>_xlfn.LET(_xlpm.GRR,IF(AND(SD!$C$19=SD!$H$2,Grade!$G$1="Per level"),VLOOKUP(B217,Grade!$E$1:$F$200,2,FALSE),IF(AND(SD!$C$19=SD!$H$2,Grade!$G$1="Per Bar Size"),VLOOKUP(CR217,Grade!$B$1:$C$12,2,0),SD!$C$19)),IF(SD!$C$25=SD!$W$2,IF(Data!$J217="",IFERROR(INDEX(IF(SD!$C$11="Create",Lap!$A$3:$BF$14,IF(SD!$C$11="Per Uploaded File",Lap!$A$19:$BF$30,"")),MATCH(CR217,Lap!$A$3:$A$14,0),MATCH(VALUE(D217),Lap!$A$3:$BF$3,0)+IF(IFERROR(FIND("Grade 60",_xlpm.GRR),0)&gt;0,0,IF(IFERROR(FIND("Grade 80",_xlpm.GRR),0),1,IF(IFERROR(FIND("Grade 75",_xlpm.GRR),0),2,"")))),""),Data!J217),SD!$C$43))</f>
        <v>Match Lap</v>
      </c>
      <c r="CW217">
        <f t="shared" si="96"/>
        <v>0</v>
      </c>
      <c r="CX217">
        <f t="shared" si="97"/>
        <v>0</v>
      </c>
      <c r="CY217" t="str">
        <f t="shared" si="98"/>
        <v/>
      </c>
      <c r="DA217" t="str">
        <f t="shared" si="99"/>
        <v/>
      </c>
      <c r="DB217" t="str">
        <f t="shared" si="100"/>
        <v/>
      </c>
      <c r="DC217" s="24" t="str">
        <f t="shared" si="101"/>
        <v/>
      </c>
      <c r="DD217">
        <f t="shared" si="102"/>
        <v>10.583333333333334</v>
      </c>
      <c r="DE217" t="s">
        <v>785</v>
      </c>
      <c r="DF217" t="s">
        <v>67</v>
      </c>
      <c r="DG217" t="str">
        <f>VLOOKUP(W217,'Level Wise PSI'!$F$2:$G$12,2,FALSE)</f>
        <v>Double Lift</v>
      </c>
      <c r="DI217" t="str" cm="1">
        <f t="array" ref="DI217">_xlfn.LET(_xlpm.Coup,IFERROR(IF(BY217="","",IF(K217="Coupler",_xlfn._xlws.FILTER(CCFCoupler,(CCName=SD!$C$8)*(CBSize=IF(A216=A217,W216&amp;W217,BX217&amp;W217))),"")),"N/A"),IF(_xlpm.Coup=0,"",_xlpm.Coup))</f>
        <v/>
      </c>
      <c r="DJ217" t="str" cm="1">
        <f t="array" ref="DJ217">_xlfn.LET(_xlpm.Coup3,IFERROR(IF(CG217="","",IF(K218="Coupler",_xlfn._xlws.FILTER(CCFCoupler,(CCName=SD!$C$8)*(CBSize=IF(A217=A218,W217&amp;W218,""))),"")),"N/A"),IF(_xlpm.Coup3=0,"",_xlpm.Coup3))</f>
        <v/>
      </c>
      <c r="DK217" t="str" cm="1">
        <f t="array" ref="DK217">_xlfn.LET(_xlpm.Coup2,IFERROR(IF(A217&lt;&gt;A218,"",IF(DF217="No Lap","",IF(K218="Coupler",_xlfn._xlws.FILTER(CCFCoupler,(CCName=SD!$C$8)*(CBSize=IF(A216=A217,W217&amp;W218,W217&amp;W217))),""))),"N/A"),IF(_xlpm.Coup2=0,"",_xlpm.Coup2))</f>
        <v/>
      </c>
      <c r="DM217" t="str">
        <f>IF(AM217="Spiral","",IF(SD!$C$31=SD!$Y$3,SD!$E$32*2,""))</f>
        <v/>
      </c>
      <c r="DO217" s="24">
        <f t="shared" si="103"/>
        <v>2.5</v>
      </c>
      <c r="DQ217" t="str">
        <f t="shared" si="104"/>
        <v>Lig</v>
      </c>
      <c r="DR217" t="str">
        <f>IF(AM217="Spiral",((Y217-(SD!$E$12*2))/12),"")</f>
        <v/>
      </c>
      <c r="DS217" t="str">
        <f t="shared" si="105"/>
        <v/>
      </c>
      <c r="DT217" t="str">
        <f t="shared" si="106"/>
        <v/>
      </c>
      <c r="DU217" t="str">
        <f t="shared" si="107"/>
        <v/>
      </c>
    </row>
    <row r="218" spans="1:125" x14ac:dyDescent="0.25">
      <c r="A218">
        <v>67</v>
      </c>
      <c r="B218" t="s">
        <v>674</v>
      </c>
      <c r="C218" s="15">
        <v>2429</v>
      </c>
      <c r="D218" s="15">
        <v>10000</v>
      </c>
      <c r="E218" t="str">
        <f>IF(B218=Level!$A$2,SD!$C$14,SD!$C$13)</f>
        <v>0-8</v>
      </c>
      <c r="F218" s="15" t="s">
        <v>787</v>
      </c>
      <c r="G218" t="s">
        <v>742</v>
      </c>
      <c r="H218" t="str">
        <f>RIGHT(VLOOKUP(B218,Level!A:C,3,FALSE),LEN(VLOOKUP(B218,Level!A:C,3,FALSE))-1)</f>
        <v>10-7</v>
      </c>
      <c r="I218" t="s">
        <v>743</v>
      </c>
      <c r="J218" t="str">
        <f>IF(AND(SD!$C$19=SD!$H$2,Grade!$G$1="Per level"),VLOOKUP(B218,Grade!$E$1:$F$200,2,FALSE),IF(AND(SD!$C$19=SD!$H$2,Grade!$G$1="Per Bar Size"),VLOOKUP(W218,Grade!$B$1:$C$12,2,0),SD!$C$19))</f>
        <v>A615 Grade 60</v>
      </c>
      <c r="K218" t="s">
        <v>67</v>
      </c>
      <c r="L218" t="str">
        <f>IFERROR(IF(A218&lt;&gt;A219,"",IF(DF218="No Lap","",IF(K219="Lap",U218,IF(K219="Coupler",_xlfn._xlws.FILTER(CCoupler,(CCName=SD!$C$8)*(CBSize=IF(A217=A218,W218&amp;W219,W218&amp;W218))*(CCMFM="Male")),"")))),"N/A")</f>
        <v>5-1</v>
      </c>
      <c r="M218" t="str">
        <f t="shared" si="81"/>
        <v/>
      </c>
      <c r="N218" t="s">
        <v>719</v>
      </c>
      <c r="O218" t="s">
        <v>720</v>
      </c>
      <c r="P218" t="s">
        <v>719</v>
      </c>
      <c r="Q218" t="str">
        <f>IF(AND(SD!$C$29=SD!$P$2,Grade!$O$1="Per level"),VLOOKUP(B218,Grade!$M$1:$N$200,2,FALSE),IF(AND(SD!$C$29=SD!$P$2,Grade!$O$1="Per Bar Size"),VLOOKUP(LEFT(N218,FIND("@",N218)-2),Grade!$J$1:$K$12,2,0),SD!$C$29))</f>
        <v>A615 Grade 60</v>
      </c>
      <c r="R218" t="s">
        <v>742</v>
      </c>
      <c r="S218" s="57">
        <v>218</v>
      </c>
      <c r="U218" t="str">
        <f>IF(Data!$J218="",IFERROR(INDEX(IF(SD!$C$11="Create",Lap!$A$3:$BF$14,IF(SD!$C$11="Per Uploaded File",Lap!$A$19:$BF$30,"")),MATCH(W218,Lap!$A$3:$A$14,0),MATCH(VALUE(D218),Lap!$A$3:$BF$3,0)+IF(IFERROR(FIND("Grade 60",J218),0)&gt;0,0,IF(IFERROR(FIND("Grade 80",J218),0),1,IF(IFERROR(FIND("Grade 75",J218),0),2,"")))),""),Data!J218)</f>
        <v>5-1</v>
      </c>
      <c r="W218" t="s">
        <v>176</v>
      </c>
      <c r="X218">
        <v>6</v>
      </c>
      <c r="Y218" t="str">
        <f t="shared" si="82"/>
        <v>30</v>
      </c>
      <c r="Z218">
        <f t="shared" si="83"/>
        <v>0</v>
      </c>
      <c r="AA218" s="24">
        <f t="shared" si="84"/>
        <v>15.666666666666666</v>
      </c>
      <c r="BB218" t="e" cm="1">
        <f t="array" ref="BB218">_xlfn.LET(_xlpm.PartF,(_xlfn.LET(_xlpm.grade, Q218,_xlpm.gradeRange, IF(_xlpm.grade=SD!$H$3, A615GR60, IF(_xlpm.grade=SD!$H$4, A615GR75, IF(_xlpm.grade=SD!$H$5, A615GR80, IF(_xlpm.grade=SD!$H$6, A615GR100, IF(_xlpm.grade=SD!$H$7, A706GR60, IF(_xlpm.grade=SD!$H$8, A706GR80)))))),_xlpm.matchValue, MATCH(1, (SD!$AW:$AW=AS218)*(SD!$AX:$AX=SD!$C$8), 0),INDEX(_xlpm.gradeRange, _xlpm.matchValue))),IF(AM218="Spiral",CONCATENATE("SP",_xlpm.PartF),_xlpm.PartF))</f>
        <v>#N/A</v>
      </c>
      <c r="BC218" cm="1">
        <f t="array" ref="BC218">_xlfn.LET(_xlpm.leftPart, LEFT(O218, FIND("@", O218) - 2),_xlpm.grade,Q218,_xlpm.gradeRange,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8" cm="1">
        <f t="array" ref="BD218">_xlfn.LET(_xlpm.leftPart, LEFT(P218, FIND("@", P218) - 2),_xlpm.grade, Q218,_xlpm.gradeRange,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8">
        <f t="shared" si="85"/>
        <v>2.5</v>
      </c>
      <c r="BF218">
        <f>IF(SD!$C$32=SD!$I$2,BE218,IF(SD!$C$32=SD!$I$3,DO218,IF(SD!$C$32=SD!$I$5,BA218,IF(SD!$C$32=SD!$I$6,(LEFT(SD!$C$35,FIND("-",SD!$C$35)-1)+RIGHT(SD!$C$35,LEN(SD!$C$35)-FIND("-",SD!$C$35))/12),IF(SD!$C$32=SD!$I$4,(AU218-(BG218+BH218)))))))</f>
        <v>0</v>
      </c>
      <c r="BG218">
        <f>IF(SD!$C$33=SD!$I$2,BE218,IF(SD!$C$33=SD!$I$3,DO218,IF(SD!$C$33=SD!$I$5,BA218,IF(SD!$C$33=SD!$I$6,(LEFT(SD!$C$35,FIND("-",SD!$C$35)-1)+RIGHT(SD!$C$35,LEN(SD!$C$35)-FIND("-",SD!$C$35))/12),IF(SD!$C$33=SD!$I$4,(AU218-(BF218+BH218)))))))</f>
        <v>-1</v>
      </c>
      <c r="BH218">
        <f>IF(SD!$C$34=SD!$I$2,BE218,IF(SD!$C$34=SD!$I$3,DO218,IF(SD!$C$34=SD!$I$5,BA218,IF(SD!$C$34=SD!$I$6,(LEFT(SD!$C$35,FIND("-",SD!$C$35)-1)+RIGHT(SD!$C$35,LEN(SD!$C$35)-FIND("-",SD!$C$35))/12),IF(SD!$C$34=SD!$I$4,(AU218-(BF218+BG218)))))))</f>
        <v>1</v>
      </c>
      <c r="BJ218">
        <f>IF(AM218="Spiral","1",MAX(ROUNDUP(IF(SD!$C$32="",AT218,BF218/(LEFT(RIGHT(N218,LEN(N218)-FIND("@",N218)),LEN(RIGHT(N218,LEN(N218)-FIND("@",N218)))-1)/12)+1),0),0))</f>
        <v>1</v>
      </c>
      <c r="BK218">
        <f>MAX(ROUNDUP(IF(SD!$C$33="","",BG218/(LEFT(RIGHT(O218,LEN(O218)-FIND("@",O218)),LEN(RIGHT(O218,LEN(O218)-FIND("@",O218)))-1)/12)+1),0),0)</f>
        <v>0</v>
      </c>
      <c r="BL218">
        <f>MAX(ROUNDUP(IF(SD!$C$34="","",BH218/(LEFT(RIGHT(P218,LEN(P218)-FIND("@",P218)),LEN(RIGHT(P218,LEN(P218)-FIND("@",P218)))-1)/12)+1),0),0)</f>
        <v>3</v>
      </c>
      <c r="BN218" t="e">
        <f t="shared" si="86"/>
        <v>#N/A</v>
      </c>
      <c r="BO218" t="e">
        <f t="shared" si="87"/>
        <v>#N/A</v>
      </c>
      <c r="BP218" t="e">
        <f t="shared" si="88"/>
        <v>#N/A</v>
      </c>
      <c r="BQ218" s="24" t="e">
        <f>IF(AM218=TRUE,(((Y218-(SD!$E$12*2))*3.14159265359)+BN218+BO218+BP218)/12+AL218,SUM(AF218:AG218,BN218,BO218,BP218,AO218,AQ218)/12)</f>
        <v>#N/A</v>
      </c>
      <c r="BR218" t="e">
        <f t="shared" si="89"/>
        <v>#N/A</v>
      </c>
      <c r="BS218" t="e">
        <f t="shared" si="90"/>
        <v>#N/A</v>
      </c>
      <c r="BT218" t="e">
        <f t="shared" si="91"/>
        <v>#N/A</v>
      </c>
      <c r="BU218" s="24" t="e">
        <f>IF(AM218=TRUE,(((Y218-(SD!$E$12*2))*3.14159265359)+BR218+BS218+BT218)/12+AL218,SUM(AF218:AG218,BR218,BS218,BT218,AO218,AQ218)/12)</f>
        <v>#N/A</v>
      </c>
      <c r="BW218" t="str">
        <f>IFERROR(LEFT(Data!L218,FIND(" -",Data!L218)-1),"")</f>
        <v/>
      </c>
      <c r="BX218" t="str">
        <f>IFERROR(IF(SD!$C$40=SD!$U$2,W218,IF(SD!$C$40=SD!$U$3,RIGHT(Data!L218,LEN(Data!L218)-(FIND("-",Data!L218)+1)),SD!$C$40)),"")</f>
        <v>#10</v>
      </c>
      <c r="BY218" t="str" cm="1">
        <f t="array" ref="BY218">IFERROR(_xlfn.LET(_xlpm.GRR,IF(AND(SD!$C$19=SD!$H$2,Grade!$G$1="Per level"),VLOOKUP(B218,Grade!$E$1:$F$200,2,FALSE),IF(AND(SD!$C$19=SD!$H$2,Grade!$G$1="Per Bar Size"),VLOOKUP(BX218,Grade!$B$1:$C$12,2,0),SD!$C$19)),_xlpm.is_equal, A217=A218,_xlpm.grade_range, IF(_xlpm.GRR=SD!$H$3, A615GR60,IF(_xlpm.GRR=SD!$H$4, A615GR75,IF(_xlpm.GRR=SD!$H$5, A615GR80,IF(_xlpm.GRR=SD!H222, A615GR100,IF(_xlpm.GRR=SD!$H$7, A706GR60,IF(_xlpm.GRR=SD!$H$8, A706GR80)))))),_xlpm.match_result, MATCH(1, (BSize=BX218)*(BCName=SD!$C$8), 0),_xlpm.final_result, INDEX(_xlpm.grade_range, _xlpm.match_result),IF(_xlpm.is_equal, "", _xlpm.final_result)),"")</f>
        <v/>
      </c>
      <c r="BZ218" t="str">
        <f>IF(A217=A218,"",IF(SD!$C$41="Match Vertical Bars ",X218,IF(SD!$C$41=SD!$V$3,BW218,SD!$C$41)))</f>
        <v/>
      </c>
      <c r="CA218" t="str" cm="1">
        <f t="array" ref="CA218">IF(A217=A218,"",IF(SD!$C$44="No T-Head",IF(SD!$C$42=SD!$Q$3,VLOOKUP(BX218,S90Range,3,FALSE),LEFT(SD!$C$42,FIND("-",SD!$C$42)-1)+(RIGHT(SD!$C$42,LEN(SD!$C$42)-FIND("-",SD!$C$42))/12)),IF(SD!$C$44="T-Head",_xlfn._xlws.FILTER(THead,(TCName=SD!$C$8)*(TSize=BX218)),IF(SD!$C$44="Level Wise",_xlfn.LET(_xlpm.result,_xlfn.XLOOKUP(B218,VDLevel,VDLevelStatus,"No"),IF(_xlpm.result="Yes",_xlfn._xlws.FILTER(THead,(TCName=SD!$C$8)*(TSize=BX218)),IF(SD!$C$42=SD!$Q$3,VLOOKUP(BX218,S90Range,3,FALSE),LEFT(SD!$C$42,FIND("-",SD!$C$42)-1)+(RIGHT(SD!$C$42,LEN(SD!$C$42)-FIND("-", SD!$C$42))/12)))),IF(SD!$C$44="BarSize Wise",_xlfn.LET(_xlpm.result,_xlfn.XLOOKUP(BX218,VDBarSize,VDBarSizeStatus,"No"),IF(_xlpm.result="Yes",_xlfn._xlws.FILTER(THead,(TCName=SD!$C$8)*(TSize=BX218)),IF(SD!$C$42=SD!$Q$3,VLOOKUP(BX218,S90Range,3,FALSE),LEFT(SD!$C$42,FIND("-",SD!$C$42)-1)+(RIGHT(SD!$C$42,LEN(SD!$C$42)-FIND("-",SD!$C$42))/12)))), "")))))</f>
        <v/>
      </c>
      <c r="CB218" t="str" cm="1">
        <f t="array" ref="CB218">_xlfn.LET(_xlpm.GRR,IF(AND(SD!$C$19=SD!$H$2,Grade!$G$1="Per level"),VLOOKUP(B218,Grade!$E$1:$F$200,2,FALSE),IF(AND(SD!$C$19=SD!$H$2,Grade!$G$1="Per Bar Size"),VLOOKUP(BX218,Grade!$B$1:$C$12,2,0),SD!$C$19)),_xlpm.is_coupler, K218="Coupler",_xlpm.condition1, SD!$C$43=SD!$W$2,_xlpm.data_j2_empty, Data!$J218="",_xlpm.lookup_table, IF(SD!$C$11="Create", Lap!$A$3:$BF$14, IF(SD!$C$11="Per Uploaded File", Lap!$A$19:$BF$30, "")),_xlpm.row_match, MATCH(BX218, Lap!$A$3:$A$14, 0),_xlpm.grade_offset, IF(IFERROR(FIND("Grade 60",_xlpm.GRR), 0) &gt; 0, 0, IF(IFERROR(FIND("Grade 80",_xlpm.GRR), 0), 1, IF(IFERROR(FIND("Grade 75",_xlpm.GRR), 0), 2, ""))),_xlpm.col_match, MATCH(VALUE(D218), Lap!$A$3:$BF$3, 0) + _xlpm.grade_offset,_xlpm.index_result, IFERROR(INDEX(_xlpm.lookup_table, _xlpm.row_match, _xlpm.col_match), Data!$J218),_xlpm.result_if_condition1, IF(_xlpm.data_j2_empty, _xlpm.index_result, Data!$J218),IF(_xlpm.is_coupler, 0, IF(_xlpm.condition1, _xlpm.result_if_condition1, SD!$C$43)))</f>
        <v>5-1</v>
      </c>
      <c r="CC218" s="24">
        <f t="shared" si="92"/>
        <v>5.083333333333333</v>
      </c>
      <c r="CD218">
        <f t="shared" si="93"/>
        <v>5.75</v>
      </c>
      <c r="CE218" t="str" cm="1">
        <f t="array" ref="CE218">IF(BY218="","",_xlfn._xlws.FILTER(SAC,(CName=SD!$C$8)*(EName="Vert Dowels")))</f>
        <v/>
      </c>
      <c r="CF218" t="str" cm="1">
        <f t="array" ref="CF218">IFERROR(IF(BY218="","",IF(K218="Coupler",_xlfn._xlws.FILTER(CCoupler,(CCName=SD!$C$8)*(CBSize=IF(A217=A218,W217&amp;W218,BX218&amp;W218))*(CCMFM="Male")),"")),"N/A")</f>
        <v/>
      </c>
      <c r="CG218" t="str">
        <f t="shared" si="94"/>
        <v/>
      </c>
      <c r="CH218" t="str">
        <f t="shared" si="95"/>
        <v/>
      </c>
      <c r="CI218" t="str">
        <f>_xlfn.LET(_xlpm.u3_value, U219,_xlpm.hyphen_pos,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K219="Coupler",_xlpm.coupler_value, IF(_xlpm.is_coupler, 0, _xlpm.calculated_value),_xlpm.final_value, _xlpm.calculated_value + SD!$E$13 + _xlpm.coupler_value,IF(CG218="", "", _xlpm.final_value))</f>
        <v/>
      </c>
      <c r="CJ218" t="str" cm="1">
        <f t="array" ref="CJ218">IF(CG218="","",_xlfn._xlws.FILTER(SAC,(CName=SD!$C$8)*(EName="Loose Dowels")))</f>
        <v/>
      </c>
      <c r="CK218" t="str" cm="1">
        <f t="array" ref="CK218">IFERROR(IF(CG218="","",IF(K219="Coupler",_xlfn._xlws.FILTER(CCoupler,(CCName=SD!$C$8)*(CBSize=IF(A218=A219,W218&amp;W219,""))*(CCMFM="Male")),"")),"N/A")</f>
        <v/>
      </c>
      <c r="CL218" t="str">
        <f>IFERROR(IF(AM218="Spiral","",IF(A217=A218,"",IF(SD!$C$37=0,"",SD!$C$37))),"")</f>
        <v/>
      </c>
      <c r="CN218">
        <f>IF(AM218="Spiral","",IFERROR(IF(SD!$C$36=0,"",SD!$C$36),""))</f>
        <v>5</v>
      </c>
      <c r="CP218" t="str">
        <f>IFERROR(IF(SD!$C$42=SD!$Q$3,'Take-off'!CA218,""),"")</f>
        <v/>
      </c>
      <c r="CR218">
        <f>IFERROR(IF(SD!$C$22=SD!$U$2,W218,SD!$C$22),"")</f>
        <v>0</v>
      </c>
      <c r="CS218" t="str" cm="1">
        <f t="array" ref="CS218">_xlfn.LET(_xlpm.GR,IF(AND(SD!$C$19=SD!$H$2,Grade!$G$1="Per level"),VLOOKUP(B218,Grade!$E$1:$F$200,2,FALSE),IF(AND(SD!$C$19=SD!$H$2,Grade!$G$1="Per Bar Size"),VLOOKUP(CR218,Grade!$B$1:$C$12,2,0),SD!$C$19)),IF(SD!$C$20=SD!$R$4,IF(A219=A218,"",INDEX(IF(_xlpm.GR=SD!$H$3,A615GR60,IF(_xlpm.GR=SD!$H$4,A615GR75,IF(_xlpm.GR=SD!$H$5,A615GR80,IF(_xlpm.GR=SD!H222,A615GR100,IF(_xlpm.GR=SD!$H$7,A706GR60,IF(_xlpm.GR=SD!$H$8,A706GR80)))))), MATCH(1, (BSize=CR218)*(BCName=SD!$C$8), 0))),""))</f>
        <v/>
      </c>
      <c r="CT218" t="str">
        <f>IF(A219=A218,"",IF(SD!$C$23="Match Vertical Bars ",X218,SD!$C$23))</f>
        <v/>
      </c>
      <c r="CU218" t="str" cm="1">
        <f t="array" ref="CU218">IF(A219=A218,"",IF(SD!$C$20="Top dowels",IF(SD!$E$25="No T-Head",IF(SD!$C$24=SD!$Q$3,VLOOKUP(CR218,S90Range,3,FALSE),LEFT(SD!$C$24,FIND("-",SD!$C$24)-1)+(RIGHT(SD!$C$24,LEN(SD!$C$24)-FIND("-",SD!$C$24))/12)),IF(SD!$E$25="T-Head",_xlfn._xlws.FILTER(THead,(TCName=SD!$C$8)*(TSize=CR218)),IF(SD!$E$25="Level Wise",_xlfn.LET(_xlpm.result,_xlfn.XLOOKUP(B218,TDLevel,TDLevelStatus,"No"),IF(_xlpm.result="Yes",_xlfn._xlws.FILTER(THead,(TCName=SD!$C$8)*(TSize=CR218)),IF(SD!$C$24=SD!$Q$3,VLOOKUP(CR218,S90Range,3,FALSE),LEFT(SD!$C$24,FIND("-",SD!$C$24)-1)+(RIGHT(SD!$C$24,LEN(SD!$C$24)-FIND("-", SD!$C$24))/12)))),IF(SD!$E$25="BarSize Wise",_xlfn.LET(_xlpm.result,_xlfn.XLOOKUP(CR218,TDBarSize,TDBarSizeStatus,"No"),IF(_xlpm.result="Yes",_xlfn._xlws.FILTER(THead,(TCName=SD!$C$8)*(TSize=CR218)),IF(SD!$C$24=SD!$Q$3,VLOOKUP(CR218,S90Range,3,FALSE),LEFT(SD!$C$24,FIND("-",SD!$C$24)-1)+(RIGHT(SD!$C$24,LEN(SD!$C$24)-FIND("-",SD!$C$24))/12)))), "")))),""))</f>
        <v/>
      </c>
      <c r="CV218" t="str">
        <f>_xlfn.LET(_xlpm.GRR,IF(AND(SD!$C$19=SD!$H$2,Grade!$G$1="Per level"),VLOOKUP(B218,Grade!$E$1:$F$200,2,FALSE),IF(AND(SD!$C$19=SD!$H$2,Grade!$G$1="Per Bar Size"),VLOOKUP(CR218,Grade!$B$1:$C$12,2,0),SD!$C$19)),IF(SD!$C$25=SD!$W$2,IF(Data!$J218="",IFERROR(INDEX(IF(SD!$C$11="Create",Lap!$A$3:$BF$14,IF(SD!$C$11="Per Uploaded File",Lap!$A$19:$BF$30,"")),MATCH(CR218,Lap!$A$3:$A$14,0),MATCH(VALUE(D218),Lap!$A$3:$BF$3,0)+IF(IFERROR(FIND("Grade 60",_xlpm.GRR),0)&gt;0,0,IF(IFERROR(FIND("Grade 80",_xlpm.GRR),0),1,IF(IFERROR(FIND("Grade 75",_xlpm.GRR),0),2,"")))),""),Data!J218),SD!$C$43))</f>
        <v>Match Lap</v>
      </c>
      <c r="CW218">
        <f t="shared" si="96"/>
        <v>0</v>
      </c>
      <c r="CX218">
        <f t="shared" si="97"/>
        <v>0</v>
      </c>
      <c r="CY218" t="str">
        <f t="shared" si="98"/>
        <v/>
      </c>
      <c r="DA218" t="str">
        <f t="shared" si="99"/>
        <v/>
      </c>
      <c r="DB218" t="str">
        <f t="shared" si="100"/>
        <v/>
      </c>
      <c r="DC218" s="24" t="str">
        <f t="shared" si="101"/>
        <v/>
      </c>
      <c r="DD218">
        <f t="shared" si="102"/>
        <v>10.583333333333334</v>
      </c>
      <c r="DE218" t="s">
        <v>785</v>
      </c>
      <c r="DF218" t="s">
        <v>67</v>
      </c>
      <c r="DG218" t="str">
        <f>VLOOKUP(W218,'Level Wise PSI'!$F$2:$G$12,2,FALSE)</f>
        <v>Double Lift</v>
      </c>
      <c r="DI218" t="str" cm="1">
        <f t="array" ref="DI218">_xlfn.LET(_xlpm.Coup,IFERROR(IF(BY218="","",IF(K218="Coupler",_xlfn._xlws.FILTER(CCFCoupler,(CCName=SD!$C$8)*(CBSize=IF(A217=A218,W217&amp;W218,BX218&amp;W218))),"")),"N/A"),IF(_xlpm.Coup=0,"",_xlpm.Coup))</f>
        <v/>
      </c>
      <c r="DJ218" t="str" cm="1">
        <f t="array" ref="DJ218">_xlfn.LET(_xlpm.Coup3,IFERROR(IF(CG218="","",IF(K219="Coupler",_xlfn._xlws.FILTER(CCFCoupler,(CCName=SD!$C$8)*(CBSize=IF(A218=A219,W218&amp;W219,""))),"")),"N/A"),IF(_xlpm.Coup3=0,"",_xlpm.Coup3))</f>
        <v/>
      </c>
      <c r="DK218" t="str" cm="1">
        <f t="array" ref="DK218">_xlfn.LET(_xlpm.Coup2,IFERROR(IF(A218&lt;&gt;A219,"",IF(DF218="No Lap","",IF(K219="Coupler",_xlfn._xlws.FILTER(CCFCoupler,(CCName=SD!$C$8)*(CBSize=IF(A217=A218,W218&amp;W219,W218&amp;W218))),""))),"N/A"),IF(_xlpm.Coup2=0,"",_xlpm.Coup2))</f>
        <v/>
      </c>
      <c r="DM218" t="str">
        <f>IF(AM218="Spiral","",IF(SD!$C$31=SD!$Y$3,SD!$E$32*2,""))</f>
        <v/>
      </c>
      <c r="DO218" s="24">
        <f t="shared" si="103"/>
        <v>2.5</v>
      </c>
      <c r="DQ218" t="str">
        <f t="shared" si="104"/>
        <v>Lig</v>
      </c>
      <c r="DR218" t="str">
        <f>IF(AM218="Spiral",((Y218-(SD!$E$12*2))/12),"")</f>
        <v/>
      </c>
      <c r="DS218" t="str">
        <f t="shared" si="105"/>
        <v/>
      </c>
      <c r="DT218" t="str">
        <f t="shared" si="106"/>
        <v/>
      </c>
      <c r="DU218" t="str">
        <f t="shared" si="107"/>
        <v/>
      </c>
    </row>
    <row r="219" spans="1:125" x14ac:dyDescent="0.25">
      <c r="A219">
        <v>67</v>
      </c>
      <c r="B219" t="s">
        <v>676</v>
      </c>
      <c r="C219" s="15">
        <v>2429</v>
      </c>
      <c r="D219" s="15">
        <v>10000</v>
      </c>
      <c r="E219" t="str">
        <f>IF(B219=Level!$A$2,SD!$C$14,SD!$C$13)</f>
        <v>0-8</v>
      </c>
      <c r="F219" s="15" t="s">
        <v>787</v>
      </c>
      <c r="G219" t="s">
        <v>742</v>
      </c>
      <c r="H219" t="str">
        <f>RIGHT(VLOOKUP(B219,Level!A:C,3,FALSE),LEN(VLOOKUP(B219,Level!A:C,3,FALSE))-1)</f>
        <v>10-7</v>
      </c>
      <c r="I219" t="s">
        <v>743</v>
      </c>
      <c r="J219" t="str">
        <f>IF(AND(SD!$C$19=SD!$H$2,Grade!$G$1="Per level"),VLOOKUP(B219,Grade!$E$1:$F$200,2,FALSE),IF(AND(SD!$C$19=SD!$H$2,Grade!$G$1="Per Bar Size"),VLOOKUP(W219,Grade!$B$1:$C$12,2,0),SD!$C$19))</f>
        <v>A615 Grade 60</v>
      </c>
      <c r="K219" t="s">
        <v>67</v>
      </c>
      <c r="L219" t="str">
        <f>IFERROR(IF(A219&lt;&gt;A220,"",IF(DF219="No Lap","",IF(K220="Lap",U219,IF(K220="Coupler",_xlfn._xlws.FILTER(CCoupler,(CCName=SD!$C$8)*(CBSize=IF(A218=A219,W219&amp;W220,W219&amp;W219))*(CCMFM="Male")),"")))),"N/A")</f>
        <v>5-1</v>
      </c>
      <c r="M219" t="str">
        <f t="shared" si="81"/>
        <v/>
      </c>
      <c r="N219" t="s">
        <v>719</v>
      </c>
      <c r="O219" t="s">
        <v>720</v>
      </c>
      <c r="P219" t="s">
        <v>719</v>
      </c>
      <c r="Q219" t="str">
        <f>IF(AND(SD!$C$29=SD!$P$2,Grade!$O$1="Per level"),VLOOKUP(B219,Grade!$M$1:$N$200,2,FALSE),IF(AND(SD!$C$29=SD!$P$2,Grade!$O$1="Per Bar Size"),VLOOKUP(LEFT(N219,FIND("@",N219)-2),Grade!$J$1:$K$12,2,0),SD!$C$29))</f>
        <v>A615 Grade 60</v>
      </c>
      <c r="R219" t="s">
        <v>742</v>
      </c>
      <c r="S219" s="57">
        <v>219</v>
      </c>
      <c r="U219" t="str">
        <f>IF(Data!$J219="",IFERROR(INDEX(IF(SD!$C$11="Create",Lap!$A$3:$BF$14,IF(SD!$C$11="Per Uploaded File",Lap!$A$19:$BF$30,"")),MATCH(W219,Lap!$A$3:$A$14,0),MATCH(VALUE(D219),Lap!$A$3:$BF$3,0)+IF(IFERROR(FIND("Grade 60",J219),0)&gt;0,0,IF(IFERROR(FIND("Grade 80",J219),0),1,IF(IFERROR(FIND("Grade 75",J219),0),2,"")))),""),Data!J219)</f>
        <v>5-1</v>
      </c>
      <c r="W219" t="s">
        <v>176</v>
      </c>
      <c r="X219">
        <v>6</v>
      </c>
      <c r="Y219" t="str">
        <f t="shared" si="82"/>
        <v>30</v>
      </c>
      <c r="Z219">
        <f t="shared" si="83"/>
        <v>0</v>
      </c>
      <c r="AA219" s="24">
        <f t="shared" si="84"/>
        <v>15.666666666666666</v>
      </c>
      <c r="BB219" t="e" cm="1">
        <f t="array" ref="BB219">_xlfn.LET(_xlpm.PartF,(_xlfn.LET(_xlpm.grade, Q219,_xlpm.gradeRange, IF(_xlpm.grade=SD!$H$3, A615GR60, IF(_xlpm.grade=SD!$H$4, A615GR75, IF(_xlpm.grade=SD!$H$5, A615GR80, IF(_xlpm.grade=SD!$H$6, A615GR100, IF(_xlpm.grade=SD!$H$7, A706GR60, IF(_xlpm.grade=SD!$H$8, A706GR80)))))),_xlpm.matchValue, MATCH(1, (SD!$AW:$AW=AS219)*(SD!$AX:$AX=SD!$C$8), 0),INDEX(_xlpm.gradeRange, _xlpm.matchValue))),IF(AM219="Spiral",CONCATENATE("SP",_xlpm.PartF),_xlpm.PartF))</f>
        <v>#N/A</v>
      </c>
      <c r="BC219" cm="1">
        <f t="array" ref="BC219">_xlfn.LET(_xlpm.leftPart, LEFT(O219, FIND("@", O219) - 2),_xlpm.grade,Q219,_xlpm.gradeRange,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19" cm="1">
        <f t="array" ref="BD219">_xlfn.LET(_xlpm.leftPart, LEFT(P219, FIND("@", P219) - 2),_xlpm.grade, Q219,_xlpm.gradeRange,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19">
        <f t="shared" si="85"/>
        <v>2.5</v>
      </c>
      <c r="BF219">
        <f>IF(SD!$C$32=SD!$I$2,BE219,IF(SD!$C$32=SD!$I$3,DO219,IF(SD!$C$32=SD!$I$5,BA219,IF(SD!$C$32=SD!$I$6,(LEFT(SD!$C$35,FIND("-",SD!$C$35)-1)+RIGHT(SD!$C$35,LEN(SD!$C$35)-FIND("-",SD!$C$35))/12),IF(SD!$C$32=SD!$I$4,(AU219-(BG219+BH219)))))))</f>
        <v>0</v>
      </c>
      <c r="BG219">
        <f>IF(SD!$C$33=SD!$I$2,BE219,IF(SD!$C$33=SD!$I$3,DO219,IF(SD!$C$33=SD!$I$5,BA219,IF(SD!$C$33=SD!$I$6,(LEFT(SD!$C$35,FIND("-",SD!$C$35)-1)+RIGHT(SD!$C$35,LEN(SD!$C$35)-FIND("-",SD!$C$35))/12),IF(SD!$C$33=SD!$I$4,(AU219-(BF219+BH219)))))))</f>
        <v>-1</v>
      </c>
      <c r="BH219">
        <f>IF(SD!$C$34=SD!$I$2,BE219,IF(SD!$C$34=SD!$I$3,DO219,IF(SD!$C$34=SD!$I$5,BA219,IF(SD!$C$34=SD!$I$6,(LEFT(SD!$C$35,FIND("-",SD!$C$35)-1)+RIGHT(SD!$C$35,LEN(SD!$C$35)-FIND("-",SD!$C$35))/12),IF(SD!$C$34=SD!$I$4,(AU219-(BF219+BG219)))))))</f>
        <v>1</v>
      </c>
      <c r="BJ219">
        <f>IF(AM219="Spiral","1",MAX(ROUNDUP(IF(SD!$C$32="",AT219,BF219/(LEFT(RIGHT(N219,LEN(N219)-FIND("@",N219)),LEN(RIGHT(N219,LEN(N219)-FIND("@",N219)))-1)/12)+1),0),0))</f>
        <v>1</v>
      </c>
      <c r="BK219">
        <f>MAX(ROUNDUP(IF(SD!$C$33="","",BG219/(LEFT(RIGHT(O219,LEN(O219)-FIND("@",O219)),LEN(RIGHT(O219,LEN(O219)-FIND("@",O219)))-1)/12)+1),0),0)</f>
        <v>0</v>
      </c>
      <c r="BL219">
        <f>MAX(ROUNDUP(IF(SD!$C$34="","",BH219/(LEFT(RIGHT(P219,LEN(P219)-FIND("@",P219)),LEN(RIGHT(P219,LEN(P219)-FIND("@",P219)))-1)/12)+1),0),0)</f>
        <v>3</v>
      </c>
      <c r="BN219" t="e">
        <f t="shared" si="86"/>
        <v>#N/A</v>
      </c>
      <c r="BO219" t="e">
        <f t="shared" si="87"/>
        <v>#N/A</v>
      </c>
      <c r="BP219" t="e">
        <f t="shared" si="88"/>
        <v>#N/A</v>
      </c>
      <c r="BQ219" s="24" t="e">
        <f>IF(AM219=TRUE,(((Y219-(SD!$E$12*2))*3.14159265359)+BN219+BO219+BP219)/12+AL219,SUM(AF219:AG219,BN219,BO219,BP219,AO219,AQ219)/12)</f>
        <v>#N/A</v>
      </c>
      <c r="BR219" t="e">
        <f t="shared" si="89"/>
        <v>#N/A</v>
      </c>
      <c r="BS219" t="e">
        <f t="shared" si="90"/>
        <v>#N/A</v>
      </c>
      <c r="BT219" t="e">
        <f t="shared" si="91"/>
        <v>#N/A</v>
      </c>
      <c r="BU219" s="24" t="e">
        <f>IF(AM219=TRUE,(((Y219-(SD!$E$12*2))*3.14159265359)+BR219+BS219+BT219)/12+AL219,SUM(AF219:AG219,BR219,BS219,BT219,AO219,AQ219)/12)</f>
        <v>#N/A</v>
      </c>
      <c r="BW219" t="str">
        <f>IFERROR(LEFT(Data!L219,FIND(" -",Data!L219)-1),"")</f>
        <v/>
      </c>
      <c r="BX219" t="str">
        <f>IFERROR(IF(SD!$C$40=SD!$U$2,W219,IF(SD!$C$40=SD!$U$3,RIGHT(Data!L219,LEN(Data!L219)-(FIND("-",Data!L219)+1)),SD!$C$40)),"")</f>
        <v>#10</v>
      </c>
      <c r="BY219" t="str" cm="1">
        <f t="array" ref="BY219">IFERROR(_xlfn.LET(_xlpm.GRR,IF(AND(SD!$C$19=SD!$H$2,Grade!$G$1="Per level"),VLOOKUP(B219,Grade!$E$1:$F$200,2,FALSE),IF(AND(SD!$C$19=SD!$H$2,Grade!$G$1="Per Bar Size"),VLOOKUP(BX219,Grade!$B$1:$C$12,2,0),SD!$C$19)),_xlpm.is_equal, A218=A219,_xlpm.grade_range, IF(_xlpm.GRR=SD!$H$3, A615GR60,IF(_xlpm.GRR=SD!$H$4, A615GR75,IF(_xlpm.GRR=SD!$H$5, A615GR80,IF(_xlpm.GRR=SD!H223, A615GR100,IF(_xlpm.GRR=SD!$H$7, A706GR60,IF(_xlpm.GRR=SD!$H$8, A706GR80)))))),_xlpm.match_result, MATCH(1, (BSize=BX219)*(BCName=SD!$C$8), 0),_xlpm.final_result, INDEX(_xlpm.grade_range, _xlpm.match_result),IF(_xlpm.is_equal, "", _xlpm.final_result)),"")</f>
        <v/>
      </c>
      <c r="BZ219" t="str">
        <f>IF(A218=A219,"",IF(SD!$C$41="Match Vertical Bars ",X219,IF(SD!$C$41=SD!$V$3,BW219,SD!$C$41)))</f>
        <v/>
      </c>
      <c r="CA219" t="str" cm="1">
        <f t="array" ref="CA219">IF(A218=A219,"",IF(SD!$C$44="No T-Head",IF(SD!$C$42=SD!$Q$3,VLOOKUP(BX219,S90Range,3,FALSE),LEFT(SD!$C$42,FIND("-",SD!$C$42)-1)+(RIGHT(SD!$C$42,LEN(SD!$C$42)-FIND("-",SD!$C$42))/12)),IF(SD!$C$44="T-Head",_xlfn._xlws.FILTER(THead,(TCName=SD!$C$8)*(TSize=BX219)),IF(SD!$C$44="Level Wise",_xlfn.LET(_xlpm.result,_xlfn.XLOOKUP(B219,VDLevel,VDLevelStatus,"No"),IF(_xlpm.result="Yes",_xlfn._xlws.FILTER(THead,(TCName=SD!$C$8)*(TSize=BX219)),IF(SD!$C$42=SD!$Q$3,VLOOKUP(BX219,S90Range,3,FALSE),LEFT(SD!$C$42,FIND("-",SD!$C$42)-1)+(RIGHT(SD!$C$42,LEN(SD!$C$42)-FIND("-", SD!$C$42))/12)))),IF(SD!$C$44="BarSize Wise",_xlfn.LET(_xlpm.result,_xlfn.XLOOKUP(BX219,VDBarSize,VDBarSizeStatus,"No"),IF(_xlpm.result="Yes",_xlfn._xlws.FILTER(THead,(TCName=SD!$C$8)*(TSize=BX219)),IF(SD!$C$42=SD!$Q$3,VLOOKUP(BX219,S90Range,3,FALSE),LEFT(SD!$C$42,FIND("-",SD!$C$42)-1)+(RIGHT(SD!$C$42,LEN(SD!$C$42)-FIND("-",SD!$C$42))/12)))), "")))))</f>
        <v/>
      </c>
      <c r="CB219" t="str" cm="1">
        <f t="array" ref="CB219">_xlfn.LET(_xlpm.GRR,IF(AND(SD!$C$19=SD!$H$2,Grade!$G$1="Per level"),VLOOKUP(B219,Grade!$E$1:$F$200,2,FALSE),IF(AND(SD!$C$19=SD!$H$2,Grade!$G$1="Per Bar Size"),VLOOKUP(BX219,Grade!$B$1:$C$12,2,0),SD!$C$19)),_xlpm.is_coupler, K219="Coupler",_xlpm.condition1, SD!$C$43=SD!$W$2,_xlpm.data_j2_empty, Data!$J219="",_xlpm.lookup_table, IF(SD!$C$11="Create", Lap!$A$3:$BF$14, IF(SD!$C$11="Per Uploaded File", Lap!$A$19:$BF$30, "")),_xlpm.row_match, MATCH(BX219, Lap!$A$3:$A$14, 0),_xlpm.grade_offset, IF(IFERROR(FIND("Grade 60",_xlpm.GRR), 0) &gt; 0, 0, IF(IFERROR(FIND("Grade 80",_xlpm.GRR), 0), 1, IF(IFERROR(FIND("Grade 75",_xlpm.GRR), 0), 2, ""))),_xlpm.col_match, MATCH(VALUE(D219), Lap!$A$3:$BF$3, 0) + _xlpm.grade_offset,_xlpm.index_result, IFERROR(INDEX(_xlpm.lookup_table, _xlpm.row_match, _xlpm.col_match), Data!$J219),_xlpm.result_if_condition1, IF(_xlpm.data_j2_empty, _xlpm.index_result, Data!$J219),IF(_xlpm.is_coupler, 0, IF(_xlpm.condition1, _xlpm.result_if_condition1, SD!$C$43)))</f>
        <v>5-1</v>
      </c>
      <c r="CC219" s="24">
        <f t="shared" si="92"/>
        <v>5.083333333333333</v>
      </c>
      <c r="CD219">
        <f t="shared" si="93"/>
        <v>5.75</v>
      </c>
      <c r="CE219" t="str" cm="1">
        <f t="array" ref="CE219">IF(BY219="","",_xlfn._xlws.FILTER(SAC,(CName=SD!$C$8)*(EName="Vert Dowels")))</f>
        <v/>
      </c>
      <c r="CF219" t="str" cm="1">
        <f t="array" ref="CF219">IFERROR(IF(BY219="","",IF(K219="Coupler",_xlfn._xlws.FILTER(CCoupler,(CCName=SD!$C$8)*(CBSize=IF(A218=A219,W218&amp;W219,BX219&amp;W219))*(CCMFM="Male")),"")),"N/A")</f>
        <v/>
      </c>
      <c r="CG219" t="str">
        <f t="shared" si="94"/>
        <v/>
      </c>
      <c r="CH219" t="str">
        <f t="shared" si="95"/>
        <v/>
      </c>
      <c r="CI219" t="str">
        <f>_xlfn.LET(_xlpm.u3_value, U220,_xlpm.hyphen_pos,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K220="Coupler",_xlpm.coupler_value, IF(_xlpm.is_coupler, 0, _xlpm.calculated_value),_xlpm.final_value, _xlpm.calculated_value + SD!$E$13 + _xlpm.coupler_value,IF(CG219="", "", _xlpm.final_value))</f>
        <v/>
      </c>
      <c r="CJ219" t="str" cm="1">
        <f t="array" ref="CJ219">IF(CG219="","",_xlfn._xlws.FILTER(SAC,(CName=SD!$C$8)*(EName="Loose Dowels")))</f>
        <v/>
      </c>
      <c r="CK219" t="str" cm="1">
        <f t="array" ref="CK219">IFERROR(IF(CG219="","",IF(K220="Coupler",_xlfn._xlws.FILTER(CCoupler,(CCName=SD!$C$8)*(CBSize=IF(A219=A220,W219&amp;W220,""))*(CCMFM="Male")),"")),"N/A")</f>
        <v/>
      </c>
      <c r="CL219" t="str">
        <f>IFERROR(IF(AM219="Spiral","",IF(A218=A219,"",IF(SD!$C$37=0,"",SD!$C$37))),"")</f>
        <v/>
      </c>
      <c r="CN219">
        <f>IF(AM219="Spiral","",IFERROR(IF(SD!$C$36=0,"",SD!$C$36),""))</f>
        <v>5</v>
      </c>
      <c r="CP219" t="str">
        <f>IFERROR(IF(SD!$C$42=SD!$Q$3,'Take-off'!CA219,""),"")</f>
        <v/>
      </c>
      <c r="CR219">
        <f>IFERROR(IF(SD!$C$22=SD!$U$2,W219,SD!$C$22),"")</f>
        <v>0</v>
      </c>
      <c r="CS219" t="str" cm="1">
        <f t="array" ref="CS219">_xlfn.LET(_xlpm.GR,IF(AND(SD!$C$19=SD!$H$2,Grade!$G$1="Per level"),VLOOKUP(B219,Grade!$E$1:$F$200,2,FALSE),IF(AND(SD!$C$19=SD!$H$2,Grade!$G$1="Per Bar Size"),VLOOKUP(CR219,Grade!$B$1:$C$12,2,0),SD!$C$19)),IF(SD!$C$20=SD!$R$4,IF(A220=A219,"",INDEX(IF(_xlpm.GR=SD!$H$3,A615GR60,IF(_xlpm.GR=SD!$H$4,A615GR75,IF(_xlpm.GR=SD!$H$5,A615GR80,IF(_xlpm.GR=SD!H223,A615GR100,IF(_xlpm.GR=SD!$H$7,A706GR60,IF(_xlpm.GR=SD!$H$8,A706GR80)))))), MATCH(1, (BSize=CR219)*(BCName=SD!$C$8), 0))),""))</f>
        <v/>
      </c>
      <c r="CT219" t="str">
        <f>IF(A220=A219,"",IF(SD!$C$23="Match Vertical Bars ",X219,SD!$C$23))</f>
        <v/>
      </c>
      <c r="CU219" t="str" cm="1">
        <f t="array" ref="CU219">IF(A220=A219,"",IF(SD!$C$20="Top dowels",IF(SD!$E$25="No T-Head",IF(SD!$C$24=SD!$Q$3,VLOOKUP(CR219,S90Range,3,FALSE),LEFT(SD!$C$24,FIND("-",SD!$C$24)-1)+(RIGHT(SD!$C$24,LEN(SD!$C$24)-FIND("-",SD!$C$24))/12)),IF(SD!$E$25="T-Head",_xlfn._xlws.FILTER(THead,(TCName=SD!$C$8)*(TSize=CR219)),IF(SD!$E$25="Level Wise",_xlfn.LET(_xlpm.result,_xlfn.XLOOKUP(B219,TDLevel,TDLevelStatus,"No"),IF(_xlpm.result="Yes",_xlfn._xlws.FILTER(THead,(TCName=SD!$C$8)*(TSize=CR219)),IF(SD!$C$24=SD!$Q$3,VLOOKUP(CR219,S90Range,3,FALSE),LEFT(SD!$C$24,FIND("-",SD!$C$24)-1)+(RIGHT(SD!$C$24,LEN(SD!$C$24)-FIND("-", SD!$C$24))/12)))),IF(SD!$E$25="BarSize Wise",_xlfn.LET(_xlpm.result,_xlfn.XLOOKUP(CR219,TDBarSize,TDBarSizeStatus,"No"),IF(_xlpm.result="Yes",_xlfn._xlws.FILTER(THead,(TCName=SD!$C$8)*(TSize=CR219)),IF(SD!$C$24=SD!$Q$3,VLOOKUP(CR219,S90Range,3,FALSE),LEFT(SD!$C$24,FIND("-",SD!$C$24)-1)+(RIGHT(SD!$C$24,LEN(SD!$C$24)-FIND("-",SD!$C$24))/12)))), "")))),""))</f>
        <v/>
      </c>
      <c r="CV219" t="str">
        <f>_xlfn.LET(_xlpm.GRR,IF(AND(SD!$C$19=SD!$H$2,Grade!$G$1="Per level"),VLOOKUP(B219,Grade!$E$1:$F$200,2,FALSE),IF(AND(SD!$C$19=SD!$H$2,Grade!$G$1="Per Bar Size"),VLOOKUP(CR219,Grade!$B$1:$C$12,2,0),SD!$C$19)),IF(SD!$C$25=SD!$W$2,IF(Data!$J219="",IFERROR(INDEX(IF(SD!$C$11="Create",Lap!$A$3:$BF$14,IF(SD!$C$11="Per Uploaded File",Lap!$A$19:$BF$30,"")),MATCH(CR219,Lap!$A$3:$A$14,0),MATCH(VALUE(D219),Lap!$A$3:$BF$3,0)+IF(IFERROR(FIND("Grade 60",_xlpm.GRR),0)&gt;0,0,IF(IFERROR(FIND("Grade 80",_xlpm.GRR),0),1,IF(IFERROR(FIND("Grade 75",_xlpm.GRR),0),2,"")))),""),Data!J219),SD!$C$43))</f>
        <v>Match Lap</v>
      </c>
      <c r="CW219">
        <f t="shared" si="96"/>
        <v>0</v>
      </c>
      <c r="CX219">
        <f t="shared" si="97"/>
        <v>0</v>
      </c>
      <c r="CY219" t="str">
        <f t="shared" si="98"/>
        <v/>
      </c>
      <c r="DA219" t="str">
        <f t="shared" si="99"/>
        <v/>
      </c>
      <c r="DB219" t="str">
        <f t="shared" si="100"/>
        <v/>
      </c>
      <c r="DC219" s="24" t="str">
        <f t="shared" si="101"/>
        <v/>
      </c>
      <c r="DD219">
        <f t="shared" si="102"/>
        <v>10.583333333333334</v>
      </c>
      <c r="DE219" t="s">
        <v>785</v>
      </c>
      <c r="DF219" t="s">
        <v>67</v>
      </c>
      <c r="DG219" t="str">
        <f>VLOOKUP(W219,'Level Wise PSI'!$F$2:$G$12,2,FALSE)</f>
        <v>Double Lift</v>
      </c>
      <c r="DI219" t="str" cm="1">
        <f t="array" ref="DI219">_xlfn.LET(_xlpm.Coup,IFERROR(IF(BY219="","",IF(K219="Coupler",_xlfn._xlws.FILTER(CCFCoupler,(CCName=SD!$C$8)*(CBSize=IF(A218=A219,W218&amp;W219,BX219&amp;W219))),"")),"N/A"),IF(_xlpm.Coup=0,"",_xlpm.Coup))</f>
        <v/>
      </c>
      <c r="DJ219" t="str" cm="1">
        <f t="array" ref="DJ219">_xlfn.LET(_xlpm.Coup3,IFERROR(IF(CG219="","",IF(K220="Coupler",_xlfn._xlws.FILTER(CCFCoupler,(CCName=SD!$C$8)*(CBSize=IF(A219=A220,W219&amp;W220,""))),"")),"N/A"),IF(_xlpm.Coup3=0,"",_xlpm.Coup3))</f>
        <v/>
      </c>
      <c r="DK219" t="str" cm="1">
        <f t="array" ref="DK219">_xlfn.LET(_xlpm.Coup2,IFERROR(IF(A219&lt;&gt;A220,"",IF(DF219="No Lap","",IF(K220="Coupler",_xlfn._xlws.FILTER(CCFCoupler,(CCName=SD!$C$8)*(CBSize=IF(A218=A219,W219&amp;W220,W219&amp;W219))),""))),"N/A"),IF(_xlpm.Coup2=0,"",_xlpm.Coup2))</f>
        <v/>
      </c>
      <c r="DM219" t="str">
        <f>IF(AM219="Spiral","",IF(SD!$C$31=SD!$Y$3,SD!$E$32*2,""))</f>
        <v/>
      </c>
      <c r="DO219" s="24">
        <f t="shared" si="103"/>
        <v>2.5</v>
      </c>
      <c r="DQ219" t="str">
        <f t="shared" si="104"/>
        <v>Lig</v>
      </c>
      <c r="DR219" t="str">
        <f>IF(AM219="Spiral",((Y219-(SD!$E$12*2))/12),"")</f>
        <v/>
      </c>
      <c r="DS219" t="str">
        <f t="shared" si="105"/>
        <v/>
      </c>
      <c r="DT219" t="str">
        <f t="shared" si="106"/>
        <v/>
      </c>
      <c r="DU219" t="str">
        <f t="shared" si="107"/>
        <v/>
      </c>
    </row>
    <row r="220" spans="1:125" x14ac:dyDescent="0.25">
      <c r="A220">
        <v>67</v>
      </c>
      <c r="B220" t="s">
        <v>678</v>
      </c>
      <c r="C220" s="15">
        <v>2429</v>
      </c>
      <c r="D220" s="15">
        <v>10000</v>
      </c>
      <c r="E220" t="str">
        <f>IF(B220=Level!$A$2,SD!$C$14,SD!$C$13)</f>
        <v>0-8</v>
      </c>
      <c r="F220" s="15" t="s">
        <v>787</v>
      </c>
      <c r="G220" t="s">
        <v>742</v>
      </c>
      <c r="H220" t="str">
        <f>RIGHT(VLOOKUP(B220,Level!A:C,3,FALSE),LEN(VLOOKUP(B220,Level!A:C,3,FALSE))-1)</f>
        <v>10-7</v>
      </c>
      <c r="I220" t="s">
        <v>743</v>
      </c>
      <c r="J220" t="str">
        <f>IF(AND(SD!$C$19=SD!$H$2,Grade!$G$1="Per level"),VLOOKUP(B220,Grade!$E$1:$F$200,2,FALSE),IF(AND(SD!$C$19=SD!$H$2,Grade!$G$1="Per Bar Size"),VLOOKUP(W220,Grade!$B$1:$C$12,2,0),SD!$C$19))</f>
        <v>A615 Grade 60</v>
      </c>
      <c r="K220" t="s">
        <v>67</v>
      </c>
      <c r="L220" t="str">
        <f>IFERROR(IF(A220&lt;&gt;A221,"",IF(DF220="No Lap","",IF(K221="Lap",U220,IF(K221="Coupler",_xlfn._xlws.FILTER(CCoupler,(CCName=SD!$C$8)*(CBSize=IF(A219=A220,W220&amp;W221,W220&amp;W220))*(CCMFM="Male")),"")))),"N/A")</f>
        <v>5-1</v>
      </c>
      <c r="M220" t="str">
        <f t="shared" si="81"/>
        <v/>
      </c>
      <c r="N220" t="s">
        <v>719</v>
      </c>
      <c r="O220" t="s">
        <v>720</v>
      </c>
      <c r="P220" t="s">
        <v>719</v>
      </c>
      <c r="Q220" t="str">
        <f>IF(AND(SD!$C$29=SD!$P$2,Grade!$O$1="Per level"),VLOOKUP(B220,Grade!$M$1:$N$200,2,FALSE),IF(AND(SD!$C$29=SD!$P$2,Grade!$O$1="Per Bar Size"),VLOOKUP(LEFT(N220,FIND("@",N220)-2),Grade!$J$1:$K$12,2,0),SD!$C$29))</f>
        <v>A615 Grade 60</v>
      </c>
      <c r="R220" t="s">
        <v>742</v>
      </c>
      <c r="S220" s="57">
        <v>220</v>
      </c>
      <c r="U220" t="str">
        <f>IF(Data!$J220="",IFERROR(INDEX(IF(SD!$C$11="Create",Lap!$A$3:$BF$14,IF(SD!$C$11="Per Uploaded File",Lap!$A$19:$BF$30,"")),MATCH(W220,Lap!$A$3:$A$14,0),MATCH(VALUE(D220),Lap!$A$3:$BF$3,0)+IF(IFERROR(FIND("Grade 60",J220),0)&gt;0,0,IF(IFERROR(FIND("Grade 80",J220),0),1,IF(IFERROR(FIND("Grade 75",J220),0),2,"")))),""),Data!J220)</f>
        <v>5-1</v>
      </c>
      <c r="W220" t="s">
        <v>176</v>
      </c>
      <c r="X220">
        <v>6</v>
      </c>
      <c r="Y220" t="str">
        <f t="shared" si="82"/>
        <v>30</v>
      </c>
      <c r="Z220">
        <f t="shared" si="83"/>
        <v>0</v>
      </c>
      <c r="AA220" s="24">
        <f t="shared" si="84"/>
        <v>15.666666666666666</v>
      </c>
      <c r="BB220" t="e" cm="1">
        <f t="array" ref="BB220">_xlfn.LET(_xlpm.PartF,(_xlfn.LET(_xlpm.grade, Q220,_xlpm.gradeRange, IF(_xlpm.grade=SD!$H$3, A615GR60, IF(_xlpm.grade=SD!$H$4, A615GR75, IF(_xlpm.grade=SD!$H$5, A615GR80, IF(_xlpm.grade=SD!$H$6, A615GR100, IF(_xlpm.grade=SD!$H$7, A706GR60, IF(_xlpm.grade=SD!$H$8, A706GR80)))))),_xlpm.matchValue, MATCH(1, (SD!$AW:$AW=AS220)*(SD!$AX:$AX=SD!$C$8), 0),INDEX(_xlpm.gradeRange, _xlpm.matchValue))),IF(AM220="Spiral",CONCATENATE("SP",_xlpm.PartF),_xlpm.PartF))</f>
        <v>#N/A</v>
      </c>
      <c r="BC220" cm="1">
        <f t="array" ref="BC220">_xlfn.LET(_xlpm.leftPart, LEFT(O220, FIND("@", O220) - 2),_xlpm.grade,Q220,_xlpm.gradeRange,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0" cm="1">
        <f t="array" ref="BD220">_xlfn.LET(_xlpm.leftPart, LEFT(P220, FIND("@", P220) - 2),_xlpm.grade, Q220,_xlpm.gradeRange,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0">
        <f t="shared" si="85"/>
        <v>2.5</v>
      </c>
      <c r="BF220">
        <f>IF(SD!$C$32=SD!$I$2,BE220,IF(SD!$C$32=SD!$I$3,DO220,IF(SD!$C$32=SD!$I$5,BA220,IF(SD!$C$32=SD!$I$6,(LEFT(SD!$C$35,FIND("-",SD!$C$35)-1)+RIGHT(SD!$C$35,LEN(SD!$C$35)-FIND("-",SD!$C$35))/12),IF(SD!$C$32=SD!$I$4,(AU220-(BG220+BH220)))))))</f>
        <v>0</v>
      </c>
      <c r="BG220">
        <f>IF(SD!$C$33=SD!$I$2,BE220,IF(SD!$C$33=SD!$I$3,DO220,IF(SD!$C$33=SD!$I$5,BA220,IF(SD!$C$33=SD!$I$6,(LEFT(SD!$C$35,FIND("-",SD!$C$35)-1)+RIGHT(SD!$C$35,LEN(SD!$C$35)-FIND("-",SD!$C$35))/12),IF(SD!$C$33=SD!$I$4,(AU220-(BF220+BH220)))))))</f>
        <v>-1</v>
      </c>
      <c r="BH220">
        <f>IF(SD!$C$34=SD!$I$2,BE220,IF(SD!$C$34=SD!$I$3,DO220,IF(SD!$C$34=SD!$I$5,BA220,IF(SD!$C$34=SD!$I$6,(LEFT(SD!$C$35,FIND("-",SD!$C$35)-1)+RIGHT(SD!$C$35,LEN(SD!$C$35)-FIND("-",SD!$C$35))/12),IF(SD!$C$34=SD!$I$4,(AU220-(BF220+BG220)))))))</f>
        <v>1</v>
      </c>
      <c r="BJ220">
        <f>IF(AM220="Spiral","1",MAX(ROUNDUP(IF(SD!$C$32="",AT220,BF220/(LEFT(RIGHT(N220,LEN(N220)-FIND("@",N220)),LEN(RIGHT(N220,LEN(N220)-FIND("@",N220)))-1)/12)+1),0),0))</f>
        <v>1</v>
      </c>
      <c r="BK220">
        <f>MAX(ROUNDUP(IF(SD!$C$33="","",BG220/(LEFT(RIGHT(O220,LEN(O220)-FIND("@",O220)),LEN(RIGHT(O220,LEN(O220)-FIND("@",O220)))-1)/12)+1),0),0)</f>
        <v>0</v>
      </c>
      <c r="BL220">
        <f>MAX(ROUNDUP(IF(SD!$C$34="","",BH220/(LEFT(RIGHT(P220,LEN(P220)-FIND("@",P220)),LEN(RIGHT(P220,LEN(P220)-FIND("@",P220)))-1)/12)+1),0),0)</f>
        <v>3</v>
      </c>
      <c r="BN220" t="e">
        <f t="shared" si="86"/>
        <v>#N/A</v>
      </c>
      <c r="BO220" t="e">
        <f t="shared" si="87"/>
        <v>#N/A</v>
      </c>
      <c r="BP220" t="e">
        <f t="shared" si="88"/>
        <v>#N/A</v>
      </c>
      <c r="BQ220" s="24" t="e">
        <f>IF(AM220=TRUE,(((Y220-(SD!$E$12*2))*3.14159265359)+BN220+BO220+BP220)/12+AL220,SUM(AF220:AG220,BN220,BO220,BP220,AO220,AQ220)/12)</f>
        <v>#N/A</v>
      </c>
      <c r="BR220" t="e">
        <f t="shared" si="89"/>
        <v>#N/A</v>
      </c>
      <c r="BS220" t="e">
        <f t="shared" si="90"/>
        <v>#N/A</v>
      </c>
      <c r="BT220" t="e">
        <f t="shared" si="91"/>
        <v>#N/A</v>
      </c>
      <c r="BU220" s="24" t="e">
        <f>IF(AM220=TRUE,(((Y220-(SD!$E$12*2))*3.14159265359)+BR220+BS220+BT220)/12+AL220,SUM(AF220:AG220,BR220,BS220,BT220,AO220,AQ220)/12)</f>
        <v>#N/A</v>
      </c>
      <c r="BW220" t="str">
        <f>IFERROR(LEFT(Data!L220,FIND(" -",Data!L220)-1),"")</f>
        <v/>
      </c>
      <c r="BX220" t="str">
        <f>IFERROR(IF(SD!$C$40=SD!$U$2,W220,IF(SD!$C$40=SD!$U$3,RIGHT(Data!L220,LEN(Data!L220)-(FIND("-",Data!L220)+1)),SD!$C$40)),"")</f>
        <v>#10</v>
      </c>
      <c r="BY220" t="str" cm="1">
        <f t="array" ref="BY220">IFERROR(_xlfn.LET(_xlpm.GRR,IF(AND(SD!$C$19=SD!$H$2,Grade!$G$1="Per level"),VLOOKUP(B220,Grade!$E$1:$F$200,2,FALSE),IF(AND(SD!$C$19=SD!$H$2,Grade!$G$1="Per Bar Size"),VLOOKUP(BX220,Grade!$B$1:$C$12,2,0),SD!$C$19)),_xlpm.is_equal, A219=A220,_xlpm.grade_range, IF(_xlpm.GRR=SD!$H$3, A615GR60,IF(_xlpm.GRR=SD!$H$4, A615GR75,IF(_xlpm.GRR=SD!$H$5, A615GR80,IF(_xlpm.GRR=SD!H224, A615GR100,IF(_xlpm.GRR=SD!$H$7, A706GR60,IF(_xlpm.GRR=SD!$H$8, A706GR80)))))),_xlpm.match_result, MATCH(1, (BSize=BX220)*(BCName=SD!$C$8), 0),_xlpm.final_result, INDEX(_xlpm.grade_range, _xlpm.match_result),IF(_xlpm.is_equal, "", _xlpm.final_result)),"")</f>
        <v/>
      </c>
      <c r="BZ220" t="str">
        <f>IF(A219=A220,"",IF(SD!$C$41="Match Vertical Bars ",X220,IF(SD!$C$41=SD!$V$3,BW220,SD!$C$41)))</f>
        <v/>
      </c>
      <c r="CA220" t="str" cm="1">
        <f t="array" ref="CA220">IF(A219=A220,"",IF(SD!$C$44="No T-Head",IF(SD!$C$42=SD!$Q$3,VLOOKUP(BX220,S90Range,3,FALSE),LEFT(SD!$C$42,FIND("-",SD!$C$42)-1)+(RIGHT(SD!$C$42,LEN(SD!$C$42)-FIND("-",SD!$C$42))/12)),IF(SD!$C$44="T-Head",_xlfn._xlws.FILTER(THead,(TCName=SD!$C$8)*(TSize=BX220)),IF(SD!$C$44="Level Wise",_xlfn.LET(_xlpm.result,_xlfn.XLOOKUP(B220,VDLevel,VDLevelStatus,"No"),IF(_xlpm.result="Yes",_xlfn._xlws.FILTER(THead,(TCName=SD!$C$8)*(TSize=BX220)),IF(SD!$C$42=SD!$Q$3,VLOOKUP(BX220,S90Range,3,FALSE),LEFT(SD!$C$42,FIND("-",SD!$C$42)-1)+(RIGHT(SD!$C$42,LEN(SD!$C$42)-FIND("-", SD!$C$42))/12)))),IF(SD!$C$44="BarSize Wise",_xlfn.LET(_xlpm.result,_xlfn.XLOOKUP(BX220,VDBarSize,VDBarSizeStatus,"No"),IF(_xlpm.result="Yes",_xlfn._xlws.FILTER(THead,(TCName=SD!$C$8)*(TSize=BX220)),IF(SD!$C$42=SD!$Q$3,VLOOKUP(BX220,S90Range,3,FALSE),LEFT(SD!$C$42,FIND("-",SD!$C$42)-1)+(RIGHT(SD!$C$42,LEN(SD!$C$42)-FIND("-",SD!$C$42))/12)))), "")))))</f>
        <v/>
      </c>
      <c r="CB220" t="str" cm="1">
        <f t="array" ref="CB220">_xlfn.LET(_xlpm.GRR,IF(AND(SD!$C$19=SD!$H$2,Grade!$G$1="Per level"),VLOOKUP(B220,Grade!$E$1:$F$200,2,FALSE),IF(AND(SD!$C$19=SD!$H$2,Grade!$G$1="Per Bar Size"),VLOOKUP(BX220,Grade!$B$1:$C$12,2,0),SD!$C$19)),_xlpm.is_coupler, K220="Coupler",_xlpm.condition1, SD!$C$43=SD!$W$2,_xlpm.data_j2_empty, Data!$J220="",_xlpm.lookup_table, IF(SD!$C$11="Create", Lap!$A$3:$BF$14, IF(SD!$C$11="Per Uploaded File", Lap!$A$19:$BF$30, "")),_xlpm.row_match, MATCH(BX220, Lap!$A$3:$A$14, 0),_xlpm.grade_offset, IF(IFERROR(FIND("Grade 60",_xlpm.GRR), 0) &gt; 0, 0, IF(IFERROR(FIND("Grade 80",_xlpm.GRR), 0), 1, IF(IFERROR(FIND("Grade 75",_xlpm.GRR), 0), 2, ""))),_xlpm.col_match, MATCH(VALUE(D220), Lap!$A$3:$BF$3, 0) + _xlpm.grade_offset,_xlpm.index_result, IFERROR(INDEX(_xlpm.lookup_table, _xlpm.row_match, _xlpm.col_match), Data!$J220),_xlpm.result_if_condition1, IF(_xlpm.data_j2_empty, _xlpm.index_result, Data!$J220),IF(_xlpm.is_coupler, 0, IF(_xlpm.condition1, _xlpm.result_if_condition1, SD!$C$43)))</f>
        <v>5-1</v>
      </c>
      <c r="CC220" s="24">
        <f t="shared" si="92"/>
        <v>5.083333333333333</v>
      </c>
      <c r="CD220">
        <f t="shared" si="93"/>
        <v>5.75</v>
      </c>
      <c r="CE220" t="str" cm="1">
        <f t="array" ref="CE220">IF(BY220="","",_xlfn._xlws.FILTER(SAC,(CName=SD!$C$8)*(EName="Vert Dowels")))</f>
        <v/>
      </c>
      <c r="CF220" t="str" cm="1">
        <f t="array" ref="CF220">IFERROR(IF(BY220="","",IF(K220="Coupler",_xlfn._xlws.FILTER(CCoupler,(CCName=SD!$C$8)*(CBSize=IF(A219=A220,W219&amp;W220,BX220&amp;W220))*(CCMFM="Male")),"")),"N/A")</f>
        <v/>
      </c>
      <c r="CG220" t="str">
        <f t="shared" si="94"/>
        <v/>
      </c>
      <c r="CH220" t="str">
        <f t="shared" si="95"/>
        <v/>
      </c>
      <c r="CI220" t="str">
        <f>_xlfn.LET(_xlpm.u3_value, U221,_xlpm.hyphen_pos,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K221="Coupler",_xlpm.coupler_value, IF(_xlpm.is_coupler, 0, _xlpm.calculated_value),_xlpm.final_value, _xlpm.calculated_value + SD!$E$13 + _xlpm.coupler_value,IF(CG220="", "", _xlpm.final_value))</f>
        <v/>
      </c>
      <c r="CJ220" t="str" cm="1">
        <f t="array" ref="CJ220">IF(CG220="","",_xlfn._xlws.FILTER(SAC,(CName=SD!$C$8)*(EName="Loose Dowels")))</f>
        <v/>
      </c>
      <c r="CK220" t="str" cm="1">
        <f t="array" ref="CK220">IFERROR(IF(CG220="","",IF(K221="Coupler",_xlfn._xlws.FILTER(CCoupler,(CCName=SD!$C$8)*(CBSize=IF(A220=A221,W220&amp;W221,""))*(CCMFM="Male")),"")),"N/A")</f>
        <v/>
      </c>
      <c r="CL220" t="str">
        <f>IFERROR(IF(AM220="Spiral","",IF(A219=A220,"",IF(SD!$C$37=0,"",SD!$C$37))),"")</f>
        <v/>
      </c>
      <c r="CN220">
        <f>IF(AM220="Spiral","",IFERROR(IF(SD!$C$36=0,"",SD!$C$36),""))</f>
        <v>5</v>
      </c>
      <c r="CP220" t="str">
        <f>IFERROR(IF(SD!$C$42=SD!$Q$3,'Take-off'!CA220,""),"")</f>
        <v/>
      </c>
      <c r="CR220">
        <f>IFERROR(IF(SD!$C$22=SD!$U$2,W220,SD!$C$22),"")</f>
        <v>0</v>
      </c>
      <c r="CS220" t="str" cm="1">
        <f t="array" ref="CS220">_xlfn.LET(_xlpm.GR,IF(AND(SD!$C$19=SD!$H$2,Grade!$G$1="Per level"),VLOOKUP(B220,Grade!$E$1:$F$200,2,FALSE),IF(AND(SD!$C$19=SD!$H$2,Grade!$G$1="Per Bar Size"),VLOOKUP(CR220,Grade!$B$1:$C$12,2,0),SD!$C$19)),IF(SD!$C$20=SD!$R$4,IF(A221=A220,"",INDEX(IF(_xlpm.GR=SD!$H$3,A615GR60,IF(_xlpm.GR=SD!$H$4,A615GR75,IF(_xlpm.GR=SD!$H$5,A615GR80,IF(_xlpm.GR=SD!H224,A615GR100,IF(_xlpm.GR=SD!$H$7,A706GR60,IF(_xlpm.GR=SD!$H$8,A706GR80)))))), MATCH(1, (BSize=CR220)*(BCName=SD!$C$8), 0))),""))</f>
        <v/>
      </c>
      <c r="CT220" t="str">
        <f>IF(A221=A220,"",IF(SD!$C$23="Match Vertical Bars ",X220,SD!$C$23))</f>
        <v/>
      </c>
      <c r="CU220" t="str" cm="1">
        <f t="array" ref="CU220">IF(A221=A220,"",IF(SD!$C$20="Top dowels",IF(SD!$E$25="No T-Head",IF(SD!$C$24=SD!$Q$3,VLOOKUP(CR220,S90Range,3,FALSE),LEFT(SD!$C$24,FIND("-",SD!$C$24)-1)+(RIGHT(SD!$C$24,LEN(SD!$C$24)-FIND("-",SD!$C$24))/12)),IF(SD!$E$25="T-Head",_xlfn._xlws.FILTER(THead,(TCName=SD!$C$8)*(TSize=CR220)),IF(SD!$E$25="Level Wise",_xlfn.LET(_xlpm.result,_xlfn.XLOOKUP(B220,TDLevel,TDLevelStatus,"No"),IF(_xlpm.result="Yes",_xlfn._xlws.FILTER(THead,(TCName=SD!$C$8)*(TSize=CR220)),IF(SD!$C$24=SD!$Q$3,VLOOKUP(CR220,S90Range,3,FALSE),LEFT(SD!$C$24,FIND("-",SD!$C$24)-1)+(RIGHT(SD!$C$24,LEN(SD!$C$24)-FIND("-", SD!$C$24))/12)))),IF(SD!$E$25="BarSize Wise",_xlfn.LET(_xlpm.result,_xlfn.XLOOKUP(CR220,TDBarSize,TDBarSizeStatus,"No"),IF(_xlpm.result="Yes",_xlfn._xlws.FILTER(THead,(TCName=SD!$C$8)*(TSize=CR220)),IF(SD!$C$24=SD!$Q$3,VLOOKUP(CR220,S90Range,3,FALSE),LEFT(SD!$C$24,FIND("-",SD!$C$24)-1)+(RIGHT(SD!$C$24,LEN(SD!$C$24)-FIND("-",SD!$C$24))/12)))), "")))),""))</f>
        <v/>
      </c>
      <c r="CV220" t="str">
        <f>_xlfn.LET(_xlpm.GRR,IF(AND(SD!$C$19=SD!$H$2,Grade!$G$1="Per level"),VLOOKUP(B220,Grade!$E$1:$F$200,2,FALSE),IF(AND(SD!$C$19=SD!$H$2,Grade!$G$1="Per Bar Size"),VLOOKUP(CR220,Grade!$B$1:$C$12,2,0),SD!$C$19)),IF(SD!$C$25=SD!$W$2,IF(Data!$J220="",IFERROR(INDEX(IF(SD!$C$11="Create",Lap!$A$3:$BF$14,IF(SD!$C$11="Per Uploaded File",Lap!$A$19:$BF$30,"")),MATCH(CR220,Lap!$A$3:$A$14,0),MATCH(VALUE(D220),Lap!$A$3:$BF$3,0)+IF(IFERROR(FIND("Grade 60",_xlpm.GRR),0)&gt;0,0,IF(IFERROR(FIND("Grade 80",_xlpm.GRR),0),1,IF(IFERROR(FIND("Grade 75",_xlpm.GRR),0),2,"")))),""),Data!J220),SD!$C$43))</f>
        <v>Match Lap</v>
      </c>
      <c r="CW220">
        <f t="shared" si="96"/>
        <v>0</v>
      </c>
      <c r="CX220">
        <f t="shared" si="97"/>
        <v>0</v>
      </c>
      <c r="CY220" t="str">
        <f t="shared" si="98"/>
        <v/>
      </c>
      <c r="DA220" t="str">
        <f t="shared" si="99"/>
        <v/>
      </c>
      <c r="DB220" t="str">
        <f t="shared" si="100"/>
        <v/>
      </c>
      <c r="DC220" s="24" t="str">
        <f t="shared" si="101"/>
        <v/>
      </c>
      <c r="DD220">
        <f t="shared" si="102"/>
        <v>10.583333333333334</v>
      </c>
      <c r="DE220" t="s">
        <v>785</v>
      </c>
      <c r="DF220" t="s">
        <v>67</v>
      </c>
      <c r="DG220" t="str">
        <f>VLOOKUP(W220,'Level Wise PSI'!$F$2:$G$12,2,FALSE)</f>
        <v>Double Lift</v>
      </c>
      <c r="DI220" t="str" cm="1">
        <f t="array" ref="DI220">_xlfn.LET(_xlpm.Coup,IFERROR(IF(BY220="","",IF(K220="Coupler",_xlfn._xlws.FILTER(CCFCoupler,(CCName=SD!$C$8)*(CBSize=IF(A219=A220,W219&amp;W220,BX220&amp;W220))),"")),"N/A"),IF(_xlpm.Coup=0,"",_xlpm.Coup))</f>
        <v/>
      </c>
      <c r="DJ220" t="str" cm="1">
        <f t="array" ref="DJ220">_xlfn.LET(_xlpm.Coup3,IFERROR(IF(CG220="","",IF(K221="Coupler",_xlfn._xlws.FILTER(CCFCoupler,(CCName=SD!$C$8)*(CBSize=IF(A220=A221,W220&amp;W221,""))),"")),"N/A"),IF(_xlpm.Coup3=0,"",_xlpm.Coup3))</f>
        <v/>
      </c>
      <c r="DK220" t="str" cm="1">
        <f t="array" ref="DK220">_xlfn.LET(_xlpm.Coup2,IFERROR(IF(A220&lt;&gt;A221,"",IF(DF220="No Lap","",IF(K221="Coupler",_xlfn._xlws.FILTER(CCFCoupler,(CCName=SD!$C$8)*(CBSize=IF(A219=A220,W220&amp;W221,W220&amp;W220))),""))),"N/A"),IF(_xlpm.Coup2=0,"",_xlpm.Coup2))</f>
        <v/>
      </c>
      <c r="DM220" t="str">
        <f>IF(AM220="Spiral","",IF(SD!$C$31=SD!$Y$3,SD!$E$32*2,""))</f>
        <v/>
      </c>
      <c r="DO220" s="24">
        <f t="shared" si="103"/>
        <v>2.5</v>
      </c>
      <c r="DQ220" t="str">
        <f t="shared" si="104"/>
        <v>Lig</v>
      </c>
      <c r="DR220" t="str">
        <f>IF(AM220="Spiral",((Y220-(SD!$E$12*2))/12),"")</f>
        <v/>
      </c>
      <c r="DS220" t="str">
        <f t="shared" si="105"/>
        <v/>
      </c>
      <c r="DT220" t="str">
        <f t="shared" si="106"/>
        <v/>
      </c>
      <c r="DU220" t="str">
        <f t="shared" si="107"/>
        <v/>
      </c>
    </row>
    <row r="221" spans="1:125" x14ac:dyDescent="0.25">
      <c r="A221">
        <v>67</v>
      </c>
      <c r="B221" t="s">
        <v>680</v>
      </c>
      <c r="C221" s="15">
        <v>2429</v>
      </c>
      <c r="D221" s="15">
        <v>10000</v>
      </c>
      <c r="E221" t="str">
        <f>IF(B221=Level!$A$2,SD!$C$14,SD!$C$13)</f>
        <v>0-8</v>
      </c>
      <c r="F221" s="15" t="s">
        <v>787</v>
      </c>
      <c r="G221" t="s">
        <v>742</v>
      </c>
      <c r="H221" t="str">
        <f>RIGHT(VLOOKUP(B221,Level!A:C,3,FALSE),LEN(VLOOKUP(B221,Level!A:C,3,FALSE))-1)</f>
        <v>10-7</v>
      </c>
      <c r="I221" t="s">
        <v>743</v>
      </c>
      <c r="J221" t="str">
        <f>IF(AND(SD!$C$19=SD!$H$2,Grade!$G$1="Per level"),VLOOKUP(B221,Grade!$E$1:$F$200,2,FALSE),IF(AND(SD!$C$19=SD!$H$2,Grade!$G$1="Per Bar Size"),VLOOKUP(W221,Grade!$B$1:$C$12,2,0),SD!$C$19))</f>
        <v>A615 Grade 60</v>
      </c>
      <c r="K221" t="s">
        <v>67</v>
      </c>
      <c r="L221" t="str">
        <f>IFERROR(IF(A221&lt;&gt;A222,"",IF(DF221="No Lap","",IF(K222="Lap",U221,IF(K222="Coupler",_xlfn._xlws.FILTER(CCoupler,(CCName=SD!$C$8)*(CBSize=IF(A220=A221,W221&amp;W222,W221&amp;W221))*(CCMFM="Male")),"")))),"N/A")</f>
        <v>5-1</v>
      </c>
      <c r="M221" t="str">
        <f t="shared" si="81"/>
        <v/>
      </c>
      <c r="N221" t="s">
        <v>719</v>
      </c>
      <c r="O221" t="s">
        <v>720</v>
      </c>
      <c r="P221" t="s">
        <v>719</v>
      </c>
      <c r="Q221" t="str">
        <f>IF(AND(SD!$C$29=SD!$P$2,Grade!$O$1="Per level"),VLOOKUP(B221,Grade!$M$1:$N$200,2,FALSE),IF(AND(SD!$C$29=SD!$P$2,Grade!$O$1="Per Bar Size"),VLOOKUP(LEFT(N221,FIND("@",N221)-2),Grade!$J$1:$K$12,2,0),SD!$C$29))</f>
        <v>A615 Grade 60</v>
      </c>
      <c r="R221" t="s">
        <v>742</v>
      </c>
      <c r="S221" s="57">
        <v>221</v>
      </c>
      <c r="U221" t="str">
        <f>IF(Data!$J221="",IFERROR(INDEX(IF(SD!$C$11="Create",Lap!$A$3:$BF$14,IF(SD!$C$11="Per Uploaded File",Lap!$A$19:$BF$30,"")),MATCH(W221,Lap!$A$3:$A$14,0),MATCH(VALUE(D221),Lap!$A$3:$BF$3,0)+IF(IFERROR(FIND("Grade 60",J221),0)&gt;0,0,IF(IFERROR(FIND("Grade 80",J221),0),1,IF(IFERROR(FIND("Grade 75",J221),0),2,"")))),""),Data!J221)</f>
        <v>5-1</v>
      </c>
      <c r="W221" t="s">
        <v>176</v>
      </c>
      <c r="X221">
        <v>6</v>
      </c>
      <c r="Y221" t="str">
        <f t="shared" si="82"/>
        <v>30</v>
      </c>
      <c r="Z221">
        <f t="shared" si="83"/>
        <v>0</v>
      </c>
      <c r="AA221" s="24">
        <f t="shared" si="84"/>
        <v>15.666666666666666</v>
      </c>
      <c r="BB221" t="e" cm="1">
        <f t="array" ref="BB221">_xlfn.LET(_xlpm.PartF,(_xlfn.LET(_xlpm.grade, Q221,_xlpm.gradeRange, IF(_xlpm.grade=SD!$H$3, A615GR60, IF(_xlpm.grade=SD!$H$4, A615GR75, IF(_xlpm.grade=SD!$H$5, A615GR80, IF(_xlpm.grade=SD!$H$6, A615GR100, IF(_xlpm.grade=SD!$H$7, A706GR60, IF(_xlpm.grade=SD!$H$8, A706GR80)))))),_xlpm.matchValue, MATCH(1, (SD!$AW:$AW=AS221)*(SD!$AX:$AX=SD!$C$8), 0),INDEX(_xlpm.gradeRange, _xlpm.matchValue))),IF(AM221="Spiral",CONCATENATE("SP",_xlpm.PartF),_xlpm.PartF))</f>
        <v>#N/A</v>
      </c>
      <c r="BC221" cm="1">
        <f t="array" ref="BC221">_xlfn.LET(_xlpm.leftPart, LEFT(O221, FIND("@", O221) - 2),_xlpm.grade,Q221,_xlpm.gradeRange,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1" cm="1">
        <f t="array" ref="BD221">_xlfn.LET(_xlpm.leftPart, LEFT(P221, FIND("@", P221) - 2),_xlpm.grade, Q221,_xlpm.gradeRange,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1">
        <f t="shared" si="85"/>
        <v>2.5</v>
      </c>
      <c r="BF221">
        <f>IF(SD!$C$32=SD!$I$2,BE221,IF(SD!$C$32=SD!$I$3,DO221,IF(SD!$C$32=SD!$I$5,BA221,IF(SD!$C$32=SD!$I$6,(LEFT(SD!$C$35,FIND("-",SD!$C$35)-1)+RIGHT(SD!$C$35,LEN(SD!$C$35)-FIND("-",SD!$C$35))/12),IF(SD!$C$32=SD!$I$4,(AU221-(BG221+BH221)))))))</f>
        <v>0</v>
      </c>
      <c r="BG221">
        <f>IF(SD!$C$33=SD!$I$2,BE221,IF(SD!$C$33=SD!$I$3,DO221,IF(SD!$C$33=SD!$I$5,BA221,IF(SD!$C$33=SD!$I$6,(LEFT(SD!$C$35,FIND("-",SD!$C$35)-1)+RIGHT(SD!$C$35,LEN(SD!$C$35)-FIND("-",SD!$C$35))/12),IF(SD!$C$33=SD!$I$4,(AU221-(BF221+BH221)))))))</f>
        <v>-1</v>
      </c>
      <c r="BH221">
        <f>IF(SD!$C$34=SD!$I$2,BE221,IF(SD!$C$34=SD!$I$3,DO221,IF(SD!$C$34=SD!$I$5,BA221,IF(SD!$C$34=SD!$I$6,(LEFT(SD!$C$35,FIND("-",SD!$C$35)-1)+RIGHT(SD!$C$35,LEN(SD!$C$35)-FIND("-",SD!$C$35))/12),IF(SD!$C$34=SD!$I$4,(AU221-(BF221+BG221)))))))</f>
        <v>1</v>
      </c>
      <c r="BJ221">
        <f>IF(AM221="Spiral","1",MAX(ROUNDUP(IF(SD!$C$32="",AT221,BF221/(LEFT(RIGHT(N221,LEN(N221)-FIND("@",N221)),LEN(RIGHT(N221,LEN(N221)-FIND("@",N221)))-1)/12)+1),0),0))</f>
        <v>1</v>
      </c>
      <c r="BK221">
        <f>MAX(ROUNDUP(IF(SD!$C$33="","",BG221/(LEFT(RIGHT(O221,LEN(O221)-FIND("@",O221)),LEN(RIGHT(O221,LEN(O221)-FIND("@",O221)))-1)/12)+1),0),0)</f>
        <v>0</v>
      </c>
      <c r="BL221">
        <f>MAX(ROUNDUP(IF(SD!$C$34="","",BH221/(LEFT(RIGHT(P221,LEN(P221)-FIND("@",P221)),LEN(RIGHT(P221,LEN(P221)-FIND("@",P221)))-1)/12)+1),0),0)</f>
        <v>3</v>
      </c>
      <c r="BN221" t="e">
        <f t="shared" si="86"/>
        <v>#N/A</v>
      </c>
      <c r="BO221" t="e">
        <f t="shared" si="87"/>
        <v>#N/A</v>
      </c>
      <c r="BP221" t="e">
        <f t="shared" si="88"/>
        <v>#N/A</v>
      </c>
      <c r="BQ221" s="24" t="e">
        <f>IF(AM221=TRUE,(((Y221-(SD!$E$12*2))*3.14159265359)+BN221+BO221+BP221)/12+AL221,SUM(AF221:AG221,BN221,BO221,BP221,AO221,AQ221)/12)</f>
        <v>#N/A</v>
      </c>
      <c r="BR221" t="e">
        <f t="shared" si="89"/>
        <v>#N/A</v>
      </c>
      <c r="BS221" t="e">
        <f t="shared" si="90"/>
        <v>#N/A</v>
      </c>
      <c r="BT221" t="e">
        <f t="shared" si="91"/>
        <v>#N/A</v>
      </c>
      <c r="BU221" s="24" t="e">
        <f>IF(AM221=TRUE,(((Y221-(SD!$E$12*2))*3.14159265359)+BR221+BS221+BT221)/12+AL221,SUM(AF221:AG221,BR221,BS221,BT221,AO221,AQ221)/12)</f>
        <v>#N/A</v>
      </c>
      <c r="BW221" t="str">
        <f>IFERROR(LEFT(Data!L221,FIND(" -",Data!L221)-1),"")</f>
        <v/>
      </c>
      <c r="BX221" t="str">
        <f>IFERROR(IF(SD!$C$40=SD!$U$2,W221,IF(SD!$C$40=SD!$U$3,RIGHT(Data!L221,LEN(Data!L221)-(FIND("-",Data!L221)+1)),SD!$C$40)),"")</f>
        <v>#10</v>
      </c>
      <c r="BY221" t="str" cm="1">
        <f t="array" ref="BY221">IFERROR(_xlfn.LET(_xlpm.GRR,IF(AND(SD!$C$19=SD!$H$2,Grade!$G$1="Per level"),VLOOKUP(B221,Grade!$E$1:$F$200,2,FALSE),IF(AND(SD!$C$19=SD!$H$2,Grade!$G$1="Per Bar Size"),VLOOKUP(BX221,Grade!$B$1:$C$12,2,0),SD!$C$19)),_xlpm.is_equal, A220=A221,_xlpm.grade_range, IF(_xlpm.GRR=SD!$H$3, A615GR60,IF(_xlpm.GRR=SD!$H$4, A615GR75,IF(_xlpm.GRR=SD!$H$5, A615GR80,IF(_xlpm.GRR=SD!H225, A615GR100,IF(_xlpm.GRR=SD!$H$7, A706GR60,IF(_xlpm.GRR=SD!$H$8, A706GR80)))))),_xlpm.match_result, MATCH(1, (BSize=BX221)*(BCName=SD!$C$8), 0),_xlpm.final_result, INDEX(_xlpm.grade_range, _xlpm.match_result),IF(_xlpm.is_equal, "", _xlpm.final_result)),"")</f>
        <v/>
      </c>
      <c r="BZ221" t="str">
        <f>IF(A220=A221,"",IF(SD!$C$41="Match Vertical Bars ",X221,IF(SD!$C$41=SD!$V$3,BW221,SD!$C$41)))</f>
        <v/>
      </c>
      <c r="CA221" t="str" cm="1">
        <f t="array" ref="CA221">IF(A220=A221,"",IF(SD!$C$44="No T-Head",IF(SD!$C$42=SD!$Q$3,VLOOKUP(BX221,S90Range,3,FALSE),LEFT(SD!$C$42,FIND("-",SD!$C$42)-1)+(RIGHT(SD!$C$42,LEN(SD!$C$42)-FIND("-",SD!$C$42))/12)),IF(SD!$C$44="T-Head",_xlfn._xlws.FILTER(THead,(TCName=SD!$C$8)*(TSize=BX221)),IF(SD!$C$44="Level Wise",_xlfn.LET(_xlpm.result,_xlfn.XLOOKUP(B221,VDLevel,VDLevelStatus,"No"),IF(_xlpm.result="Yes",_xlfn._xlws.FILTER(THead,(TCName=SD!$C$8)*(TSize=BX221)),IF(SD!$C$42=SD!$Q$3,VLOOKUP(BX221,S90Range,3,FALSE),LEFT(SD!$C$42,FIND("-",SD!$C$42)-1)+(RIGHT(SD!$C$42,LEN(SD!$C$42)-FIND("-", SD!$C$42))/12)))),IF(SD!$C$44="BarSize Wise",_xlfn.LET(_xlpm.result,_xlfn.XLOOKUP(BX221,VDBarSize,VDBarSizeStatus,"No"),IF(_xlpm.result="Yes",_xlfn._xlws.FILTER(THead,(TCName=SD!$C$8)*(TSize=BX221)),IF(SD!$C$42=SD!$Q$3,VLOOKUP(BX221,S90Range,3,FALSE),LEFT(SD!$C$42,FIND("-",SD!$C$42)-1)+(RIGHT(SD!$C$42,LEN(SD!$C$42)-FIND("-",SD!$C$42))/12)))), "")))))</f>
        <v/>
      </c>
      <c r="CB221" t="str" cm="1">
        <f t="array" ref="CB221">_xlfn.LET(_xlpm.GRR,IF(AND(SD!$C$19=SD!$H$2,Grade!$G$1="Per level"),VLOOKUP(B221,Grade!$E$1:$F$200,2,FALSE),IF(AND(SD!$C$19=SD!$H$2,Grade!$G$1="Per Bar Size"),VLOOKUP(BX221,Grade!$B$1:$C$12,2,0),SD!$C$19)),_xlpm.is_coupler, K221="Coupler",_xlpm.condition1, SD!$C$43=SD!$W$2,_xlpm.data_j2_empty, Data!$J221="",_xlpm.lookup_table, IF(SD!$C$11="Create", Lap!$A$3:$BF$14, IF(SD!$C$11="Per Uploaded File", Lap!$A$19:$BF$30, "")),_xlpm.row_match, MATCH(BX221, Lap!$A$3:$A$14, 0),_xlpm.grade_offset, IF(IFERROR(FIND("Grade 60",_xlpm.GRR), 0) &gt; 0, 0, IF(IFERROR(FIND("Grade 80",_xlpm.GRR), 0), 1, IF(IFERROR(FIND("Grade 75",_xlpm.GRR), 0), 2, ""))),_xlpm.col_match, MATCH(VALUE(D221), Lap!$A$3:$BF$3, 0) + _xlpm.grade_offset,_xlpm.index_result, IFERROR(INDEX(_xlpm.lookup_table, _xlpm.row_match, _xlpm.col_match), Data!$J221),_xlpm.result_if_condition1, IF(_xlpm.data_j2_empty, _xlpm.index_result, Data!$J221),IF(_xlpm.is_coupler, 0, IF(_xlpm.condition1, _xlpm.result_if_condition1, SD!$C$43)))</f>
        <v>5-1</v>
      </c>
      <c r="CC221" s="24">
        <f t="shared" si="92"/>
        <v>5.083333333333333</v>
      </c>
      <c r="CD221">
        <f t="shared" si="93"/>
        <v>5.75</v>
      </c>
      <c r="CE221" t="str" cm="1">
        <f t="array" ref="CE221">IF(BY221="","",_xlfn._xlws.FILTER(SAC,(CName=SD!$C$8)*(EName="Vert Dowels")))</f>
        <v/>
      </c>
      <c r="CF221" t="str" cm="1">
        <f t="array" ref="CF221">IFERROR(IF(BY221="","",IF(K221="Coupler",_xlfn._xlws.FILTER(CCoupler,(CCName=SD!$C$8)*(CBSize=IF(A220=A221,W220&amp;W221,BX221&amp;W221))*(CCMFM="Male")),"")),"N/A")</f>
        <v/>
      </c>
      <c r="CG221" t="str">
        <f t="shared" si="94"/>
        <v/>
      </c>
      <c r="CH221" t="str">
        <f t="shared" si="95"/>
        <v/>
      </c>
      <c r="CI221" t="str">
        <f>_xlfn.LET(_xlpm.u3_value, U222,_xlpm.hyphen_pos,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K222="Coupler",_xlpm.coupler_value, IF(_xlpm.is_coupler, 0, _xlpm.calculated_value),_xlpm.final_value, _xlpm.calculated_value + SD!$E$13 + _xlpm.coupler_value,IF(CG221="", "", _xlpm.final_value))</f>
        <v/>
      </c>
      <c r="CJ221" t="str" cm="1">
        <f t="array" ref="CJ221">IF(CG221="","",_xlfn._xlws.FILTER(SAC,(CName=SD!$C$8)*(EName="Loose Dowels")))</f>
        <v/>
      </c>
      <c r="CK221" t="str" cm="1">
        <f t="array" ref="CK221">IFERROR(IF(CG221="","",IF(K222="Coupler",_xlfn._xlws.FILTER(CCoupler,(CCName=SD!$C$8)*(CBSize=IF(A221=A222,W221&amp;W222,""))*(CCMFM="Male")),"")),"N/A")</f>
        <v/>
      </c>
      <c r="CL221" t="str">
        <f>IFERROR(IF(AM221="Spiral","",IF(A220=A221,"",IF(SD!$C$37=0,"",SD!$C$37))),"")</f>
        <v/>
      </c>
      <c r="CN221">
        <f>IF(AM221="Spiral","",IFERROR(IF(SD!$C$36=0,"",SD!$C$36),""))</f>
        <v>5</v>
      </c>
      <c r="CP221" t="str">
        <f>IFERROR(IF(SD!$C$42=SD!$Q$3,'Take-off'!CA221,""),"")</f>
        <v/>
      </c>
      <c r="CR221">
        <f>IFERROR(IF(SD!$C$22=SD!$U$2,W221,SD!$C$22),"")</f>
        <v>0</v>
      </c>
      <c r="CS221" t="str" cm="1">
        <f t="array" ref="CS221">_xlfn.LET(_xlpm.GR,IF(AND(SD!$C$19=SD!$H$2,Grade!$G$1="Per level"),VLOOKUP(B221,Grade!$E$1:$F$200,2,FALSE),IF(AND(SD!$C$19=SD!$H$2,Grade!$G$1="Per Bar Size"),VLOOKUP(CR221,Grade!$B$1:$C$12,2,0),SD!$C$19)),IF(SD!$C$20=SD!$R$4,IF(A222=A221,"",INDEX(IF(_xlpm.GR=SD!$H$3,A615GR60,IF(_xlpm.GR=SD!$H$4,A615GR75,IF(_xlpm.GR=SD!$H$5,A615GR80,IF(_xlpm.GR=SD!H225,A615GR100,IF(_xlpm.GR=SD!$H$7,A706GR60,IF(_xlpm.GR=SD!$H$8,A706GR80)))))), MATCH(1, (BSize=CR221)*(BCName=SD!$C$8), 0))),""))</f>
        <v/>
      </c>
      <c r="CT221" t="str">
        <f>IF(A222=A221,"",IF(SD!$C$23="Match Vertical Bars ",X221,SD!$C$23))</f>
        <v/>
      </c>
      <c r="CU221" t="str" cm="1">
        <f t="array" ref="CU221">IF(A222=A221,"",IF(SD!$C$20="Top dowels",IF(SD!$E$25="No T-Head",IF(SD!$C$24=SD!$Q$3,VLOOKUP(CR221,S90Range,3,FALSE),LEFT(SD!$C$24,FIND("-",SD!$C$24)-1)+(RIGHT(SD!$C$24,LEN(SD!$C$24)-FIND("-",SD!$C$24))/12)),IF(SD!$E$25="T-Head",_xlfn._xlws.FILTER(THead,(TCName=SD!$C$8)*(TSize=CR221)),IF(SD!$E$25="Level Wise",_xlfn.LET(_xlpm.result,_xlfn.XLOOKUP(B221,TDLevel,TDLevelStatus,"No"),IF(_xlpm.result="Yes",_xlfn._xlws.FILTER(THead,(TCName=SD!$C$8)*(TSize=CR221)),IF(SD!$C$24=SD!$Q$3,VLOOKUP(CR221,S90Range,3,FALSE),LEFT(SD!$C$24,FIND("-",SD!$C$24)-1)+(RIGHT(SD!$C$24,LEN(SD!$C$24)-FIND("-", SD!$C$24))/12)))),IF(SD!$E$25="BarSize Wise",_xlfn.LET(_xlpm.result,_xlfn.XLOOKUP(CR221,TDBarSize,TDBarSizeStatus,"No"),IF(_xlpm.result="Yes",_xlfn._xlws.FILTER(THead,(TCName=SD!$C$8)*(TSize=CR221)),IF(SD!$C$24=SD!$Q$3,VLOOKUP(CR221,S90Range,3,FALSE),LEFT(SD!$C$24,FIND("-",SD!$C$24)-1)+(RIGHT(SD!$C$24,LEN(SD!$C$24)-FIND("-",SD!$C$24))/12)))), "")))),""))</f>
        <v/>
      </c>
      <c r="CV221" t="str">
        <f>_xlfn.LET(_xlpm.GRR,IF(AND(SD!$C$19=SD!$H$2,Grade!$G$1="Per level"),VLOOKUP(B221,Grade!$E$1:$F$200,2,FALSE),IF(AND(SD!$C$19=SD!$H$2,Grade!$G$1="Per Bar Size"),VLOOKUP(CR221,Grade!$B$1:$C$12,2,0),SD!$C$19)),IF(SD!$C$25=SD!$W$2,IF(Data!$J221="",IFERROR(INDEX(IF(SD!$C$11="Create",Lap!$A$3:$BF$14,IF(SD!$C$11="Per Uploaded File",Lap!$A$19:$BF$30,"")),MATCH(CR221,Lap!$A$3:$A$14,0),MATCH(VALUE(D221),Lap!$A$3:$BF$3,0)+IF(IFERROR(FIND("Grade 60",_xlpm.GRR),0)&gt;0,0,IF(IFERROR(FIND("Grade 80",_xlpm.GRR),0),1,IF(IFERROR(FIND("Grade 75",_xlpm.GRR),0),2,"")))),""),Data!J221),SD!$C$43))</f>
        <v>Match Lap</v>
      </c>
      <c r="CW221">
        <f t="shared" si="96"/>
        <v>0</v>
      </c>
      <c r="CX221">
        <f t="shared" si="97"/>
        <v>0</v>
      </c>
      <c r="CY221" t="str">
        <f t="shared" si="98"/>
        <v/>
      </c>
      <c r="DA221" t="str">
        <f t="shared" si="99"/>
        <v/>
      </c>
      <c r="DB221" t="str">
        <f t="shared" si="100"/>
        <v/>
      </c>
      <c r="DC221" s="24" t="str">
        <f t="shared" si="101"/>
        <v/>
      </c>
      <c r="DD221">
        <f t="shared" si="102"/>
        <v>10.583333333333334</v>
      </c>
      <c r="DE221" t="s">
        <v>785</v>
      </c>
      <c r="DF221" t="s">
        <v>67</v>
      </c>
      <c r="DG221" t="str">
        <f>VLOOKUP(W221,'Level Wise PSI'!$F$2:$G$12,2,FALSE)</f>
        <v>Double Lift</v>
      </c>
      <c r="DI221" t="str" cm="1">
        <f t="array" ref="DI221">_xlfn.LET(_xlpm.Coup,IFERROR(IF(BY221="","",IF(K221="Coupler",_xlfn._xlws.FILTER(CCFCoupler,(CCName=SD!$C$8)*(CBSize=IF(A220=A221,W220&amp;W221,BX221&amp;W221))),"")),"N/A"),IF(_xlpm.Coup=0,"",_xlpm.Coup))</f>
        <v/>
      </c>
      <c r="DJ221" t="str" cm="1">
        <f t="array" ref="DJ221">_xlfn.LET(_xlpm.Coup3,IFERROR(IF(CG221="","",IF(K222="Coupler",_xlfn._xlws.FILTER(CCFCoupler,(CCName=SD!$C$8)*(CBSize=IF(A221=A222,W221&amp;W222,""))),"")),"N/A"),IF(_xlpm.Coup3=0,"",_xlpm.Coup3))</f>
        <v/>
      </c>
      <c r="DK221" t="str" cm="1">
        <f t="array" ref="DK221">_xlfn.LET(_xlpm.Coup2,IFERROR(IF(A221&lt;&gt;A222,"",IF(DF221="No Lap","",IF(K222="Coupler",_xlfn._xlws.FILTER(CCFCoupler,(CCName=SD!$C$8)*(CBSize=IF(A220=A221,W221&amp;W222,W221&amp;W221))),""))),"N/A"),IF(_xlpm.Coup2=0,"",_xlpm.Coup2))</f>
        <v/>
      </c>
      <c r="DM221" t="str">
        <f>IF(AM221="Spiral","",IF(SD!$C$31=SD!$Y$3,SD!$E$32*2,""))</f>
        <v/>
      </c>
      <c r="DO221" s="24">
        <f t="shared" si="103"/>
        <v>2.5</v>
      </c>
      <c r="DQ221" t="str">
        <f t="shared" si="104"/>
        <v>Lig</v>
      </c>
      <c r="DR221" t="str">
        <f>IF(AM221="Spiral",((Y221-(SD!$E$12*2))/12),"")</f>
        <v/>
      </c>
      <c r="DS221" t="str">
        <f t="shared" si="105"/>
        <v/>
      </c>
      <c r="DT221" t="str">
        <f t="shared" si="106"/>
        <v/>
      </c>
      <c r="DU221" t="str">
        <f t="shared" si="107"/>
        <v/>
      </c>
    </row>
    <row r="222" spans="1:125" x14ac:dyDescent="0.25">
      <c r="A222">
        <v>67</v>
      </c>
      <c r="B222" t="s">
        <v>682</v>
      </c>
      <c r="C222" s="15">
        <v>2429</v>
      </c>
      <c r="D222" s="15">
        <v>10000</v>
      </c>
      <c r="E222" t="str">
        <f>IF(B222=Level!$A$2,SD!$C$14,SD!$C$13)</f>
        <v>0-8</v>
      </c>
      <c r="F222" s="15" t="s">
        <v>787</v>
      </c>
      <c r="G222" t="s">
        <v>742</v>
      </c>
      <c r="H222" t="str">
        <f>RIGHT(VLOOKUP(B222,Level!A:C,3,FALSE),LEN(VLOOKUP(B222,Level!A:C,3,FALSE))-1)</f>
        <v>10-7</v>
      </c>
      <c r="I222" t="s">
        <v>743</v>
      </c>
      <c r="J222" t="str">
        <f>IF(AND(SD!$C$19=SD!$H$2,Grade!$G$1="Per level"),VLOOKUP(B222,Grade!$E$1:$F$200,2,FALSE),IF(AND(SD!$C$19=SD!$H$2,Grade!$G$1="Per Bar Size"),VLOOKUP(W222,Grade!$B$1:$C$12,2,0),SD!$C$19))</f>
        <v>A615 Grade 60</v>
      </c>
      <c r="K222" t="s">
        <v>67</v>
      </c>
      <c r="L222" t="str">
        <f>IFERROR(IF(A222&lt;&gt;A223,"",IF(DF222="No Lap","",IF(K223="Lap",U222,IF(K223="Coupler",_xlfn._xlws.FILTER(CCoupler,(CCName=SD!$C$8)*(CBSize=IF(A221=A222,W222&amp;W223,W222&amp;W222))*(CCMFM="Male")),"")))),"N/A")</f>
        <v>5-1</v>
      </c>
      <c r="M222" t="str">
        <f t="shared" si="81"/>
        <v/>
      </c>
      <c r="N222" t="s">
        <v>719</v>
      </c>
      <c r="O222" t="s">
        <v>720</v>
      </c>
      <c r="P222" t="s">
        <v>719</v>
      </c>
      <c r="Q222" t="str">
        <f>IF(AND(SD!$C$29=SD!$P$2,Grade!$O$1="Per level"),VLOOKUP(B222,Grade!$M$1:$N$200,2,FALSE),IF(AND(SD!$C$29=SD!$P$2,Grade!$O$1="Per Bar Size"),VLOOKUP(LEFT(N222,FIND("@",N222)-2),Grade!$J$1:$K$12,2,0),SD!$C$29))</f>
        <v>A615 Grade 60</v>
      </c>
      <c r="R222" t="s">
        <v>742</v>
      </c>
      <c r="S222" s="57">
        <v>222</v>
      </c>
      <c r="U222" t="str">
        <f>IF(Data!$J222="",IFERROR(INDEX(IF(SD!$C$11="Create",Lap!$A$3:$BF$14,IF(SD!$C$11="Per Uploaded File",Lap!$A$19:$BF$30,"")),MATCH(W222,Lap!$A$3:$A$14,0),MATCH(VALUE(D222),Lap!$A$3:$BF$3,0)+IF(IFERROR(FIND("Grade 60",J222),0)&gt;0,0,IF(IFERROR(FIND("Grade 80",J222),0),1,IF(IFERROR(FIND("Grade 75",J222),0),2,"")))),""),Data!J222)</f>
        <v>5-1</v>
      </c>
      <c r="W222" t="s">
        <v>176</v>
      </c>
      <c r="X222">
        <v>6</v>
      </c>
      <c r="Y222" t="str">
        <f t="shared" si="82"/>
        <v>30</v>
      </c>
      <c r="Z222">
        <f t="shared" si="83"/>
        <v>0</v>
      </c>
      <c r="AA222" s="24">
        <f t="shared" si="84"/>
        <v>15.666666666666666</v>
      </c>
      <c r="BB222" t="e" cm="1">
        <f t="array" ref="BB222">_xlfn.LET(_xlpm.PartF,(_xlfn.LET(_xlpm.grade, Q222,_xlpm.gradeRange, IF(_xlpm.grade=SD!$H$3, A615GR60, IF(_xlpm.grade=SD!$H$4, A615GR75, IF(_xlpm.grade=SD!$H$5, A615GR80, IF(_xlpm.grade=SD!$H$6, A615GR100, IF(_xlpm.grade=SD!$H$7, A706GR60, IF(_xlpm.grade=SD!$H$8, A706GR80)))))),_xlpm.matchValue, MATCH(1, (SD!$AW:$AW=AS222)*(SD!$AX:$AX=SD!$C$8), 0),INDEX(_xlpm.gradeRange, _xlpm.matchValue))),IF(AM222="Spiral",CONCATENATE("SP",_xlpm.PartF),_xlpm.PartF))</f>
        <v>#N/A</v>
      </c>
      <c r="BC222" cm="1">
        <f t="array" ref="BC222">_xlfn.LET(_xlpm.leftPart, LEFT(O222, FIND("@", O222) - 2),_xlpm.grade,Q222,_xlpm.gradeRange,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2" cm="1">
        <f t="array" ref="BD222">_xlfn.LET(_xlpm.leftPart, LEFT(P222, FIND("@", P222) - 2),_xlpm.grade, Q222,_xlpm.gradeRange,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2">
        <f t="shared" si="85"/>
        <v>2.5</v>
      </c>
      <c r="BF222">
        <f>IF(SD!$C$32=SD!$I$2,BE222,IF(SD!$C$32=SD!$I$3,DO222,IF(SD!$C$32=SD!$I$5,BA222,IF(SD!$C$32=SD!$I$6,(LEFT(SD!$C$35,FIND("-",SD!$C$35)-1)+RIGHT(SD!$C$35,LEN(SD!$C$35)-FIND("-",SD!$C$35))/12),IF(SD!$C$32=SD!$I$4,(AU222-(BG222+BH222)))))))</f>
        <v>0</v>
      </c>
      <c r="BG222">
        <f>IF(SD!$C$33=SD!$I$2,BE222,IF(SD!$C$33=SD!$I$3,DO222,IF(SD!$C$33=SD!$I$5,BA222,IF(SD!$C$33=SD!$I$6,(LEFT(SD!$C$35,FIND("-",SD!$C$35)-1)+RIGHT(SD!$C$35,LEN(SD!$C$35)-FIND("-",SD!$C$35))/12),IF(SD!$C$33=SD!$I$4,(AU222-(BF222+BH222)))))))</f>
        <v>-1</v>
      </c>
      <c r="BH222">
        <f>IF(SD!$C$34=SD!$I$2,BE222,IF(SD!$C$34=SD!$I$3,DO222,IF(SD!$C$34=SD!$I$5,BA222,IF(SD!$C$34=SD!$I$6,(LEFT(SD!$C$35,FIND("-",SD!$C$35)-1)+RIGHT(SD!$C$35,LEN(SD!$C$35)-FIND("-",SD!$C$35))/12),IF(SD!$C$34=SD!$I$4,(AU222-(BF222+BG222)))))))</f>
        <v>1</v>
      </c>
      <c r="BJ222">
        <f>IF(AM222="Spiral","1",MAX(ROUNDUP(IF(SD!$C$32="",AT222,BF222/(LEFT(RIGHT(N222,LEN(N222)-FIND("@",N222)),LEN(RIGHT(N222,LEN(N222)-FIND("@",N222)))-1)/12)+1),0),0))</f>
        <v>1</v>
      </c>
      <c r="BK222">
        <f>MAX(ROUNDUP(IF(SD!$C$33="","",BG222/(LEFT(RIGHT(O222,LEN(O222)-FIND("@",O222)),LEN(RIGHT(O222,LEN(O222)-FIND("@",O222)))-1)/12)+1),0),0)</f>
        <v>0</v>
      </c>
      <c r="BL222">
        <f>MAX(ROUNDUP(IF(SD!$C$34="","",BH222/(LEFT(RIGHT(P222,LEN(P222)-FIND("@",P222)),LEN(RIGHT(P222,LEN(P222)-FIND("@",P222)))-1)/12)+1),0),0)</f>
        <v>3</v>
      </c>
      <c r="BN222" t="e">
        <f t="shared" si="86"/>
        <v>#N/A</v>
      </c>
      <c r="BO222" t="e">
        <f t="shared" si="87"/>
        <v>#N/A</v>
      </c>
      <c r="BP222" t="e">
        <f t="shared" si="88"/>
        <v>#N/A</v>
      </c>
      <c r="BQ222" s="24" t="e">
        <f>IF(AM222=TRUE,(((Y222-(SD!$E$12*2))*3.14159265359)+BN222+BO222+BP222)/12+AL222,SUM(AF222:AG222,BN222,BO222,BP222,AO222,AQ222)/12)</f>
        <v>#N/A</v>
      </c>
      <c r="BR222" t="e">
        <f t="shared" si="89"/>
        <v>#N/A</v>
      </c>
      <c r="BS222" t="e">
        <f t="shared" si="90"/>
        <v>#N/A</v>
      </c>
      <c r="BT222" t="e">
        <f t="shared" si="91"/>
        <v>#N/A</v>
      </c>
      <c r="BU222" s="24" t="e">
        <f>IF(AM222=TRUE,(((Y222-(SD!$E$12*2))*3.14159265359)+BR222+BS222+BT222)/12+AL222,SUM(AF222:AG222,BR222,BS222,BT222,AO222,AQ222)/12)</f>
        <v>#N/A</v>
      </c>
      <c r="BW222" t="str">
        <f>IFERROR(LEFT(Data!L222,FIND(" -",Data!L222)-1),"")</f>
        <v/>
      </c>
      <c r="BX222" t="str">
        <f>IFERROR(IF(SD!$C$40=SD!$U$2,W222,IF(SD!$C$40=SD!$U$3,RIGHT(Data!L222,LEN(Data!L222)-(FIND("-",Data!L222)+1)),SD!$C$40)),"")</f>
        <v>#10</v>
      </c>
      <c r="BY222" t="str" cm="1">
        <f t="array" ref="BY222">IFERROR(_xlfn.LET(_xlpm.GRR,IF(AND(SD!$C$19=SD!$H$2,Grade!$G$1="Per level"),VLOOKUP(B222,Grade!$E$1:$F$200,2,FALSE),IF(AND(SD!$C$19=SD!$H$2,Grade!$G$1="Per Bar Size"),VLOOKUP(BX222,Grade!$B$1:$C$12,2,0),SD!$C$19)),_xlpm.is_equal, A221=A222,_xlpm.grade_range, IF(_xlpm.GRR=SD!$H$3, A615GR60,IF(_xlpm.GRR=SD!$H$4, A615GR75,IF(_xlpm.GRR=SD!$H$5, A615GR80,IF(_xlpm.GRR=SD!H226, A615GR100,IF(_xlpm.GRR=SD!$H$7, A706GR60,IF(_xlpm.GRR=SD!$H$8, A706GR80)))))),_xlpm.match_result, MATCH(1, (BSize=BX222)*(BCName=SD!$C$8), 0),_xlpm.final_result, INDEX(_xlpm.grade_range, _xlpm.match_result),IF(_xlpm.is_equal, "", _xlpm.final_result)),"")</f>
        <v/>
      </c>
      <c r="BZ222" t="str">
        <f>IF(A221=A222,"",IF(SD!$C$41="Match Vertical Bars ",X222,IF(SD!$C$41=SD!$V$3,BW222,SD!$C$41)))</f>
        <v/>
      </c>
      <c r="CA222" t="str" cm="1">
        <f t="array" ref="CA222">IF(A221=A222,"",IF(SD!$C$44="No T-Head",IF(SD!$C$42=SD!$Q$3,VLOOKUP(BX222,S90Range,3,FALSE),LEFT(SD!$C$42,FIND("-",SD!$C$42)-1)+(RIGHT(SD!$C$42,LEN(SD!$C$42)-FIND("-",SD!$C$42))/12)),IF(SD!$C$44="T-Head",_xlfn._xlws.FILTER(THead,(TCName=SD!$C$8)*(TSize=BX222)),IF(SD!$C$44="Level Wise",_xlfn.LET(_xlpm.result,_xlfn.XLOOKUP(B222,VDLevel,VDLevelStatus,"No"),IF(_xlpm.result="Yes",_xlfn._xlws.FILTER(THead,(TCName=SD!$C$8)*(TSize=BX222)),IF(SD!$C$42=SD!$Q$3,VLOOKUP(BX222,S90Range,3,FALSE),LEFT(SD!$C$42,FIND("-",SD!$C$42)-1)+(RIGHT(SD!$C$42,LEN(SD!$C$42)-FIND("-", SD!$C$42))/12)))),IF(SD!$C$44="BarSize Wise",_xlfn.LET(_xlpm.result,_xlfn.XLOOKUP(BX222,VDBarSize,VDBarSizeStatus,"No"),IF(_xlpm.result="Yes",_xlfn._xlws.FILTER(THead,(TCName=SD!$C$8)*(TSize=BX222)),IF(SD!$C$42=SD!$Q$3,VLOOKUP(BX222,S90Range,3,FALSE),LEFT(SD!$C$42,FIND("-",SD!$C$42)-1)+(RIGHT(SD!$C$42,LEN(SD!$C$42)-FIND("-",SD!$C$42))/12)))), "")))))</f>
        <v/>
      </c>
      <c r="CB222" t="str" cm="1">
        <f t="array" ref="CB222">_xlfn.LET(_xlpm.GRR,IF(AND(SD!$C$19=SD!$H$2,Grade!$G$1="Per level"),VLOOKUP(B222,Grade!$E$1:$F$200,2,FALSE),IF(AND(SD!$C$19=SD!$H$2,Grade!$G$1="Per Bar Size"),VLOOKUP(BX222,Grade!$B$1:$C$12,2,0),SD!$C$19)),_xlpm.is_coupler, K222="Coupler",_xlpm.condition1, SD!$C$43=SD!$W$2,_xlpm.data_j2_empty, Data!$J222="",_xlpm.lookup_table, IF(SD!$C$11="Create", Lap!$A$3:$BF$14, IF(SD!$C$11="Per Uploaded File", Lap!$A$19:$BF$30, "")),_xlpm.row_match, MATCH(BX222, Lap!$A$3:$A$14, 0),_xlpm.grade_offset, IF(IFERROR(FIND("Grade 60",_xlpm.GRR), 0) &gt; 0, 0, IF(IFERROR(FIND("Grade 80",_xlpm.GRR), 0), 1, IF(IFERROR(FIND("Grade 75",_xlpm.GRR), 0), 2, ""))),_xlpm.col_match, MATCH(VALUE(D222), Lap!$A$3:$BF$3, 0) + _xlpm.grade_offset,_xlpm.index_result, IFERROR(INDEX(_xlpm.lookup_table, _xlpm.row_match, _xlpm.col_match), Data!$J222),_xlpm.result_if_condition1, IF(_xlpm.data_j2_empty, _xlpm.index_result, Data!$J222),IF(_xlpm.is_coupler, 0, IF(_xlpm.condition1, _xlpm.result_if_condition1, SD!$C$43)))</f>
        <v>5-1</v>
      </c>
      <c r="CC222" s="24">
        <f t="shared" si="92"/>
        <v>5.083333333333333</v>
      </c>
      <c r="CD222">
        <f t="shared" si="93"/>
        <v>5.75</v>
      </c>
      <c r="CE222" t="str" cm="1">
        <f t="array" ref="CE222">IF(BY222="","",_xlfn._xlws.FILTER(SAC,(CName=SD!$C$8)*(EName="Vert Dowels")))</f>
        <v/>
      </c>
      <c r="CF222" t="str" cm="1">
        <f t="array" ref="CF222">IFERROR(IF(BY222="","",IF(K222="Coupler",_xlfn._xlws.FILTER(CCoupler,(CCName=SD!$C$8)*(CBSize=IF(A221=A222,W221&amp;W222,BX222&amp;W222))*(CCMFM="Male")),"")),"N/A")</f>
        <v/>
      </c>
      <c r="CG222" t="str">
        <f t="shared" si="94"/>
        <v/>
      </c>
      <c r="CH222" t="str">
        <f t="shared" si="95"/>
        <v/>
      </c>
      <c r="CI222" t="str">
        <f>_xlfn.LET(_xlpm.u3_value, U223,_xlpm.hyphen_pos,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K223="Coupler",_xlpm.coupler_value, IF(_xlpm.is_coupler, 0, _xlpm.calculated_value),_xlpm.final_value, _xlpm.calculated_value + SD!$E$13 + _xlpm.coupler_value,IF(CG222="", "", _xlpm.final_value))</f>
        <v/>
      </c>
      <c r="CJ222" t="str" cm="1">
        <f t="array" ref="CJ222">IF(CG222="","",_xlfn._xlws.FILTER(SAC,(CName=SD!$C$8)*(EName="Loose Dowels")))</f>
        <v/>
      </c>
      <c r="CK222" t="str" cm="1">
        <f t="array" ref="CK222">IFERROR(IF(CG222="","",IF(K223="Coupler",_xlfn._xlws.FILTER(CCoupler,(CCName=SD!$C$8)*(CBSize=IF(A222=A223,W222&amp;W223,""))*(CCMFM="Male")),"")),"N/A")</f>
        <v/>
      </c>
      <c r="CL222" t="str">
        <f>IFERROR(IF(AM222="Spiral","",IF(A221=A222,"",IF(SD!$C$37=0,"",SD!$C$37))),"")</f>
        <v/>
      </c>
      <c r="CN222">
        <f>IF(AM222="Spiral","",IFERROR(IF(SD!$C$36=0,"",SD!$C$36),""))</f>
        <v>5</v>
      </c>
      <c r="CP222" t="str">
        <f>IFERROR(IF(SD!$C$42=SD!$Q$3,'Take-off'!CA222,""),"")</f>
        <v/>
      </c>
      <c r="CR222">
        <f>IFERROR(IF(SD!$C$22=SD!$U$2,W222,SD!$C$22),"")</f>
        <v>0</v>
      </c>
      <c r="CS222" t="str" cm="1">
        <f t="array" ref="CS222">_xlfn.LET(_xlpm.GR,IF(AND(SD!$C$19=SD!$H$2,Grade!$G$1="Per level"),VLOOKUP(B222,Grade!$E$1:$F$200,2,FALSE),IF(AND(SD!$C$19=SD!$H$2,Grade!$G$1="Per Bar Size"),VLOOKUP(CR222,Grade!$B$1:$C$12,2,0),SD!$C$19)),IF(SD!$C$20=SD!$R$4,IF(A223=A222,"",INDEX(IF(_xlpm.GR=SD!$H$3,A615GR60,IF(_xlpm.GR=SD!$H$4,A615GR75,IF(_xlpm.GR=SD!$H$5,A615GR80,IF(_xlpm.GR=SD!H226,A615GR100,IF(_xlpm.GR=SD!$H$7,A706GR60,IF(_xlpm.GR=SD!$H$8,A706GR80)))))), MATCH(1, (BSize=CR222)*(BCName=SD!$C$8), 0))),""))</f>
        <v/>
      </c>
      <c r="CT222" t="str">
        <f>IF(A223=A222,"",IF(SD!$C$23="Match Vertical Bars ",X222,SD!$C$23))</f>
        <v/>
      </c>
      <c r="CU222" t="str" cm="1">
        <f t="array" ref="CU222">IF(A223=A222,"",IF(SD!$C$20="Top dowels",IF(SD!$E$25="No T-Head",IF(SD!$C$24=SD!$Q$3,VLOOKUP(CR222,S90Range,3,FALSE),LEFT(SD!$C$24,FIND("-",SD!$C$24)-1)+(RIGHT(SD!$C$24,LEN(SD!$C$24)-FIND("-",SD!$C$24))/12)),IF(SD!$E$25="T-Head",_xlfn._xlws.FILTER(THead,(TCName=SD!$C$8)*(TSize=CR222)),IF(SD!$E$25="Level Wise",_xlfn.LET(_xlpm.result,_xlfn.XLOOKUP(B222,TDLevel,TDLevelStatus,"No"),IF(_xlpm.result="Yes",_xlfn._xlws.FILTER(THead,(TCName=SD!$C$8)*(TSize=CR222)),IF(SD!$C$24=SD!$Q$3,VLOOKUP(CR222,S90Range,3,FALSE),LEFT(SD!$C$24,FIND("-",SD!$C$24)-1)+(RIGHT(SD!$C$24,LEN(SD!$C$24)-FIND("-", SD!$C$24))/12)))),IF(SD!$E$25="BarSize Wise",_xlfn.LET(_xlpm.result,_xlfn.XLOOKUP(CR222,TDBarSize,TDBarSizeStatus,"No"),IF(_xlpm.result="Yes",_xlfn._xlws.FILTER(THead,(TCName=SD!$C$8)*(TSize=CR222)),IF(SD!$C$24=SD!$Q$3,VLOOKUP(CR222,S90Range,3,FALSE),LEFT(SD!$C$24,FIND("-",SD!$C$24)-1)+(RIGHT(SD!$C$24,LEN(SD!$C$24)-FIND("-",SD!$C$24))/12)))), "")))),""))</f>
        <v/>
      </c>
      <c r="CV222" t="str">
        <f>_xlfn.LET(_xlpm.GRR,IF(AND(SD!$C$19=SD!$H$2,Grade!$G$1="Per level"),VLOOKUP(B222,Grade!$E$1:$F$200,2,FALSE),IF(AND(SD!$C$19=SD!$H$2,Grade!$G$1="Per Bar Size"),VLOOKUP(CR222,Grade!$B$1:$C$12,2,0),SD!$C$19)),IF(SD!$C$25=SD!$W$2,IF(Data!$J222="",IFERROR(INDEX(IF(SD!$C$11="Create",Lap!$A$3:$BF$14,IF(SD!$C$11="Per Uploaded File",Lap!$A$19:$BF$30,"")),MATCH(CR222,Lap!$A$3:$A$14,0),MATCH(VALUE(D222),Lap!$A$3:$BF$3,0)+IF(IFERROR(FIND("Grade 60",_xlpm.GRR),0)&gt;0,0,IF(IFERROR(FIND("Grade 80",_xlpm.GRR),0),1,IF(IFERROR(FIND("Grade 75",_xlpm.GRR),0),2,"")))),""),Data!J222),SD!$C$43))</f>
        <v>Match Lap</v>
      </c>
      <c r="CW222">
        <f t="shared" si="96"/>
        <v>0</v>
      </c>
      <c r="CX222">
        <f t="shared" si="97"/>
        <v>0</v>
      </c>
      <c r="CY222" t="str">
        <f t="shared" si="98"/>
        <v/>
      </c>
      <c r="DA222" t="str">
        <f t="shared" si="99"/>
        <v/>
      </c>
      <c r="DB222" t="str">
        <f t="shared" si="100"/>
        <v/>
      </c>
      <c r="DC222" s="24" t="str">
        <f t="shared" si="101"/>
        <v/>
      </c>
      <c r="DD222">
        <f t="shared" si="102"/>
        <v>10.583333333333334</v>
      </c>
      <c r="DE222" t="s">
        <v>785</v>
      </c>
      <c r="DF222" t="s">
        <v>67</v>
      </c>
      <c r="DG222" t="str">
        <f>VLOOKUP(W222,'Level Wise PSI'!$F$2:$G$12,2,FALSE)</f>
        <v>Double Lift</v>
      </c>
      <c r="DI222" t="str" cm="1">
        <f t="array" ref="DI222">_xlfn.LET(_xlpm.Coup,IFERROR(IF(BY222="","",IF(K222="Coupler",_xlfn._xlws.FILTER(CCFCoupler,(CCName=SD!$C$8)*(CBSize=IF(A221=A222,W221&amp;W222,BX222&amp;W222))),"")),"N/A"),IF(_xlpm.Coup=0,"",_xlpm.Coup))</f>
        <v/>
      </c>
      <c r="DJ222" t="str" cm="1">
        <f t="array" ref="DJ222">_xlfn.LET(_xlpm.Coup3,IFERROR(IF(CG222="","",IF(K223="Coupler",_xlfn._xlws.FILTER(CCFCoupler,(CCName=SD!$C$8)*(CBSize=IF(A222=A223,W222&amp;W223,""))),"")),"N/A"),IF(_xlpm.Coup3=0,"",_xlpm.Coup3))</f>
        <v/>
      </c>
      <c r="DK222" t="str" cm="1">
        <f t="array" ref="DK222">_xlfn.LET(_xlpm.Coup2,IFERROR(IF(A222&lt;&gt;A223,"",IF(DF222="No Lap","",IF(K223="Coupler",_xlfn._xlws.FILTER(CCFCoupler,(CCName=SD!$C$8)*(CBSize=IF(A221=A222,W222&amp;W223,W222&amp;W222))),""))),"N/A"),IF(_xlpm.Coup2=0,"",_xlpm.Coup2))</f>
        <v/>
      </c>
      <c r="DM222" t="str">
        <f>IF(AM222="Spiral","",IF(SD!$C$31=SD!$Y$3,SD!$E$32*2,""))</f>
        <v/>
      </c>
      <c r="DO222" s="24">
        <f t="shared" si="103"/>
        <v>2.5</v>
      </c>
      <c r="DQ222" t="str">
        <f t="shared" si="104"/>
        <v>Lig</v>
      </c>
      <c r="DR222" t="str">
        <f>IF(AM222="Spiral",((Y222-(SD!$E$12*2))/12),"")</f>
        <v/>
      </c>
      <c r="DS222" t="str">
        <f t="shared" si="105"/>
        <v/>
      </c>
      <c r="DT222" t="str">
        <f t="shared" si="106"/>
        <v/>
      </c>
      <c r="DU222" t="str">
        <f t="shared" si="107"/>
        <v/>
      </c>
    </row>
    <row r="223" spans="1:125" x14ac:dyDescent="0.25">
      <c r="A223">
        <v>67</v>
      </c>
      <c r="B223" t="s">
        <v>684</v>
      </c>
      <c r="C223" s="15">
        <v>2429</v>
      </c>
      <c r="D223" s="15">
        <v>10000</v>
      </c>
      <c r="E223" t="str">
        <f>IF(B223=Level!$A$2,SD!$C$14,SD!$C$13)</f>
        <v>0-8</v>
      </c>
      <c r="F223" s="15" t="s">
        <v>787</v>
      </c>
      <c r="G223" t="s">
        <v>742</v>
      </c>
      <c r="H223" t="str">
        <f>RIGHT(VLOOKUP(B223,Level!A:C,3,FALSE),LEN(VLOOKUP(B223,Level!A:C,3,FALSE))-1)</f>
        <v>10-7</v>
      </c>
      <c r="I223" t="s">
        <v>743</v>
      </c>
      <c r="J223" t="str">
        <f>IF(AND(SD!$C$19=SD!$H$2,Grade!$G$1="Per level"),VLOOKUP(B223,Grade!$E$1:$F$200,2,FALSE),IF(AND(SD!$C$19=SD!$H$2,Grade!$G$1="Per Bar Size"),VLOOKUP(W223,Grade!$B$1:$C$12,2,0),SD!$C$19))</f>
        <v>A615 Grade 60</v>
      </c>
      <c r="K223" t="s">
        <v>67</v>
      </c>
      <c r="L223" t="str">
        <f>IFERROR(IF(A223&lt;&gt;A224,"",IF(DF223="No Lap","",IF(K224="Lap",U223,IF(K224="Coupler",_xlfn._xlws.FILTER(CCoupler,(CCName=SD!$C$8)*(CBSize=IF(A222=A223,W223&amp;W224,W223&amp;W223))*(CCMFM="Male")),"")))),"N/A")</f>
        <v>5-1</v>
      </c>
      <c r="M223" t="str">
        <f t="shared" si="81"/>
        <v/>
      </c>
      <c r="N223" t="s">
        <v>719</v>
      </c>
      <c r="O223" t="s">
        <v>720</v>
      </c>
      <c r="P223" t="s">
        <v>719</v>
      </c>
      <c r="Q223" t="str">
        <f>IF(AND(SD!$C$29=SD!$P$2,Grade!$O$1="Per level"),VLOOKUP(B223,Grade!$M$1:$N$200,2,FALSE),IF(AND(SD!$C$29=SD!$P$2,Grade!$O$1="Per Bar Size"),VLOOKUP(LEFT(N223,FIND("@",N223)-2),Grade!$J$1:$K$12,2,0),SD!$C$29))</f>
        <v>A615 Grade 60</v>
      </c>
      <c r="R223" t="s">
        <v>742</v>
      </c>
      <c r="S223" s="57">
        <v>223</v>
      </c>
      <c r="U223" t="str">
        <f>IF(Data!$J223="",IFERROR(INDEX(IF(SD!$C$11="Create",Lap!$A$3:$BF$14,IF(SD!$C$11="Per Uploaded File",Lap!$A$19:$BF$30,"")),MATCH(W223,Lap!$A$3:$A$14,0),MATCH(VALUE(D223),Lap!$A$3:$BF$3,0)+IF(IFERROR(FIND("Grade 60",J223),0)&gt;0,0,IF(IFERROR(FIND("Grade 80",J223),0),1,IF(IFERROR(FIND("Grade 75",J223),0),2,"")))),""),Data!J223)</f>
        <v>5-1</v>
      </c>
      <c r="W223" t="s">
        <v>176</v>
      </c>
      <c r="X223">
        <v>6</v>
      </c>
      <c r="Y223" t="str">
        <f t="shared" si="82"/>
        <v>30</v>
      </c>
      <c r="Z223">
        <f t="shared" si="83"/>
        <v>0</v>
      </c>
      <c r="AA223" s="24">
        <f t="shared" si="84"/>
        <v>15.666666666666666</v>
      </c>
      <c r="BB223" t="e" cm="1">
        <f t="array" ref="BB223">_xlfn.LET(_xlpm.PartF,(_xlfn.LET(_xlpm.grade, Q223,_xlpm.gradeRange, IF(_xlpm.grade=SD!$H$3, A615GR60, IF(_xlpm.grade=SD!$H$4, A615GR75, IF(_xlpm.grade=SD!$H$5, A615GR80, IF(_xlpm.grade=SD!$H$6, A615GR100, IF(_xlpm.grade=SD!$H$7, A706GR60, IF(_xlpm.grade=SD!$H$8, A706GR80)))))),_xlpm.matchValue, MATCH(1, (SD!$AW:$AW=AS223)*(SD!$AX:$AX=SD!$C$8), 0),INDEX(_xlpm.gradeRange, _xlpm.matchValue))),IF(AM223="Spiral",CONCATENATE("SP",_xlpm.PartF),_xlpm.PartF))</f>
        <v>#N/A</v>
      </c>
      <c r="BC223" cm="1">
        <f t="array" ref="BC223">_xlfn.LET(_xlpm.leftPart, LEFT(O223, FIND("@", O223) - 2),_xlpm.grade,Q223,_xlpm.gradeRange,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3" cm="1">
        <f t="array" ref="BD223">_xlfn.LET(_xlpm.leftPart, LEFT(P223, FIND("@", P223) - 2),_xlpm.grade, Q223,_xlpm.gradeRange,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3">
        <f t="shared" si="85"/>
        <v>2.5</v>
      </c>
      <c r="BF223">
        <f>IF(SD!$C$32=SD!$I$2,BE223,IF(SD!$C$32=SD!$I$3,DO223,IF(SD!$C$32=SD!$I$5,BA223,IF(SD!$C$32=SD!$I$6,(LEFT(SD!$C$35,FIND("-",SD!$C$35)-1)+RIGHT(SD!$C$35,LEN(SD!$C$35)-FIND("-",SD!$C$35))/12),IF(SD!$C$32=SD!$I$4,(AU223-(BG223+BH223)))))))</f>
        <v>0</v>
      </c>
      <c r="BG223">
        <f>IF(SD!$C$33=SD!$I$2,BE223,IF(SD!$C$33=SD!$I$3,DO223,IF(SD!$C$33=SD!$I$5,BA223,IF(SD!$C$33=SD!$I$6,(LEFT(SD!$C$35,FIND("-",SD!$C$35)-1)+RIGHT(SD!$C$35,LEN(SD!$C$35)-FIND("-",SD!$C$35))/12),IF(SD!$C$33=SD!$I$4,(AU223-(BF223+BH223)))))))</f>
        <v>-1</v>
      </c>
      <c r="BH223">
        <f>IF(SD!$C$34=SD!$I$2,BE223,IF(SD!$C$34=SD!$I$3,DO223,IF(SD!$C$34=SD!$I$5,BA223,IF(SD!$C$34=SD!$I$6,(LEFT(SD!$C$35,FIND("-",SD!$C$35)-1)+RIGHT(SD!$C$35,LEN(SD!$C$35)-FIND("-",SD!$C$35))/12),IF(SD!$C$34=SD!$I$4,(AU223-(BF223+BG223)))))))</f>
        <v>1</v>
      </c>
      <c r="BJ223">
        <f>IF(AM223="Spiral","1",MAX(ROUNDUP(IF(SD!$C$32="",AT223,BF223/(LEFT(RIGHT(N223,LEN(N223)-FIND("@",N223)),LEN(RIGHT(N223,LEN(N223)-FIND("@",N223)))-1)/12)+1),0),0))</f>
        <v>1</v>
      </c>
      <c r="BK223">
        <f>MAX(ROUNDUP(IF(SD!$C$33="","",BG223/(LEFT(RIGHT(O223,LEN(O223)-FIND("@",O223)),LEN(RIGHT(O223,LEN(O223)-FIND("@",O223)))-1)/12)+1),0),0)</f>
        <v>0</v>
      </c>
      <c r="BL223">
        <f>MAX(ROUNDUP(IF(SD!$C$34="","",BH223/(LEFT(RIGHT(P223,LEN(P223)-FIND("@",P223)),LEN(RIGHT(P223,LEN(P223)-FIND("@",P223)))-1)/12)+1),0),0)</f>
        <v>3</v>
      </c>
      <c r="BN223" t="e">
        <f t="shared" si="86"/>
        <v>#N/A</v>
      </c>
      <c r="BO223" t="e">
        <f t="shared" si="87"/>
        <v>#N/A</v>
      </c>
      <c r="BP223" t="e">
        <f t="shared" si="88"/>
        <v>#N/A</v>
      </c>
      <c r="BQ223" s="24" t="e">
        <f>IF(AM223=TRUE,(((Y223-(SD!$E$12*2))*3.14159265359)+BN223+BO223+BP223)/12+AL223,SUM(AF223:AG223,BN223,BO223,BP223,AO223,AQ223)/12)</f>
        <v>#N/A</v>
      </c>
      <c r="BR223" t="e">
        <f t="shared" si="89"/>
        <v>#N/A</v>
      </c>
      <c r="BS223" t="e">
        <f t="shared" si="90"/>
        <v>#N/A</v>
      </c>
      <c r="BT223" t="e">
        <f t="shared" si="91"/>
        <v>#N/A</v>
      </c>
      <c r="BU223" s="24" t="e">
        <f>IF(AM223=TRUE,(((Y223-(SD!$E$12*2))*3.14159265359)+BR223+BS223+BT223)/12+AL223,SUM(AF223:AG223,BR223,BS223,BT223,AO223,AQ223)/12)</f>
        <v>#N/A</v>
      </c>
      <c r="BW223" t="str">
        <f>IFERROR(LEFT(Data!L223,FIND(" -",Data!L223)-1),"")</f>
        <v/>
      </c>
      <c r="BX223" t="str">
        <f>IFERROR(IF(SD!$C$40=SD!$U$2,W223,IF(SD!$C$40=SD!$U$3,RIGHT(Data!L223,LEN(Data!L223)-(FIND("-",Data!L223)+1)),SD!$C$40)),"")</f>
        <v>#10</v>
      </c>
      <c r="BY223" t="str" cm="1">
        <f t="array" ref="BY223">IFERROR(_xlfn.LET(_xlpm.GRR,IF(AND(SD!$C$19=SD!$H$2,Grade!$G$1="Per level"),VLOOKUP(B223,Grade!$E$1:$F$200,2,FALSE),IF(AND(SD!$C$19=SD!$H$2,Grade!$G$1="Per Bar Size"),VLOOKUP(BX223,Grade!$B$1:$C$12,2,0),SD!$C$19)),_xlpm.is_equal, A222=A223,_xlpm.grade_range, IF(_xlpm.GRR=SD!$H$3, A615GR60,IF(_xlpm.GRR=SD!$H$4, A615GR75,IF(_xlpm.GRR=SD!$H$5, A615GR80,IF(_xlpm.GRR=SD!H227, A615GR100,IF(_xlpm.GRR=SD!$H$7, A706GR60,IF(_xlpm.GRR=SD!$H$8, A706GR80)))))),_xlpm.match_result, MATCH(1, (BSize=BX223)*(BCName=SD!$C$8), 0),_xlpm.final_result, INDEX(_xlpm.grade_range, _xlpm.match_result),IF(_xlpm.is_equal, "", _xlpm.final_result)),"")</f>
        <v/>
      </c>
      <c r="BZ223" t="str">
        <f>IF(A222=A223,"",IF(SD!$C$41="Match Vertical Bars ",X223,IF(SD!$C$41=SD!$V$3,BW223,SD!$C$41)))</f>
        <v/>
      </c>
      <c r="CA223" t="str" cm="1">
        <f t="array" ref="CA223">IF(A222=A223,"",IF(SD!$C$44="No T-Head",IF(SD!$C$42=SD!$Q$3,VLOOKUP(BX223,S90Range,3,FALSE),LEFT(SD!$C$42,FIND("-",SD!$C$42)-1)+(RIGHT(SD!$C$42,LEN(SD!$C$42)-FIND("-",SD!$C$42))/12)),IF(SD!$C$44="T-Head",_xlfn._xlws.FILTER(THead,(TCName=SD!$C$8)*(TSize=BX223)),IF(SD!$C$44="Level Wise",_xlfn.LET(_xlpm.result,_xlfn.XLOOKUP(B223,VDLevel,VDLevelStatus,"No"),IF(_xlpm.result="Yes",_xlfn._xlws.FILTER(THead,(TCName=SD!$C$8)*(TSize=BX223)),IF(SD!$C$42=SD!$Q$3,VLOOKUP(BX223,S90Range,3,FALSE),LEFT(SD!$C$42,FIND("-",SD!$C$42)-1)+(RIGHT(SD!$C$42,LEN(SD!$C$42)-FIND("-", SD!$C$42))/12)))),IF(SD!$C$44="BarSize Wise",_xlfn.LET(_xlpm.result,_xlfn.XLOOKUP(BX223,VDBarSize,VDBarSizeStatus,"No"),IF(_xlpm.result="Yes",_xlfn._xlws.FILTER(THead,(TCName=SD!$C$8)*(TSize=BX223)),IF(SD!$C$42=SD!$Q$3,VLOOKUP(BX223,S90Range,3,FALSE),LEFT(SD!$C$42,FIND("-",SD!$C$42)-1)+(RIGHT(SD!$C$42,LEN(SD!$C$42)-FIND("-",SD!$C$42))/12)))), "")))))</f>
        <v/>
      </c>
      <c r="CB223" t="str" cm="1">
        <f t="array" ref="CB223">_xlfn.LET(_xlpm.GRR,IF(AND(SD!$C$19=SD!$H$2,Grade!$G$1="Per level"),VLOOKUP(B223,Grade!$E$1:$F$200,2,FALSE),IF(AND(SD!$C$19=SD!$H$2,Grade!$G$1="Per Bar Size"),VLOOKUP(BX223,Grade!$B$1:$C$12,2,0),SD!$C$19)),_xlpm.is_coupler, K223="Coupler",_xlpm.condition1, SD!$C$43=SD!$W$2,_xlpm.data_j2_empty, Data!$J223="",_xlpm.lookup_table, IF(SD!$C$11="Create", Lap!$A$3:$BF$14, IF(SD!$C$11="Per Uploaded File", Lap!$A$19:$BF$30, "")),_xlpm.row_match, MATCH(BX223, Lap!$A$3:$A$14, 0),_xlpm.grade_offset, IF(IFERROR(FIND("Grade 60",_xlpm.GRR), 0) &gt; 0, 0, IF(IFERROR(FIND("Grade 80",_xlpm.GRR), 0), 1, IF(IFERROR(FIND("Grade 75",_xlpm.GRR), 0), 2, ""))),_xlpm.col_match, MATCH(VALUE(D223), Lap!$A$3:$BF$3, 0) + _xlpm.grade_offset,_xlpm.index_result, IFERROR(INDEX(_xlpm.lookup_table, _xlpm.row_match, _xlpm.col_match), Data!$J223),_xlpm.result_if_condition1, IF(_xlpm.data_j2_empty, _xlpm.index_result, Data!$J223),IF(_xlpm.is_coupler, 0, IF(_xlpm.condition1, _xlpm.result_if_condition1, SD!$C$43)))</f>
        <v>5-1</v>
      </c>
      <c r="CC223" s="24">
        <f t="shared" si="92"/>
        <v>5.083333333333333</v>
      </c>
      <c r="CD223">
        <f t="shared" si="93"/>
        <v>5.75</v>
      </c>
      <c r="CE223" t="str" cm="1">
        <f t="array" ref="CE223">IF(BY223="","",_xlfn._xlws.FILTER(SAC,(CName=SD!$C$8)*(EName="Vert Dowels")))</f>
        <v/>
      </c>
      <c r="CF223" t="str" cm="1">
        <f t="array" ref="CF223">IFERROR(IF(BY223="","",IF(K223="Coupler",_xlfn._xlws.FILTER(CCoupler,(CCName=SD!$C$8)*(CBSize=IF(A222=A223,W222&amp;W223,BX223&amp;W223))*(CCMFM="Male")),"")),"N/A")</f>
        <v/>
      </c>
      <c r="CG223" t="str">
        <f t="shared" si="94"/>
        <v/>
      </c>
      <c r="CH223" t="str">
        <f t="shared" si="95"/>
        <v/>
      </c>
      <c r="CI223" t="str">
        <f>_xlfn.LET(_xlpm.u3_value, U224,_xlpm.hyphen_pos,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K224="Coupler",_xlpm.coupler_value, IF(_xlpm.is_coupler, 0, _xlpm.calculated_value),_xlpm.final_value, _xlpm.calculated_value + SD!$E$13 + _xlpm.coupler_value,IF(CG223="", "", _xlpm.final_value))</f>
        <v/>
      </c>
      <c r="CJ223" t="str" cm="1">
        <f t="array" ref="CJ223">IF(CG223="","",_xlfn._xlws.FILTER(SAC,(CName=SD!$C$8)*(EName="Loose Dowels")))</f>
        <v/>
      </c>
      <c r="CK223" t="str" cm="1">
        <f t="array" ref="CK223">IFERROR(IF(CG223="","",IF(K224="Coupler",_xlfn._xlws.FILTER(CCoupler,(CCName=SD!$C$8)*(CBSize=IF(A223=A224,W223&amp;W224,""))*(CCMFM="Male")),"")),"N/A")</f>
        <v/>
      </c>
      <c r="CL223" t="str">
        <f>IFERROR(IF(AM223="Spiral","",IF(A222=A223,"",IF(SD!$C$37=0,"",SD!$C$37))),"")</f>
        <v/>
      </c>
      <c r="CN223">
        <f>IF(AM223="Spiral","",IFERROR(IF(SD!$C$36=0,"",SD!$C$36),""))</f>
        <v>5</v>
      </c>
      <c r="CP223" t="str">
        <f>IFERROR(IF(SD!$C$42=SD!$Q$3,'Take-off'!CA223,""),"")</f>
        <v/>
      </c>
      <c r="CR223">
        <f>IFERROR(IF(SD!$C$22=SD!$U$2,W223,SD!$C$22),"")</f>
        <v>0</v>
      </c>
      <c r="CS223" t="str" cm="1">
        <f t="array" ref="CS223">_xlfn.LET(_xlpm.GR,IF(AND(SD!$C$19=SD!$H$2,Grade!$G$1="Per level"),VLOOKUP(B223,Grade!$E$1:$F$200,2,FALSE),IF(AND(SD!$C$19=SD!$H$2,Grade!$G$1="Per Bar Size"),VLOOKUP(CR223,Grade!$B$1:$C$12,2,0),SD!$C$19)),IF(SD!$C$20=SD!$R$4,IF(A224=A223,"",INDEX(IF(_xlpm.GR=SD!$H$3,A615GR60,IF(_xlpm.GR=SD!$H$4,A615GR75,IF(_xlpm.GR=SD!$H$5,A615GR80,IF(_xlpm.GR=SD!H227,A615GR100,IF(_xlpm.GR=SD!$H$7,A706GR60,IF(_xlpm.GR=SD!$H$8,A706GR80)))))), MATCH(1, (BSize=CR223)*(BCName=SD!$C$8), 0))),""))</f>
        <v/>
      </c>
      <c r="CT223" t="str">
        <f>IF(A224=A223,"",IF(SD!$C$23="Match Vertical Bars ",X223,SD!$C$23))</f>
        <v/>
      </c>
      <c r="CU223" t="str" cm="1">
        <f t="array" ref="CU223">IF(A224=A223,"",IF(SD!$C$20="Top dowels",IF(SD!$E$25="No T-Head",IF(SD!$C$24=SD!$Q$3,VLOOKUP(CR223,S90Range,3,FALSE),LEFT(SD!$C$24,FIND("-",SD!$C$24)-1)+(RIGHT(SD!$C$24,LEN(SD!$C$24)-FIND("-",SD!$C$24))/12)),IF(SD!$E$25="T-Head",_xlfn._xlws.FILTER(THead,(TCName=SD!$C$8)*(TSize=CR223)),IF(SD!$E$25="Level Wise",_xlfn.LET(_xlpm.result,_xlfn.XLOOKUP(B223,TDLevel,TDLevelStatus,"No"),IF(_xlpm.result="Yes",_xlfn._xlws.FILTER(THead,(TCName=SD!$C$8)*(TSize=CR223)),IF(SD!$C$24=SD!$Q$3,VLOOKUP(CR223,S90Range,3,FALSE),LEFT(SD!$C$24,FIND("-",SD!$C$24)-1)+(RIGHT(SD!$C$24,LEN(SD!$C$24)-FIND("-", SD!$C$24))/12)))),IF(SD!$E$25="BarSize Wise",_xlfn.LET(_xlpm.result,_xlfn.XLOOKUP(CR223,TDBarSize,TDBarSizeStatus,"No"),IF(_xlpm.result="Yes",_xlfn._xlws.FILTER(THead,(TCName=SD!$C$8)*(TSize=CR223)),IF(SD!$C$24=SD!$Q$3,VLOOKUP(CR223,S90Range,3,FALSE),LEFT(SD!$C$24,FIND("-",SD!$C$24)-1)+(RIGHT(SD!$C$24,LEN(SD!$C$24)-FIND("-",SD!$C$24))/12)))), "")))),""))</f>
        <v/>
      </c>
      <c r="CV223" t="str">
        <f>_xlfn.LET(_xlpm.GRR,IF(AND(SD!$C$19=SD!$H$2,Grade!$G$1="Per level"),VLOOKUP(B223,Grade!$E$1:$F$200,2,FALSE),IF(AND(SD!$C$19=SD!$H$2,Grade!$G$1="Per Bar Size"),VLOOKUP(CR223,Grade!$B$1:$C$12,2,0),SD!$C$19)),IF(SD!$C$25=SD!$W$2,IF(Data!$J223="",IFERROR(INDEX(IF(SD!$C$11="Create",Lap!$A$3:$BF$14,IF(SD!$C$11="Per Uploaded File",Lap!$A$19:$BF$30,"")),MATCH(CR223,Lap!$A$3:$A$14,0),MATCH(VALUE(D223),Lap!$A$3:$BF$3,0)+IF(IFERROR(FIND("Grade 60",_xlpm.GRR),0)&gt;0,0,IF(IFERROR(FIND("Grade 80",_xlpm.GRR),0),1,IF(IFERROR(FIND("Grade 75",_xlpm.GRR),0),2,"")))),""),Data!J223),SD!$C$43))</f>
        <v>Match Lap</v>
      </c>
      <c r="CW223">
        <f t="shared" si="96"/>
        <v>0</v>
      </c>
      <c r="CX223">
        <f t="shared" si="97"/>
        <v>0</v>
      </c>
      <c r="CY223" t="str">
        <f t="shared" si="98"/>
        <v/>
      </c>
      <c r="DA223" t="str">
        <f t="shared" si="99"/>
        <v/>
      </c>
      <c r="DB223" t="str">
        <f t="shared" si="100"/>
        <v/>
      </c>
      <c r="DC223" s="24" t="str">
        <f t="shared" si="101"/>
        <v/>
      </c>
      <c r="DD223">
        <f t="shared" si="102"/>
        <v>10.583333333333334</v>
      </c>
      <c r="DE223" t="s">
        <v>785</v>
      </c>
      <c r="DF223" t="s">
        <v>67</v>
      </c>
      <c r="DG223" t="str">
        <f>VLOOKUP(W223,'Level Wise PSI'!$F$2:$G$12,2,FALSE)</f>
        <v>Double Lift</v>
      </c>
      <c r="DI223" t="str" cm="1">
        <f t="array" ref="DI223">_xlfn.LET(_xlpm.Coup,IFERROR(IF(BY223="","",IF(K223="Coupler",_xlfn._xlws.FILTER(CCFCoupler,(CCName=SD!$C$8)*(CBSize=IF(A222=A223,W222&amp;W223,BX223&amp;W223))),"")),"N/A"),IF(_xlpm.Coup=0,"",_xlpm.Coup))</f>
        <v/>
      </c>
      <c r="DJ223" t="str" cm="1">
        <f t="array" ref="DJ223">_xlfn.LET(_xlpm.Coup3,IFERROR(IF(CG223="","",IF(K224="Coupler",_xlfn._xlws.FILTER(CCFCoupler,(CCName=SD!$C$8)*(CBSize=IF(A223=A224,W223&amp;W224,""))),"")),"N/A"),IF(_xlpm.Coup3=0,"",_xlpm.Coup3))</f>
        <v/>
      </c>
      <c r="DK223" t="str" cm="1">
        <f t="array" ref="DK223">_xlfn.LET(_xlpm.Coup2,IFERROR(IF(A223&lt;&gt;A224,"",IF(DF223="No Lap","",IF(K224="Coupler",_xlfn._xlws.FILTER(CCFCoupler,(CCName=SD!$C$8)*(CBSize=IF(A222=A223,W223&amp;W224,W223&amp;W223))),""))),"N/A"),IF(_xlpm.Coup2=0,"",_xlpm.Coup2))</f>
        <v/>
      </c>
      <c r="DM223" t="str">
        <f>IF(AM223="Spiral","",IF(SD!$C$31=SD!$Y$3,SD!$E$32*2,""))</f>
        <v/>
      </c>
      <c r="DO223" s="24">
        <f t="shared" si="103"/>
        <v>2.5</v>
      </c>
      <c r="DQ223" t="str">
        <f t="shared" si="104"/>
        <v>Lig</v>
      </c>
      <c r="DR223" t="str">
        <f>IF(AM223="Spiral",((Y223-(SD!$E$12*2))/12),"")</f>
        <v/>
      </c>
      <c r="DS223" t="str">
        <f t="shared" si="105"/>
        <v/>
      </c>
      <c r="DT223" t="str">
        <f t="shared" si="106"/>
        <v/>
      </c>
      <c r="DU223" t="str">
        <f t="shared" si="107"/>
        <v/>
      </c>
    </row>
    <row r="224" spans="1:125" x14ac:dyDescent="0.25">
      <c r="A224">
        <v>67</v>
      </c>
      <c r="B224" t="s">
        <v>686</v>
      </c>
      <c r="C224" s="15">
        <v>2429</v>
      </c>
      <c r="D224" s="15">
        <v>10000</v>
      </c>
      <c r="E224" t="str">
        <f>IF(B224=Level!$A$2,SD!$C$14,SD!$C$13)</f>
        <v>0-8</v>
      </c>
      <c r="F224" s="15" t="s">
        <v>787</v>
      </c>
      <c r="G224" t="s">
        <v>742</v>
      </c>
      <c r="H224" t="str">
        <f>RIGHT(VLOOKUP(B224,Level!A:C,3,FALSE),LEN(VLOOKUP(B224,Level!A:C,3,FALSE))-1)</f>
        <v>10-7</v>
      </c>
      <c r="I224" t="s">
        <v>743</v>
      </c>
      <c r="J224" t="str">
        <f>IF(AND(SD!$C$19=SD!$H$2,Grade!$G$1="Per level"),VLOOKUP(B224,Grade!$E$1:$F$200,2,FALSE),IF(AND(SD!$C$19=SD!$H$2,Grade!$G$1="Per Bar Size"),VLOOKUP(W224,Grade!$B$1:$C$12,2,0),SD!$C$19))</f>
        <v>A615 Grade 60</v>
      </c>
      <c r="K224" t="s">
        <v>67</v>
      </c>
      <c r="L224" t="str">
        <f>IFERROR(IF(A224&lt;&gt;A225,"",IF(DF224="No Lap","",IF(K225="Lap",U224,IF(K225="Coupler",_xlfn._xlws.FILTER(CCoupler,(CCName=SD!$C$8)*(CBSize=IF(A223=A224,W224&amp;W225,W224&amp;W224))*(CCMFM="Male")),"")))),"N/A")</f>
        <v>5-1</v>
      </c>
      <c r="M224" t="str">
        <f t="shared" si="81"/>
        <v/>
      </c>
      <c r="N224" t="s">
        <v>719</v>
      </c>
      <c r="O224" t="s">
        <v>720</v>
      </c>
      <c r="P224" t="s">
        <v>719</v>
      </c>
      <c r="Q224" t="str">
        <f>IF(AND(SD!$C$29=SD!$P$2,Grade!$O$1="Per level"),VLOOKUP(B224,Grade!$M$1:$N$200,2,FALSE),IF(AND(SD!$C$29=SD!$P$2,Grade!$O$1="Per Bar Size"),VLOOKUP(LEFT(N224,FIND("@",N224)-2),Grade!$J$1:$K$12,2,0),SD!$C$29))</f>
        <v>A615 Grade 60</v>
      </c>
      <c r="R224" t="s">
        <v>742</v>
      </c>
      <c r="S224" s="57">
        <v>224</v>
      </c>
      <c r="U224" t="str">
        <f>IF(Data!$J224="",IFERROR(INDEX(IF(SD!$C$11="Create",Lap!$A$3:$BF$14,IF(SD!$C$11="Per Uploaded File",Lap!$A$19:$BF$30,"")),MATCH(W224,Lap!$A$3:$A$14,0),MATCH(VALUE(D224),Lap!$A$3:$BF$3,0)+IF(IFERROR(FIND("Grade 60",J224),0)&gt;0,0,IF(IFERROR(FIND("Grade 80",J224),0),1,IF(IFERROR(FIND("Grade 75",J224),0),2,"")))),""),Data!J224)</f>
        <v>5-1</v>
      </c>
      <c r="W224" t="s">
        <v>176</v>
      </c>
      <c r="X224">
        <v>6</v>
      </c>
      <c r="Y224" t="str">
        <f t="shared" si="82"/>
        <v>30</v>
      </c>
      <c r="Z224">
        <f t="shared" si="83"/>
        <v>0</v>
      </c>
      <c r="AA224" s="24">
        <f t="shared" si="84"/>
        <v>15.666666666666666</v>
      </c>
      <c r="BB224" t="e" cm="1">
        <f t="array" ref="BB224">_xlfn.LET(_xlpm.PartF,(_xlfn.LET(_xlpm.grade, Q224,_xlpm.gradeRange, IF(_xlpm.grade=SD!$H$3, A615GR60, IF(_xlpm.grade=SD!$H$4, A615GR75, IF(_xlpm.grade=SD!$H$5, A615GR80, IF(_xlpm.grade=SD!$H$6, A615GR100, IF(_xlpm.grade=SD!$H$7, A706GR60, IF(_xlpm.grade=SD!$H$8, A706GR80)))))),_xlpm.matchValue, MATCH(1, (SD!$AW:$AW=AS224)*(SD!$AX:$AX=SD!$C$8), 0),INDEX(_xlpm.gradeRange, _xlpm.matchValue))),IF(AM224="Spiral",CONCATENATE("SP",_xlpm.PartF),_xlpm.PartF))</f>
        <v>#N/A</v>
      </c>
      <c r="BC224" cm="1">
        <f t="array" ref="BC224">_xlfn.LET(_xlpm.leftPart, LEFT(O224, FIND("@", O224) - 2),_xlpm.grade,Q224,_xlpm.gradeRange,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4" cm="1">
        <f t="array" ref="BD224">_xlfn.LET(_xlpm.leftPart, LEFT(P224, FIND("@", P224) - 2),_xlpm.grade, Q224,_xlpm.gradeRange,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4">
        <f t="shared" si="85"/>
        <v>2.5</v>
      </c>
      <c r="BF224">
        <f>IF(SD!$C$32=SD!$I$2,BE224,IF(SD!$C$32=SD!$I$3,DO224,IF(SD!$C$32=SD!$I$5,BA224,IF(SD!$C$32=SD!$I$6,(LEFT(SD!$C$35,FIND("-",SD!$C$35)-1)+RIGHT(SD!$C$35,LEN(SD!$C$35)-FIND("-",SD!$C$35))/12),IF(SD!$C$32=SD!$I$4,(AU224-(BG224+BH224)))))))</f>
        <v>0</v>
      </c>
      <c r="BG224">
        <f>IF(SD!$C$33=SD!$I$2,BE224,IF(SD!$C$33=SD!$I$3,DO224,IF(SD!$C$33=SD!$I$5,BA224,IF(SD!$C$33=SD!$I$6,(LEFT(SD!$C$35,FIND("-",SD!$C$35)-1)+RIGHT(SD!$C$35,LEN(SD!$C$35)-FIND("-",SD!$C$35))/12),IF(SD!$C$33=SD!$I$4,(AU224-(BF224+BH224)))))))</f>
        <v>-1</v>
      </c>
      <c r="BH224">
        <f>IF(SD!$C$34=SD!$I$2,BE224,IF(SD!$C$34=SD!$I$3,DO224,IF(SD!$C$34=SD!$I$5,BA224,IF(SD!$C$34=SD!$I$6,(LEFT(SD!$C$35,FIND("-",SD!$C$35)-1)+RIGHT(SD!$C$35,LEN(SD!$C$35)-FIND("-",SD!$C$35))/12),IF(SD!$C$34=SD!$I$4,(AU224-(BF224+BG224)))))))</f>
        <v>1</v>
      </c>
      <c r="BJ224">
        <f>IF(AM224="Spiral","1",MAX(ROUNDUP(IF(SD!$C$32="",AT224,BF224/(LEFT(RIGHT(N224,LEN(N224)-FIND("@",N224)),LEN(RIGHT(N224,LEN(N224)-FIND("@",N224)))-1)/12)+1),0),0))</f>
        <v>1</v>
      </c>
      <c r="BK224">
        <f>MAX(ROUNDUP(IF(SD!$C$33="","",BG224/(LEFT(RIGHT(O224,LEN(O224)-FIND("@",O224)),LEN(RIGHT(O224,LEN(O224)-FIND("@",O224)))-1)/12)+1),0),0)</f>
        <v>0</v>
      </c>
      <c r="BL224">
        <f>MAX(ROUNDUP(IF(SD!$C$34="","",BH224/(LEFT(RIGHT(P224,LEN(P224)-FIND("@",P224)),LEN(RIGHT(P224,LEN(P224)-FIND("@",P224)))-1)/12)+1),0),0)</f>
        <v>3</v>
      </c>
      <c r="BN224" t="e">
        <f t="shared" si="86"/>
        <v>#N/A</v>
      </c>
      <c r="BO224" t="e">
        <f t="shared" si="87"/>
        <v>#N/A</v>
      </c>
      <c r="BP224" t="e">
        <f t="shared" si="88"/>
        <v>#N/A</v>
      </c>
      <c r="BQ224" s="24" t="e">
        <f>IF(AM224=TRUE,(((Y224-(SD!$E$12*2))*3.14159265359)+BN224+BO224+BP224)/12+AL224,SUM(AF224:AG224,BN224,BO224,BP224,AO224,AQ224)/12)</f>
        <v>#N/A</v>
      </c>
      <c r="BR224" t="e">
        <f t="shared" si="89"/>
        <v>#N/A</v>
      </c>
      <c r="BS224" t="e">
        <f t="shared" si="90"/>
        <v>#N/A</v>
      </c>
      <c r="BT224" t="e">
        <f t="shared" si="91"/>
        <v>#N/A</v>
      </c>
      <c r="BU224" s="24" t="e">
        <f>IF(AM224=TRUE,(((Y224-(SD!$E$12*2))*3.14159265359)+BR224+BS224+BT224)/12+AL224,SUM(AF224:AG224,BR224,BS224,BT224,AO224,AQ224)/12)</f>
        <v>#N/A</v>
      </c>
      <c r="BW224" t="str">
        <f>IFERROR(LEFT(Data!L224,FIND(" -",Data!L224)-1),"")</f>
        <v/>
      </c>
      <c r="BX224" t="str">
        <f>IFERROR(IF(SD!$C$40=SD!$U$2,W224,IF(SD!$C$40=SD!$U$3,RIGHT(Data!L224,LEN(Data!L224)-(FIND("-",Data!L224)+1)),SD!$C$40)),"")</f>
        <v>#10</v>
      </c>
      <c r="BY224" t="str" cm="1">
        <f t="array" ref="BY224">IFERROR(_xlfn.LET(_xlpm.GRR,IF(AND(SD!$C$19=SD!$H$2,Grade!$G$1="Per level"),VLOOKUP(B224,Grade!$E$1:$F$200,2,FALSE),IF(AND(SD!$C$19=SD!$H$2,Grade!$G$1="Per Bar Size"),VLOOKUP(BX224,Grade!$B$1:$C$12,2,0),SD!$C$19)),_xlpm.is_equal, A223=A224,_xlpm.grade_range, IF(_xlpm.GRR=SD!$H$3, A615GR60,IF(_xlpm.GRR=SD!$H$4, A615GR75,IF(_xlpm.GRR=SD!$H$5, A615GR80,IF(_xlpm.GRR=SD!H228, A615GR100,IF(_xlpm.GRR=SD!$H$7, A706GR60,IF(_xlpm.GRR=SD!$H$8, A706GR80)))))),_xlpm.match_result, MATCH(1, (BSize=BX224)*(BCName=SD!$C$8), 0),_xlpm.final_result, INDEX(_xlpm.grade_range, _xlpm.match_result),IF(_xlpm.is_equal, "", _xlpm.final_result)),"")</f>
        <v/>
      </c>
      <c r="BZ224" t="str">
        <f>IF(A223=A224,"",IF(SD!$C$41="Match Vertical Bars ",X224,IF(SD!$C$41=SD!$V$3,BW224,SD!$C$41)))</f>
        <v/>
      </c>
      <c r="CA224" t="str" cm="1">
        <f t="array" ref="CA224">IF(A223=A224,"",IF(SD!$C$44="No T-Head",IF(SD!$C$42=SD!$Q$3,VLOOKUP(BX224,S90Range,3,FALSE),LEFT(SD!$C$42,FIND("-",SD!$C$42)-1)+(RIGHT(SD!$C$42,LEN(SD!$C$42)-FIND("-",SD!$C$42))/12)),IF(SD!$C$44="T-Head",_xlfn._xlws.FILTER(THead,(TCName=SD!$C$8)*(TSize=BX224)),IF(SD!$C$44="Level Wise",_xlfn.LET(_xlpm.result,_xlfn.XLOOKUP(B224,VDLevel,VDLevelStatus,"No"),IF(_xlpm.result="Yes",_xlfn._xlws.FILTER(THead,(TCName=SD!$C$8)*(TSize=BX224)),IF(SD!$C$42=SD!$Q$3,VLOOKUP(BX224,S90Range,3,FALSE),LEFT(SD!$C$42,FIND("-",SD!$C$42)-1)+(RIGHT(SD!$C$42,LEN(SD!$C$42)-FIND("-", SD!$C$42))/12)))),IF(SD!$C$44="BarSize Wise",_xlfn.LET(_xlpm.result,_xlfn.XLOOKUP(BX224,VDBarSize,VDBarSizeStatus,"No"),IF(_xlpm.result="Yes",_xlfn._xlws.FILTER(THead,(TCName=SD!$C$8)*(TSize=BX224)),IF(SD!$C$42=SD!$Q$3,VLOOKUP(BX224,S90Range,3,FALSE),LEFT(SD!$C$42,FIND("-",SD!$C$42)-1)+(RIGHT(SD!$C$42,LEN(SD!$C$42)-FIND("-",SD!$C$42))/12)))), "")))))</f>
        <v/>
      </c>
      <c r="CB224" t="str" cm="1">
        <f t="array" ref="CB224">_xlfn.LET(_xlpm.GRR,IF(AND(SD!$C$19=SD!$H$2,Grade!$G$1="Per level"),VLOOKUP(B224,Grade!$E$1:$F$200,2,FALSE),IF(AND(SD!$C$19=SD!$H$2,Grade!$G$1="Per Bar Size"),VLOOKUP(BX224,Grade!$B$1:$C$12,2,0),SD!$C$19)),_xlpm.is_coupler, K224="Coupler",_xlpm.condition1, SD!$C$43=SD!$W$2,_xlpm.data_j2_empty, Data!$J224="",_xlpm.lookup_table, IF(SD!$C$11="Create", Lap!$A$3:$BF$14, IF(SD!$C$11="Per Uploaded File", Lap!$A$19:$BF$30, "")),_xlpm.row_match, MATCH(BX224, Lap!$A$3:$A$14, 0),_xlpm.grade_offset, IF(IFERROR(FIND("Grade 60",_xlpm.GRR), 0) &gt; 0, 0, IF(IFERROR(FIND("Grade 80",_xlpm.GRR), 0), 1, IF(IFERROR(FIND("Grade 75",_xlpm.GRR), 0), 2, ""))),_xlpm.col_match, MATCH(VALUE(D224), Lap!$A$3:$BF$3, 0) + _xlpm.grade_offset,_xlpm.index_result, IFERROR(INDEX(_xlpm.lookup_table, _xlpm.row_match, _xlpm.col_match), Data!$J224),_xlpm.result_if_condition1, IF(_xlpm.data_j2_empty, _xlpm.index_result, Data!$J224),IF(_xlpm.is_coupler, 0, IF(_xlpm.condition1, _xlpm.result_if_condition1, SD!$C$43)))</f>
        <v>5-1</v>
      </c>
      <c r="CC224" s="24">
        <f t="shared" si="92"/>
        <v>5.083333333333333</v>
      </c>
      <c r="CD224">
        <f t="shared" si="93"/>
        <v>5.75</v>
      </c>
      <c r="CE224" t="str" cm="1">
        <f t="array" ref="CE224">IF(BY224="","",_xlfn._xlws.FILTER(SAC,(CName=SD!$C$8)*(EName="Vert Dowels")))</f>
        <v/>
      </c>
      <c r="CF224" t="str" cm="1">
        <f t="array" ref="CF224">IFERROR(IF(BY224="","",IF(K224="Coupler",_xlfn._xlws.FILTER(CCoupler,(CCName=SD!$C$8)*(CBSize=IF(A223=A224,W223&amp;W224,BX224&amp;W224))*(CCMFM="Male")),"")),"N/A")</f>
        <v/>
      </c>
      <c r="CG224" t="str">
        <f t="shared" si="94"/>
        <v/>
      </c>
      <c r="CH224" t="str">
        <f t="shared" si="95"/>
        <v/>
      </c>
      <c r="CI224" t="str">
        <f>_xlfn.LET(_xlpm.u3_value, U225,_xlpm.hyphen_pos,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K225="Coupler",_xlpm.coupler_value, IF(_xlpm.is_coupler, 0, _xlpm.calculated_value),_xlpm.final_value, _xlpm.calculated_value + SD!$E$13 + _xlpm.coupler_value,IF(CG224="", "", _xlpm.final_value))</f>
        <v/>
      </c>
      <c r="CJ224" t="str" cm="1">
        <f t="array" ref="CJ224">IF(CG224="","",_xlfn._xlws.FILTER(SAC,(CName=SD!$C$8)*(EName="Loose Dowels")))</f>
        <v/>
      </c>
      <c r="CK224" t="str" cm="1">
        <f t="array" ref="CK224">IFERROR(IF(CG224="","",IF(K225="Coupler",_xlfn._xlws.FILTER(CCoupler,(CCName=SD!$C$8)*(CBSize=IF(A224=A225,W224&amp;W225,""))*(CCMFM="Male")),"")),"N/A")</f>
        <v/>
      </c>
      <c r="CL224" t="str">
        <f>IFERROR(IF(AM224="Spiral","",IF(A223=A224,"",IF(SD!$C$37=0,"",SD!$C$37))),"")</f>
        <v/>
      </c>
      <c r="CN224">
        <f>IF(AM224="Spiral","",IFERROR(IF(SD!$C$36=0,"",SD!$C$36),""))</f>
        <v>5</v>
      </c>
      <c r="CP224" t="str">
        <f>IFERROR(IF(SD!$C$42=SD!$Q$3,'Take-off'!CA224,""),"")</f>
        <v/>
      </c>
      <c r="CR224">
        <f>IFERROR(IF(SD!$C$22=SD!$U$2,W224,SD!$C$22),"")</f>
        <v>0</v>
      </c>
      <c r="CS224" t="str" cm="1">
        <f t="array" ref="CS224">_xlfn.LET(_xlpm.GR,IF(AND(SD!$C$19=SD!$H$2,Grade!$G$1="Per level"),VLOOKUP(B224,Grade!$E$1:$F$200,2,FALSE),IF(AND(SD!$C$19=SD!$H$2,Grade!$G$1="Per Bar Size"),VLOOKUP(CR224,Grade!$B$1:$C$12,2,0),SD!$C$19)),IF(SD!$C$20=SD!$R$4,IF(A225=A224,"",INDEX(IF(_xlpm.GR=SD!$H$3,A615GR60,IF(_xlpm.GR=SD!$H$4,A615GR75,IF(_xlpm.GR=SD!$H$5,A615GR80,IF(_xlpm.GR=SD!H228,A615GR100,IF(_xlpm.GR=SD!$H$7,A706GR60,IF(_xlpm.GR=SD!$H$8,A706GR80)))))), MATCH(1, (BSize=CR224)*(BCName=SD!$C$8), 0))),""))</f>
        <v/>
      </c>
      <c r="CT224" t="str">
        <f>IF(A225=A224,"",IF(SD!$C$23="Match Vertical Bars ",X224,SD!$C$23))</f>
        <v/>
      </c>
      <c r="CU224" t="str" cm="1">
        <f t="array" ref="CU224">IF(A225=A224,"",IF(SD!$C$20="Top dowels",IF(SD!$E$25="No T-Head",IF(SD!$C$24=SD!$Q$3,VLOOKUP(CR224,S90Range,3,FALSE),LEFT(SD!$C$24,FIND("-",SD!$C$24)-1)+(RIGHT(SD!$C$24,LEN(SD!$C$24)-FIND("-",SD!$C$24))/12)),IF(SD!$E$25="T-Head",_xlfn._xlws.FILTER(THead,(TCName=SD!$C$8)*(TSize=CR224)),IF(SD!$E$25="Level Wise",_xlfn.LET(_xlpm.result,_xlfn.XLOOKUP(B224,TDLevel,TDLevelStatus,"No"),IF(_xlpm.result="Yes",_xlfn._xlws.FILTER(THead,(TCName=SD!$C$8)*(TSize=CR224)),IF(SD!$C$24=SD!$Q$3,VLOOKUP(CR224,S90Range,3,FALSE),LEFT(SD!$C$24,FIND("-",SD!$C$24)-1)+(RIGHT(SD!$C$24,LEN(SD!$C$24)-FIND("-", SD!$C$24))/12)))),IF(SD!$E$25="BarSize Wise",_xlfn.LET(_xlpm.result,_xlfn.XLOOKUP(CR224,TDBarSize,TDBarSizeStatus,"No"),IF(_xlpm.result="Yes",_xlfn._xlws.FILTER(THead,(TCName=SD!$C$8)*(TSize=CR224)),IF(SD!$C$24=SD!$Q$3,VLOOKUP(CR224,S90Range,3,FALSE),LEFT(SD!$C$24,FIND("-",SD!$C$24)-1)+(RIGHT(SD!$C$24,LEN(SD!$C$24)-FIND("-",SD!$C$24))/12)))), "")))),""))</f>
        <v/>
      </c>
      <c r="CV224" t="str">
        <f>_xlfn.LET(_xlpm.GRR,IF(AND(SD!$C$19=SD!$H$2,Grade!$G$1="Per level"),VLOOKUP(B224,Grade!$E$1:$F$200,2,FALSE),IF(AND(SD!$C$19=SD!$H$2,Grade!$G$1="Per Bar Size"),VLOOKUP(CR224,Grade!$B$1:$C$12,2,0),SD!$C$19)),IF(SD!$C$25=SD!$W$2,IF(Data!$J224="",IFERROR(INDEX(IF(SD!$C$11="Create",Lap!$A$3:$BF$14,IF(SD!$C$11="Per Uploaded File",Lap!$A$19:$BF$30,"")),MATCH(CR224,Lap!$A$3:$A$14,0),MATCH(VALUE(D224),Lap!$A$3:$BF$3,0)+IF(IFERROR(FIND("Grade 60",_xlpm.GRR),0)&gt;0,0,IF(IFERROR(FIND("Grade 80",_xlpm.GRR),0),1,IF(IFERROR(FIND("Grade 75",_xlpm.GRR),0),2,"")))),""),Data!J224),SD!$C$43))</f>
        <v>Match Lap</v>
      </c>
      <c r="CW224">
        <f t="shared" si="96"/>
        <v>0</v>
      </c>
      <c r="CX224">
        <f t="shared" si="97"/>
        <v>0</v>
      </c>
      <c r="CY224" t="str">
        <f t="shared" si="98"/>
        <v/>
      </c>
      <c r="DA224" t="str">
        <f t="shared" si="99"/>
        <v/>
      </c>
      <c r="DB224" t="str">
        <f t="shared" si="100"/>
        <v/>
      </c>
      <c r="DC224" s="24" t="str">
        <f t="shared" si="101"/>
        <v/>
      </c>
      <c r="DD224">
        <f t="shared" si="102"/>
        <v>10.583333333333334</v>
      </c>
      <c r="DE224" t="s">
        <v>785</v>
      </c>
      <c r="DF224" t="s">
        <v>67</v>
      </c>
      <c r="DG224" t="str">
        <f>VLOOKUP(W224,'Level Wise PSI'!$F$2:$G$12,2,FALSE)</f>
        <v>Double Lift</v>
      </c>
      <c r="DI224" t="str" cm="1">
        <f t="array" ref="DI224">_xlfn.LET(_xlpm.Coup,IFERROR(IF(BY224="","",IF(K224="Coupler",_xlfn._xlws.FILTER(CCFCoupler,(CCName=SD!$C$8)*(CBSize=IF(A223=A224,W223&amp;W224,BX224&amp;W224))),"")),"N/A"),IF(_xlpm.Coup=0,"",_xlpm.Coup))</f>
        <v/>
      </c>
      <c r="DJ224" t="str" cm="1">
        <f t="array" ref="DJ224">_xlfn.LET(_xlpm.Coup3,IFERROR(IF(CG224="","",IF(K225="Coupler",_xlfn._xlws.FILTER(CCFCoupler,(CCName=SD!$C$8)*(CBSize=IF(A224=A225,W224&amp;W225,""))),"")),"N/A"),IF(_xlpm.Coup3=0,"",_xlpm.Coup3))</f>
        <v/>
      </c>
      <c r="DK224" t="str" cm="1">
        <f t="array" ref="DK224">_xlfn.LET(_xlpm.Coup2,IFERROR(IF(A224&lt;&gt;A225,"",IF(DF224="No Lap","",IF(K225="Coupler",_xlfn._xlws.FILTER(CCFCoupler,(CCName=SD!$C$8)*(CBSize=IF(A223=A224,W224&amp;W225,W224&amp;W224))),""))),"N/A"),IF(_xlpm.Coup2=0,"",_xlpm.Coup2))</f>
        <v/>
      </c>
      <c r="DM224" t="str">
        <f>IF(AM224="Spiral","",IF(SD!$C$31=SD!$Y$3,SD!$E$32*2,""))</f>
        <v/>
      </c>
      <c r="DO224" s="24">
        <f t="shared" si="103"/>
        <v>2.5</v>
      </c>
      <c r="DQ224" t="str">
        <f t="shared" si="104"/>
        <v>Lig</v>
      </c>
      <c r="DR224" t="str">
        <f>IF(AM224="Spiral",((Y224-(SD!$E$12*2))/12),"")</f>
        <v/>
      </c>
      <c r="DS224" t="str">
        <f t="shared" si="105"/>
        <v/>
      </c>
      <c r="DT224" t="str">
        <f t="shared" si="106"/>
        <v/>
      </c>
      <c r="DU224" t="str">
        <f t="shared" si="107"/>
        <v/>
      </c>
    </row>
    <row r="225" spans="1:125" x14ac:dyDescent="0.25">
      <c r="A225">
        <v>67</v>
      </c>
      <c r="B225" t="s">
        <v>688</v>
      </c>
      <c r="C225" s="15">
        <v>2429</v>
      </c>
      <c r="D225" s="15">
        <v>10000</v>
      </c>
      <c r="E225" t="str">
        <f>IF(B225=Level!$A$2,SD!$C$14,SD!$C$13)</f>
        <v>0-8</v>
      </c>
      <c r="F225" s="15" t="s">
        <v>787</v>
      </c>
      <c r="G225" t="s">
        <v>742</v>
      </c>
      <c r="H225" t="str">
        <f>RIGHT(VLOOKUP(B225,Level!A:C,3,FALSE),LEN(VLOOKUP(B225,Level!A:C,3,FALSE))-1)</f>
        <v>10-7</v>
      </c>
      <c r="I225" t="s">
        <v>744</v>
      </c>
      <c r="J225" t="str">
        <f>IF(AND(SD!$C$19=SD!$H$2,Grade!$G$1="Per level"),VLOOKUP(B225,Grade!$E$1:$F$200,2,FALSE),IF(AND(SD!$C$19=SD!$H$2,Grade!$G$1="Per Bar Size"),VLOOKUP(W225,Grade!$B$1:$C$12,2,0),SD!$C$19))</f>
        <v>A615 Grade 60</v>
      </c>
      <c r="K225" t="s">
        <v>67</v>
      </c>
      <c r="L225" t="str">
        <f>IFERROR(IF(A225&lt;&gt;A226,"",IF(DF225="No Lap","",IF(K226="Lap",U225,IF(K226="Coupler",_xlfn._xlws.FILTER(CCoupler,(CCName=SD!$C$8)*(CBSize=IF(A224=A225,W225&amp;W226,W225&amp;W225))*(CCMFM="Male")),"")))),"N/A")</f>
        <v/>
      </c>
      <c r="M225" t="str">
        <f t="shared" si="81"/>
        <v/>
      </c>
      <c r="N225" t="s">
        <v>719</v>
      </c>
      <c r="O225" t="s">
        <v>720</v>
      </c>
      <c r="P225" t="s">
        <v>719</v>
      </c>
      <c r="Q225" t="str">
        <f>IF(AND(SD!$C$29=SD!$P$2,Grade!$O$1="Per level"),VLOOKUP(B225,Grade!$M$1:$N$200,2,FALSE),IF(AND(SD!$C$29=SD!$P$2,Grade!$O$1="Per Bar Size"),VLOOKUP(LEFT(N225,FIND("@",N225)-2),Grade!$J$1:$K$12,2,0),SD!$C$29))</f>
        <v>A615 Grade 60</v>
      </c>
      <c r="R225" t="s">
        <v>742</v>
      </c>
      <c r="S225" s="57">
        <v>225</v>
      </c>
      <c r="U225" t="str">
        <f>IF(Data!$J225="",IFERROR(INDEX(IF(SD!$C$11="Create",Lap!$A$3:$BF$14,IF(SD!$C$11="Per Uploaded File",Lap!$A$19:$BF$30,"")),MATCH(W225,Lap!$A$3:$A$14,0),MATCH(VALUE(D225),Lap!$A$3:$BF$3,0)+IF(IFERROR(FIND("Grade 60",J225),0)&gt;0,0,IF(IFERROR(FIND("Grade 80",J225),0),1,IF(IFERROR(FIND("Grade 75",J225),0),2,"")))),""),Data!J225)</f>
        <v>4-0</v>
      </c>
      <c r="W225" t="s">
        <v>151</v>
      </c>
      <c r="X225">
        <v>10</v>
      </c>
      <c r="Y225" t="str">
        <f t="shared" si="82"/>
        <v>30</v>
      </c>
      <c r="Z225">
        <f t="shared" si="83"/>
        <v>0</v>
      </c>
      <c r="AA225" s="24">
        <f t="shared" si="84"/>
        <v>10.583333333333334</v>
      </c>
      <c r="BB225" t="e" cm="1">
        <f t="array" ref="BB225">_xlfn.LET(_xlpm.PartF,(_xlfn.LET(_xlpm.grade, Q225,_xlpm.gradeRange, IF(_xlpm.grade=SD!$H$3, A615GR60, IF(_xlpm.grade=SD!$H$4, A615GR75, IF(_xlpm.grade=SD!$H$5, A615GR80, IF(_xlpm.grade=SD!$H$6, A615GR100, IF(_xlpm.grade=SD!$H$7, A706GR60, IF(_xlpm.grade=SD!$H$8, A706GR80)))))),_xlpm.matchValue, MATCH(1, (SD!$AW:$AW=AS225)*(SD!$AX:$AX=SD!$C$8), 0),INDEX(_xlpm.gradeRange, _xlpm.matchValue))),IF(AM225="Spiral",CONCATENATE("SP",_xlpm.PartF),_xlpm.PartF))</f>
        <v>#N/A</v>
      </c>
      <c r="BC225" cm="1">
        <f t="array" ref="BC225">_xlfn.LET(_xlpm.leftPart, LEFT(O225, FIND("@", O225) - 2),_xlpm.grade,Q225,_xlpm.gradeRange,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5" cm="1">
        <f t="array" ref="BD225">_xlfn.LET(_xlpm.leftPart, LEFT(P225, FIND("@", P225) - 2),_xlpm.grade, Q225,_xlpm.gradeRange,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5">
        <f t="shared" si="85"/>
        <v>2.5</v>
      </c>
      <c r="BF225">
        <f>IF(SD!$C$32=SD!$I$2,BE225,IF(SD!$C$32=SD!$I$3,DO225,IF(SD!$C$32=SD!$I$5,BA225,IF(SD!$C$32=SD!$I$6,(LEFT(SD!$C$35,FIND("-",SD!$C$35)-1)+RIGHT(SD!$C$35,LEN(SD!$C$35)-FIND("-",SD!$C$35))/12),IF(SD!$C$32=SD!$I$4,(AU225-(BG225+BH225)))))))</f>
        <v>0</v>
      </c>
      <c r="BG225">
        <f>IF(SD!$C$33=SD!$I$2,BE225,IF(SD!$C$33=SD!$I$3,DO225,IF(SD!$C$33=SD!$I$5,BA225,IF(SD!$C$33=SD!$I$6,(LEFT(SD!$C$35,FIND("-",SD!$C$35)-1)+RIGHT(SD!$C$35,LEN(SD!$C$35)-FIND("-",SD!$C$35))/12),IF(SD!$C$33=SD!$I$4,(AU225-(BF225+BH225)))))))</f>
        <v>-1</v>
      </c>
      <c r="BH225">
        <f>IF(SD!$C$34=SD!$I$2,BE225,IF(SD!$C$34=SD!$I$3,DO225,IF(SD!$C$34=SD!$I$5,BA225,IF(SD!$C$34=SD!$I$6,(LEFT(SD!$C$35,FIND("-",SD!$C$35)-1)+RIGHT(SD!$C$35,LEN(SD!$C$35)-FIND("-",SD!$C$35))/12),IF(SD!$C$34=SD!$I$4,(AU225-(BF225+BG225)))))))</f>
        <v>1</v>
      </c>
      <c r="BJ225">
        <f>IF(AM225="Spiral","1",MAX(ROUNDUP(IF(SD!$C$32="",AT225,BF225/(LEFT(RIGHT(N225,LEN(N225)-FIND("@",N225)),LEN(RIGHT(N225,LEN(N225)-FIND("@",N225)))-1)/12)+1),0),0))</f>
        <v>1</v>
      </c>
      <c r="BK225">
        <f>MAX(ROUNDUP(IF(SD!$C$33="","",BG225/(LEFT(RIGHT(O225,LEN(O225)-FIND("@",O225)),LEN(RIGHT(O225,LEN(O225)-FIND("@",O225)))-1)/12)+1),0),0)</f>
        <v>0</v>
      </c>
      <c r="BL225">
        <f>MAX(ROUNDUP(IF(SD!$C$34="","",BH225/(LEFT(RIGHT(P225,LEN(P225)-FIND("@",P225)),LEN(RIGHT(P225,LEN(P225)-FIND("@",P225)))-1)/12)+1),0),0)</f>
        <v>3</v>
      </c>
      <c r="BN225" t="e">
        <f t="shared" si="86"/>
        <v>#N/A</v>
      </c>
      <c r="BO225" t="e">
        <f t="shared" si="87"/>
        <v>#N/A</v>
      </c>
      <c r="BP225" t="e">
        <f t="shared" si="88"/>
        <v>#N/A</v>
      </c>
      <c r="BQ225" s="24" t="e">
        <f>IF(AM225=TRUE,(((Y225-(SD!$E$12*2))*3.14159265359)+BN225+BO225+BP225)/12+AL225,SUM(AF225:AG225,BN225,BO225,BP225,AO225,AQ225)/12)</f>
        <v>#N/A</v>
      </c>
      <c r="BR225" t="e">
        <f t="shared" si="89"/>
        <v>#N/A</v>
      </c>
      <c r="BS225" t="e">
        <f t="shared" si="90"/>
        <v>#N/A</v>
      </c>
      <c r="BT225" t="e">
        <f t="shared" si="91"/>
        <v>#N/A</v>
      </c>
      <c r="BU225" s="24" t="e">
        <f>IF(AM225=TRUE,(((Y225-(SD!$E$12*2))*3.14159265359)+BR225+BS225+BT225)/12+AL225,SUM(AF225:AG225,BR225,BS225,BT225,AO225,AQ225)/12)</f>
        <v>#N/A</v>
      </c>
      <c r="BW225" t="str">
        <f>IFERROR(LEFT(Data!L225,FIND(" -",Data!L225)-1),"")</f>
        <v/>
      </c>
      <c r="BX225" t="str">
        <f>IFERROR(IF(SD!$C$40=SD!$U$2,W225,IF(SD!$C$40=SD!$U$3,RIGHT(Data!L225,LEN(Data!L225)-(FIND("-",Data!L225)+1)),SD!$C$40)),"")</f>
        <v>#8</v>
      </c>
      <c r="BY225" t="str" cm="1">
        <f t="array" ref="BY225">IFERROR(_xlfn.LET(_xlpm.GRR,IF(AND(SD!$C$19=SD!$H$2,Grade!$G$1="Per level"),VLOOKUP(B225,Grade!$E$1:$F$200,2,FALSE),IF(AND(SD!$C$19=SD!$H$2,Grade!$G$1="Per Bar Size"),VLOOKUP(BX225,Grade!$B$1:$C$12,2,0),SD!$C$19)),_xlpm.is_equal, A224=A225,_xlpm.grade_range, IF(_xlpm.GRR=SD!$H$3, A615GR60,IF(_xlpm.GRR=SD!$H$4, A615GR75,IF(_xlpm.GRR=SD!$H$5, A615GR80,IF(_xlpm.GRR=SD!H229, A615GR100,IF(_xlpm.GRR=SD!$H$7, A706GR60,IF(_xlpm.GRR=SD!$H$8, A706GR80)))))),_xlpm.match_result, MATCH(1, (BSize=BX225)*(BCName=SD!$C$8), 0),_xlpm.final_result, INDEX(_xlpm.grade_range, _xlpm.match_result),IF(_xlpm.is_equal, "", _xlpm.final_result)),"")</f>
        <v/>
      </c>
      <c r="BZ225" t="str">
        <f>IF(A224=A225,"",IF(SD!$C$41="Match Vertical Bars ",X225,IF(SD!$C$41=SD!$V$3,BW225,SD!$C$41)))</f>
        <v/>
      </c>
      <c r="CA225" t="str" cm="1">
        <f t="array" ref="CA225">IF(A224=A225,"",IF(SD!$C$44="No T-Head",IF(SD!$C$42=SD!$Q$3,VLOOKUP(BX225,S90Range,3,FALSE),LEFT(SD!$C$42,FIND("-",SD!$C$42)-1)+(RIGHT(SD!$C$42,LEN(SD!$C$42)-FIND("-",SD!$C$42))/12)),IF(SD!$C$44="T-Head",_xlfn._xlws.FILTER(THead,(TCName=SD!$C$8)*(TSize=BX225)),IF(SD!$C$44="Level Wise",_xlfn.LET(_xlpm.result,_xlfn.XLOOKUP(B225,VDLevel,VDLevelStatus,"No"),IF(_xlpm.result="Yes",_xlfn._xlws.FILTER(THead,(TCName=SD!$C$8)*(TSize=BX225)),IF(SD!$C$42=SD!$Q$3,VLOOKUP(BX225,S90Range,3,FALSE),LEFT(SD!$C$42,FIND("-",SD!$C$42)-1)+(RIGHT(SD!$C$42,LEN(SD!$C$42)-FIND("-", SD!$C$42))/12)))),IF(SD!$C$44="BarSize Wise",_xlfn.LET(_xlpm.result,_xlfn.XLOOKUP(BX225,VDBarSize,VDBarSizeStatus,"No"),IF(_xlpm.result="Yes",_xlfn._xlws.FILTER(THead,(TCName=SD!$C$8)*(TSize=BX225)),IF(SD!$C$42=SD!$Q$3,VLOOKUP(BX225,S90Range,3,FALSE),LEFT(SD!$C$42,FIND("-",SD!$C$42)-1)+(RIGHT(SD!$C$42,LEN(SD!$C$42)-FIND("-",SD!$C$42))/12)))), "")))))</f>
        <v/>
      </c>
      <c r="CB225" t="str" cm="1">
        <f t="array" ref="CB225">_xlfn.LET(_xlpm.GRR,IF(AND(SD!$C$19=SD!$H$2,Grade!$G$1="Per level"),VLOOKUP(B225,Grade!$E$1:$F$200,2,FALSE),IF(AND(SD!$C$19=SD!$H$2,Grade!$G$1="Per Bar Size"),VLOOKUP(BX225,Grade!$B$1:$C$12,2,0),SD!$C$19)),_xlpm.is_coupler, K225="Coupler",_xlpm.condition1, SD!$C$43=SD!$W$2,_xlpm.data_j2_empty, Data!$J225="",_xlpm.lookup_table, IF(SD!$C$11="Create", Lap!$A$3:$BF$14, IF(SD!$C$11="Per Uploaded File", Lap!$A$19:$BF$30, "")),_xlpm.row_match, MATCH(BX225, Lap!$A$3:$A$14, 0),_xlpm.grade_offset, IF(IFERROR(FIND("Grade 60",_xlpm.GRR), 0) &gt; 0, 0, IF(IFERROR(FIND("Grade 80",_xlpm.GRR), 0), 1, IF(IFERROR(FIND("Grade 75",_xlpm.GRR), 0), 2, ""))),_xlpm.col_match, MATCH(VALUE(D225), Lap!$A$3:$BF$3, 0) + _xlpm.grade_offset,_xlpm.index_result, IFERROR(INDEX(_xlpm.lookup_table, _xlpm.row_match, _xlpm.col_match), Data!$J225),_xlpm.result_if_condition1, IF(_xlpm.data_j2_empty, _xlpm.index_result, Data!$J225),IF(_xlpm.is_coupler, 0, IF(_xlpm.condition1, _xlpm.result_if_condition1, SD!$C$43)))</f>
        <v>4-0</v>
      </c>
      <c r="CC225" s="24">
        <f t="shared" si="92"/>
        <v>4</v>
      </c>
      <c r="CD225">
        <f t="shared" si="93"/>
        <v>4.666666666666667</v>
      </c>
      <c r="CE225" t="str" cm="1">
        <f t="array" ref="CE225">IF(BY225="","",_xlfn._xlws.FILTER(SAC,(CName=SD!$C$8)*(EName="Vert Dowels")))</f>
        <v/>
      </c>
      <c r="CF225" t="str" cm="1">
        <f t="array" ref="CF225">IFERROR(IF(BY225="","",IF(K225="Coupler",_xlfn._xlws.FILTER(CCoupler,(CCName=SD!$C$8)*(CBSize=IF(A224=A225,W224&amp;W225,BX225&amp;W225))*(CCMFM="Male")),"")),"N/A")</f>
        <v/>
      </c>
      <c r="CG225" t="str">
        <f t="shared" si="94"/>
        <v/>
      </c>
      <c r="CH225" t="str">
        <f t="shared" si="95"/>
        <v/>
      </c>
      <c r="CI225" t="str">
        <f>_xlfn.LET(_xlpm.u3_value, U226,_xlpm.hyphen_pos,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K226="Coupler",_xlpm.coupler_value, IF(_xlpm.is_coupler, 0, _xlpm.calculated_value),_xlpm.final_value, _xlpm.calculated_value + SD!$E$13 + _xlpm.coupler_value,IF(CG225="", "", _xlpm.final_value))</f>
        <v/>
      </c>
      <c r="CJ225" t="str" cm="1">
        <f t="array" ref="CJ225">IF(CG225="","",_xlfn._xlws.FILTER(SAC,(CName=SD!$C$8)*(EName="Loose Dowels")))</f>
        <v/>
      </c>
      <c r="CK225" t="str" cm="1">
        <f t="array" ref="CK225">IFERROR(IF(CG225="","",IF(K226="Coupler",_xlfn._xlws.FILTER(CCoupler,(CCName=SD!$C$8)*(CBSize=IF(A225=A226,W225&amp;W226,""))*(CCMFM="Male")),"")),"N/A")</f>
        <v/>
      </c>
      <c r="CL225" t="str">
        <f>IFERROR(IF(AM225="Spiral","",IF(A224=A225,"",IF(SD!$C$37=0,"",SD!$C$37))),"")</f>
        <v/>
      </c>
      <c r="CN225">
        <f>IF(AM225="Spiral","",IFERROR(IF(SD!$C$36=0,"",SD!$C$36),""))</f>
        <v>5</v>
      </c>
      <c r="CP225" t="str">
        <f>IFERROR(IF(SD!$C$42=SD!$Q$3,'Take-off'!CA225,""),"")</f>
        <v/>
      </c>
      <c r="CR225">
        <f>IFERROR(IF(SD!$C$22=SD!$U$2,W225,SD!$C$22),"")</f>
        <v>0</v>
      </c>
      <c r="CS225" t="str" cm="1">
        <f t="array" ref="CS225">_xlfn.LET(_xlpm.GR,IF(AND(SD!$C$19=SD!$H$2,Grade!$G$1="Per level"),VLOOKUP(B225,Grade!$E$1:$F$200,2,FALSE),IF(AND(SD!$C$19=SD!$H$2,Grade!$G$1="Per Bar Size"),VLOOKUP(CR225,Grade!$B$1:$C$12,2,0),SD!$C$19)),IF(SD!$C$20=SD!$R$4,IF(A226=A225,"",INDEX(IF(_xlpm.GR=SD!$H$3,A615GR60,IF(_xlpm.GR=SD!$H$4,A615GR75,IF(_xlpm.GR=SD!$H$5,A615GR80,IF(_xlpm.GR=SD!H229,A615GR100,IF(_xlpm.GR=SD!$H$7,A706GR60,IF(_xlpm.GR=SD!$H$8,A706GR80)))))), MATCH(1, (BSize=CR225)*(BCName=SD!$C$8), 0))),""))</f>
        <v/>
      </c>
      <c r="CT225">
        <f>IF(A226=A225,"",IF(SD!$C$23="Match Vertical Bars ",X225,SD!$C$23))</f>
        <v>0</v>
      </c>
      <c r="CU225" t="str" cm="1">
        <f t="array" ref="CU225">IF(A226=A225,"",IF(SD!$C$20="Top dowels",IF(SD!$E$25="No T-Head",IF(SD!$C$24=SD!$Q$3,VLOOKUP(CR225,S90Range,3,FALSE),LEFT(SD!$C$24,FIND("-",SD!$C$24)-1)+(RIGHT(SD!$C$24,LEN(SD!$C$24)-FIND("-",SD!$C$24))/12)),IF(SD!$E$25="T-Head",_xlfn._xlws.FILTER(THead,(TCName=SD!$C$8)*(TSize=CR225)),IF(SD!$E$25="Level Wise",_xlfn.LET(_xlpm.result,_xlfn.XLOOKUP(B225,TDLevel,TDLevelStatus,"No"),IF(_xlpm.result="Yes",_xlfn._xlws.FILTER(THead,(TCName=SD!$C$8)*(TSize=CR225)),IF(SD!$C$24=SD!$Q$3,VLOOKUP(CR225,S90Range,3,FALSE),LEFT(SD!$C$24,FIND("-",SD!$C$24)-1)+(RIGHT(SD!$C$24,LEN(SD!$C$24)-FIND("-", SD!$C$24))/12)))),IF(SD!$E$25="BarSize Wise",_xlfn.LET(_xlpm.result,_xlfn.XLOOKUP(CR225,TDBarSize,TDBarSizeStatus,"No"),IF(_xlpm.result="Yes",_xlfn._xlws.FILTER(THead,(TCName=SD!$C$8)*(TSize=CR225)),IF(SD!$C$24=SD!$Q$3,VLOOKUP(CR225,S90Range,3,FALSE),LEFT(SD!$C$24,FIND("-",SD!$C$24)-1)+(RIGHT(SD!$C$24,LEN(SD!$C$24)-FIND("-",SD!$C$24))/12)))), "")))),""))</f>
        <v/>
      </c>
      <c r="CV225" t="str">
        <f>_xlfn.LET(_xlpm.GRR,IF(AND(SD!$C$19=SD!$H$2,Grade!$G$1="Per level"),VLOOKUP(B225,Grade!$E$1:$F$200,2,FALSE),IF(AND(SD!$C$19=SD!$H$2,Grade!$G$1="Per Bar Size"),VLOOKUP(CR225,Grade!$B$1:$C$12,2,0),SD!$C$19)),IF(SD!$C$25=SD!$W$2,IF(Data!$J225="",IFERROR(INDEX(IF(SD!$C$11="Create",Lap!$A$3:$BF$14,IF(SD!$C$11="Per Uploaded File",Lap!$A$19:$BF$30,"")),MATCH(CR225,Lap!$A$3:$A$14,0),MATCH(VALUE(D225),Lap!$A$3:$BF$3,0)+IF(IFERROR(FIND("Grade 60",_xlpm.GRR),0)&gt;0,0,IF(IFERROR(FIND("Grade 80",_xlpm.GRR),0),1,IF(IFERROR(FIND("Grade 75",_xlpm.GRR),0),2,"")))),""),Data!J225),SD!$C$43))</f>
        <v>Match Lap</v>
      </c>
      <c r="CW225">
        <f t="shared" si="96"/>
        <v>0</v>
      </c>
      <c r="CX225">
        <f t="shared" si="97"/>
        <v>0</v>
      </c>
      <c r="CY225" t="str">
        <f t="shared" si="98"/>
        <v/>
      </c>
      <c r="DA225" t="str">
        <f t="shared" si="99"/>
        <v/>
      </c>
      <c r="DB225" t="str">
        <f t="shared" si="100"/>
        <v/>
      </c>
      <c r="DC225" s="24" t="str">
        <f t="shared" si="101"/>
        <v/>
      </c>
      <c r="DD225">
        <f t="shared" si="102"/>
        <v>10.583333333333334</v>
      </c>
      <c r="DE225" t="s">
        <v>785</v>
      </c>
      <c r="DF225" t="s">
        <v>67</v>
      </c>
      <c r="DG225" t="str">
        <f>VLOOKUP(W225,'Level Wise PSI'!$F$2:$G$12,2,FALSE)</f>
        <v>Double Lift</v>
      </c>
      <c r="DI225" t="str" cm="1">
        <f t="array" ref="DI225">_xlfn.LET(_xlpm.Coup,IFERROR(IF(BY225="","",IF(K225="Coupler",_xlfn._xlws.FILTER(CCFCoupler,(CCName=SD!$C$8)*(CBSize=IF(A224=A225,W224&amp;W225,BX225&amp;W225))),"")),"N/A"),IF(_xlpm.Coup=0,"",_xlpm.Coup))</f>
        <v/>
      </c>
      <c r="DJ225" t="str" cm="1">
        <f t="array" ref="DJ225">_xlfn.LET(_xlpm.Coup3,IFERROR(IF(CG225="","",IF(K226="Coupler",_xlfn._xlws.FILTER(CCFCoupler,(CCName=SD!$C$8)*(CBSize=IF(A225=A226,W225&amp;W226,""))),"")),"N/A"),IF(_xlpm.Coup3=0,"",_xlpm.Coup3))</f>
        <v/>
      </c>
      <c r="DK225" t="str" cm="1">
        <f t="array" ref="DK225">_xlfn.LET(_xlpm.Coup2,IFERROR(IF(A225&lt;&gt;A226,"",IF(DF225="No Lap","",IF(K226="Coupler",_xlfn._xlws.FILTER(CCFCoupler,(CCName=SD!$C$8)*(CBSize=IF(A224=A225,W225&amp;W226,W225&amp;W225))),""))),"N/A"),IF(_xlpm.Coup2=0,"",_xlpm.Coup2))</f>
        <v/>
      </c>
      <c r="DM225" t="str">
        <f>IF(AM225="Spiral","",IF(SD!$C$31=SD!$Y$3,SD!$E$32*2,""))</f>
        <v/>
      </c>
      <c r="DO225" s="24">
        <f t="shared" si="103"/>
        <v>2.5</v>
      </c>
      <c r="DQ225" t="str">
        <f t="shared" si="104"/>
        <v>Lig</v>
      </c>
      <c r="DR225" t="str">
        <f>IF(AM225="Spiral",((Y225-(SD!$E$12*2))/12),"")</f>
        <v/>
      </c>
      <c r="DS225" t="str">
        <f t="shared" si="105"/>
        <v/>
      </c>
      <c r="DT225" t="str">
        <f t="shared" si="106"/>
        <v/>
      </c>
      <c r="DU225" t="str">
        <f t="shared" si="107"/>
        <v/>
      </c>
    </row>
    <row r="226" spans="1:125" x14ac:dyDescent="0.25">
      <c r="A226">
        <v>7</v>
      </c>
      <c r="B226" t="s">
        <v>664</v>
      </c>
      <c r="C226" s="15">
        <v>2429</v>
      </c>
      <c r="D226" s="15">
        <v>10000</v>
      </c>
      <c r="E226" t="str">
        <f>IF(B226=Level!$A$2,SD!$C$14,SD!$C$13)</f>
        <v>3-0</v>
      </c>
      <c r="F226" s="15" t="s">
        <v>787</v>
      </c>
      <c r="G226" t="s">
        <v>726</v>
      </c>
      <c r="H226" s="15" t="s">
        <v>788</v>
      </c>
      <c r="I226" t="s">
        <v>727</v>
      </c>
      <c r="J226" t="str">
        <f>IF(AND(SD!$C$19=SD!$H$2,Grade!$G$1="Per level"),VLOOKUP(B226,Grade!$E$1:$F$200,2,FALSE),IF(AND(SD!$C$19=SD!$H$2,Grade!$G$1="Per Bar Size"),VLOOKUP(W226,Grade!$B$1:$C$12,2,0),SD!$C$19))</f>
        <v>A615 Grade 60</v>
      </c>
      <c r="K226" t="s">
        <v>67</v>
      </c>
      <c r="L226" t="str">
        <f>IFERROR(IF(A226&lt;&gt;A227,"",IF(DF226="No Lap","",IF(K227="Lap",U226,IF(K227="Coupler",_xlfn._xlws.FILTER(CCoupler,(CCName=SD!$C$8)*(CBSize=IF(A225=A226,W226&amp;W227,W226&amp;W226))*(CCMFM="Male")),"")))),"N/A")</f>
        <v/>
      </c>
      <c r="M226" t="str">
        <f t="shared" si="81"/>
        <v/>
      </c>
      <c r="N226" t="s">
        <v>719</v>
      </c>
      <c r="O226" t="s">
        <v>720</v>
      </c>
      <c r="P226" t="s">
        <v>719</v>
      </c>
      <c r="Q226" t="str">
        <f>IF(AND(SD!$C$29=SD!$P$2,Grade!$O$1="Per level"),VLOOKUP(B226,Grade!$M$1:$N$200,2,FALSE),IF(AND(SD!$C$29=SD!$P$2,Grade!$O$1="Per Bar Size"),VLOOKUP(LEFT(N226,FIND("@",N226)-2),Grade!$J$1:$K$12,2,0),SD!$C$29))</f>
        <v>A615 Grade 60</v>
      </c>
      <c r="R226" t="s">
        <v>728</v>
      </c>
      <c r="S226" s="57">
        <v>226</v>
      </c>
      <c r="U226" t="str">
        <f>IF(Data!$J226="",IFERROR(INDEX(IF(SD!$C$11="Create",Lap!$A$3:$BF$14,IF(SD!$C$11="Per Uploaded File",Lap!$A$19:$BF$30,"")),MATCH(W226,Lap!$A$3:$A$14,0),MATCH(VALUE(D226),Lap!$A$3:$BF$3,0)+IF(IFERROR(FIND("Grade 60",J226),0)&gt;0,0,IF(IFERROR(FIND("Grade 80",J226),0),1,IF(IFERROR(FIND("Grade 75",J226),0),2,"")))),""),Data!J226)</f>
        <v>4-6</v>
      </c>
      <c r="W226" t="s">
        <v>164</v>
      </c>
      <c r="X226">
        <v>12</v>
      </c>
      <c r="Y226" t="str">
        <f t="shared" si="82"/>
        <v xml:space="preserve">24 </v>
      </c>
      <c r="Z226" t="str">
        <f t="shared" si="83"/>
        <v xml:space="preserve"> 36</v>
      </c>
      <c r="AA226" s="24">
        <f t="shared" si="84"/>
        <v>19.583333333333332</v>
      </c>
      <c r="BB226" t="e" cm="1">
        <f t="array" ref="BB226">_xlfn.LET(_xlpm.PartF,(_xlfn.LET(_xlpm.grade, Q226,_xlpm.gradeRange, IF(_xlpm.grade=SD!$H$3, A615GR60, IF(_xlpm.grade=SD!$H$4, A615GR75, IF(_xlpm.grade=SD!$H$5, A615GR80, IF(_xlpm.grade=SD!$H$6, A615GR100, IF(_xlpm.grade=SD!$H$7, A706GR60, IF(_xlpm.grade=SD!$H$8, A706GR80)))))),_xlpm.matchValue, MATCH(1, (SD!$AW:$AW=AS226)*(SD!$AX:$AX=SD!$C$8), 0),INDEX(_xlpm.gradeRange, _xlpm.matchValue))),IF(AM226="Spiral",CONCATENATE("SP",_xlpm.PartF),_xlpm.PartF))</f>
        <v>#N/A</v>
      </c>
      <c r="BC226" cm="1">
        <f t="array" ref="BC226">_xlfn.LET(_xlpm.leftPart, LEFT(O226, FIND("@", O226) - 2),_xlpm.grade,Q226,_xlpm.gradeRange,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6" cm="1">
        <f t="array" ref="BD226">_xlfn.LET(_xlpm.leftPart, LEFT(P226, FIND("@", P226) - 2),_xlpm.grade, Q226,_xlpm.gradeRange,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6">
        <f t="shared" si="85"/>
        <v>3</v>
      </c>
      <c r="BF226">
        <f>IF(SD!$C$32=SD!$I$2,BE226,IF(SD!$C$32=SD!$I$3,DO226,IF(SD!$C$32=SD!$I$5,BA226,IF(SD!$C$32=SD!$I$6,(LEFT(SD!$C$35,FIND("-",SD!$C$35)-1)+RIGHT(SD!$C$35,LEN(SD!$C$35)-FIND("-",SD!$C$35))/12),IF(SD!$C$32=SD!$I$4,(AU226-(BG226+BH226)))))))</f>
        <v>0</v>
      </c>
      <c r="BG226">
        <f>IF(SD!$C$33=SD!$I$2,BE226,IF(SD!$C$33=SD!$I$3,DO226,IF(SD!$C$33=SD!$I$5,BA226,IF(SD!$C$33=SD!$I$6,(LEFT(SD!$C$35,FIND("-",SD!$C$35)-1)+RIGHT(SD!$C$35,LEN(SD!$C$35)-FIND("-",SD!$C$35))/12),IF(SD!$C$33=SD!$I$4,(AU226-(BF226+BH226)))))))</f>
        <v>-1</v>
      </c>
      <c r="BH226">
        <f>IF(SD!$C$34=SD!$I$2,BE226,IF(SD!$C$34=SD!$I$3,DO226,IF(SD!$C$34=SD!$I$5,BA226,IF(SD!$C$34=SD!$I$6,(LEFT(SD!$C$35,FIND("-",SD!$C$35)-1)+RIGHT(SD!$C$35,LEN(SD!$C$35)-FIND("-",SD!$C$35))/12),IF(SD!$C$34=SD!$I$4,(AU226-(BF226+BG226)))))))</f>
        <v>1</v>
      </c>
      <c r="BJ226">
        <f>IF(AM226="Spiral","1",MAX(ROUNDUP(IF(SD!$C$32="",AT226,BF226/(LEFT(RIGHT(N226,LEN(N226)-FIND("@",N226)),LEN(RIGHT(N226,LEN(N226)-FIND("@",N226)))-1)/12)+1),0),0))</f>
        <v>1</v>
      </c>
      <c r="BK226">
        <f>MAX(ROUNDUP(IF(SD!$C$33="","",BG226/(LEFT(RIGHT(O226,LEN(O226)-FIND("@",O226)),LEN(RIGHT(O226,LEN(O226)-FIND("@",O226)))-1)/12)+1),0),0)</f>
        <v>0</v>
      </c>
      <c r="BL226">
        <f>MAX(ROUNDUP(IF(SD!$C$34="","",BH226/(LEFT(RIGHT(P226,LEN(P226)-FIND("@",P226)),LEN(RIGHT(P226,LEN(P226)-FIND("@",P226)))-1)/12)+1),0),0)</f>
        <v>3</v>
      </c>
      <c r="BN226" t="e">
        <f t="shared" si="86"/>
        <v>#N/A</v>
      </c>
      <c r="BO226" t="e">
        <f t="shared" si="87"/>
        <v>#N/A</v>
      </c>
      <c r="BP226" t="e">
        <f t="shared" si="88"/>
        <v>#N/A</v>
      </c>
      <c r="BQ226" s="24" t="e">
        <f>IF(AM226=TRUE,(((Y226-(SD!$E$12*2))*3.14159265359)+BN226+BO226+BP226)/12+AL226,SUM(AF226:AG226,BN226,BO226,BP226,AO226,AQ226)/12)</f>
        <v>#N/A</v>
      </c>
      <c r="BR226" t="e">
        <f t="shared" si="89"/>
        <v>#N/A</v>
      </c>
      <c r="BS226" t="e">
        <f t="shared" si="90"/>
        <v>#N/A</v>
      </c>
      <c r="BT226" t="e">
        <f t="shared" si="91"/>
        <v>#N/A</v>
      </c>
      <c r="BU226" s="24" t="e">
        <f>IF(AM226=TRUE,(((Y226-(SD!$E$12*2))*3.14159265359)+BR226+BS226+BT226)/12+AL226,SUM(AF226:AG226,BR226,BS226,BT226,AO226,AQ226)/12)</f>
        <v>#N/A</v>
      </c>
      <c r="BW226" t="str">
        <f>IFERROR(LEFT(Data!L226,FIND(" -",Data!L226)-1),"")</f>
        <v/>
      </c>
      <c r="BX226" t="str">
        <f>IFERROR(IF(SD!$C$40=SD!$U$2,W226,IF(SD!$C$40=SD!$U$3,RIGHT(Data!L226,LEN(Data!L226)-(FIND("-",Data!L226)+1)),SD!$C$40)),"")</f>
        <v>#9</v>
      </c>
      <c r="BY226" cm="1">
        <f t="array" ref="BY226">IFERROR(_xlfn.LET(_xlpm.GRR,IF(AND(SD!$C$19=SD!$H$2,Grade!$G$1="Per level"),VLOOKUP(B226,Grade!$E$1:$F$200,2,FALSE),IF(AND(SD!$C$19=SD!$H$2,Grade!$G$1="Per Bar Size"),VLOOKUP(BX226,Grade!$B$1:$C$12,2,0),SD!$C$19)),_xlpm.is_equal, A225=A226,_xlpm.grade_range, IF(_xlpm.GRR=SD!$H$3, A615GR60,IF(_xlpm.GRR=SD!$H$4, A615GR75,IF(_xlpm.GRR=SD!$H$5, A615GR80,IF(_xlpm.GRR=SD!H230, A615GR100,IF(_xlpm.GRR=SD!$H$7, A706GR60,IF(_xlpm.GRR=SD!$H$8, A706GR80)))))),_xlpm.match_result, MATCH(1, (BSize=BX226)*(BCName=SD!$C$8), 0),_xlpm.final_result, INDEX(_xlpm.grade_range, _xlpm.match_result),IF(_xlpm.is_equal, "", _xlpm.final_result)),"")</f>
        <v>9</v>
      </c>
      <c r="BZ226">
        <f>IF(A225=A226,"",IF(SD!$C$41="Match Vertical Bars ",X226,IF(SD!$C$41=SD!$V$3,BW226,SD!$C$41)))</f>
        <v>12</v>
      </c>
      <c r="CA226" cm="1">
        <f t="array" ref="CA226">IF(A225=A226,"",IF(SD!$C$44="No T-Head",IF(SD!$C$42=SD!$Q$3,VLOOKUP(BX226,S90Range,3,FALSE),LEFT(SD!$C$42,FIND("-",SD!$C$42)-1)+(RIGHT(SD!$C$42,LEN(SD!$C$42)-FIND("-",SD!$C$42))/12)),IF(SD!$C$44="T-Head",_xlfn._xlws.FILTER(THead,(TCName=SD!$C$8)*(TSize=BX226)),IF(SD!$C$44="Level Wise",_xlfn.LET(_xlpm.result,_xlfn.XLOOKUP(B226,VDLevel,VDLevelStatus,"No"),IF(_xlpm.result="Yes",_xlfn._xlws.FILTER(THead,(TCName=SD!$C$8)*(TSize=BX226)),IF(SD!$C$42=SD!$Q$3,VLOOKUP(BX226,S90Range,3,FALSE),LEFT(SD!$C$42,FIND("-",SD!$C$42)-1)+(RIGHT(SD!$C$42,LEN(SD!$C$42)-FIND("-", SD!$C$42))/12)))),IF(SD!$C$44="BarSize Wise",_xlfn.LET(_xlpm.result,_xlfn.XLOOKUP(BX226,VDBarSize,VDBarSizeStatus,"No"),IF(_xlpm.result="Yes",_xlfn._xlws.FILTER(THead,(TCName=SD!$C$8)*(TSize=BX226)),IF(SD!$C$42=SD!$Q$3,VLOOKUP(BX226,S90Range,3,FALSE),LEFT(SD!$C$42,FIND("-",SD!$C$42)-1)+(RIGHT(SD!$C$42,LEN(SD!$C$42)-FIND("-",SD!$C$42))/12)))), "")))))</f>
        <v>1.5833333333333335</v>
      </c>
      <c r="CB226" t="str" cm="1">
        <f t="array" ref="CB226">_xlfn.LET(_xlpm.GRR,IF(AND(SD!$C$19=SD!$H$2,Grade!$G$1="Per level"),VLOOKUP(B226,Grade!$E$1:$F$200,2,FALSE),IF(AND(SD!$C$19=SD!$H$2,Grade!$G$1="Per Bar Size"),VLOOKUP(BX226,Grade!$B$1:$C$12,2,0),SD!$C$19)),_xlpm.is_coupler, K226="Coupler",_xlpm.condition1, SD!$C$43=SD!$W$2,_xlpm.data_j2_empty, Data!$J226="",_xlpm.lookup_table, IF(SD!$C$11="Create", Lap!$A$3:$BF$14, IF(SD!$C$11="Per Uploaded File", Lap!$A$19:$BF$30, "")),_xlpm.row_match, MATCH(BX226, Lap!$A$3:$A$14, 0),_xlpm.grade_offset, IF(IFERROR(FIND("Grade 60",_xlpm.GRR), 0) &gt; 0, 0, IF(IFERROR(FIND("Grade 80",_xlpm.GRR), 0), 1, IF(IFERROR(FIND("Grade 75",_xlpm.GRR), 0), 2, ""))),_xlpm.col_match, MATCH(VALUE(D226), Lap!$A$3:$BF$3, 0) + _xlpm.grade_offset,_xlpm.index_result, IFERROR(INDEX(_xlpm.lookup_table, _xlpm.row_match, _xlpm.col_match), Data!$J226),_xlpm.result_if_condition1, IF(_xlpm.data_j2_empty, _xlpm.index_result, Data!$J226),IF(_xlpm.is_coupler, 0, IF(_xlpm.condition1, _xlpm.result_if_condition1, SD!$C$43)))</f>
        <v>4-6</v>
      </c>
      <c r="CC226" s="24">
        <f t="shared" si="92"/>
        <v>4.5</v>
      </c>
      <c r="CD226">
        <f t="shared" si="93"/>
        <v>9.0833333333333339</v>
      </c>
      <c r="CE226" t="str" cm="1">
        <f t="array" ref="CE226">IF(BY226="","",_xlfn._xlws.FILTER(SAC,(CName=SD!$C$8)*(EName="Vert Dowels")))</f>
        <v>2200 CD</v>
      </c>
      <c r="CF226" t="str" cm="1">
        <f t="array" ref="CF226">IFERROR(IF(BY226="","",IF(K226="Coupler",_xlfn._xlws.FILTER(CCoupler,(CCName=SD!$C$8)*(CBSize=IF(A225=A226,W225&amp;W226,BX226&amp;W226))*(CCMFM="Male")),"")),"N/A")</f>
        <v/>
      </c>
      <c r="CG226" t="str">
        <f t="shared" si="94"/>
        <v/>
      </c>
      <c r="CH226" t="str">
        <f t="shared" si="95"/>
        <v/>
      </c>
      <c r="CI226" t="str">
        <f>_xlfn.LET(_xlpm.u3_value, U227,_xlpm.hyphen_pos,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K227="Coupler",_xlpm.coupler_value, IF(_xlpm.is_coupler, 0, _xlpm.calculated_value),_xlpm.final_value, _xlpm.calculated_value + SD!$E$13 + _xlpm.coupler_value,IF(CG226="", "", _xlpm.final_value))</f>
        <v/>
      </c>
      <c r="CJ226" t="str" cm="1">
        <f t="array" ref="CJ226">IF(CG226="","",_xlfn._xlws.FILTER(SAC,(CName=SD!$C$8)*(EName="Loose Dowels")))</f>
        <v/>
      </c>
      <c r="CK226" t="str" cm="1">
        <f t="array" ref="CK226">IFERROR(IF(CG226="","",IF(K227="Coupler",_xlfn._xlws.FILTER(CCoupler,(CCName=SD!$C$8)*(CBSize=IF(A226=A227,W226&amp;W227,""))*(CCMFM="Male")),"")),"N/A")</f>
        <v/>
      </c>
      <c r="CL226">
        <f>IFERROR(IF(AM226="Spiral","",IF(A225=A226,"",IF(SD!$C$37=0,"",SD!$C$37))),"")</f>
        <v>3</v>
      </c>
      <c r="CN226">
        <f>IF(AM226="Spiral","",IFERROR(IF(SD!$C$36=0,"",SD!$C$36),""))</f>
        <v>5</v>
      </c>
      <c r="CP226">
        <f>IFERROR(IF(SD!$C$42=SD!$Q$3,'Take-off'!CA226,""),"")</f>
        <v>1.5833333333333335</v>
      </c>
      <c r="CR226">
        <f>IFERROR(IF(SD!$C$22=SD!$U$2,W226,SD!$C$22),"")</f>
        <v>0</v>
      </c>
      <c r="CS226" t="str" cm="1">
        <f t="array" ref="CS226">_xlfn.LET(_xlpm.GR,IF(AND(SD!$C$19=SD!$H$2,Grade!$G$1="Per level"),VLOOKUP(B226,Grade!$E$1:$F$200,2,FALSE),IF(AND(SD!$C$19=SD!$H$2,Grade!$G$1="Per Bar Size"),VLOOKUP(CR226,Grade!$B$1:$C$12,2,0),SD!$C$19)),IF(SD!$C$20=SD!$R$4,IF(A227=A226,"",INDEX(IF(_xlpm.GR=SD!$H$3,A615GR60,IF(_xlpm.GR=SD!$H$4,A615GR75,IF(_xlpm.GR=SD!$H$5,A615GR80,IF(_xlpm.GR=SD!H230,A615GR100,IF(_xlpm.GR=SD!$H$7,A706GR60,IF(_xlpm.GR=SD!$H$8,A706GR80)))))), MATCH(1, (BSize=CR226)*(BCName=SD!$C$8), 0))),""))</f>
        <v/>
      </c>
      <c r="CT226">
        <f>IF(A227=A226,"",IF(SD!$C$23="Match Vertical Bars ",X226,SD!$C$23))</f>
        <v>0</v>
      </c>
      <c r="CU226" t="str" cm="1">
        <f t="array" ref="CU226">IF(A227=A226,"",IF(SD!$C$20="Top dowels",IF(SD!$E$25="No T-Head",IF(SD!$C$24=SD!$Q$3,VLOOKUP(CR226,S90Range,3,FALSE),LEFT(SD!$C$24,FIND("-",SD!$C$24)-1)+(RIGHT(SD!$C$24,LEN(SD!$C$24)-FIND("-",SD!$C$24))/12)),IF(SD!$E$25="T-Head",_xlfn._xlws.FILTER(THead,(TCName=SD!$C$8)*(TSize=CR226)),IF(SD!$E$25="Level Wise",_xlfn.LET(_xlpm.result,_xlfn.XLOOKUP(B226,TDLevel,TDLevelStatus,"No"),IF(_xlpm.result="Yes",_xlfn._xlws.FILTER(THead,(TCName=SD!$C$8)*(TSize=CR226)),IF(SD!$C$24=SD!$Q$3,VLOOKUP(CR226,S90Range,3,FALSE),LEFT(SD!$C$24,FIND("-",SD!$C$24)-1)+(RIGHT(SD!$C$24,LEN(SD!$C$24)-FIND("-", SD!$C$24))/12)))),IF(SD!$E$25="BarSize Wise",_xlfn.LET(_xlpm.result,_xlfn.XLOOKUP(CR226,TDBarSize,TDBarSizeStatus,"No"),IF(_xlpm.result="Yes",_xlfn._xlws.FILTER(THead,(TCName=SD!$C$8)*(TSize=CR226)),IF(SD!$C$24=SD!$Q$3,VLOOKUP(CR226,S90Range,3,FALSE),LEFT(SD!$C$24,FIND("-",SD!$C$24)-1)+(RIGHT(SD!$C$24,LEN(SD!$C$24)-FIND("-",SD!$C$24))/12)))), "")))),""))</f>
        <v/>
      </c>
      <c r="CV226" t="str">
        <f>_xlfn.LET(_xlpm.GRR,IF(AND(SD!$C$19=SD!$H$2,Grade!$G$1="Per level"),VLOOKUP(B226,Grade!$E$1:$F$200,2,FALSE),IF(AND(SD!$C$19=SD!$H$2,Grade!$G$1="Per Bar Size"),VLOOKUP(CR226,Grade!$B$1:$C$12,2,0),SD!$C$19)),IF(SD!$C$25=SD!$W$2,IF(Data!$J226="",IFERROR(INDEX(IF(SD!$C$11="Create",Lap!$A$3:$BF$14,IF(SD!$C$11="Per Uploaded File",Lap!$A$19:$BF$30,"")),MATCH(CR226,Lap!$A$3:$A$14,0),MATCH(VALUE(D226),Lap!$A$3:$BF$3,0)+IF(IFERROR(FIND("Grade 60",_xlpm.GRR),0)&gt;0,0,IF(IFERROR(FIND("Grade 80",_xlpm.GRR),0),1,IF(IFERROR(FIND("Grade 75",_xlpm.GRR),0),2,"")))),""),Data!J226),SD!$C$43))</f>
        <v>Match Lap</v>
      </c>
      <c r="CW226">
        <f t="shared" si="96"/>
        <v>0</v>
      </c>
      <c r="CX226">
        <f t="shared" si="97"/>
        <v>0</v>
      </c>
      <c r="CY226" t="str">
        <f t="shared" si="98"/>
        <v/>
      </c>
      <c r="DA226">
        <f t="shared" si="99"/>
        <v>7</v>
      </c>
      <c r="DB226" t="str">
        <f t="shared" si="100"/>
        <v>19-7</v>
      </c>
      <c r="DC226" s="24">
        <f t="shared" si="101"/>
        <v>19.583333333333332</v>
      </c>
      <c r="DD226">
        <f t="shared" si="102"/>
        <v>19.583333333333332</v>
      </c>
      <c r="DE226" t="s">
        <v>726</v>
      </c>
      <c r="DF226" t="s">
        <v>67</v>
      </c>
      <c r="DG226" t="str">
        <f>VLOOKUP(W226,'Level Wise PSI'!$F$2:$G$12,2,FALSE)</f>
        <v>Double Lift</v>
      </c>
      <c r="DI226" t="str" cm="1">
        <f t="array" ref="DI226">_xlfn.LET(_xlpm.Coup,IFERROR(IF(BY226="","",IF(K226="Coupler",_xlfn._xlws.FILTER(CCFCoupler,(CCName=SD!$C$8)*(CBSize=IF(A225=A226,W225&amp;W226,BX226&amp;W226))),"")),"N/A"),IF(_xlpm.Coup=0,"",_xlpm.Coup))</f>
        <v/>
      </c>
      <c r="DJ226" t="str" cm="1">
        <f t="array" ref="DJ226">_xlfn.LET(_xlpm.Coup3,IFERROR(IF(CG226="","",IF(K227="Coupler",_xlfn._xlws.FILTER(CCFCoupler,(CCName=SD!$C$8)*(CBSize=IF(A226=A227,W226&amp;W227,""))),"")),"N/A"),IF(_xlpm.Coup3=0,"",_xlpm.Coup3))</f>
        <v/>
      </c>
      <c r="DK226" t="str" cm="1">
        <f t="array" ref="DK226">_xlfn.LET(_xlpm.Coup2,IFERROR(IF(A226&lt;&gt;A227,"",IF(DF226="No Lap","",IF(K227="Coupler",_xlfn._xlws.FILTER(CCFCoupler,(CCName=SD!$C$8)*(CBSize=IF(A225=A226,W226&amp;W227,W226&amp;W226))),""))),"N/A"),IF(_xlpm.Coup2=0,"",_xlpm.Coup2))</f>
        <v/>
      </c>
      <c r="DM226" t="str">
        <f>IF(AM226="Spiral","",IF(SD!$C$31=SD!$Y$3,SD!$E$32*2,""))</f>
        <v/>
      </c>
      <c r="DO226" s="24">
        <f t="shared" si="103"/>
        <v>3</v>
      </c>
      <c r="DQ226" t="str">
        <f t="shared" si="104"/>
        <v>Lig</v>
      </c>
      <c r="DR226" t="str">
        <f>IF(AM226="Spiral",((Y226-(SD!$E$12*2))/12),"")</f>
        <v/>
      </c>
      <c r="DS226" t="str">
        <f t="shared" si="105"/>
        <v/>
      </c>
      <c r="DT226" t="str">
        <f t="shared" si="106"/>
        <v/>
      </c>
      <c r="DU226" t="str">
        <f t="shared" si="107"/>
        <v/>
      </c>
    </row>
    <row r="227" spans="1:125" x14ac:dyDescent="0.25">
      <c r="A227">
        <v>8</v>
      </c>
      <c r="B227" t="s">
        <v>664</v>
      </c>
      <c r="C227" s="15">
        <v>2429</v>
      </c>
      <c r="D227" s="15">
        <v>10000</v>
      </c>
      <c r="E227" t="str">
        <f>IF(B227=Level!$A$2,SD!$C$14,SD!$C$13)</f>
        <v>3-0</v>
      </c>
      <c r="F227" s="15" t="s">
        <v>787</v>
      </c>
      <c r="G227" t="s">
        <v>726</v>
      </c>
      <c r="H227" s="15" t="s">
        <v>788</v>
      </c>
      <c r="I227" t="s">
        <v>735</v>
      </c>
      <c r="J227" t="str">
        <f>IF(AND(SD!$C$19=SD!$H$2,Grade!$G$1="Per level"),VLOOKUP(B227,Grade!$E$1:$F$200,2,FALSE),IF(AND(SD!$C$19=SD!$H$2,Grade!$G$1="Per Bar Size"),VLOOKUP(W227,Grade!$B$1:$C$12,2,0),SD!$C$19))</f>
        <v>A615 Grade 60</v>
      </c>
      <c r="K227" t="s">
        <v>67</v>
      </c>
      <c r="L227" t="str">
        <f>IFERROR(IF(A227&lt;&gt;A228,"",IF(DF227="No Lap","",IF(K228="Lap",U227,IF(K228="Coupler",_xlfn._xlws.FILTER(CCoupler,(CCName=SD!$C$8)*(CBSize=IF(A226=A227,W227&amp;W228,W227&amp;W227))*(CCMFM="Male")),"")))),"N/A")</f>
        <v/>
      </c>
      <c r="M227" t="str">
        <f t="shared" si="81"/>
        <v/>
      </c>
      <c r="N227" t="s">
        <v>719</v>
      </c>
      <c r="O227" t="s">
        <v>720</v>
      </c>
      <c r="P227" t="s">
        <v>719</v>
      </c>
      <c r="Q227" t="str">
        <f>IF(AND(SD!$C$29=SD!$P$2,Grade!$O$1="Per level"),VLOOKUP(B227,Grade!$M$1:$N$200,2,FALSE),IF(AND(SD!$C$29=SD!$P$2,Grade!$O$1="Per Bar Size"),VLOOKUP(LEFT(N227,FIND("@",N227)-2),Grade!$J$1:$K$12,2,0),SD!$C$29))</f>
        <v>A615 Grade 60</v>
      </c>
      <c r="R227" t="s">
        <v>736</v>
      </c>
      <c r="S227" s="57">
        <v>227</v>
      </c>
      <c r="U227" t="str">
        <f>IF(Data!$J227="",IFERROR(INDEX(IF(SD!$C$11="Create",Lap!$A$3:$BF$14,IF(SD!$C$11="Per Uploaded File",Lap!$A$19:$BF$30,"")),MATCH(W227,Lap!$A$3:$A$14,0),MATCH(VALUE(D227),Lap!$A$3:$BF$3,0)+IF(IFERROR(FIND("Grade 60",J227),0)&gt;0,0,IF(IFERROR(FIND("Grade 80",J227),0),1,IF(IFERROR(FIND("Grade 75",J227),0),2,"")))),""),Data!J227)</f>
        <v>3-6</v>
      </c>
      <c r="W227" t="s">
        <v>139</v>
      </c>
      <c r="X227">
        <v>8</v>
      </c>
      <c r="Y227" t="str">
        <f t="shared" si="82"/>
        <v xml:space="preserve">24 </v>
      </c>
      <c r="Z227" t="str">
        <f t="shared" si="83"/>
        <v xml:space="preserve"> 36</v>
      </c>
      <c r="AA227" s="24">
        <f t="shared" si="84"/>
        <v>19.583333333333332</v>
      </c>
      <c r="BB227" t="e" cm="1">
        <f t="array" ref="BB227">_xlfn.LET(_xlpm.PartF,(_xlfn.LET(_xlpm.grade, Q227,_xlpm.gradeRange, IF(_xlpm.grade=SD!$H$3, A615GR60, IF(_xlpm.grade=SD!$H$4, A615GR75, IF(_xlpm.grade=SD!$H$5, A615GR80, IF(_xlpm.grade=SD!$H$6, A615GR100, IF(_xlpm.grade=SD!$H$7, A706GR60, IF(_xlpm.grade=SD!$H$8, A706GR80)))))),_xlpm.matchValue, MATCH(1, (SD!$AW:$AW=AS227)*(SD!$AX:$AX=SD!$C$8), 0),INDEX(_xlpm.gradeRange, _xlpm.matchValue))),IF(AM227="Spiral",CONCATENATE("SP",_xlpm.PartF),_xlpm.PartF))</f>
        <v>#N/A</v>
      </c>
      <c r="BC227" cm="1">
        <f t="array" ref="BC227">_xlfn.LET(_xlpm.leftPart, LEFT(O227, FIND("@", O227) - 2),_xlpm.grade,Q227,_xlpm.gradeRange,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7" cm="1">
        <f t="array" ref="BD227">_xlfn.LET(_xlpm.leftPart, LEFT(P227, FIND("@", P227) - 2),_xlpm.grade, Q227,_xlpm.gradeRange,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7">
        <f t="shared" si="85"/>
        <v>3</v>
      </c>
      <c r="BF227">
        <f>IF(SD!$C$32=SD!$I$2,BE227,IF(SD!$C$32=SD!$I$3,DO227,IF(SD!$C$32=SD!$I$5,BA227,IF(SD!$C$32=SD!$I$6,(LEFT(SD!$C$35,FIND("-",SD!$C$35)-1)+RIGHT(SD!$C$35,LEN(SD!$C$35)-FIND("-",SD!$C$35))/12),IF(SD!$C$32=SD!$I$4,(AU227-(BG227+BH227)))))))</f>
        <v>0</v>
      </c>
      <c r="BG227">
        <f>IF(SD!$C$33=SD!$I$2,BE227,IF(SD!$C$33=SD!$I$3,DO227,IF(SD!$C$33=SD!$I$5,BA227,IF(SD!$C$33=SD!$I$6,(LEFT(SD!$C$35,FIND("-",SD!$C$35)-1)+RIGHT(SD!$C$35,LEN(SD!$C$35)-FIND("-",SD!$C$35))/12),IF(SD!$C$33=SD!$I$4,(AU227-(BF227+BH227)))))))</f>
        <v>-1</v>
      </c>
      <c r="BH227">
        <f>IF(SD!$C$34=SD!$I$2,BE227,IF(SD!$C$34=SD!$I$3,DO227,IF(SD!$C$34=SD!$I$5,BA227,IF(SD!$C$34=SD!$I$6,(LEFT(SD!$C$35,FIND("-",SD!$C$35)-1)+RIGHT(SD!$C$35,LEN(SD!$C$35)-FIND("-",SD!$C$35))/12),IF(SD!$C$34=SD!$I$4,(AU227-(BF227+BG227)))))))</f>
        <v>1</v>
      </c>
      <c r="BJ227">
        <f>IF(AM227="Spiral","1",MAX(ROUNDUP(IF(SD!$C$32="",AT227,BF227/(LEFT(RIGHT(N227,LEN(N227)-FIND("@",N227)),LEN(RIGHT(N227,LEN(N227)-FIND("@",N227)))-1)/12)+1),0),0))</f>
        <v>1</v>
      </c>
      <c r="BK227">
        <f>MAX(ROUNDUP(IF(SD!$C$33="","",BG227/(LEFT(RIGHT(O227,LEN(O227)-FIND("@",O227)),LEN(RIGHT(O227,LEN(O227)-FIND("@",O227)))-1)/12)+1),0),0)</f>
        <v>0</v>
      </c>
      <c r="BL227">
        <f>MAX(ROUNDUP(IF(SD!$C$34="","",BH227/(LEFT(RIGHT(P227,LEN(P227)-FIND("@",P227)),LEN(RIGHT(P227,LEN(P227)-FIND("@",P227)))-1)/12)+1),0),0)</f>
        <v>3</v>
      </c>
      <c r="BN227" t="e">
        <f t="shared" si="86"/>
        <v>#N/A</v>
      </c>
      <c r="BO227" t="e">
        <f t="shared" si="87"/>
        <v>#N/A</v>
      </c>
      <c r="BP227" t="e">
        <f t="shared" si="88"/>
        <v>#N/A</v>
      </c>
      <c r="BQ227" s="24" t="e">
        <f>IF(AM227=TRUE,(((Y227-(SD!$E$12*2))*3.14159265359)+BN227+BO227+BP227)/12+AL227,SUM(AF227:AG227,BN227,BO227,BP227,AO227,AQ227)/12)</f>
        <v>#N/A</v>
      </c>
      <c r="BR227" t="e">
        <f t="shared" si="89"/>
        <v>#N/A</v>
      </c>
      <c r="BS227" t="e">
        <f t="shared" si="90"/>
        <v>#N/A</v>
      </c>
      <c r="BT227" t="e">
        <f t="shared" si="91"/>
        <v>#N/A</v>
      </c>
      <c r="BU227" s="24" t="e">
        <f>IF(AM227=TRUE,(((Y227-(SD!$E$12*2))*3.14159265359)+BR227+BS227+BT227)/12+AL227,SUM(AF227:AG227,BR227,BS227,BT227,AO227,AQ227)/12)</f>
        <v>#N/A</v>
      </c>
      <c r="BW227" t="str">
        <f>IFERROR(LEFT(Data!L227,FIND(" -",Data!L227)-1),"")</f>
        <v/>
      </c>
      <c r="BX227" t="str">
        <f>IFERROR(IF(SD!$C$40=SD!$U$2,W227,IF(SD!$C$40=SD!$U$3,RIGHT(Data!L227,LEN(Data!L227)-(FIND("-",Data!L227)+1)),SD!$C$40)),"")</f>
        <v>#7</v>
      </c>
      <c r="BY227" cm="1">
        <f t="array" ref="BY227">IFERROR(_xlfn.LET(_xlpm.GRR,IF(AND(SD!$C$19=SD!$H$2,Grade!$G$1="Per level"),VLOOKUP(B227,Grade!$E$1:$F$200,2,FALSE),IF(AND(SD!$C$19=SD!$H$2,Grade!$G$1="Per Bar Size"),VLOOKUP(BX227,Grade!$B$1:$C$12,2,0),SD!$C$19)),_xlpm.is_equal, A226=A227,_xlpm.grade_range, IF(_xlpm.GRR=SD!$H$3, A615GR60,IF(_xlpm.GRR=SD!$H$4, A615GR75,IF(_xlpm.GRR=SD!$H$5, A615GR80,IF(_xlpm.GRR=SD!H231, A615GR100,IF(_xlpm.GRR=SD!$H$7, A706GR60,IF(_xlpm.GRR=SD!$H$8, A706GR80)))))),_xlpm.match_result, MATCH(1, (BSize=BX227)*(BCName=SD!$C$8), 0),_xlpm.final_result, INDEX(_xlpm.grade_range, _xlpm.match_result),IF(_xlpm.is_equal, "", _xlpm.final_result)),"")</f>
        <v>7</v>
      </c>
      <c r="BZ227">
        <f>IF(A226=A227,"",IF(SD!$C$41="Match Vertical Bars ",X227,IF(SD!$C$41=SD!$V$3,BW227,SD!$C$41)))</f>
        <v>8</v>
      </c>
      <c r="CA227" cm="1">
        <f t="array" ref="CA227">IF(A226=A227,"",IF(SD!$C$44="No T-Head",IF(SD!$C$42=SD!$Q$3,VLOOKUP(BX227,S90Range,3,FALSE),LEFT(SD!$C$42,FIND("-",SD!$C$42)-1)+(RIGHT(SD!$C$42,LEN(SD!$C$42)-FIND("-",SD!$C$42))/12)),IF(SD!$C$44="T-Head",_xlfn._xlws.FILTER(THead,(TCName=SD!$C$8)*(TSize=BX227)),IF(SD!$C$44="Level Wise",_xlfn.LET(_xlpm.result,_xlfn.XLOOKUP(B227,VDLevel,VDLevelStatus,"No"),IF(_xlpm.result="Yes",_xlfn._xlws.FILTER(THead,(TCName=SD!$C$8)*(TSize=BX227)),IF(SD!$C$42=SD!$Q$3,VLOOKUP(BX227,S90Range,3,FALSE),LEFT(SD!$C$42,FIND("-",SD!$C$42)-1)+(RIGHT(SD!$C$42,LEN(SD!$C$42)-FIND("-", SD!$C$42))/12)))),IF(SD!$C$44="BarSize Wise",_xlfn.LET(_xlpm.result,_xlfn.XLOOKUP(BX227,VDBarSize,VDBarSizeStatus,"No"),IF(_xlpm.result="Yes",_xlfn._xlws.FILTER(THead,(TCName=SD!$C$8)*(TSize=BX227)),IF(SD!$C$42=SD!$Q$3,VLOOKUP(BX227,S90Range,3,FALSE),LEFT(SD!$C$42,FIND("-",SD!$C$42)-1)+(RIGHT(SD!$C$42,LEN(SD!$C$42)-FIND("-",SD!$C$42))/12)))), "")))))</f>
        <v>1.1666666666666667</v>
      </c>
      <c r="CB227" t="str" cm="1">
        <f t="array" ref="CB227">_xlfn.LET(_xlpm.GRR,IF(AND(SD!$C$19=SD!$H$2,Grade!$G$1="Per level"),VLOOKUP(B227,Grade!$E$1:$F$200,2,FALSE),IF(AND(SD!$C$19=SD!$H$2,Grade!$G$1="Per Bar Size"),VLOOKUP(BX227,Grade!$B$1:$C$12,2,0),SD!$C$19)),_xlpm.is_coupler, K227="Coupler",_xlpm.condition1, SD!$C$43=SD!$W$2,_xlpm.data_j2_empty, Data!$J227="",_xlpm.lookup_table, IF(SD!$C$11="Create", Lap!$A$3:$BF$14, IF(SD!$C$11="Per Uploaded File", Lap!$A$19:$BF$30, "")),_xlpm.row_match, MATCH(BX227, Lap!$A$3:$A$14, 0),_xlpm.grade_offset, IF(IFERROR(FIND("Grade 60",_xlpm.GRR), 0) &gt; 0, 0, IF(IFERROR(FIND("Grade 80",_xlpm.GRR), 0), 1, IF(IFERROR(FIND("Grade 75",_xlpm.GRR), 0), 2, ""))),_xlpm.col_match, MATCH(VALUE(D227), Lap!$A$3:$BF$3, 0) + _xlpm.grade_offset,_xlpm.index_result, IFERROR(INDEX(_xlpm.lookup_table, _xlpm.row_match, _xlpm.col_match), Data!$J227),_xlpm.result_if_condition1, IF(_xlpm.data_j2_empty, _xlpm.index_result, Data!$J227),IF(_xlpm.is_coupler, 0, IF(_xlpm.condition1, _xlpm.result_if_condition1, SD!$C$43)))</f>
        <v>3-6</v>
      </c>
      <c r="CC227" s="24">
        <f t="shared" si="92"/>
        <v>3.5</v>
      </c>
      <c r="CD227">
        <f t="shared" si="93"/>
        <v>7.666666666666667</v>
      </c>
      <c r="CE227" t="str" cm="1">
        <f t="array" ref="CE227">IF(BY227="","",_xlfn._xlws.FILTER(SAC,(CName=SD!$C$8)*(EName="Vert Dowels")))</f>
        <v>2200 CD</v>
      </c>
      <c r="CF227" t="str" cm="1">
        <f t="array" ref="CF227">IFERROR(IF(BY227="","",IF(K227="Coupler",_xlfn._xlws.FILTER(CCoupler,(CCName=SD!$C$8)*(CBSize=IF(A226=A227,W226&amp;W227,BX227&amp;W227))*(CCMFM="Male")),"")),"N/A")</f>
        <v/>
      </c>
      <c r="CG227" t="str">
        <f t="shared" si="94"/>
        <v/>
      </c>
      <c r="CH227" t="str">
        <f t="shared" si="95"/>
        <v/>
      </c>
      <c r="CI227" t="str">
        <f>_xlfn.LET(_xlpm.u3_value, U228,_xlpm.hyphen_pos,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K228="Coupler",_xlpm.coupler_value, IF(_xlpm.is_coupler, 0, _xlpm.calculated_value),_xlpm.final_value, _xlpm.calculated_value + SD!$E$13 + _xlpm.coupler_value,IF(CG227="", "", _xlpm.final_value))</f>
        <v/>
      </c>
      <c r="CJ227" t="str" cm="1">
        <f t="array" ref="CJ227">IF(CG227="","",_xlfn._xlws.FILTER(SAC,(CName=SD!$C$8)*(EName="Loose Dowels")))</f>
        <v/>
      </c>
      <c r="CK227" t="str" cm="1">
        <f t="array" ref="CK227">IFERROR(IF(CG227="","",IF(K228="Coupler",_xlfn._xlws.FILTER(CCoupler,(CCName=SD!$C$8)*(CBSize=IF(A227=A228,W227&amp;W228,""))*(CCMFM="Male")),"")),"N/A")</f>
        <v/>
      </c>
      <c r="CL227">
        <f>IFERROR(IF(AM227="Spiral","",IF(A226=A227,"",IF(SD!$C$37=0,"",SD!$C$37))),"")</f>
        <v>3</v>
      </c>
      <c r="CN227">
        <f>IF(AM227="Spiral","",IFERROR(IF(SD!$C$36=0,"",SD!$C$36),""))</f>
        <v>5</v>
      </c>
      <c r="CP227">
        <f>IFERROR(IF(SD!$C$42=SD!$Q$3,'Take-off'!CA227,""),"")</f>
        <v>1.1666666666666667</v>
      </c>
      <c r="CR227">
        <f>IFERROR(IF(SD!$C$22=SD!$U$2,W227,SD!$C$22),"")</f>
        <v>0</v>
      </c>
      <c r="CS227" t="str" cm="1">
        <f t="array" ref="CS227">_xlfn.LET(_xlpm.GR,IF(AND(SD!$C$19=SD!$H$2,Grade!$G$1="Per level"),VLOOKUP(B227,Grade!$E$1:$F$200,2,FALSE),IF(AND(SD!$C$19=SD!$H$2,Grade!$G$1="Per Bar Size"),VLOOKUP(CR227,Grade!$B$1:$C$12,2,0),SD!$C$19)),IF(SD!$C$20=SD!$R$4,IF(A228=A227,"",INDEX(IF(_xlpm.GR=SD!$H$3,A615GR60,IF(_xlpm.GR=SD!$H$4,A615GR75,IF(_xlpm.GR=SD!$H$5,A615GR80,IF(_xlpm.GR=SD!H231,A615GR100,IF(_xlpm.GR=SD!$H$7,A706GR60,IF(_xlpm.GR=SD!$H$8,A706GR80)))))), MATCH(1, (BSize=CR227)*(BCName=SD!$C$8), 0))),""))</f>
        <v/>
      </c>
      <c r="CT227">
        <f>IF(A228=A227,"",IF(SD!$C$23="Match Vertical Bars ",X227,SD!$C$23))</f>
        <v>0</v>
      </c>
      <c r="CU227" t="str" cm="1">
        <f t="array" ref="CU227">IF(A228=A227,"",IF(SD!$C$20="Top dowels",IF(SD!$E$25="No T-Head",IF(SD!$C$24=SD!$Q$3,VLOOKUP(CR227,S90Range,3,FALSE),LEFT(SD!$C$24,FIND("-",SD!$C$24)-1)+(RIGHT(SD!$C$24,LEN(SD!$C$24)-FIND("-",SD!$C$24))/12)),IF(SD!$E$25="T-Head",_xlfn._xlws.FILTER(THead,(TCName=SD!$C$8)*(TSize=CR227)),IF(SD!$E$25="Level Wise",_xlfn.LET(_xlpm.result,_xlfn.XLOOKUP(B227,TDLevel,TDLevelStatus,"No"),IF(_xlpm.result="Yes",_xlfn._xlws.FILTER(THead,(TCName=SD!$C$8)*(TSize=CR227)),IF(SD!$C$24=SD!$Q$3,VLOOKUP(CR227,S90Range,3,FALSE),LEFT(SD!$C$24,FIND("-",SD!$C$24)-1)+(RIGHT(SD!$C$24,LEN(SD!$C$24)-FIND("-", SD!$C$24))/12)))),IF(SD!$E$25="BarSize Wise",_xlfn.LET(_xlpm.result,_xlfn.XLOOKUP(CR227,TDBarSize,TDBarSizeStatus,"No"),IF(_xlpm.result="Yes",_xlfn._xlws.FILTER(THead,(TCName=SD!$C$8)*(TSize=CR227)),IF(SD!$C$24=SD!$Q$3,VLOOKUP(CR227,S90Range,3,FALSE),LEFT(SD!$C$24,FIND("-",SD!$C$24)-1)+(RIGHT(SD!$C$24,LEN(SD!$C$24)-FIND("-",SD!$C$24))/12)))), "")))),""))</f>
        <v/>
      </c>
      <c r="CV227" t="str">
        <f>_xlfn.LET(_xlpm.GRR,IF(AND(SD!$C$19=SD!$H$2,Grade!$G$1="Per level"),VLOOKUP(B227,Grade!$E$1:$F$200,2,FALSE),IF(AND(SD!$C$19=SD!$H$2,Grade!$G$1="Per Bar Size"),VLOOKUP(CR227,Grade!$B$1:$C$12,2,0),SD!$C$19)),IF(SD!$C$25=SD!$W$2,IF(Data!$J227="",IFERROR(INDEX(IF(SD!$C$11="Create",Lap!$A$3:$BF$14,IF(SD!$C$11="Per Uploaded File",Lap!$A$19:$BF$30,"")),MATCH(CR227,Lap!$A$3:$A$14,0),MATCH(VALUE(D227),Lap!$A$3:$BF$3,0)+IF(IFERROR(FIND("Grade 60",_xlpm.GRR),0)&gt;0,0,IF(IFERROR(FIND("Grade 80",_xlpm.GRR),0),1,IF(IFERROR(FIND("Grade 75",_xlpm.GRR),0),2,"")))),""),Data!J227),SD!$C$43))</f>
        <v>Match Lap</v>
      </c>
      <c r="CW227">
        <f t="shared" si="96"/>
        <v>0</v>
      </c>
      <c r="CX227">
        <f t="shared" si="97"/>
        <v>0</v>
      </c>
      <c r="CY227" t="str">
        <f t="shared" si="98"/>
        <v/>
      </c>
      <c r="DA227">
        <f t="shared" si="99"/>
        <v>8</v>
      </c>
      <c r="DB227" t="str">
        <f t="shared" si="100"/>
        <v>19-7</v>
      </c>
      <c r="DC227" s="24">
        <f t="shared" si="101"/>
        <v>19.583333333333332</v>
      </c>
      <c r="DD227">
        <f t="shared" si="102"/>
        <v>19.583333333333332</v>
      </c>
      <c r="DE227" t="s">
        <v>726</v>
      </c>
      <c r="DF227" t="s">
        <v>67</v>
      </c>
      <c r="DG227" t="str">
        <f>VLOOKUP(W227,'Level Wise PSI'!$F$2:$G$12,2,FALSE)</f>
        <v>Double Lift</v>
      </c>
      <c r="DI227" t="str" cm="1">
        <f t="array" ref="DI227">_xlfn.LET(_xlpm.Coup,IFERROR(IF(BY227="","",IF(K227="Coupler",_xlfn._xlws.FILTER(CCFCoupler,(CCName=SD!$C$8)*(CBSize=IF(A226=A227,W226&amp;W227,BX227&amp;W227))),"")),"N/A"),IF(_xlpm.Coup=0,"",_xlpm.Coup))</f>
        <v/>
      </c>
      <c r="DJ227" t="str" cm="1">
        <f t="array" ref="DJ227">_xlfn.LET(_xlpm.Coup3,IFERROR(IF(CG227="","",IF(K228="Coupler",_xlfn._xlws.FILTER(CCFCoupler,(CCName=SD!$C$8)*(CBSize=IF(A227=A228,W227&amp;W228,""))),"")),"N/A"),IF(_xlpm.Coup3=0,"",_xlpm.Coup3))</f>
        <v/>
      </c>
      <c r="DK227" t="str" cm="1">
        <f t="array" ref="DK227">_xlfn.LET(_xlpm.Coup2,IFERROR(IF(A227&lt;&gt;A228,"",IF(DF227="No Lap","",IF(K228="Coupler",_xlfn._xlws.FILTER(CCFCoupler,(CCName=SD!$C$8)*(CBSize=IF(A226=A227,W227&amp;W228,W227&amp;W227))),""))),"N/A"),IF(_xlpm.Coup2=0,"",_xlpm.Coup2))</f>
        <v/>
      </c>
      <c r="DM227" t="str">
        <f>IF(AM227="Spiral","",IF(SD!$C$31=SD!$Y$3,SD!$E$32*2,""))</f>
        <v/>
      </c>
      <c r="DO227" s="24">
        <f t="shared" si="103"/>
        <v>3</v>
      </c>
      <c r="DQ227" t="str">
        <f t="shared" si="104"/>
        <v>Lig</v>
      </c>
      <c r="DR227" t="str">
        <f>IF(AM227="Spiral",((Y227-(SD!$E$12*2))/12),"")</f>
        <v/>
      </c>
      <c r="DS227" t="str">
        <f t="shared" si="105"/>
        <v/>
      </c>
      <c r="DT227" t="str">
        <f t="shared" si="106"/>
        <v/>
      </c>
      <c r="DU227" t="str">
        <f t="shared" si="107"/>
        <v/>
      </c>
    </row>
    <row r="228" spans="1:125" x14ac:dyDescent="0.25">
      <c r="A228">
        <v>9</v>
      </c>
      <c r="B228" t="s">
        <v>664</v>
      </c>
      <c r="C228" s="15">
        <v>2429</v>
      </c>
      <c r="D228" s="15">
        <v>10000</v>
      </c>
      <c r="E228" s="15" t="s">
        <v>704</v>
      </c>
      <c r="F228" s="15" t="s">
        <v>787</v>
      </c>
      <c r="G228" t="s">
        <v>733</v>
      </c>
      <c r="H228" s="15" t="s">
        <v>788</v>
      </c>
      <c r="I228" t="s">
        <v>723</v>
      </c>
      <c r="J228" t="str">
        <f>IF(AND(SD!$C$19=SD!$H$2,Grade!$G$1="Per level"),VLOOKUP(B228,Grade!$E$1:$F$200,2,FALSE),IF(AND(SD!$C$19=SD!$H$2,Grade!$G$1="Per Bar Size"),VLOOKUP(W228,Grade!$B$1:$C$12,2,0),SD!$C$19))</f>
        <v>A615 Grade 60</v>
      </c>
      <c r="K228" t="s">
        <v>67</v>
      </c>
      <c r="L228" t="str">
        <f>IFERROR(IF(A228&lt;&gt;A229,"",IF(DF228="No Lap","",IF(K229="Lap",U228,IF(K229="Coupler",_xlfn._xlws.FILTER(CCoupler,(CCName=SD!$C$8)*(CBSize=IF(A227=A228,W228&amp;W229,W228&amp;W228))*(CCMFM="Male")),"")))),"N/A")</f>
        <v/>
      </c>
      <c r="M228" t="str">
        <f t="shared" si="81"/>
        <v/>
      </c>
      <c r="N228" t="s">
        <v>719</v>
      </c>
      <c r="O228" t="s">
        <v>720</v>
      </c>
      <c r="P228" t="s">
        <v>719</v>
      </c>
      <c r="Q228" t="str">
        <f>IF(AND(SD!$C$29=SD!$P$2,Grade!$O$1="Per level"),VLOOKUP(B228,Grade!$M$1:$N$200,2,FALSE),IF(AND(SD!$C$29=SD!$P$2,Grade!$O$1="Per Bar Size"),VLOOKUP(LEFT(N228,FIND("@",N228)-2),Grade!$J$1:$K$12,2,0),SD!$C$29))</f>
        <v>A615 Grade 60</v>
      </c>
      <c r="R228" t="s">
        <v>725</v>
      </c>
      <c r="S228" s="57">
        <v>228</v>
      </c>
      <c r="U228" t="str">
        <f>IF(Data!$J228="",IFERROR(INDEX(IF(SD!$C$11="Create",Lap!$A$3:$BF$14,IF(SD!$C$11="Per Uploaded File",Lap!$A$19:$BF$30,"")),MATCH(W228,Lap!$A$3:$A$14,0),MATCH(VALUE(D228),Lap!$A$3:$BF$3,0)+IF(IFERROR(FIND("Grade 60",J228),0)&gt;0,0,IF(IFERROR(FIND("Grade 80",J228),0),1,IF(IFERROR(FIND("Grade 75",J228),0),2,"")))),""),Data!J228)</f>
        <v>3-6</v>
      </c>
      <c r="W228" t="s">
        <v>139</v>
      </c>
      <c r="X228">
        <v>6</v>
      </c>
      <c r="Y228" t="str">
        <f t="shared" si="82"/>
        <v xml:space="preserve">14 </v>
      </c>
      <c r="Z228" t="str">
        <f t="shared" si="83"/>
        <v xml:space="preserve"> 24</v>
      </c>
      <c r="AA228" s="24">
        <f t="shared" si="84"/>
        <v>19.583333333333332</v>
      </c>
      <c r="BB228" t="e" cm="1">
        <f t="array" ref="BB228">_xlfn.LET(_xlpm.PartF,(_xlfn.LET(_xlpm.grade, Q228,_xlpm.gradeRange, IF(_xlpm.grade=SD!$H$3, A615GR60, IF(_xlpm.grade=SD!$H$4, A615GR75, IF(_xlpm.grade=SD!$H$5, A615GR80, IF(_xlpm.grade=SD!$H$6, A615GR100, IF(_xlpm.grade=SD!$H$7, A706GR60, IF(_xlpm.grade=SD!$H$8, A706GR80)))))),_xlpm.matchValue, MATCH(1, (SD!$AW:$AW=AS228)*(SD!$AX:$AX=SD!$C$8), 0),INDEX(_xlpm.gradeRange, _xlpm.matchValue))),IF(AM228="Spiral",CONCATENATE("SP",_xlpm.PartF),_xlpm.PartF))</f>
        <v>#N/A</v>
      </c>
      <c r="BC228" cm="1">
        <f t="array" ref="BC228">_xlfn.LET(_xlpm.leftPart, LEFT(O228, FIND("@", O228) - 2),_xlpm.grade,Q228,_xlpm.gradeRange,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D228" cm="1">
        <f t="array" ref="BD228">_xlfn.LET(_xlpm.leftPart, LEFT(P228, FIND("@", P228) - 2),_xlpm.grade, Q228,_xlpm.gradeRange, IF(_xlpm.grade=SD!$H$3, A615GR60, IF(_xlpm.grade=SD!$H$4, A615GR75, IF(_xlpm.grade=SD!$H$5, A615GR80, IF(_xlpm.grade=SD!$H$6, A615GR100, IF(_xlpm.grade=SD!$H$7, A706GR60, IF(_xlpm.grade=SD!$H$8, A706GR80)))))),_xlpm.matchValue, MATCH(1, (SD!$AW:$AW=_xlpm.leftPart)*(SD!$AX:$AX=SD!$C$8), 0),INDEX(_xlpm.gradeRange, _xlpm.matchValue))</f>
        <v>3</v>
      </c>
      <c r="BE228">
        <f t="shared" si="85"/>
        <v>2</v>
      </c>
      <c r="BF228">
        <f>IF(SD!$C$32=SD!$I$2,BE228,IF(SD!$C$32=SD!$I$3,DO228,IF(SD!$C$32=SD!$I$5,BA228,IF(SD!$C$32=SD!$I$6,(LEFT(SD!$C$35,FIND("-",SD!$C$35)-1)+RIGHT(SD!$C$35,LEN(SD!$C$35)-FIND("-",SD!$C$35))/12),IF(SD!$C$32=SD!$I$4,(AU228-(BG228+BH228)))))))</f>
        <v>0</v>
      </c>
      <c r="BG228">
        <f>IF(SD!$C$33=SD!$I$2,BE228,IF(SD!$C$33=SD!$I$3,DO228,IF(SD!$C$33=SD!$I$5,BA228,IF(SD!$C$33=SD!$I$6,(LEFT(SD!$C$35,FIND("-",SD!$C$35)-1)+RIGHT(SD!$C$35,LEN(SD!$C$35)-FIND("-",SD!$C$35))/12),IF(SD!$C$33=SD!$I$4,(AU228-(BF228+BH228)))))))</f>
        <v>-1</v>
      </c>
      <c r="BH228">
        <f>IF(SD!$C$34=SD!$I$2,BE228,IF(SD!$C$34=SD!$I$3,DO228,IF(SD!$C$34=SD!$I$5,BA228,IF(SD!$C$34=SD!$I$6,(LEFT(SD!$C$35,FIND("-",SD!$C$35)-1)+RIGHT(SD!$C$35,LEN(SD!$C$35)-FIND("-",SD!$C$35))/12),IF(SD!$C$34=SD!$I$4,(AU228-(BF228+BG228)))))))</f>
        <v>1</v>
      </c>
      <c r="BJ228">
        <f>IF(AM228="Spiral","1",MAX(ROUNDUP(IF(SD!$C$32="",AT228,BF228/(LEFT(RIGHT(N228,LEN(N228)-FIND("@",N228)),LEN(RIGHT(N228,LEN(N228)-FIND("@",N228)))-1)/12)+1),0),0))</f>
        <v>1</v>
      </c>
      <c r="BK228">
        <f>MAX(ROUNDUP(IF(SD!$C$33="","",BG228/(LEFT(RIGHT(O228,LEN(O228)-FIND("@",O228)),LEN(RIGHT(O228,LEN(O228)-FIND("@",O228)))-1)/12)+1),0),0)</f>
        <v>0</v>
      </c>
      <c r="BL228">
        <f>MAX(ROUNDUP(IF(SD!$C$34="","",BH228/(LEFT(RIGHT(P228,LEN(P228)-FIND("@",P228)),LEN(RIGHT(P228,LEN(P228)-FIND("@",P228)))-1)/12)+1),0),0)</f>
        <v>3</v>
      </c>
      <c r="BN228" t="e">
        <f t="shared" si="86"/>
        <v>#N/A</v>
      </c>
      <c r="BO228" t="e">
        <f t="shared" si="87"/>
        <v>#N/A</v>
      </c>
      <c r="BP228" t="e">
        <f t="shared" si="88"/>
        <v>#N/A</v>
      </c>
      <c r="BQ228" s="24" t="e">
        <f>IF(AM228=TRUE,(((Y228-(SD!$E$12*2))*3.14159265359)+BN228+BO228+BP228)/12+AL228,SUM(AF228:AG228,BN228,BO228,BP228,AO228,AQ228)/12)</f>
        <v>#N/A</v>
      </c>
      <c r="BR228" t="e">
        <f t="shared" si="89"/>
        <v>#N/A</v>
      </c>
      <c r="BS228" t="e">
        <f t="shared" si="90"/>
        <v>#N/A</v>
      </c>
      <c r="BT228" t="e">
        <f t="shared" si="91"/>
        <v>#N/A</v>
      </c>
      <c r="BU228" s="24" t="e">
        <f>IF(AM228=TRUE,(((Y228-(SD!$E$12*2))*3.14159265359)+BR228+BS228+BT228)/12+AL228,SUM(AF228:AG228,BR228,BS228,BT228,AO228,AQ228)/12)</f>
        <v>#N/A</v>
      </c>
      <c r="BW228" t="str">
        <f>IFERROR(LEFT(Data!L228,FIND(" -",Data!L228)-1),"")</f>
        <v/>
      </c>
      <c r="BX228" t="str">
        <f>IFERROR(IF(SD!$C$40=SD!$U$2,W228,IF(SD!$C$40=SD!$U$3,RIGHT(Data!L228,LEN(Data!L228)-(FIND("-",Data!L228)+1)),SD!$C$40)),"")</f>
        <v>#7</v>
      </c>
      <c r="BY228" cm="1">
        <f t="array" ref="BY228">IFERROR(_xlfn.LET(_xlpm.GRR,IF(AND(SD!$C$19=SD!$H$2,Grade!$G$1="Per level"),VLOOKUP(B228,Grade!$E$1:$F$200,2,FALSE),IF(AND(SD!$C$19=SD!$H$2,Grade!$G$1="Per Bar Size"),VLOOKUP(BX228,Grade!$B$1:$C$12,2,0),SD!$C$19)),_xlpm.is_equal, A227=A228,_xlpm.grade_range, IF(_xlpm.GRR=SD!$H$3, A615GR60,IF(_xlpm.GRR=SD!$H$4, A615GR75,IF(_xlpm.GRR=SD!$H$5, A615GR80,IF(_xlpm.GRR=SD!H232, A615GR100,IF(_xlpm.GRR=SD!$H$7, A706GR60,IF(_xlpm.GRR=SD!$H$8, A706GR80)))))),_xlpm.match_result, MATCH(1, (BSize=BX228)*(BCName=SD!$C$8), 0),_xlpm.final_result, INDEX(_xlpm.grade_range, _xlpm.match_result),IF(_xlpm.is_equal, "", _xlpm.final_result)),"")</f>
        <v>7</v>
      </c>
      <c r="BZ228">
        <f>IF(A227=A228,"",IF(SD!$C$41="Match Vertical Bars ",X228,IF(SD!$C$41=SD!$V$3,BW228,SD!$C$41)))</f>
        <v>6</v>
      </c>
      <c r="CA228" cm="1">
        <f t="array" ref="CA228">IF(A227=A228,"",IF(SD!$C$44="No T-Head",IF(SD!$C$42=SD!$Q$3,VLOOKUP(BX228,S90Range,3,FALSE),LEFT(SD!$C$42,FIND("-",SD!$C$42)-1)+(RIGHT(SD!$C$42,LEN(SD!$C$42)-FIND("-",SD!$C$42))/12)),IF(SD!$C$44="T-Head",_xlfn._xlws.FILTER(THead,(TCName=SD!$C$8)*(TSize=BX228)),IF(SD!$C$44="Level Wise",_xlfn.LET(_xlpm.result,_xlfn.XLOOKUP(B228,VDLevel,VDLevelStatus,"No"),IF(_xlpm.result="Yes",_xlfn._xlws.FILTER(THead,(TCName=SD!$C$8)*(TSize=BX228)),IF(SD!$C$42=SD!$Q$3,VLOOKUP(BX228,S90Range,3,FALSE),LEFT(SD!$C$42,FIND("-",SD!$C$42)-1)+(RIGHT(SD!$C$42,LEN(SD!$C$42)-FIND("-", SD!$C$42))/12)))),IF(SD!$C$44="BarSize Wise",_xlfn.LET(_xlpm.result,_xlfn.XLOOKUP(BX228,VDBarSize,VDBarSizeStatus,"No"),IF(_xlpm.result="Yes",_xlfn._xlws.FILTER(THead,(TCName=SD!$C$8)*(TSize=BX228)),IF(SD!$C$42=SD!$Q$3,VLOOKUP(BX228,S90Range,3,FALSE),LEFT(SD!$C$42,FIND("-",SD!$C$42)-1)+(RIGHT(SD!$C$42,LEN(SD!$C$42)-FIND("-",SD!$C$42))/12)))), "")))))</f>
        <v>1.1666666666666667</v>
      </c>
      <c r="CB228" t="str" cm="1">
        <f t="array" ref="CB228">_xlfn.LET(_xlpm.GRR,IF(AND(SD!$C$19=SD!$H$2,Grade!$G$1="Per level"),VLOOKUP(B228,Grade!$E$1:$F$200,2,FALSE),IF(AND(SD!$C$19=SD!$H$2,Grade!$G$1="Per Bar Size"),VLOOKUP(BX228,Grade!$B$1:$C$12,2,0),SD!$C$19)),_xlpm.is_coupler, K228="Coupler",_xlpm.condition1, SD!$C$43=SD!$W$2,_xlpm.data_j2_empty, Data!$J228="",_xlpm.lookup_table, IF(SD!$C$11="Create", Lap!$A$3:$BF$14, IF(SD!$C$11="Per Uploaded File", Lap!$A$19:$BF$30, "")),_xlpm.row_match, MATCH(BX228, Lap!$A$3:$A$14, 0),_xlpm.grade_offset, IF(IFERROR(FIND("Grade 60",_xlpm.GRR), 0) &gt; 0, 0, IF(IFERROR(FIND("Grade 80",_xlpm.GRR), 0), 1, IF(IFERROR(FIND("Grade 75",_xlpm.GRR), 0), 2, ""))),_xlpm.col_match, MATCH(VALUE(D228), Lap!$A$3:$BF$3, 0) + _xlpm.grade_offset,_xlpm.index_result, IFERROR(INDEX(_xlpm.lookup_table, _xlpm.row_match, _xlpm.col_match), Data!$J228),_xlpm.result_if_condition1, IF(_xlpm.data_j2_empty, _xlpm.index_result, Data!$J228),IF(_xlpm.is_coupler, 0, IF(_xlpm.condition1, _xlpm.result_if_condition1, SD!$C$43)))</f>
        <v>3-6</v>
      </c>
      <c r="CC228" s="24">
        <f t="shared" si="92"/>
        <v>3.5</v>
      </c>
      <c r="CD228">
        <f t="shared" si="93"/>
        <v>8.1666666666666679</v>
      </c>
      <c r="CE228" t="str" cm="1">
        <f t="array" ref="CE228">IF(BY228="","",_xlfn._xlws.FILTER(SAC,(CName=SD!$C$8)*(EName="Vert Dowels")))</f>
        <v>2200 CD</v>
      </c>
      <c r="CF228" t="str" cm="1">
        <f t="array" ref="CF228">IFERROR(IF(BY228="","",IF(K228="Coupler",_xlfn._xlws.FILTER(CCoupler,(CCName=SD!$C$8)*(CBSize=IF(A227=A228,W227&amp;W228,BX228&amp;W228))*(CCMFM="Male")),"")),"N/A")</f>
        <v/>
      </c>
      <c r="CG228" t="str">
        <f t="shared" si="94"/>
        <v/>
      </c>
      <c r="CH228" t="str">
        <f t="shared" si="95"/>
        <v/>
      </c>
      <c r="CI228" t="str">
        <f>_xlfn.LET(_xlpm.u3_value, U229,_xlpm.hyphen_pos, FIND("-", _xlpm.u3_value),_xlpm.left_part, LEFT(_xlpm.u3_value, _xlpm.hyphen_pos - 1),_xlpm.right_part, RIGHT(_xlpm.u3_value, LEN(_xlpm.u3_value) - _xlpm.hyphen_pos) / 12,_xlpm.calculated_value, IFERROR(_xlpm.left_part + _xlpm.right_part, "0"),_xlpm.is_coupler, K229="Coupler",_xlpm.coupler_value, IF(_xlpm.is_coupler, 0, _xlpm.calculated_value),_xlpm.final_value, _xlpm.calculated_value + SD!$E$13 + _xlpm.coupler_value,IF(CG228="", "", _xlpm.final_value))</f>
        <v/>
      </c>
      <c r="CJ228" t="str" cm="1">
        <f t="array" ref="CJ228">IF(CG228="","",_xlfn._xlws.FILTER(SAC,(CName=SD!$C$8)*(EName="Loose Dowels")))</f>
        <v/>
      </c>
      <c r="CK228" t="str" cm="1">
        <f t="array" ref="CK228">IFERROR(IF(CG228="","",IF(K229="Coupler",_xlfn._xlws.FILTER(CCoupler,(CCName=SD!$C$8)*(CBSize=IF(A228=A229,W228&amp;W229,""))*(CCMFM="Male")),"")),"N/A")</f>
        <v/>
      </c>
      <c r="CL228">
        <f>IFERROR(IF(AM228="Spiral","",IF(A227=A228,"",IF(SD!$C$37=0,"",SD!$C$37))),"")</f>
        <v>3</v>
      </c>
      <c r="CN228">
        <f>IF(AM228="Spiral","",IFERROR(IF(SD!$C$36=0,"",SD!$C$36),""))</f>
        <v>5</v>
      </c>
      <c r="CP228">
        <f>IFERROR(IF(SD!$C$42=SD!$Q$3,'Take-off'!CA228,""),"")</f>
        <v>1.1666666666666667</v>
      </c>
      <c r="CR228">
        <f>IFERROR(IF(SD!$C$22=SD!$U$2,W228,SD!$C$22),"")</f>
        <v>0</v>
      </c>
      <c r="CS228" t="str" cm="1">
        <f t="array" ref="CS228">_xlfn.LET(_xlpm.GR,IF(AND(SD!$C$19=SD!$H$2,Grade!$G$1="Per level"),VLOOKUP(B228,Grade!$E$1:$F$200,2,FALSE),IF(AND(SD!$C$19=SD!$H$2,Grade!$G$1="Per Bar Size"),VLOOKUP(CR228,Grade!$B$1:$C$12,2,0),SD!$C$19)),IF(SD!$C$20=SD!$R$4,IF(A229=A228,"",INDEX(IF(_xlpm.GR=SD!$H$3,A615GR60,IF(_xlpm.GR=SD!$H$4,A615GR75,IF(_xlpm.GR=SD!$H$5,A615GR80,IF(_xlpm.GR=SD!H232,A615GR100,IF(_xlpm.GR=SD!$H$7,A706GR60,IF(_xlpm.GR=SD!$H$8,A706GR80)))))), MATCH(1, (BSize=CR228)*(BCName=SD!$C$8), 0))),""))</f>
        <v/>
      </c>
      <c r="CT228">
        <f>IF(A229=A228,"",IF(SD!$C$23="Match Vertical Bars ",X228,SD!$C$23))</f>
        <v>0</v>
      </c>
      <c r="CU228" t="str" cm="1">
        <f t="array" ref="CU228">IF(A229=A228,"",IF(SD!$C$20="Top dowels",IF(SD!$E$25="No T-Head",IF(SD!$C$24=SD!$Q$3,VLOOKUP(CR228,S90Range,3,FALSE),LEFT(SD!$C$24,FIND("-",SD!$C$24)-1)+(RIGHT(SD!$C$24,LEN(SD!$C$24)-FIND("-",SD!$C$24))/12)),IF(SD!$E$25="T-Head",_xlfn._xlws.FILTER(THead,(TCName=SD!$C$8)*(TSize=CR228)),IF(SD!$E$25="Level Wise",_xlfn.LET(_xlpm.result,_xlfn.XLOOKUP(B228,TDLevel,TDLevelStatus,"No"),IF(_xlpm.result="Yes",_xlfn._xlws.FILTER(THead,(TCName=SD!$C$8)*(TSize=CR228)),IF(SD!$C$24=SD!$Q$3,VLOOKUP(CR228,S90Range,3,FALSE),LEFT(SD!$C$24,FIND("-",SD!$C$24)-1)+(RIGHT(SD!$C$24,LEN(SD!$C$24)-FIND("-", SD!$C$24))/12)))),IF(SD!$E$25="BarSize Wise",_xlfn.LET(_xlpm.result,_xlfn.XLOOKUP(CR228,TDBarSize,TDBarSizeStatus,"No"),IF(_xlpm.result="Yes",_xlfn._xlws.FILTER(THead,(TCName=SD!$C$8)*(TSize=CR228)),IF(SD!$C$24=SD!$Q$3,VLOOKUP(CR228,S90Range,3,FALSE),LEFT(SD!$C$24,FIND("-",SD!$C$24)-1)+(RIGHT(SD!$C$24,LEN(SD!$C$24)-FIND("-",SD!$C$24))/12)))), "")))),""))</f>
        <v/>
      </c>
      <c r="CV228" t="str">
        <f>_xlfn.LET(_xlpm.GRR,IF(AND(SD!$C$19=SD!$H$2,Grade!$G$1="Per level"),VLOOKUP(B228,Grade!$E$1:$F$200,2,FALSE),IF(AND(SD!$C$19=SD!$H$2,Grade!$G$1="Per Bar Size"),VLOOKUP(CR228,Grade!$B$1:$C$12,2,0),SD!$C$19)),IF(SD!$C$25=SD!$W$2,IF(Data!$J228="",IFERROR(INDEX(IF(SD!$C$11="Create",Lap!$A$3:$BF$14,IF(SD!$C$11="Per Uploaded File",Lap!$A$19:$BF$30,"")),MATCH(CR228,Lap!$A$3:$A$14,0),MATCH(VALUE(D228),Lap!$A$3:$BF$3,0)+IF(IFERROR(FIND("Grade 60",_xlpm.GRR),0)&gt;0,0,IF(IFERROR(FIND("Grade 80",_xlpm.GRR),0),1,IF(IFERROR(FIND("Grade 75",_xlpm.GRR),0),2,"")))),""),Data!J228),SD!$C$43))</f>
        <v>Match Lap</v>
      </c>
      <c r="CW228">
        <f t="shared" si="96"/>
        <v>0</v>
      </c>
      <c r="CX228">
        <f t="shared" si="97"/>
        <v>0</v>
      </c>
      <c r="CY228" t="str">
        <f t="shared" si="98"/>
        <v/>
      </c>
      <c r="DA228">
        <f t="shared" si="99"/>
        <v>9</v>
      </c>
      <c r="DB228" t="str">
        <f t="shared" si="100"/>
        <v>19-7</v>
      </c>
      <c r="DC228" s="24">
        <f t="shared" si="101"/>
        <v>19.583333333333332</v>
      </c>
      <c r="DD228">
        <f t="shared" si="102"/>
        <v>19.583333333333332</v>
      </c>
      <c r="DE228" t="s">
        <v>733</v>
      </c>
      <c r="DF228" t="s">
        <v>67</v>
      </c>
      <c r="DG228" t="str">
        <f>VLOOKUP(W228,'Level Wise PSI'!$F$2:$G$12,2,FALSE)</f>
        <v>Double Lift</v>
      </c>
      <c r="DI228" t="str" cm="1">
        <f t="array" ref="DI228">_xlfn.LET(_xlpm.Coup,IFERROR(IF(BY228="","",IF(K228="Coupler",_xlfn._xlws.FILTER(CCFCoupler,(CCName=SD!$C$8)*(CBSize=IF(A227=A228,W227&amp;W228,BX228&amp;W228))),"")),"N/A"),IF(_xlpm.Coup=0,"",_xlpm.Coup))</f>
        <v/>
      </c>
      <c r="DJ228" t="str" cm="1">
        <f t="array" ref="DJ228">_xlfn.LET(_xlpm.Coup3,IFERROR(IF(CG228="","",IF(K229="Coupler",_xlfn._xlws.FILTER(CCFCoupler,(CCName=SD!$C$8)*(CBSize=IF(A228=A229,W228&amp;W229,""))),"")),"N/A"),IF(_xlpm.Coup3=0,"",_xlpm.Coup3))</f>
        <v/>
      </c>
      <c r="DK228" t="str" cm="1">
        <f t="array" ref="DK228">_xlfn.LET(_xlpm.Coup2,IFERROR(IF(A228&lt;&gt;A229,"",IF(DF228="No Lap","",IF(K229="Coupler",_xlfn._xlws.FILTER(CCFCoupler,(CCName=SD!$C$8)*(CBSize=IF(A227=A228,W228&amp;W229,W228&amp;W228))),""))),"N/A"),IF(_xlpm.Coup2=0,"",_xlpm.Coup2))</f>
        <v/>
      </c>
      <c r="DM228" t="str">
        <f>IF(AM228="Spiral","",IF(SD!$C$31=SD!$Y$3,SD!$E$32*2,""))</f>
        <v/>
      </c>
      <c r="DO228" s="24">
        <f t="shared" si="103"/>
        <v>2</v>
      </c>
      <c r="DQ228" t="str">
        <f t="shared" si="104"/>
        <v>Lig</v>
      </c>
      <c r="DR228" t="str">
        <f>IF(AM228="Spiral",((Y228-(SD!$E$12*2))/12),"")</f>
        <v/>
      </c>
      <c r="DS228" t="str">
        <f t="shared" si="105"/>
        <v/>
      </c>
      <c r="DT228" t="str">
        <f t="shared" si="106"/>
        <v/>
      </c>
      <c r="DU228" t="str">
        <f t="shared" si="107"/>
        <v/>
      </c>
    </row>
  </sheetData>
  <autoFilter ref="F1:S228" xr:uid="{00000000-0001-0000-0900-000000000000}"/>
  <dataConsolidate/>
  <mergeCells count="2">
    <mergeCell ref="CB1:CC1"/>
    <mergeCell ref="CV1:CW1"/>
  </mergeCells>
  <phoneticPr fontId="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W25"/>
  <sheetViews>
    <sheetView workbookViewId="0"/>
  </sheetViews>
  <sheetFormatPr defaultRowHeight="15" x14ac:dyDescent="0.25"/>
  <cols>
    <col min="1" max="1" width="8" bestFit="1" customWidth="1"/>
    <col min="2" max="2" width="19.42578125" bestFit="1" customWidth="1"/>
    <col min="3" max="3" width="15.28515625" bestFit="1" customWidth="1"/>
    <col min="4" max="4" width="8.140625" bestFit="1" customWidth="1"/>
    <col min="5" max="5" width="16" style="15" bestFit="1" customWidth="1"/>
    <col min="6" max="6" width="12.28515625" bestFit="1" customWidth="1"/>
    <col min="7" max="7" width="8.42578125" bestFit="1" customWidth="1"/>
    <col min="8" max="8" width="10.28515625" style="15" bestFit="1" customWidth="1"/>
    <col min="9" max="9" width="13.7109375" bestFit="1" customWidth="1"/>
    <col min="10" max="10" width="13.42578125" bestFit="1" customWidth="1"/>
    <col min="11" max="11" width="18.5703125" bestFit="1" customWidth="1"/>
    <col min="12" max="12" width="23.85546875" style="15" bestFit="1" customWidth="1"/>
    <col min="13" max="13" width="14.7109375" bestFit="1" customWidth="1"/>
    <col min="14" max="14" width="26.7109375" bestFit="1" customWidth="1"/>
    <col min="15" max="15" width="19" bestFit="1" customWidth="1"/>
    <col min="16" max="16" width="12.140625" bestFit="1" customWidth="1"/>
    <col min="17" max="17" width="18.42578125" bestFit="1" customWidth="1"/>
    <col min="18" max="18" width="13.85546875" bestFit="1" customWidth="1"/>
    <col min="19" max="19" width="16.7109375" bestFit="1" customWidth="1"/>
    <col min="20" max="20" width="18.5703125" bestFit="1" customWidth="1"/>
    <col min="21" max="21" width="16.7109375" bestFit="1" customWidth="1"/>
    <col min="22" max="23" width="18.5703125" bestFit="1" customWidth="1"/>
  </cols>
  <sheetData>
    <row r="1" spans="1:23" ht="23.45" customHeight="1" x14ac:dyDescent="0.4">
      <c r="A1" s="7" t="s">
        <v>62</v>
      </c>
      <c r="B1" s="8" t="s">
        <v>89</v>
      </c>
      <c r="C1" s="9" t="s">
        <v>112</v>
      </c>
      <c r="D1" s="12" t="s">
        <v>128</v>
      </c>
      <c r="E1" s="16" t="s">
        <v>146</v>
      </c>
      <c r="F1" s="10" t="s">
        <v>158</v>
      </c>
      <c r="G1" s="7" t="s">
        <v>170</v>
      </c>
      <c r="H1" s="21" t="s">
        <v>183</v>
      </c>
      <c r="I1" s="7" t="s">
        <v>196</v>
      </c>
      <c r="J1" s="9" t="s">
        <v>208</v>
      </c>
      <c r="K1" s="10" t="s">
        <v>220</v>
      </c>
      <c r="L1" s="16" t="s">
        <v>229</v>
      </c>
      <c r="M1" s="10" t="s">
        <v>237</v>
      </c>
      <c r="N1" s="7" t="s">
        <v>244</v>
      </c>
      <c r="O1" s="7" t="s">
        <v>251</v>
      </c>
      <c r="P1" s="7" t="s">
        <v>259</v>
      </c>
      <c r="Q1" s="9" t="s">
        <v>606</v>
      </c>
      <c r="R1" s="7" t="s">
        <v>267</v>
      </c>
      <c r="S1" s="9"/>
      <c r="T1" s="7"/>
      <c r="U1" s="7"/>
      <c r="V1" s="11"/>
      <c r="W1" s="11"/>
    </row>
    <row r="3" spans="1:23" x14ac:dyDescent="0.25">
      <c r="B3" s="13"/>
    </row>
    <row r="4" spans="1:23" x14ac:dyDescent="0.25">
      <c r="B4" s="13"/>
    </row>
    <row r="5" spans="1:23" x14ac:dyDescent="0.25">
      <c r="B5" s="13"/>
    </row>
    <row r="6" spans="1:23" x14ac:dyDescent="0.25">
      <c r="B6" s="13"/>
    </row>
    <row r="7" spans="1:23" x14ac:dyDescent="0.25">
      <c r="B7" s="13"/>
    </row>
    <row r="8" spans="1:23" x14ac:dyDescent="0.25">
      <c r="B8" s="13"/>
    </row>
    <row r="9" spans="1:23" x14ac:dyDescent="0.25">
      <c r="B9" s="13"/>
    </row>
    <row r="10" spans="1:23" x14ac:dyDescent="0.25">
      <c r="B10" s="13"/>
    </row>
    <row r="11" spans="1:23" x14ac:dyDescent="0.25">
      <c r="B11" s="13"/>
    </row>
    <row r="12" spans="1:23" x14ac:dyDescent="0.25">
      <c r="B12" s="13"/>
    </row>
    <row r="13" spans="1:23" x14ac:dyDescent="0.25">
      <c r="B13" s="13"/>
    </row>
    <row r="14" spans="1:23" x14ac:dyDescent="0.25">
      <c r="B14" s="13"/>
    </row>
    <row r="15" spans="1:23" x14ac:dyDescent="0.25">
      <c r="B15" s="13"/>
    </row>
    <row r="16" spans="1:23" x14ac:dyDescent="0.25">
      <c r="B16" s="13"/>
    </row>
    <row r="17" spans="2:2" x14ac:dyDescent="0.25">
      <c r="B17" s="13"/>
    </row>
    <row r="18" spans="2:2" x14ac:dyDescent="0.25">
      <c r="B18" s="13"/>
    </row>
    <row r="19" spans="2:2" x14ac:dyDescent="0.25">
      <c r="B19" s="13"/>
    </row>
    <row r="20" spans="2:2" x14ac:dyDescent="0.25">
      <c r="B20" s="13"/>
    </row>
    <row r="21" spans="2:2" x14ac:dyDescent="0.25">
      <c r="B21" s="13"/>
    </row>
    <row r="22" spans="2:2" x14ac:dyDescent="0.25">
      <c r="B22" s="13"/>
    </row>
    <row r="23" spans="2:2" x14ac:dyDescent="0.25">
      <c r="B23" s="13"/>
    </row>
    <row r="24" spans="2:2" x14ac:dyDescent="0.25">
      <c r="B24" s="13"/>
    </row>
    <row r="25" spans="2:2" x14ac:dyDescent="0.25">
      <c r="B25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Y1543"/>
  <sheetViews>
    <sheetView workbookViewId="0">
      <selection activeCell="A2" sqref="A2:S1543"/>
    </sheetView>
  </sheetViews>
  <sheetFormatPr defaultRowHeight="15" x14ac:dyDescent="0.25"/>
  <cols>
    <col min="1" max="11" width="9.140625" style="15" customWidth="1"/>
    <col min="12" max="12" width="6.28515625" style="15" bestFit="1" customWidth="1"/>
    <col min="13" max="13" width="4.5703125" style="15" bestFit="1" customWidth="1"/>
    <col min="14" max="14" width="3.5703125" style="15" bestFit="1" customWidth="1"/>
    <col min="15" max="15" width="25.7109375" style="15" bestFit="1" customWidth="1"/>
    <col min="16" max="19" width="9.140625" style="15" customWidth="1"/>
    <col min="25" max="25" width="20.85546875" bestFit="1" customWidth="1"/>
  </cols>
  <sheetData>
    <row r="1" spans="1:19" x14ac:dyDescent="0.25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</row>
    <row r="2" spans="1:19" x14ac:dyDescent="0.25">
      <c r="A2" s="15">
        <v>1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</row>
    <row r="3" spans="1:19" x14ac:dyDescent="0.25">
      <c r="A3" s="15">
        <v>1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 t="s">
        <v>793</v>
      </c>
      <c r="P3" s="65"/>
      <c r="Q3" s="65"/>
      <c r="R3" s="65"/>
      <c r="S3" s="65"/>
    </row>
    <row r="4" spans="1:19" x14ac:dyDescent="0.25">
      <c r="A4" s="15">
        <v>1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 t="s">
        <v>860</v>
      </c>
      <c r="P4" s="65"/>
      <c r="Q4" s="65"/>
      <c r="R4" s="65"/>
      <c r="S4" s="65"/>
    </row>
    <row r="5" spans="1:19" x14ac:dyDescent="0.25">
      <c r="A5" s="15">
        <v>1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 t="s">
        <v>870</v>
      </c>
      <c r="P5" s="65"/>
      <c r="Q5" s="65"/>
      <c r="R5" s="65"/>
      <c r="S5" s="65"/>
    </row>
    <row r="6" spans="1:19" x14ac:dyDescent="0.25">
      <c r="A6" s="15">
        <v>1</v>
      </c>
      <c r="B6" s="65"/>
      <c r="C6" s="65" t="s">
        <v>79</v>
      </c>
      <c r="D6" s="65"/>
      <c r="E6" s="65" t="s">
        <v>787</v>
      </c>
      <c r="F6" s="65">
        <v>14</v>
      </c>
      <c r="G6" s="65"/>
      <c r="H6" s="65">
        <v>7</v>
      </c>
      <c r="I6" s="65">
        <v>7.666666666666667</v>
      </c>
      <c r="J6" s="65" t="s">
        <v>879</v>
      </c>
      <c r="K6" s="65"/>
      <c r="L6" s="65"/>
      <c r="M6" s="65"/>
      <c r="N6" s="65"/>
      <c r="O6" s="65" t="s">
        <v>878</v>
      </c>
      <c r="P6" s="65"/>
      <c r="Q6" s="65">
        <v>1</v>
      </c>
      <c r="R6" s="65">
        <v>269</v>
      </c>
      <c r="S6" s="65"/>
    </row>
    <row r="7" spans="1:19" x14ac:dyDescent="0.25">
      <c r="A7" s="15">
        <v>1</v>
      </c>
      <c r="B7" s="65"/>
      <c r="C7" s="65">
        <v>2429</v>
      </c>
      <c r="D7" s="65"/>
      <c r="E7" s="65" t="s">
        <v>787</v>
      </c>
      <c r="F7" s="65">
        <v>14</v>
      </c>
      <c r="G7" s="65"/>
      <c r="H7" s="65"/>
      <c r="I7" s="65">
        <v>22.083333333333332</v>
      </c>
      <c r="J7" s="65" t="s">
        <v>879</v>
      </c>
      <c r="K7" s="65"/>
      <c r="L7" s="65"/>
      <c r="M7" s="65"/>
      <c r="N7" s="65"/>
      <c r="O7" s="65" t="s">
        <v>881</v>
      </c>
      <c r="P7" s="65"/>
      <c r="Q7" s="65">
        <v>1</v>
      </c>
      <c r="R7" s="65">
        <v>336</v>
      </c>
      <c r="S7" s="65"/>
    </row>
    <row r="8" spans="1:19" x14ac:dyDescent="0.25">
      <c r="A8" s="15">
        <v>1</v>
      </c>
      <c r="B8" s="65"/>
      <c r="C8" s="65">
        <v>2429</v>
      </c>
      <c r="D8" s="65"/>
      <c r="E8" s="65" t="s">
        <v>787</v>
      </c>
      <c r="F8" s="65">
        <v>1</v>
      </c>
      <c r="G8" s="65"/>
      <c r="H8" s="65" t="e">
        <v>#N/A</v>
      </c>
      <c r="I8" s="65"/>
      <c r="J8" s="65" t="s">
        <v>899</v>
      </c>
      <c r="K8" s="65" t="s">
        <v>900</v>
      </c>
      <c r="L8" s="65" t="s">
        <v>900</v>
      </c>
      <c r="M8" s="65" t="s">
        <v>900</v>
      </c>
      <c r="N8" s="65" t="s">
        <v>900</v>
      </c>
      <c r="O8" s="65" t="s">
        <v>898</v>
      </c>
      <c r="P8" s="65"/>
      <c r="Q8" s="65">
        <v>1</v>
      </c>
      <c r="R8" s="65">
        <v>568</v>
      </c>
      <c r="S8" s="65"/>
    </row>
    <row r="9" spans="1:19" x14ac:dyDescent="0.25">
      <c r="A9" s="15">
        <v>1</v>
      </c>
      <c r="B9" s="65"/>
      <c r="C9" s="65">
        <v>2429</v>
      </c>
      <c r="D9" s="65"/>
      <c r="E9" s="65" t="s">
        <v>787</v>
      </c>
      <c r="F9" s="65">
        <v>0</v>
      </c>
      <c r="G9" s="65"/>
      <c r="H9" s="65">
        <v>3</v>
      </c>
      <c r="I9" s="65" t="e">
        <v>#N/A</v>
      </c>
      <c r="J9" s="65" t="s">
        <v>899</v>
      </c>
      <c r="K9" s="65"/>
      <c r="L9" s="65"/>
      <c r="M9" s="65"/>
      <c r="N9" s="65"/>
      <c r="O9" s="65" t="s">
        <v>912</v>
      </c>
      <c r="P9" s="65"/>
      <c r="Q9" s="65">
        <v>1</v>
      </c>
      <c r="R9" s="65">
        <v>795</v>
      </c>
      <c r="S9" s="65"/>
    </row>
    <row r="10" spans="1:19" x14ac:dyDescent="0.25">
      <c r="A10" s="15">
        <v>1</v>
      </c>
      <c r="B10" s="65"/>
      <c r="C10" s="65">
        <v>2429</v>
      </c>
      <c r="D10" s="65"/>
      <c r="E10" s="65" t="s">
        <v>787</v>
      </c>
      <c r="F10" s="65">
        <v>3</v>
      </c>
      <c r="G10" s="65"/>
      <c r="H10" s="65">
        <v>3</v>
      </c>
      <c r="I10" s="65" t="e">
        <v>#N/A</v>
      </c>
      <c r="J10" s="65" t="s">
        <v>899</v>
      </c>
      <c r="K10" s="65"/>
      <c r="L10" s="65"/>
      <c r="M10" s="65"/>
      <c r="N10" s="65"/>
      <c r="O10" s="65" t="s">
        <v>924</v>
      </c>
      <c r="P10" s="65"/>
      <c r="Q10" s="65">
        <v>1</v>
      </c>
      <c r="R10" s="65">
        <v>1022</v>
      </c>
      <c r="S10" s="65"/>
    </row>
    <row r="11" spans="1:19" x14ac:dyDescent="0.25">
      <c r="A11" s="15">
        <v>1</v>
      </c>
      <c r="B11" s="65"/>
      <c r="C11" s="65">
        <v>2429</v>
      </c>
      <c r="D11" s="65"/>
      <c r="E11" s="65" t="s">
        <v>787</v>
      </c>
      <c r="F11" s="65">
        <v>3</v>
      </c>
      <c r="G11" s="65"/>
      <c r="H11" s="65" t="e">
        <v>#N/A</v>
      </c>
      <c r="I11" s="65"/>
      <c r="J11" s="65" t="s">
        <v>899</v>
      </c>
      <c r="K11" s="65"/>
      <c r="L11" s="65"/>
      <c r="M11" s="65"/>
      <c r="N11" s="65"/>
      <c r="O11" s="65" t="s">
        <v>936</v>
      </c>
      <c r="P11" s="65"/>
      <c r="Q11" s="65">
        <v>1</v>
      </c>
      <c r="R11" s="65">
        <v>1249</v>
      </c>
      <c r="S11" s="65"/>
    </row>
    <row r="12" spans="1:19" x14ac:dyDescent="0.25">
      <c r="A12" s="15">
        <v>1</v>
      </c>
      <c r="B12" s="65"/>
      <c r="C12" s="65">
        <v>2429</v>
      </c>
      <c r="D12" s="65"/>
      <c r="E12" s="65" t="s">
        <v>787</v>
      </c>
      <c r="F12" s="65">
        <v>5</v>
      </c>
      <c r="G12" s="65"/>
      <c r="H12" s="65" t="e">
        <v>#N/A</v>
      </c>
      <c r="I12" s="65"/>
      <c r="J12" s="65" t="s">
        <v>899</v>
      </c>
      <c r="K12" s="65"/>
      <c r="L12" s="65"/>
      <c r="M12" s="65"/>
      <c r="N12" s="65"/>
      <c r="O12" s="65" t="s">
        <v>938</v>
      </c>
      <c r="P12" s="65"/>
      <c r="Q12" s="65">
        <v>1</v>
      </c>
      <c r="R12" s="65">
        <v>1316</v>
      </c>
      <c r="S12" s="65"/>
    </row>
    <row r="13" spans="1:19" x14ac:dyDescent="0.25">
      <c r="A13" s="15">
        <v>2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</row>
    <row r="14" spans="1:19" x14ac:dyDescent="0.25">
      <c r="A14" s="15">
        <v>2</v>
      </c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 t="s">
        <v>804</v>
      </c>
      <c r="P14" s="65"/>
      <c r="Q14" s="65"/>
      <c r="R14" s="65"/>
      <c r="S14" s="65"/>
    </row>
    <row r="15" spans="1:19" x14ac:dyDescent="0.25">
      <c r="A15" s="15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 t="s">
        <v>864</v>
      </c>
      <c r="P15" s="65"/>
      <c r="Q15" s="65"/>
      <c r="R15" s="65"/>
      <c r="S15" s="65"/>
    </row>
    <row r="16" spans="1:19" x14ac:dyDescent="0.25">
      <c r="A16" s="15">
        <v>2</v>
      </c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 t="s">
        <v>871</v>
      </c>
      <c r="P16" s="65"/>
      <c r="Q16" s="65"/>
      <c r="R16" s="65"/>
      <c r="S16" s="65"/>
    </row>
    <row r="17" spans="1:19" x14ac:dyDescent="0.25">
      <c r="A17" s="15">
        <v>2</v>
      </c>
      <c r="B17" s="65"/>
      <c r="C17" s="65" t="s">
        <v>79</v>
      </c>
      <c r="D17" s="65"/>
      <c r="E17" s="65" t="s">
        <v>787</v>
      </c>
      <c r="F17" s="65">
        <v>8</v>
      </c>
      <c r="G17" s="65"/>
      <c r="H17" s="65">
        <v>7</v>
      </c>
      <c r="I17" s="65">
        <v>7.666666666666667</v>
      </c>
      <c r="J17" s="65" t="s">
        <v>879</v>
      </c>
      <c r="K17" s="65"/>
      <c r="L17" s="65"/>
      <c r="M17" s="65"/>
      <c r="N17" s="65"/>
      <c r="O17" s="65" t="s">
        <v>878</v>
      </c>
      <c r="P17" s="65"/>
      <c r="Q17" s="65">
        <v>1</v>
      </c>
      <c r="R17" s="65">
        <v>280</v>
      </c>
      <c r="S17" s="65"/>
    </row>
    <row r="18" spans="1:19" x14ac:dyDescent="0.25">
      <c r="A18" s="15">
        <v>2</v>
      </c>
      <c r="B18" s="65"/>
      <c r="C18" s="65">
        <v>2429</v>
      </c>
      <c r="D18" s="65"/>
      <c r="E18" s="65" t="s">
        <v>787</v>
      </c>
      <c r="F18" s="65">
        <v>8</v>
      </c>
      <c r="G18" s="65"/>
      <c r="H18" s="65"/>
      <c r="I18" s="65">
        <v>19.583333333333332</v>
      </c>
      <c r="J18" s="65" t="s">
        <v>879</v>
      </c>
      <c r="K18" s="65"/>
      <c r="L18" s="65"/>
      <c r="M18" s="65"/>
      <c r="N18" s="65"/>
      <c r="O18" s="65" t="s">
        <v>881</v>
      </c>
      <c r="P18" s="65"/>
      <c r="Q18" s="65">
        <v>1</v>
      </c>
      <c r="R18" s="65">
        <v>347</v>
      </c>
      <c r="S18" s="65"/>
    </row>
    <row r="19" spans="1:19" x14ac:dyDescent="0.25">
      <c r="A19" s="15">
        <v>2</v>
      </c>
      <c r="B19" s="65"/>
      <c r="C19" s="65">
        <v>2429</v>
      </c>
      <c r="D19" s="65"/>
      <c r="E19" s="65" t="s">
        <v>787</v>
      </c>
      <c r="F19" s="65">
        <v>1</v>
      </c>
      <c r="G19" s="65"/>
      <c r="H19" s="65" t="e">
        <v>#N/A</v>
      </c>
      <c r="I19" s="65"/>
      <c r="J19" s="65" t="s">
        <v>899</v>
      </c>
      <c r="K19" s="65" t="s">
        <v>900</v>
      </c>
      <c r="L19" s="65" t="s">
        <v>900</v>
      </c>
      <c r="M19" s="65" t="s">
        <v>900</v>
      </c>
      <c r="N19" s="65" t="s">
        <v>900</v>
      </c>
      <c r="O19" s="65" t="s">
        <v>898</v>
      </c>
      <c r="P19" s="65"/>
      <c r="Q19" s="65">
        <v>1</v>
      </c>
      <c r="R19" s="65">
        <v>579</v>
      </c>
      <c r="S19" s="65"/>
    </row>
    <row r="20" spans="1:19" x14ac:dyDescent="0.25">
      <c r="A20" s="15">
        <v>2</v>
      </c>
      <c r="B20" s="65"/>
      <c r="C20" s="65">
        <v>2429</v>
      </c>
      <c r="D20" s="65"/>
      <c r="E20" s="65" t="s">
        <v>787</v>
      </c>
      <c r="F20" s="65">
        <v>0</v>
      </c>
      <c r="G20" s="65"/>
      <c r="H20" s="65">
        <v>3</v>
      </c>
      <c r="I20" s="65" t="e">
        <v>#N/A</v>
      </c>
      <c r="J20" s="65" t="s">
        <v>899</v>
      </c>
      <c r="K20" s="65"/>
      <c r="L20" s="65"/>
      <c r="M20" s="65"/>
      <c r="N20" s="65"/>
      <c r="O20" s="65" t="s">
        <v>912</v>
      </c>
      <c r="P20" s="65"/>
      <c r="Q20" s="65">
        <v>1</v>
      </c>
      <c r="R20" s="65">
        <v>806</v>
      </c>
      <c r="S20" s="65"/>
    </row>
    <row r="21" spans="1:19" x14ac:dyDescent="0.25">
      <c r="A21" s="15">
        <v>2</v>
      </c>
      <c r="B21" s="65"/>
      <c r="C21" s="65">
        <v>2429</v>
      </c>
      <c r="D21" s="65"/>
      <c r="E21" s="65" t="s">
        <v>787</v>
      </c>
      <c r="F21" s="65">
        <v>3</v>
      </c>
      <c r="G21" s="65"/>
      <c r="H21" s="65">
        <v>3</v>
      </c>
      <c r="I21" s="65" t="e">
        <v>#N/A</v>
      </c>
      <c r="J21" s="65" t="s">
        <v>899</v>
      </c>
      <c r="K21" s="65"/>
      <c r="L21" s="65"/>
      <c r="M21" s="65"/>
      <c r="N21" s="65"/>
      <c r="O21" s="65" t="s">
        <v>924</v>
      </c>
      <c r="P21" s="65"/>
      <c r="Q21" s="65">
        <v>1</v>
      </c>
      <c r="R21" s="65">
        <v>1033</v>
      </c>
      <c r="S21" s="65"/>
    </row>
    <row r="22" spans="1:19" x14ac:dyDescent="0.25">
      <c r="A22" s="15">
        <v>2</v>
      </c>
      <c r="B22" s="65"/>
      <c r="C22" s="65">
        <v>2429</v>
      </c>
      <c r="D22" s="65"/>
      <c r="E22" s="65" t="s">
        <v>787</v>
      </c>
      <c r="F22" s="65">
        <v>3</v>
      </c>
      <c r="G22" s="65"/>
      <c r="H22" s="65" t="e">
        <v>#N/A</v>
      </c>
      <c r="I22" s="65"/>
      <c r="J22" s="65" t="s">
        <v>899</v>
      </c>
      <c r="K22" s="65"/>
      <c r="L22" s="65"/>
      <c r="M22" s="65"/>
      <c r="N22" s="65"/>
      <c r="O22" s="65" t="s">
        <v>936</v>
      </c>
      <c r="P22" s="65"/>
      <c r="Q22" s="65">
        <v>1</v>
      </c>
      <c r="R22" s="65">
        <v>1260</v>
      </c>
      <c r="S22" s="65"/>
    </row>
    <row r="23" spans="1:19" x14ac:dyDescent="0.25">
      <c r="A23" s="15">
        <v>2</v>
      </c>
      <c r="B23" s="65"/>
      <c r="C23" s="65">
        <v>2429</v>
      </c>
      <c r="D23" s="65"/>
      <c r="E23" s="65" t="s">
        <v>787</v>
      </c>
      <c r="F23" s="65">
        <v>5</v>
      </c>
      <c r="G23" s="65"/>
      <c r="H23" s="65" t="e">
        <v>#N/A</v>
      </c>
      <c r="I23" s="65"/>
      <c r="J23" s="65" t="s">
        <v>899</v>
      </c>
      <c r="K23" s="65"/>
      <c r="L23" s="65"/>
      <c r="M23" s="65"/>
      <c r="N23" s="65"/>
      <c r="O23" s="65" t="s">
        <v>938</v>
      </c>
      <c r="P23" s="65"/>
      <c r="Q23" s="65">
        <v>1</v>
      </c>
      <c r="R23" s="65">
        <v>1327</v>
      </c>
      <c r="S23" s="65"/>
    </row>
    <row r="24" spans="1:19" x14ac:dyDescent="0.25">
      <c r="A24" s="15">
        <v>3</v>
      </c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</row>
    <row r="25" spans="1:19" x14ac:dyDescent="0.25">
      <c r="A25" s="15">
        <v>3</v>
      </c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 t="s">
        <v>815</v>
      </c>
      <c r="P25" s="65"/>
      <c r="Q25" s="65"/>
      <c r="R25" s="65"/>
      <c r="S25" s="65"/>
    </row>
    <row r="26" spans="1:19" x14ac:dyDescent="0.25">
      <c r="A26" s="15">
        <v>3</v>
      </c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 t="s">
        <v>861</v>
      </c>
      <c r="P26" s="65"/>
      <c r="Q26" s="65"/>
      <c r="R26" s="65"/>
      <c r="S26" s="65"/>
    </row>
    <row r="27" spans="1:19" x14ac:dyDescent="0.25">
      <c r="A27" s="15">
        <v>3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 t="s">
        <v>871</v>
      </c>
      <c r="P27" s="65"/>
      <c r="Q27" s="65"/>
      <c r="R27" s="65"/>
      <c r="S27" s="65"/>
    </row>
    <row r="28" spans="1:19" x14ac:dyDescent="0.25">
      <c r="A28" s="15">
        <v>3</v>
      </c>
      <c r="B28" s="65"/>
      <c r="C28" s="65" t="s">
        <v>79</v>
      </c>
      <c r="D28" s="65"/>
      <c r="E28" s="65" t="s">
        <v>787</v>
      </c>
      <c r="F28" s="65">
        <v>6</v>
      </c>
      <c r="G28" s="65"/>
      <c r="H28" s="65">
        <v>7</v>
      </c>
      <c r="I28" s="65">
        <v>7.666666666666667</v>
      </c>
      <c r="J28" s="65" t="s">
        <v>879</v>
      </c>
      <c r="K28" s="65"/>
      <c r="L28" s="65"/>
      <c r="M28" s="65"/>
      <c r="N28" s="65"/>
      <c r="O28" s="65" t="s">
        <v>878</v>
      </c>
      <c r="P28" s="65"/>
      <c r="Q28" s="65">
        <v>1</v>
      </c>
      <c r="R28" s="65">
        <v>291</v>
      </c>
      <c r="S28" s="65"/>
    </row>
    <row r="29" spans="1:19" x14ac:dyDescent="0.25">
      <c r="A29" s="15">
        <v>3</v>
      </c>
      <c r="B29" s="65"/>
      <c r="C29" s="65">
        <v>2429</v>
      </c>
      <c r="D29" s="65"/>
      <c r="E29" s="65" t="s">
        <v>787</v>
      </c>
      <c r="F29" s="65">
        <v>6</v>
      </c>
      <c r="G29" s="65"/>
      <c r="H29" s="65"/>
      <c r="I29" s="65">
        <v>19.583333333333332</v>
      </c>
      <c r="J29" s="65" t="s">
        <v>879</v>
      </c>
      <c r="K29" s="65"/>
      <c r="L29" s="65"/>
      <c r="M29" s="65"/>
      <c r="N29" s="65"/>
      <c r="O29" s="65" t="s">
        <v>881</v>
      </c>
      <c r="P29" s="65"/>
      <c r="Q29" s="65">
        <v>1</v>
      </c>
      <c r="R29" s="65">
        <v>391</v>
      </c>
      <c r="S29" s="65"/>
    </row>
    <row r="30" spans="1:19" x14ac:dyDescent="0.25">
      <c r="A30" s="15">
        <v>3</v>
      </c>
      <c r="B30" s="65"/>
      <c r="C30" s="65">
        <v>2429</v>
      </c>
      <c r="D30" s="65"/>
      <c r="E30" s="65" t="s">
        <v>787</v>
      </c>
      <c r="F30" s="65">
        <v>1</v>
      </c>
      <c r="G30" s="65"/>
      <c r="H30" s="65" t="e">
        <v>#N/A</v>
      </c>
      <c r="I30" s="65"/>
      <c r="J30" s="65" t="s">
        <v>899</v>
      </c>
      <c r="K30" s="65" t="s">
        <v>900</v>
      </c>
      <c r="L30" s="65" t="s">
        <v>900</v>
      </c>
      <c r="M30" s="65" t="s">
        <v>900</v>
      </c>
      <c r="N30" s="65" t="s">
        <v>900</v>
      </c>
      <c r="O30" s="65" t="s">
        <v>898</v>
      </c>
      <c r="P30" s="65"/>
      <c r="Q30" s="65">
        <v>1</v>
      </c>
      <c r="R30" s="65">
        <v>623</v>
      </c>
      <c r="S30" s="65"/>
    </row>
    <row r="31" spans="1:19" x14ac:dyDescent="0.25">
      <c r="A31" s="15">
        <v>3</v>
      </c>
      <c r="B31" s="65"/>
      <c r="C31" s="65">
        <v>2429</v>
      </c>
      <c r="D31" s="65"/>
      <c r="E31" s="65" t="s">
        <v>787</v>
      </c>
      <c r="F31" s="65">
        <v>0</v>
      </c>
      <c r="G31" s="65"/>
      <c r="H31" s="65">
        <v>3</v>
      </c>
      <c r="I31" s="65" t="e">
        <v>#N/A</v>
      </c>
      <c r="J31" s="65" t="s">
        <v>899</v>
      </c>
      <c r="K31" s="65"/>
      <c r="L31" s="65"/>
      <c r="M31" s="65"/>
      <c r="N31" s="65"/>
      <c r="O31" s="65" t="s">
        <v>912</v>
      </c>
      <c r="P31" s="65"/>
      <c r="Q31" s="65">
        <v>1</v>
      </c>
      <c r="R31" s="65">
        <v>850</v>
      </c>
      <c r="S31" s="65"/>
    </row>
    <row r="32" spans="1:19" x14ac:dyDescent="0.25">
      <c r="A32" s="15">
        <v>3</v>
      </c>
      <c r="B32" s="65"/>
      <c r="C32" s="65">
        <v>2429</v>
      </c>
      <c r="D32" s="65"/>
      <c r="E32" s="65" t="s">
        <v>787</v>
      </c>
      <c r="F32" s="65">
        <v>3</v>
      </c>
      <c r="G32" s="65"/>
      <c r="H32" s="65">
        <v>3</v>
      </c>
      <c r="I32" s="65" t="e">
        <v>#N/A</v>
      </c>
      <c r="J32" s="65" t="s">
        <v>899</v>
      </c>
      <c r="K32" s="65"/>
      <c r="L32" s="65"/>
      <c r="M32" s="65"/>
      <c r="N32" s="65"/>
      <c r="O32" s="65" t="s">
        <v>924</v>
      </c>
      <c r="P32" s="65"/>
      <c r="Q32" s="65">
        <v>1</v>
      </c>
      <c r="R32" s="65">
        <v>1077</v>
      </c>
      <c r="S32" s="65"/>
    </row>
    <row r="33" spans="1:19" x14ac:dyDescent="0.25">
      <c r="A33" s="15">
        <v>3</v>
      </c>
      <c r="B33" s="65"/>
      <c r="C33" s="65">
        <v>2429</v>
      </c>
      <c r="D33" s="65"/>
      <c r="E33" s="65" t="s">
        <v>787</v>
      </c>
      <c r="F33" s="65">
        <v>3</v>
      </c>
      <c r="G33" s="65"/>
      <c r="H33" s="65" t="e">
        <v>#N/A</v>
      </c>
      <c r="I33" s="65"/>
      <c r="J33" s="65" t="s">
        <v>899</v>
      </c>
      <c r="K33" s="65"/>
      <c r="L33" s="65"/>
      <c r="M33" s="65"/>
      <c r="N33" s="65"/>
      <c r="O33" s="65" t="s">
        <v>936</v>
      </c>
      <c r="P33" s="65"/>
      <c r="Q33" s="65">
        <v>1</v>
      </c>
      <c r="R33" s="65">
        <v>1271</v>
      </c>
      <c r="S33" s="65"/>
    </row>
    <row r="34" spans="1:19" x14ac:dyDescent="0.25">
      <c r="A34" s="15">
        <v>3</v>
      </c>
      <c r="B34" s="65"/>
      <c r="C34" s="65">
        <v>2429</v>
      </c>
      <c r="D34" s="65"/>
      <c r="E34" s="65" t="s">
        <v>787</v>
      </c>
      <c r="F34" s="65">
        <v>5</v>
      </c>
      <c r="G34" s="65"/>
      <c r="H34" s="65" t="e">
        <v>#N/A</v>
      </c>
      <c r="I34" s="65"/>
      <c r="J34" s="65" t="s">
        <v>899</v>
      </c>
      <c r="K34" s="65"/>
      <c r="L34" s="65"/>
      <c r="M34" s="65"/>
      <c r="N34" s="65"/>
      <c r="O34" s="65" t="s">
        <v>938</v>
      </c>
      <c r="P34" s="65"/>
      <c r="Q34" s="65">
        <v>1</v>
      </c>
      <c r="R34" s="65">
        <v>1371</v>
      </c>
      <c r="S34" s="65"/>
    </row>
    <row r="35" spans="1:19" x14ac:dyDescent="0.25">
      <c r="A35" s="15">
        <v>4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</row>
    <row r="36" spans="1:19" x14ac:dyDescent="0.25">
      <c r="A36" s="15">
        <v>4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 t="s">
        <v>826</v>
      </c>
      <c r="P36" s="65"/>
      <c r="Q36" s="65"/>
      <c r="R36" s="65"/>
      <c r="S36" s="65"/>
    </row>
    <row r="37" spans="1:19" x14ac:dyDescent="0.25">
      <c r="A37" s="15">
        <v>4</v>
      </c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 t="s">
        <v>860</v>
      </c>
      <c r="P37" s="65"/>
      <c r="Q37" s="65"/>
      <c r="R37" s="65"/>
      <c r="S37" s="65"/>
    </row>
    <row r="38" spans="1:19" x14ac:dyDescent="0.25">
      <c r="A38" s="15">
        <v>4</v>
      </c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 t="s">
        <v>871</v>
      </c>
      <c r="P38" s="65"/>
      <c r="Q38" s="65"/>
      <c r="R38" s="65"/>
      <c r="S38" s="65"/>
    </row>
    <row r="39" spans="1:19" x14ac:dyDescent="0.25">
      <c r="A39" s="15">
        <v>4</v>
      </c>
      <c r="B39" s="65"/>
      <c r="C39" s="65" t="s">
        <v>79</v>
      </c>
      <c r="D39" s="65"/>
      <c r="E39" s="65" t="s">
        <v>787</v>
      </c>
      <c r="F39" s="65">
        <v>14</v>
      </c>
      <c r="G39" s="65"/>
      <c r="H39" s="65">
        <v>7</v>
      </c>
      <c r="I39" s="65">
        <v>7.666666666666667</v>
      </c>
      <c r="J39" s="65" t="s">
        <v>879</v>
      </c>
      <c r="K39" s="65"/>
      <c r="L39" s="65"/>
      <c r="M39" s="65"/>
      <c r="N39" s="65"/>
      <c r="O39" s="65" t="s">
        <v>878</v>
      </c>
      <c r="P39" s="65"/>
      <c r="Q39" s="65">
        <v>1</v>
      </c>
      <c r="R39" s="65">
        <v>302</v>
      </c>
      <c r="S39" s="65"/>
    </row>
    <row r="40" spans="1:19" x14ac:dyDescent="0.25">
      <c r="A40" s="15">
        <v>4</v>
      </c>
      <c r="B40" s="65"/>
      <c r="C40" s="65">
        <v>2429</v>
      </c>
      <c r="D40" s="65"/>
      <c r="E40" s="65" t="s">
        <v>787</v>
      </c>
      <c r="F40" s="65">
        <v>14</v>
      </c>
      <c r="G40" s="65"/>
      <c r="H40" s="65"/>
      <c r="I40" s="65">
        <v>19.583333333333332</v>
      </c>
      <c r="J40" s="65" t="s">
        <v>879</v>
      </c>
      <c r="K40" s="65"/>
      <c r="L40" s="65"/>
      <c r="M40" s="65"/>
      <c r="N40" s="65"/>
      <c r="O40" s="65" t="s">
        <v>881</v>
      </c>
      <c r="P40" s="65"/>
      <c r="Q40" s="65">
        <v>1</v>
      </c>
      <c r="R40" s="65">
        <v>445</v>
      </c>
      <c r="S40" s="65"/>
    </row>
    <row r="41" spans="1:19" x14ac:dyDescent="0.25">
      <c r="A41" s="15">
        <v>4</v>
      </c>
      <c r="B41" s="65"/>
      <c r="C41" s="65">
        <v>2429</v>
      </c>
      <c r="D41" s="65"/>
      <c r="E41" s="65" t="s">
        <v>787</v>
      </c>
      <c r="F41" s="65">
        <v>1</v>
      </c>
      <c r="G41" s="65"/>
      <c r="H41" s="65" t="e">
        <v>#N/A</v>
      </c>
      <c r="I41" s="65"/>
      <c r="J41" s="65" t="s">
        <v>899</v>
      </c>
      <c r="K41" s="65" t="s">
        <v>900</v>
      </c>
      <c r="L41" s="65" t="s">
        <v>900</v>
      </c>
      <c r="M41" s="65" t="s">
        <v>900</v>
      </c>
      <c r="N41" s="65" t="s">
        <v>900</v>
      </c>
      <c r="O41" s="65" t="s">
        <v>898</v>
      </c>
      <c r="P41" s="65"/>
      <c r="Q41" s="65">
        <v>1</v>
      </c>
      <c r="R41" s="65">
        <v>677</v>
      </c>
      <c r="S41" s="65"/>
    </row>
    <row r="42" spans="1:19" x14ac:dyDescent="0.25">
      <c r="A42" s="15">
        <v>4</v>
      </c>
      <c r="B42" s="65"/>
      <c r="C42" s="65">
        <v>2429</v>
      </c>
      <c r="D42" s="65"/>
      <c r="E42" s="65" t="s">
        <v>787</v>
      </c>
      <c r="F42" s="65">
        <v>0</v>
      </c>
      <c r="G42" s="65"/>
      <c r="H42" s="65">
        <v>3</v>
      </c>
      <c r="I42" s="65" t="e">
        <v>#N/A</v>
      </c>
      <c r="J42" s="65" t="s">
        <v>899</v>
      </c>
      <c r="K42" s="65"/>
      <c r="L42" s="65"/>
      <c r="M42" s="65"/>
      <c r="N42" s="65"/>
      <c r="O42" s="65" t="s">
        <v>912</v>
      </c>
      <c r="P42" s="65"/>
      <c r="Q42" s="65">
        <v>1</v>
      </c>
      <c r="R42" s="65">
        <v>904</v>
      </c>
      <c r="S42" s="65"/>
    </row>
    <row r="43" spans="1:19" x14ac:dyDescent="0.25">
      <c r="A43" s="15">
        <v>4</v>
      </c>
      <c r="B43" s="65"/>
      <c r="C43" s="65">
        <v>2429</v>
      </c>
      <c r="D43" s="65"/>
      <c r="E43" s="65" t="s">
        <v>787</v>
      </c>
      <c r="F43" s="65">
        <v>3</v>
      </c>
      <c r="G43" s="65"/>
      <c r="H43" s="65">
        <v>3</v>
      </c>
      <c r="I43" s="65" t="e">
        <v>#N/A</v>
      </c>
      <c r="J43" s="65" t="s">
        <v>899</v>
      </c>
      <c r="K43" s="65"/>
      <c r="L43" s="65"/>
      <c r="M43" s="65"/>
      <c r="N43" s="65"/>
      <c r="O43" s="65" t="s">
        <v>924</v>
      </c>
      <c r="P43" s="65"/>
      <c r="Q43" s="65">
        <v>1</v>
      </c>
      <c r="R43" s="65">
        <v>1131</v>
      </c>
      <c r="S43" s="65"/>
    </row>
    <row r="44" spans="1:19" x14ac:dyDescent="0.25">
      <c r="A44" s="15">
        <v>4</v>
      </c>
      <c r="B44" s="65"/>
      <c r="C44" s="65">
        <v>2429</v>
      </c>
      <c r="D44" s="65"/>
      <c r="E44" s="65" t="s">
        <v>787</v>
      </c>
      <c r="F44" s="65">
        <v>3</v>
      </c>
      <c r="G44" s="65"/>
      <c r="H44" s="65" t="e">
        <v>#N/A</v>
      </c>
      <c r="I44" s="65"/>
      <c r="J44" s="65" t="s">
        <v>899</v>
      </c>
      <c r="K44" s="65"/>
      <c r="L44" s="65"/>
      <c r="M44" s="65"/>
      <c r="N44" s="65"/>
      <c r="O44" s="65" t="s">
        <v>936</v>
      </c>
      <c r="P44" s="65"/>
      <c r="Q44" s="65">
        <v>1</v>
      </c>
      <c r="R44" s="65">
        <v>1282</v>
      </c>
      <c r="S44" s="65"/>
    </row>
    <row r="45" spans="1:19" x14ac:dyDescent="0.25">
      <c r="A45" s="15">
        <v>4</v>
      </c>
      <c r="B45" s="65"/>
      <c r="C45" s="65">
        <v>2429</v>
      </c>
      <c r="D45" s="65"/>
      <c r="E45" s="65" t="s">
        <v>787</v>
      </c>
      <c r="F45" s="65">
        <v>5</v>
      </c>
      <c r="G45" s="65"/>
      <c r="H45" s="65" t="e">
        <v>#N/A</v>
      </c>
      <c r="I45" s="65"/>
      <c r="J45" s="65" t="s">
        <v>899</v>
      </c>
      <c r="K45" s="65"/>
      <c r="L45" s="65"/>
      <c r="M45" s="65"/>
      <c r="N45" s="65"/>
      <c r="O45" s="65" t="s">
        <v>938</v>
      </c>
      <c r="P45" s="65"/>
      <c r="Q45" s="65">
        <v>1</v>
      </c>
      <c r="R45" s="65">
        <v>1425</v>
      </c>
      <c r="S45" s="65"/>
    </row>
    <row r="46" spans="1:19" x14ac:dyDescent="0.25">
      <c r="A46" s="15">
        <v>5</v>
      </c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</row>
    <row r="47" spans="1:19" x14ac:dyDescent="0.25">
      <c r="A47" s="15">
        <v>5</v>
      </c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 t="s">
        <v>837</v>
      </c>
      <c r="P47" s="65"/>
      <c r="Q47" s="65"/>
      <c r="R47" s="65"/>
      <c r="S47" s="65"/>
    </row>
    <row r="48" spans="1:19" x14ac:dyDescent="0.25">
      <c r="A48" s="15">
        <v>5</v>
      </c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 t="s">
        <v>860</v>
      </c>
      <c r="P48" s="65"/>
      <c r="Q48" s="65"/>
      <c r="R48" s="65"/>
      <c r="S48" s="65"/>
    </row>
    <row r="49" spans="1:19" x14ac:dyDescent="0.25">
      <c r="A49" s="15">
        <v>5</v>
      </c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 t="s">
        <v>871</v>
      </c>
      <c r="P49" s="65"/>
      <c r="Q49" s="65"/>
      <c r="R49" s="65"/>
      <c r="S49" s="65"/>
    </row>
    <row r="50" spans="1:19" x14ac:dyDescent="0.25">
      <c r="A50" s="15">
        <v>5</v>
      </c>
      <c r="B50" s="65"/>
      <c r="C50" s="65" t="s">
        <v>79</v>
      </c>
      <c r="D50" s="65"/>
      <c r="E50" s="65" t="s">
        <v>787</v>
      </c>
      <c r="F50" s="65">
        <v>14</v>
      </c>
      <c r="G50" s="65"/>
      <c r="H50" s="65">
        <v>7</v>
      </c>
      <c r="I50" s="65">
        <v>7.666666666666667</v>
      </c>
      <c r="J50" s="65" t="s">
        <v>879</v>
      </c>
      <c r="K50" s="65"/>
      <c r="L50" s="65"/>
      <c r="M50" s="65"/>
      <c r="N50" s="65"/>
      <c r="O50" s="65" t="s">
        <v>878</v>
      </c>
      <c r="P50" s="65"/>
      <c r="Q50" s="65">
        <v>1</v>
      </c>
      <c r="R50" s="65">
        <v>313</v>
      </c>
      <c r="S50" s="65"/>
    </row>
    <row r="51" spans="1:19" x14ac:dyDescent="0.25">
      <c r="A51" s="15">
        <v>5</v>
      </c>
      <c r="B51" s="65"/>
      <c r="C51" s="65">
        <v>2429</v>
      </c>
      <c r="D51" s="65"/>
      <c r="E51" s="65" t="s">
        <v>787</v>
      </c>
      <c r="F51" s="65">
        <v>14</v>
      </c>
      <c r="G51" s="65"/>
      <c r="H51" s="65"/>
      <c r="I51" s="65">
        <v>19.583333333333332</v>
      </c>
      <c r="J51" s="65" t="s">
        <v>879</v>
      </c>
      <c r="K51" s="65"/>
      <c r="L51" s="65"/>
      <c r="M51" s="65"/>
      <c r="N51" s="65"/>
      <c r="O51" s="65" t="s">
        <v>881</v>
      </c>
      <c r="P51" s="65"/>
      <c r="Q51" s="65">
        <v>1</v>
      </c>
      <c r="R51" s="65">
        <v>500</v>
      </c>
      <c r="S51" s="65"/>
    </row>
    <row r="52" spans="1:19" x14ac:dyDescent="0.25">
      <c r="A52" s="15">
        <v>5</v>
      </c>
      <c r="B52" s="65"/>
      <c r="C52" s="65">
        <v>2429</v>
      </c>
      <c r="D52" s="65"/>
      <c r="E52" s="65" t="s">
        <v>787</v>
      </c>
      <c r="F52" s="65">
        <v>1</v>
      </c>
      <c r="G52" s="65"/>
      <c r="H52" s="65" t="e">
        <v>#N/A</v>
      </c>
      <c r="I52" s="65"/>
      <c r="J52" s="65" t="s">
        <v>899</v>
      </c>
      <c r="K52" s="65" t="s">
        <v>900</v>
      </c>
      <c r="L52" s="65" t="s">
        <v>900</v>
      </c>
      <c r="M52" s="65" t="s">
        <v>900</v>
      </c>
      <c r="N52" s="65" t="s">
        <v>900</v>
      </c>
      <c r="O52" s="65" t="s">
        <v>898</v>
      </c>
      <c r="P52" s="65"/>
      <c r="Q52" s="65">
        <v>1</v>
      </c>
      <c r="R52" s="65">
        <v>732</v>
      </c>
      <c r="S52" s="65"/>
    </row>
    <row r="53" spans="1:19" x14ac:dyDescent="0.25">
      <c r="A53" s="15">
        <v>5</v>
      </c>
      <c r="B53" s="65"/>
      <c r="C53" s="65">
        <v>2429</v>
      </c>
      <c r="D53" s="65"/>
      <c r="E53" s="65" t="s">
        <v>787</v>
      </c>
      <c r="F53" s="65">
        <v>0</v>
      </c>
      <c r="G53" s="65"/>
      <c r="H53" s="65">
        <v>3</v>
      </c>
      <c r="I53" s="65" t="e">
        <v>#N/A</v>
      </c>
      <c r="J53" s="65" t="s">
        <v>899</v>
      </c>
      <c r="K53" s="65"/>
      <c r="L53" s="65"/>
      <c r="M53" s="65"/>
      <c r="N53" s="65"/>
      <c r="O53" s="65" t="s">
        <v>912</v>
      </c>
      <c r="P53" s="65"/>
      <c r="Q53" s="65">
        <v>1</v>
      </c>
      <c r="R53" s="65">
        <v>959</v>
      </c>
      <c r="S53" s="65"/>
    </row>
    <row r="54" spans="1:19" x14ac:dyDescent="0.25">
      <c r="A54" s="15">
        <v>5</v>
      </c>
      <c r="B54" s="65"/>
      <c r="C54" s="65">
        <v>2429</v>
      </c>
      <c r="D54" s="65"/>
      <c r="E54" s="65" t="s">
        <v>787</v>
      </c>
      <c r="F54" s="65">
        <v>3</v>
      </c>
      <c r="G54" s="65"/>
      <c r="H54" s="65">
        <v>3</v>
      </c>
      <c r="I54" s="65" t="e">
        <v>#N/A</v>
      </c>
      <c r="J54" s="65" t="s">
        <v>899</v>
      </c>
      <c r="K54" s="65"/>
      <c r="L54" s="65"/>
      <c r="M54" s="65"/>
      <c r="N54" s="65"/>
      <c r="O54" s="65" t="s">
        <v>924</v>
      </c>
      <c r="P54" s="65"/>
      <c r="Q54" s="65">
        <v>1</v>
      </c>
      <c r="R54" s="65">
        <v>1186</v>
      </c>
      <c r="S54" s="65"/>
    </row>
    <row r="55" spans="1:19" x14ac:dyDescent="0.25">
      <c r="A55" s="15">
        <v>5</v>
      </c>
      <c r="B55" s="65"/>
      <c r="C55" s="65">
        <v>2429</v>
      </c>
      <c r="D55" s="65"/>
      <c r="E55" s="65" t="s">
        <v>787</v>
      </c>
      <c r="F55" s="65">
        <v>3</v>
      </c>
      <c r="G55" s="65"/>
      <c r="H55" s="65" t="e">
        <v>#N/A</v>
      </c>
      <c r="I55" s="65"/>
      <c r="J55" s="65" t="s">
        <v>899</v>
      </c>
      <c r="K55" s="65"/>
      <c r="L55" s="65"/>
      <c r="M55" s="65"/>
      <c r="N55" s="65"/>
      <c r="O55" s="65" t="s">
        <v>936</v>
      </c>
      <c r="P55" s="65"/>
      <c r="Q55" s="65">
        <v>1</v>
      </c>
      <c r="R55" s="65">
        <v>1293</v>
      </c>
      <c r="S55" s="65"/>
    </row>
    <row r="56" spans="1:19" x14ac:dyDescent="0.25">
      <c r="A56" s="15">
        <v>5</v>
      </c>
      <c r="B56" s="65"/>
      <c r="C56" s="65">
        <v>2429</v>
      </c>
      <c r="D56" s="65"/>
      <c r="E56" s="65" t="s">
        <v>787</v>
      </c>
      <c r="F56" s="65">
        <v>5</v>
      </c>
      <c r="G56" s="65"/>
      <c r="H56" s="65" t="e">
        <v>#N/A</v>
      </c>
      <c r="I56" s="65"/>
      <c r="J56" s="65" t="s">
        <v>899</v>
      </c>
      <c r="K56" s="65"/>
      <c r="L56" s="65"/>
      <c r="M56" s="65"/>
      <c r="N56" s="65"/>
      <c r="O56" s="65" t="s">
        <v>938</v>
      </c>
      <c r="P56" s="65"/>
      <c r="Q56" s="65">
        <v>1</v>
      </c>
      <c r="R56" s="65">
        <v>1480</v>
      </c>
      <c r="S56" s="65"/>
    </row>
    <row r="57" spans="1:19" x14ac:dyDescent="0.25">
      <c r="A57" s="15">
        <v>6</v>
      </c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</row>
    <row r="58" spans="1:19" x14ac:dyDescent="0.25">
      <c r="A58" s="15">
        <v>6</v>
      </c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 t="s">
        <v>848</v>
      </c>
      <c r="P58" s="65"/>
      <c r="Q58" s="65"/>
      <c r="R58" s="65"/>
      <c r="S58" s="65"/>
    </row>
    <row r="59" spans="1:19" x14ac:dyDescent="0.25">
      <c r="A59" s="15">
        <v>6</v>
      </c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 t="s">
        <v>862</v>
      </c>
      <c r="P59" s="65"/>
      <c r="Q59" s="65"/>
      <c r="R59" s="65"/>
      <c r="S59" s="65"/>
    </row>
    <row r="60" spans="1:19" x14ac:dyDescent="0.25">
      <c r="A60" s="15">
        <v>6</v>
      </c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 t="s">
        <v>871</v>
      </c>
      <c r="P60" s="65"/>
      <c r="Q60" s="65"/>
      <c r="R60" s="65"/>
      <c r="S60" s="65"/>
    </row>
    <row r="61" spans="1:19" x14ac:dyDescent="0.25">
      <c r="A61" s="15">
        <v>6</v>
      </c>
      <c r="B61" s="65"/>
      <c r="C61" s="65" t="s">
        <v>79</v>
      </c>
      <c r="D61" s="65"/>
      <c r="E61" s="65" t="s">
        <v>787</v>
      </c>
      <c r="F61" s="65">
        <v>12</v>
      </c>
      <c r="G61" s="65"/>
      <c r="H61" s="65">
        <v>9</v>
      </c>
      <c r="I61" s="65">
        <v>9.0833333333333339</v>
      </c>
      <c r="J61" s="65" t="s">
        <v>879</v>
      </c>
      <c r="K61" s="65"/>
      <c r="L61" s="65"/>
      <c r="M61" s="65"/>
      <c r="N61" s="65"/>
      <c r="O61" s="65" t="s">
        <v>878</v>
      </c>
      <c r="P61" s="65"/>
      <c r="Q61" s="65">
        <v>1</v>
      </c>
      <c r="R61" s="65">
        <v>324</v>
      </c>
      <c r="S61" s="65"/>
    </row>
    <row r="62" spans="1:19" x14ac:dyDescent="0.25">
      <c r="A62" s="15">
        <v>6</v>
      </c>
      <c r="B62" s="65"/>
      <c r="C62" s="65">
        <v>2429</v>
      </c>
      <c r="D62" s="65"/>
      <c r="E62" s="65" t="s">
        <v>787</v>
      </c>
      <c r="F62" s="65">
        <v>12</v>
      </c>
      <c r="G62" s="65"/>
      <c r="H62" s="65"/>
      <c r="I62" s="65">
        <v>19.583333333333332</v>
      </c>
      <c r="J62" s="65" t="s">
        <v>879</v>
      </c>
      <c r="K62" s="65"/>
      <c r="L62" s="65"/>
      <c r="M62" s="65"/>
      <c r="N62" s="65"/>
      <c r="O62" s="65" t="s">
        <v>881</v>
      </c>
      <c r="P62" s="65"/>
      <c r="Q62" s="65">
        <v>1</v>
      </c>
      <c r="R62" s="65">
        <v>511</v>
      </c>
      <c r="S62" s="65"/>
    </row>
    <row r="63" spans="1:19" x14ac:dyDescent="0.25">
      <c r="A63" s="15">
        <v>6</v>
      </c>
      <c r="B63" s="65"/>
      <c r="C63" s="65">
        <v>2429</v>
      </c>
      <c r="D63" s="65"/>
      <c r="E63" s="65" t="s">
        <v>787</v>
      </c>
      <c r="F63" s="65">
        <v>1</v>
      </c>
      <c r="G63" s="65"/>
      <c r="H63" s="65" t="e">
        <v>#N/A</v>
      </c>
      <c r="I63" s="65"/>
      <c r="J63" s="65" t="s">
        <v>899</v>
      </c>
      <c r="K63" s="65" t="s">
        <v>900</v>
      </c>
      <c r="L63" s="65" t="s">
        <v>900</v>
      </c>
      <c r="M63" s="65" t="s">
        <v>900</v>
      </c>
      <c r="N63" s="65" t="s">
        <v>900</v>
      </c>
      <c r="O63" s="65" t="s">
        <v>898</v>
      </c>
      <c r="P63" s="65"/>
      <c r="Q63" s="65">
        <v>1</v>
      </c>
      <c r="R63" s="65">
        <v>743</v>
      </c>
      <c r="S63" s="65"/>
    </row>
    <row r="64" spans="1:19" x14ac:dyDescent="0.25">
      <c r="A64" s="15">
        <v>6</v>
      </c>
      <c r="B64" s="65"/>
      <c r="C64" s="65">
        <v>2429</v>
      </c>
      <c r="D64" s="65"/>
      <c r="E64" s="65" t="s">
        <v>787</v>
      </c>
      <c r="F64" s="65">
        <v>0</v>
      </c>
      <c r="G64" s="65"/>
      <c r="H64" s="65">
        <v>3</v>
      </c>
      <c r="I64" s="65" t="e">
        <v>#N/A</v>
      </c>
      <c r="J64" s="65" t="s">
        <v>899</v>
      </c>
      <c r="K64" s="65"/>
      <c r="L64" s="65"/>
      <c r="M64" s="65"/>
      <c r="N64" s="65"/>
      <c r="O64" s="65" t="s">
        <v>912</v>
      </c>
      <c r="P64" s="65"/>
      <c r="Q64" s="65">
        <v>1</v>
      </c>
      <c r="R64" s="65">
        <v>970</v>
      </c>
      <c r="S64" s="65"/>
    </row>
    <row r="65" spans="1:19" x14ac:dyDescent="0.25">
      <c r="A65" s="15">
        <v>6</v>
      </c>
      <c r="B65" s="65"/>
      <c r="C65" s="65">
        <v>2429</v>
      </c>
      <c r="D65" s="65"/>
      <c r="E65" s="65" t="s">
        <v>787</v>
      </c>
      <c r="F65" s="65">
        <v>3</v>
      </c>
      <c r="G65" s="65"/>
      <c r="H65" s="65">
        <v>3</v>
      </c>
      <c r="I65" s="65" t="e">
        <v>#N/A</v>
      </c>
      <c r="J65" s="65" t="s">
        <v>899</v>
      </c>
      <c r="K65" s="65"/>
      <c r="L65" s="65"/>
      <c r="M65" s="65"/>
      <c r="N65" s="65"/>
      <c r="O65" s="65" t="s">
        <v>924</v>
      </c>
      <c r="P65" s="65"/>
      <c r="Q65" s="65">
        <v>1</v>
      </c>
      <c r="R65" s="65">
        <v>1197</v>
      </c>
      <c r="S65" s="65"/>
    </row>
    <row r="66" spans="1:19" x14ac:dyDescent="0.25">
      <c r="A66" s="15">
        <v>6</v>
      </c>
      <c r="B66" s="65"/>
      <c r="C66" s="65">
        <v>2429</v>
      </c>
      <c r="D66" s="65"/>
      <c r="E66" s="65" t="s">
        <v>787</v>
      </c>
      <c r="F66" s="65">
        <v>3</v>
      </c>
      <c r="G66" s="65"/>
      <c r="H66" s="65" t="e">
        <v>#N/A</v>
      </c>
      <c r="I66" s="65"/>
      <c r="J66" s="65" t="s">
        <v>899</v>
      </c>
      <c r="K66" s="65"/>
      <c r="L66" s="65"/>
      <c r="M66" s="65"/>
      <c r="N66" s="65"/>
      <c r="O66" s="65" t="s">
        <v>936</v>
      </c>
      <c r="P66" s="65"/>
      <c r="Q66" s="65">
        <v>1</v>
      </c>
      <c r="R66" s="65">
        <v>1304</v>
      </c>
      <c r="S66" s="65"/>
    </row>
    <row r="67" spans="1:19" x14ac:dyDescent="0.25">
      <c r="A67" s="15">
        <v>6</v>
      </c>
      <c r="B67" s="65"/>
      <c r="C67" s="65">
        <v>2429</v>
      </c>
      <c r="D67" s="65"/>
      <c r="E67" s="65" t="s">
        <v>787</v>
      </c>
      <c r="F67" s="65">
        <v>5</v>
      </c>
      <c r="G67" s="65"/>
      <c r="H67" s="65" t="e">
        <v>#N/A</v>
      </c>
      <c r="I67" s="65"/>
      <c r="J67" s="65" t="s">
        <v>899</v>
      </c>
      <c r="K67" s="65"/>
      <c r="L67" s="65"/>
      <c r="M67" s="65"/>
      <c r="N67" s="65"/>
      <c r="O67" s="65" t="s">
        <v>938</v>
      </c>
      <c r="P67" s="65"/>
      <c r="Q67" s="65">
        <v>1</v>
      </c>
      <c r="R67" s="65">
        <v>1491</v>
      </c>
      <c r="S67" s="65"/>
    </row>
    <row r="68" spans="1:19" x14ac:dyDescent="0.25">
      <c r="A68" s="15">
        <v>7</v>
      </c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</row>
    <row r="69" spans="1:19" x14ac:dyDescent="0.25">
      <c r="A69" s="15">
        <v>7</v>
      </c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 t="s">
        <v>857</v>
      </c>
      <c r="P69" s="65"/>
      <c r="Q69" s="65"/>
      <c r="R69" s="65"/>
      <c r="S69" s="65"/>
    </row>
    <row r="70" spans="1:19" x14ac:dyDescent="0.25">
      <c r="A70" s="15">
        <v>7</v>
      </c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 t="s">
        <v>862</v>
      </c>
      <c r="P70" s="65"/>
      <c r="Q70" s="65"/>
      <c r="R70" s="65"/>
      <c r="S70" s="65"/>
    </row>
    <row r="71" spans="1:19" x14ac:dyDescent="0.25">
      <c r="A71" s="15">
        <v>7</v>
      </c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 t="s">
        <v>871</v>
      </c>
      <c r="P71" s="65"/>
      <c r="Q71" s="65"/>
      <c r="R71" s="65"/>
      <c r="S71" s="65"/>
    </row>
    <row r="72" spans="1:19" x14ac:dyDescent="0.25">
      <c r="A72" s="15">
        <v>7</v>
      </c>
      <c r="B72" s="65"/>
      <c r="C72" s="65" t="s">
        <v>79</v>
      </c>
      <c r="D72" s="65"/>
      <c r="E72" s="65" t="s">
        <v>787</v>
      </c>
      <c r="F72" s="65">
        <v>12</v>
      </c>
      <c r="G72" s="65"/>
      <c r="H72" s="65">
        <v>9</v>
      </c>
      <c r="I72" s="65">
        <v>9.0833333333333339</v>
      </c>
      <c r="J72" s="65" t="s">
        <v>879</v>
      </c>
      <c r="K72" s="65"/>
      <c r="L72" s="65"/>
      <c r="M72" s="65"/>
      <c r="N72" s="65"/>
      <c r="O72" s="65" t="s">
        <v>878</v>
      </c>
      <c r="P72" s="65"/>
      <c r="Q72" s="65">
        <v>1</v>
      </c>
      <c r="R72" s="65">
        <v>333</v>
      </c>
      <c r="S72" s="65"/>
    </row>
    <row r="73" spans="1:19" x14ac:dyDescent="0.25">
      <c r="A73" s="15">
        <v>7</v>
      </c>
      <c r="B73" s="65"/>
      <c r="C73" s="65">
        <v>2429</v>
      </c>
      <c r="D73" s="65"/>
      <c r="E73" s="65" t="s">
        <v>787</v>
      </c>
      <c r="F73" s="65">
        <v>12</v>
      </c>
      <c r="G73" s="65"/>
      <c r="H73" s="65"/>
      <c r="I73" s="65">
        <v>19.583333333333332</v>
      </c>
      <c r="J73" s="65" t="s">
        <v>879</v>
      </c>
      <c r="K73" s="65"/>
      <c r="L73" s="65"/>
      <c r="M73" s="65"/>
      <c r="N73" s="65"/>
      <c r="O73" s="65" t="s">
        <v>881</v>
      </c>
      <c r="P73" s="65"/>
      <c r="Q73" s="65">
        <v>1</v>
      </c>
      <c r="R73" s="65">
        <v>560</v>
      </c>
      <c r="S73" s="65"/>
    </row>
    <row r="74" spans="1:19" x14ac:dyDescent="0.25">
      <c r="A74" s="15">
        <v>7</v>
      </c>
      <c r="B74" s="65"/>
      <c r="C74" s="65">
        <v>2429</v>
      </c>
      <c r="D74" s="65"/>
      <c r="E74" s="65" t="s">
        <v>787</v>
      </c>
      <c r="F74" s="65">
        <v>1</v>
      </c>
      <c r="G74" s="65"/>
      <c r="H74" s="65" t="e">
        <v>#N/A</v>
      </c>
      <c r="I74" s="65"/>
      <c r="J74" s="65" t="s">
        <v>899</v>
      </c>
      <c r="K74" s="65" t="s">
        <v>900</v>
      </c>
      <c r="L74" s="65" t="s">
        <v>900</v>
      </c>
      <c r="M74" s="65" t="s">
        <v>900</v>
      </c>
      <c r="N74" s="65" t="s">
        <v>900</v>
      </c>
      <c r="O74" s="65" t="s">
        <v>898</v>
      </c>
      <c r="P74" s="65"/>
      <c r="Q74" s="65">
        <v>1</v>
      </c>
      <c r="R74" s="65">
        <v>792</v>
      </c>
      <c r="S74" s="65"/>
    </row>
    <row r="75" spans="1:19" x14ac:dyDescent="0.25">
      <c r="A75" s="15">
        <v>7</v>
      </c>
      <c r="B75" s="65"/>
      <c r="C75" s="65">
        <v>2429</v>
      </c>
      <c r="D75" s="65"/>
      <c r="E75" s="65" t="s">
        <v>787</v>
      </c>
      <c r="F75" s="65">
        <v>0</v>
      </c>
      <c r="G75" s="65"/>
      <c r="H75" s="65">
        <v>3</v>
      </c>
      <c r="I75" s="65" t="e">
        <v>#N/A</v>
      </c>
      <c r="J75" s="65" t="s">
        <v>899</v>
      </c>
      <c r="K75" s="65"/>
      <c r="L75" s="65"/>
      <c r="M75" s="65"/>
      <c r="N75" s="65"/>
      <c r="O75" s="65" t="s">
        <v>912</v>
      </c>
      <c r="P75" s="65"/>
      <c r="Q75" s="65">
        <v>1</v>
      </c>
      <c r="R75" s="65">
        <v>1019</v>
      </c>
      <c r="S75" s="65"/>
    </row>
    <row r="76" spans="1:19" x14ac:dyDescent="0.25">
      <c r="A76" s="15">
        <v>7</v>
      </c>
      <c r="B76" s="65"/>
      <c r="C76" s="65">
        <v>2429</v>
      </c>
      <c r="D76" s="65"/>
      <c r="E76" s="65" t="s">
        <v>787</v>
      </c>
      <c r="F76" s="65">
        <v>3</v>
      </c>
      <c r="G76" s="65"/>
      <c r="H76" s="65">
        <v>3</v>
      </c>
      <c r="I76" s="65" t="e">
        <v>#N/A</v>
      </c>
      <c r="J76" s="65" t="s">
        <v>899</v>
      </c>
      <c r="K76" s="65"/>
      <c r="L76" s="65"/>
      <c r="M76" s="65"/>
      <c r="N76" s="65"/>
      <c r="O76" s="65" t="s">
        <v>924</v>
      </c>
      <c r="P76" s="65"/>
      <c r="Q76" s="65">
        <v>1</v>
      </c>
      <c r="R76" s="65">
        <v>1246</v>
      </c>
      <c r="S76" s="65"/>
    </row>
    <row r="77" spans="1:19" x14ac:dyDescent="0.25">
      <c r="A77" s="15">
        <v>7</v>
      </c>
      <c r="B77" s="65"/>
      <c r="C77" s="65">
        <v>2429</v>
      </c>
      <c r="D77" s="65"/>
      <c r="E77" s="65" t="s">
        <v>787</v>
      </c>
      <c r="F77" s="65">
        <v>3</v>
      </c>
      <c r="G77" s="65"/>
      <c r="H77" s="65" t="e">
        <v>#N/A</v>
      </c>
      <c r="I77" s="65"/>
      <c r="J77" s="65" t="s">
        <v>899</v>
      </c>
      <c r="K77" s="65"/>
      <c r="L77" s="65"/>
      <c r="M77" s="65"/>
      <c r="N77" s="65"/>
      <c r="O77" s="65" t="s">
        <v>936</v>
      </c>
      <c r="P77" s="65"/>
      <c r="Q77" s="65">
        <v>1</v>
      </c>
      <c r="R77" s="65">
        <v>1313</v>
      </c>
      <c r="S77" s="65"/>
    </row>
    <row r="78" spans="1:19" x14ac:dyDescent="0.25">
      <c r="A78" s="15">
        <v>7</v>
      </c>
      <c r="B78" s="65"/>
      <c r="C78" s="65">
        <v>2429</v>
      </c>
      <c r="D78" s="65"/>
      <c r="E78" s="65" t="s">
        <v>787</v>
      </c>
      <c r="F78" s="65">
        <v>5</v>
      </c>
      <c r="G78" s="65"/>
      <c r="H78" s="65" t="e">
        <v>#N/A</v>
      </c>
      <c r="I78" s="65"/>
      <c r="J78" s="65" t="s">
        <v>899</v>
      </c>
      <c r="K78" s="65"/>
      <c r="L78" s="65"/>
      <c r="M78" s="65"/>
      <c r="N78" s="65"/>
      <c r="O78" s="65" t="s">
        <v>938</v>
      </c>
      <c r="P78" s="65"/>
      <c r="Q78" s="65">
        <v>1</v>
      </c>
      <c r="R78" s="65">
        <v>1540</v>
      </c>
      <c r="S78" s="65"/>
    </row>
    <row r="79" spans="1:19" x14ac:dyDescent="0.25">
      <c r="A79" s="15">
        <v>8</v>
      </c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</row>
    <row r="80" spans="1:19" x14ac:dyDescent="0.25">
      <c r="A80" s="15">
        <v>8</v>
      </c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 t="s">
        <v>858</v>
      </c>
      <c r="P80" s="65"/>
      <c r="Q80" s="65"/>
      <c r="R80" s="65"/>
      <c r="S80" s="65"/>
    </row>
    <row r="81" spans="1:19" x14ac:dyDescent="0.25">
      <c r="A81" s="15">
        <v>8</v>
      </c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 t="s">
        <v>862</v>
      </c>
      <c r="P81" s="65"/>
      <c r="Q81" s="65"/>
      <c r="R81" s="65"/>
      <c r="S81" s="65"/>
    </row>
    <row r="82" spans="1:19" x14ac:dyDescent="0.25">
      <c r="A82" s="15">
        <v>8</v>
      </c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 t="s">
        <v>871</v>
      </c>
      <c r="P82" s="65"/>
      <c r="Q82" s="65"/>
      <c r="R82" s="65"/>
      <c r="S82" s="65"/>
    </row>
    <row r="83" spans="1:19" x14ac:dyDescent="0.25">
      <c r="A83" s="15">
        <v>8</v>
      </c>
      <c r="B83" s="65"/>
      <c r="C83" s="65" t="s">
        <v>79</v>
      </c>
      <c r="D83" s="65"/>
      <c r="E83" s="65" t="s">
        <v>787</v>
      </c>
      <c r="F83" s="65">
        <v>8</v>
      </c>
      <c r="G83" s="65"/>
      <c r="H83" s="65">
        <v>7</v>
      </c>
      <c r="I83" s="65">
        <v>7.666666666666667</v>
      </c>
      <c r="J83" s="65" t="s">
        <v>879</v>
      </c>
      <c r="K83" s="65"/>
      <c r="L83" s="65"/>
      <c r="M83" s="65"/>
      <c r="N83" s="65"/>
      <c r="O83" s="65" t="s">
        <v>878</v>
      </c>
      <c r="P83" s="65"/>
      <c r="Q83" s="65">
        <v>1</v>
      </c>
      <c r="R83" s="65">
        <v>334</v>
      </c>
      <c r="S83" s="65"/>
    </row>
    <row r="84" spans="1:19" x14ac:dyDescent="0.25">
      <c r="A84" s="15">
        <v>8</v>
      </c>
      <c r="B84" s="65"/>
      <c r="C84" s="65">
        <v>2429</v>
      </c>
      <c r="D84" s="65"/>
      <c r="E84" s="65" t="s">
        <v>787</v>
      </c>
      <c r="F84" s="65">
        <v>8</v>
      </c>
      <c r="G84" s="65"/>
      <c r="H84" s="65"/>
      <c r="I84" s="65">
        <v>19.583333333333332</v>
      </c>
      <c r="J84" s="65" t="s">
        <v>879</v>
      </c>
      <c r="K84" s="65"/>
      <c r="L84" s="65"/>
      <c r="M84" s="65"/>
      <c r="N84" s="65"/>
      <c r="O84" s="65" t="s">
        <v>881</v>
      </c>
      <c r="P84" s="65"/>
      <c r="Q84" s="65">
        <v>1</v>
      </c>
      <c r="R84" s="65">
        <v>561</v>
      </c>
      <c r="S84" s="65"/>
    </row>
    <row r="85" spans="1:19" x14ac:dyDescent="0.25">
      <c r="A85" s="15">
        <v>8</v>
      </c>
      <c r="B85" s="65"/>
      <c r="C85" s="65">
        <v>2429</v>
      </c>
      <c r="D85" s="65"/>
      <c r="E85" s="65" t="s">
        <v>787</v>
      </c>
      <c r="F85" s="65">
        <v>1</v>
      </c>
      <c r="G85" s="65"/>
      <c r="H85" s="65" t="e">
        <v>#N/A</v>
      </c>
      <c r="I85" s="65"/>
      <c r="J85" s="65" t="s">
        <v>899</v>
      </c>
      <c r="K85" s="65" t="s">
        <v>900</v>
      </c>
      <c r="L85" s="65" t="s">
        <v>900</v>
      </c>
      <c r="M85" s="65" t="s">
        <v>900</v>
      </c>
      <c r="N85" s="65" t="s">
        <v>900</v>
      </c>
      <c r="O85" s="65" t="s">
        <v>898</v>
      </c>
      <c r="P85" s="65"/>
      <c r="Q85" s="65">
        <v>1</v>
      </c>
      <c r="R85" s="65">
        <v>793</v>
      </c>
      <c r="S85" s="65"/>
    </row>
    <row r="86" spans="1:19" x14ac:dyDescent="0.25">
      <c r="A86" s="15">
        <v>8</v>
      </c>
      <c r="B86" s="65"/>
      <c r="C86" s="65">
        <v>2429</v>
      </c>
      <c r="D86" s="65"/>
      <c r="E86" s="65" t="s">
        <v>787</v>
      </c>
      <c r="F86" s="65">
        <v>0</v>
      </c>
      <c r="G86" s="65"/>
      <c r="H86" s="65">
        <v>3</v>
      </c>
      <c r="I86" s="65" t="e">
        <v>#N/A</v>
      </c>
      <c r="J86" s="65" t="s">
        <v>899</v>
      </c>
      <c r="K86" s="65"/>
      <c r="L86" s="65"/>
      <c r="M86" s="65"/>
      <c r="N86" s="65"/>
      <c r="O86" s="65" t="s">
        <v>912</v>
      </c>
      <c r="P86" s="65"/>
      <c r="Q86" s="65">
        <v>1</v>
      </c>
      <c r="R86" s="65">
        <v>1020</v>
      </c>
      <c r="S86" s="65"/>
    </row>
    <row r="87" spans="1:19" x14ac:dyDescent="0.25">
      <c r="A87" s="15">
        <v>8</v>
      </c>
      <c r="B87" s="65"/>
      <c r="C87" s="65">
        <v>2429</v>
      </c>
      <c r="D87" s="65"/>
      <c r="E87" s="65" t="s">
        <v>787</v>
      </c>
      <c r="F87" s="65">
        <v>3</v>
      </c>
      <c r="G87" s="65"/>
      <c r="H87" s="65">
        <v>3</v>
      </c>
      <c r="I87" s="65" t="e">
        <v>#N/A</v>
      </c>
      <c r="J87" s="65" t="s">
        <v>899</v>
      </c>
      <c r="K87" s="65"/>
      <c r="L87" s="65"/>
      <c r="M87" s="65"/>
      <c r="N87" s="65"/>
      <c r="O87" s="65" t="s">
        <v>924</v>
      </c>
      <c r="P87" s="65"/>
      <c r="Q87" s="65">
        <v>1</v>
      </c>
      <c r="R87" s="65">
        <v>1247</v>
      </c>
      <c r="S87" s="65"/>
    </row>
    <row r="88" spans="1:19" x14ac:dyDescent="0.25">
      <c r="A88" s="15">
        <v>8</v>
      </c>
      <c r="B88" s="65"/>
      <c r="C88" s="65">
        <v>2429</v>
      </c>
      <c r="D88" s="65"/>
      <c r="E88" s="65" t="s">
        <v>787</v>
      </c>
      <c r="F88" s="65">
        <v>3</v>
      </c>
      <c r="G88" s="65"/>
      <c r="H88" s="65" t="e">
        <v>#N/A</v>
      </c>
      <c r="I88" s="65"/>
      <c r="J88" s="65" t="s">
        <v>899</v>
      </c>
      <c r="K88" s="65"/>
      <c r="L88" s="65"/>
      <c r="M88" s="65"/>
      <c r="N88" s="65"/>
      <c r="O88" s="65" t="s">
        <v>936</v>
      </c>
      <c r="P88" s="65"/>
      <c r="Q88" s="65">
        <v>1</v>
      </c>
      <c r="R88" s="65">
        <v>1314</v>
      </c>
      <c r="S88" s="65"/>
    </row>
    <row r="89" spans="1:19" x14ac:dyDescent="0.25">
      <c r="A89" s="15">
        <v>8</v>
      </c>
      <c r="B89" s="65"/>
      <c r="C89" s="65">
        <v>2429</v>
      </c>
      <c r="D89" s="65"/>
      <c r="E89" s="65" t="s">
        <v>787</v>
      </c>
      <c r="F89" s="65">
        <v>5</v>
      </c>
      <c r="G89" s="65"/>
      <c r="H89" s="65" t="e">
        <v>#N/A</v>
      </c>
      <c r="I89" s="65"/>
      <c r="J89" s="65" t="s">
        <v>899</v>
      </c>
      <c r="K89" s="65"/>
      <c r="L89" s="65"/>
      <c r="M89" s="65"/>
      <c r="N89" s="65"/>
      <c r="O89" s="65" t="s">
        <v>938</v>
      </c>
      <c r="P89" s="65"/>
      <c r="Q89" s="65">
        <v>1</v>
      </c>
      <c r="R89" s="65">
        <v>1541</v>
      </c>
      <c r="S89" s="65"/>
    </row>
    <row r="90" spans="1:19" x14ac:dyDescent="0.25">
      <c r="A90" s="15">
        <v>9</v>
      </c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</row>
    <row r="91" spans="1:19" x14ac:dyDescent="0.25">
      <c r="A91" s="15">
        <v>9</v>
      </c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 t="s">
        <v>859</v>
      </c>
      <c r="P91" s="65"/>
      <c r="Q91" s="65"/>
      <c r="R91" s="65"/>
      <c r="S91" s="65"/>
    </row>
    <row r="92" spans="1:19" x14ac:dyDescent="0.25">
      <c r="A92" s="15">
        <v>9</v>
      </c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 t="s">
        <v>863</v>
      </c>
      <c r="P92" s="65"/>
      <c r="Q92" s="65"/>
      <c r="R92" s="65"/>
      <c r="S92" s="65"/>
    </row>
    <row r="93" spans="1:19" x14ac:dyDescent="0.25">
      <c r="A93" s="15">
        <v>9</v>
      </c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 t="s">
        <v>871</v>
      </c>
      <c r="P93" s="65"/>
      <c r="Q93" s="65"/>
      <c r="R93" s="65"/>
      <c r="S93" s="65"/>
    </row>
    <row r="94" spans="1:19" x14ac:dyDescent="0.25">
      <c r="A94" s="15">
        <v>9</v>
      </c>
      <c r="B94" s="65"/>
      <c r="C94" s="65" t="s">
        <v>79</v>
      </c>
      <c r="D94" s="65"/>
      <c r="E94" s="65" t="s">
        <v>787</v>
      </c>
      <c r="F94" s="65">
        <v>6</v>
      </c>
      <c r="G94" s="65"/>
      <c r="H94" s="65">
        <v>7</v>
      </c>
      <c r="I94" s="65">
        <v>8.1666666666666679</v>
      </c>
      <c r="J94" s="65" t="s">
        <v>879</v>
      </c>
      <c r="K94" s="65"/>
      <c r="L94" s="65"/>
      <c r="M94" s="65"/>
      <c r="N94" s="65"/>
      <c r="O94" s="65" t="s">
        <v>878</v>
      </c>
      <c r="P94" s="65"/>
      <c r="Q94" s="65">
        <v>1</v>
      </c>
      <c r="R94" s="65">
        <v>335</v>
      </c>
      <c r="S94" s="65"/>
    </row>
    <row r="95" spans="1:19" x14ac:dyDescent="0.25">
      <c r="A95" s="15">
        <v>9</v>
      </c>
      <c r="B95" s="65"/>
      <c r="C95" s="65">
        <v>2429</v>
      </c>
      <c r="D95" s="65"/>
      <c r="E95" s="65" t="s">
        <v>787</v>
      </c>
      <c r="F95" s="65">
        <v>6</v>
      </c>
      <c r="G95" s="65"/>
      <c r="H95" s="65"/>
      <c r="I95" s="65">
        <v>19.583333333333332</v>
      </c>
      <c r="J95" s="65" t="s">
        <v>879</v>
      </c>
      <c r="K95" s="65"/>
      <c r="L95" s="65"/>
      <c r="M95" s="65"/>
      <c r="N95" s="65"/>
      <c r="O95" s="65" t="s">
        <v>881</v>
      </c>
      <c r="P95" s="65"/>
      <c r="Q95" s="65">
        <v>1</v>
      </c>
      <c r="R95" s="65">
        <v>562</v>
      </c>
      <c r="S95" s="65"/>
    </row>
    <row r="96" spans="1:19" x14ac:dyDescent="0.25">
      <c r="A96" s="15">
        <v>9</v>
      </c>
      <c r="B96" s="65"/>
      <c r="C96" s="65">
        <v>2429</v>
      </c>
      <c r="D96" s="65"/>
      <c r="E96" s="65" t="s">
        <v>787</v>
      </c>
      <c r="F96" s="65">
        <v>1</v>
      </c>
      <c r="G96" s="65"/>
      <c r="H96" s="65" t="e">
        <v>#N/A</v>
      </c>
      <c r="I96" s="65"/>
      <c r="J96" s="65" t="s">
        <v>899</v>
      </c>
      <c r="K96" s="65" t="s">
        <v>900</v>
      </c>
      <c r="L96" s="65" t="s">
        <v>900</v>
      </c>
      <c r="M96" s="65" t="s">
        <v>900</v>
      </c>
      <c r="N96" s="65" t="s">
        <v>900</v>
      </c>
      <c r="O96" s="65" t="s">
        <v>898</v>
      </c>
      <c r="P96" s="65"/>
      <c r="Q96" s="65">
        <v>1</v>
      </c>
      <c r="R96" s="65">
        <v>794</v>
      </c>
      <c r="S96" s="65"/>
    </row>
    <row r="97" spans="1:19" x14ac:dyDescent="0.25">
      <c r="A97" s="15">
        <v>9</v>
      </c>
      <c r="B97" s="65"/>
      <c r="C97" s="65">
        <v>2429</v>
      </c>
      <c r="D97" s="65"/>
      <c r="E97" s="65" t="s">
        <v>787</v>
      </c>
      <c r="F97" s="65">
        <v>0</v>
      </c>
      <c r="G97" s="65"/>
      <c r="H97" s="65">
        <v>3</v>
      </c>
      <c r="I97" s="65" t="e">
        <v>#N/A</v>
      </c>
      <c r="J97" s="65" t="s">
        <v>899</v>
      </c>
      <c r="K97" s="65"/>
      <c r="L97" s="65"/>
      <c r="M97" s="65"/>
      <c r="N97" s="65"/>
      <c r="O97" s="65" t="s">
        <v>912</v>
      </c>
      <c r="P97" s="65"/>
      <c r="Q97" s="65">
        <v>1</v>
      </c>
      <c r="R97" s="65">
        <v>1021</v>
      </c>
      <c r="S97" s="65"/>
    </row>
    <row r="98" spans="1:19" x14ac:dyDescent="0.25">
      <c r="A98" s="15">
        <v>9</v>
      </c>
      <c r="B98" s="65"/>
      <c r="C98" s="65">
        <v>2429</v>
      </c>
      <c r="D98" s="65"/>
      <c r="E98" s="65" t="s">
        <v>787</v>
      </c>
      <c r="F98" s="65">
        <v>3</v>
      </c>
      <c r="G98" s="65"/>
      <c r="H98" s="65">
        <v>3</v>
      </c>
      <c r="I98" s="65" t="e">
        <v>#N/A</v>
      </c>
      <c r="J98" s="65" t="s">
        <v>899</v>
      </c>
      <c r="K98" s="65"/>
      <c r="L98" s="65"/>
      <c r="M98" s="65"/>
      <c r="N98" s="65"/>
      <c r="O98" s="65" t="s">
        <v>924</v>
      </c>
      <c r="P98" s="65"/>
      <c r="Q98" s="65">
        <v>1</v>
      </c>
      <c r="R98" s="65">
        <v>1248</v>
      </c>
      <c r="S98" s="65"/>
    </row>
    <row r="99" spans="1:19" x14ac:dyDescent="0.25">
      <c r="A99" s="15">
        <v>9</v>
      </c>
      <c r="B99" s="65"/>
      <c r="C99" s="65">
        <v>2429</v>
      </c>
      <c r="D99" s="65"/>
      <c r="E99" s="65" t="s">
        <v>787</v>
      </c>
      <c r="F99" s="65">
        <v>3</v>
      </c>
      <c r="G99" s="65"/>
      <c r="H99" s="65" t="e">
        <v>#N/A</v>
      </c>
      <c r="I99" s="65"/>
      <c r="J99" s="65" t="s">
        <v>899</v>
      </c>
      <c r="K99" s="65"/>
      <c r="L99" s="65"/>
      <c r="M99" s="65"/>
      <c r="N99" s="65"/>
      <c r="O99" s="65" t="s">
        <v>936</v>
      </c>
      <c r="P99" s="65"/>
      <c r="Q99" s="65">
        <v>1</v>
      </c>
      <c r="R99" s="65">
        <v>1315</v>
      </c>
      <c r="S99" s="65"/>
    </row>
    <row r="100" spans="1:19" x14ac:dyDescent="0.25">
      <c r="A100" s="15">
        <v>9</v>
      </c>
      <c r="B100" s="65"/>
      <c r="C100" s="65">
        <v>2429</v>
      </c>
      <c r="D100" s="65"/>
      <c r="E100" s="65" t="s">
        <v>787</v>
      </c>
      <c r="F100" s="65">
        <v>5</v>
      </c>
      <c r="G100" s="65"/>
      <c r="H100" s="65" t="e">
        <v>#N/A</v>
      </c>
      <c r="I100" s="65"/>
      <c r="J100" s="65" t="s">
        <v>899</v>
      </c>
      <c r="K100" s="65"/>
      <c r="L100" s="65"/>
      <c r="M100" s="65"/>
      <c r="N100" s="65"/>
      <c r="O100" s="65" t="s">
        <v>938</v>
      </c>
      <c r="P100" s="65"/>
      <c r="Q100" s="65">
        <v>1</v>
      </c>
      <c r="R100" s="65">
        <v>1542</v>
      </c>
      <c r="S100" s="65"/>
    </row>
    <row r="101" spans="1:19" x14ac:dyDescent="0.25">
      <c r="A101" s="15">
        <v>10</v>
      </c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</row>
    <row r="102" spans="1:19" x14ac:dyDescent="0.25">
      <c r="A102" s="15">
        <v>10</v>
      </c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 t="s">
        <v>794</v>
      </c>
      <c r="P102" s="65"/>
      <c r="Q102" s="65"/>
      <c r="R102" s="65"/>
      <c r="S102" s="65"/>
    </row>
    <row r="103" spans="1:19" x14ac:dyDescent="0.25">
      <c r="A103" s="15">
        <v>10</v>
      </c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 t="s">
        <v>861</v>
      </c>
      <c r="P103" s="65"/>
      <c r="Q103" s="65"/>
      <c r="R103" s="65"/>
      <c r="S103" s="65"/>
    </row>
    <row r="104" spans="1:19" x14ac:dyDescent="0.25">
      <c r="A104" s="15">
        <v>10</v>
      </c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 t="s">
        <v>871</v>
      </c>
      <c r="P104" s="65"/>
      <c r="Q104" s="65"/>
      <c r="R104" s="65"/>
      <c r="S104" s="65"/>
    </row>
    <row r="105" spans="1:19" x14ac:dyDescent="0.25">
      <c r="A105" s="15">
        <v>10</v>
      </c>
      <c r="B105" s="65"/>
      <c r="C105" s="65" t="s">
        <v>79</v>
      </c>
      <c r="D105" s="65"/>
      <c r="E105" s="65" t="s">
        <v>787</v>
      </c>
      <c r="F105" s="65">
        <v>6</v>
      </c>
      <c r="G105" s="65"/>
      <c r="H105" s="65">
        <v>7</v>
      </c>
      <c r="I105" s="65">
        <v>7.666666666666667</v>
      </c>
      <c r="J105" s="65" t="s">
        <v>879</v>
      </c>
      <c r="K105" s="65"/>
      <c r="L105" s="65"/>
      <c r="M105" s="65"/>
      <c r="N105" s="65"/>
      <c r="O105" s="65" t="s">
        <v>878</v>
      </c>
      <c r="P105" s="65"/>
      <c r="Q105" s="65">
        <v>1</v>
      </c>
      <c r="R105" s="65">
        <v>270</v>
      </c>
      <c r="S105" s="65"/>
    </row>
    <row r="106" spans="1:19" x14ac:dyDescent="0.25">
      <c r="A106" s="15">
        <v>10</v>
      </c>
      <c r="B106" s="65"/>
      <c r="C106" s="65">
        <v>2429</v>
      </c>
      <c r="D106" s="65"/>
      <c r="E106" s="65" t="s">
        <v>787</v>
      </c>
      <c r="F106" s="65">
        <v>6</v>
      </c>
      <c r="G106" s="65"/>
      <c r="H106" s="65"/>
      <c r="I106" s="65">
        <v>19.583333333333332</v>
      </c>
      <c r="J106" s="65" t="s">
        <v>879</v>
      </c>
      <c r="K106" s="65"/>
      <c r="L106" s="65"/>
      <c r="M106" s="65"/>
      <c r="N106" s="65"/>
      <c r="O106" s="65" t="s">
        <v>881</v>
      </c>
      <c r="P106" s="65"/>
      <c r="Q106" s="65">
        <v>1</v>
      </c>
      <c r="R106" s="65">
        <v>337</v>
      </c>
      <c r="S106" s="65"/>
    </row>
    <row r="107" spans="1:19" x14ac:dyDescent="0.25">
      <c r="A107" s="15">
        <v>10</v>
      </c>
      <c r="B107" s="65"/>
      <c r="C107" s="65">
        <v>2429</v>
      </c>
      <c r="D107" s="65"/>
      <c r="E107" s="65" t="s">
        <v>787</v>
      </c>
      <c r="F107" s="65">
        <v>1</v>
      </c>
      <c r="G107" s="65"/>
      <c r="H107" s="65" t="e">
        <v>#N/A</v>
      </c>
      <c r="I107" s="65"/>
      <c r="J107" s="65" t="s">
        <v>899</v>
      </c>
      <c r="K107" s="65" t="s">
        <v>900</v>
      </c>
      <c r="L107" s="65" t="s">
        <v>900</v>
      </c>
      <c r="M107" s="65" t="s">
        <v>900</v>
      </c>
      <c r="N107" s="65" t="s">
        <v>900</v>
      </c>
      <c r="O107" s="65" t="s">
        <v>898</v>
      </c>
      <c r="P107" s="65"/>
      <c r="Q107" s="65">
        <v>1</v>
      </c>
      <c r="R107" s="65">
        <v>569</v>
      </c>
      <c r="S107" s="65"/>
    </row>
    <row r="108" spans="1:19" x14ac:dyDescent="0.25">
      <c r="A108" s="15">
        <v>10</v>
      </c>
      <c r="B108" s="65"/>
      <c r="C108" s="65">
        <v>2429</v>
      </c>
      <c r="D108" s="65"/>
      <c r="E108" s="65" t="s">
        <v>787</v>
      </c>
      <c r="F108" s="65">
        <v>0</v>
      </c>
      <c r="G108" s="65"/>
      <c r="H108" s="65">
        <v>3</v>
      </c>
      <c r="I108" s="65" t="e">
        <v>#N/A</v>
      </c>
      <c r="J108" s="65" t="s">
        <v>899</v>
      </c>
      <c r="K108" s="65"/>
      <c r="L108" s="65"/>
      <c r="M108" s="65"/>
      <c r="N108" s="65"/>
      <c r="O108" s="65" t="s">
        <v>912</v>
      </c>
      <c r="P108" s="65"/>
      <c r="Q108" s="65">
        <v>1</v>
      </c>
      <c r="R108" s="65">
        <v>796</v>
      </c>
      <c r="S108" s="65"/>
    </row>
    <row r="109" spans="1:19" x14ac:dyDescent="0.25">
      <c r="A109" s="15">
        <v>10</v>
      </c>
      <c r="B109" s="65"/>
      <c r="C109" s="65">
        <v>2429</v>
      </c>
      <c r="D109" s="65"/>
      <c r="E109" s="65" t="s">
        <v>787</v>
      </c>
      <c r="F109" s="65">
        <v>3</v>
      </c>
      <c r="G109" s="65"/>
      <c r="H109" s="65">
        <v>3</v>
      </c>
      <c r="I109" s="65" t="e">
        <v>#N/A</v>
      </c>
      <c r="J109" s="65" t="s">
        <v>899</v>
      </c>
      <c r="K109" s="65"/>
      <c r="L109" s="65"/>
      <c r="M109" s="65"/>
      <c r="N109" s="65"/>
      <c r="O109" s="65" t="s">
        <v>924</v>
      </c>
      <c r="P109" s="65"/>
      <c r="Q109" s="65">
        <v>1</v>
      </c>
      <c r="R109" s="65">
        <v>1023</v>
      </c>
      <c r="S109" s="65"/>
    </row>
    <row r="110" spans="1:19" x14ac:dyDescent="0.25">
      <c r="A110" s="15">
        <v>10</v>
      </c>
      <c r="B110" s="65"/>
      <c r="C110" s="65">
        <v>2429</v>
      </c>
      <c r="D110" s="65"/>
      <c r="E110" s="65" t="s">
        <v>787</v>
      </c>
      <c r="F110" s="65">
        <v>3</v>
      </c>
      <c r="G110" s="65"/>
      <c r="H110" s="65" t="e">
        <v>#N/A</v>
      </c>
      <c r="I110" s="65"/>
      <c r="J110" s="65" t="s">
        <v>899</v>
      </c>
      <c r="K110" s="65"/>
      <c r="L110" s="65"/>
      <c r="M110" s="65"/>
      <c r="N110" s="65"/>
      <c r="O110" s="65" t="s">
        <v>936</v>
      </c>
      <c r="P110" s="65"/>
      <c r="Q110" s="65">
        <v>1</v>
      </c>
      <c r="R110" s="65">
        <v>1250</v>
      </c>
      <c r="S110" s="65"/>
    </row>
    <row r="111" spans="1:19" x14ac:dyDescent="0.25">
      <c r="A111" s="15">
        <v>10</v>
      </c>
      <c r="B111" s="65"/>
      <c r="C111" s="65">
        <v>2429</v>
      </c>
      <c r="D111" s="65"/>
      <c r="E111" s="65" t="s">
        <v>787</v>
      </c>
      <c r="F111" s="65">
        <v>5</v>
      </c>
      <c r="G111" s="65"/>
      <c r="H111" s="65" t="e">
        <v>#N/A</v>
      </c>
      <c r="I111" s="65"/>
      <c r="J111" s="65" t="s">
        <v>899</v>
      </c>
      <c r="K111" s="65"/>
      <c r="L111" s="65"/>
      <c r="M111" s="65"/>
      <c r="N111" s="65"/>
      <c r="O111" s="65" t="s">
        <v>938</v>
      </c>
      <c r="P111" s="65"/>
      <c r="Q111" s="65">
        <v>1</v>
      </c>
      <c r="R111" s="65">
        <v>1317</v>
      </c>
      <c r="S111" s="65"/>
    </row>
    <row r="112" spans="1:19" x14ac:dyDescent="0.25">
      <c r="A112" s="15">
        <v>11</v>
      </c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</row>
    <row r="113" spans="1:19" x14ac:dyDescent="0.25">
      <c r="A113" s="15">
        <v>11</v>
      </c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 t="s">
        <v>795</v>
      </c>
      <c r="P113" s="65"/>
      <c r="Q113" s="65"/>
      <c r="R113" s="65"/>
      <c r="S113" s="65"/>
    </row>
    <row r="114" spans="1:19" x14ac:dyDescent="0.25">
      <c r="A114" s="15">
        <v>11</v>
      </c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 t="s">
        <v>861</v>
      </c>
      <c r="P114" s="65"/>
      <c r="Q114" s="65"/>
      <c r="R114" s="65"/>
      <c r="S114" s="65"/>
    </row>
    <row r="115" spans="1:19" x14ac:dyDescent="0.25">
      <c r="A115" s="15">
        <v>11</v>
      </c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 t="s">
        <v>871</v>
      </c>
      <c r="P115" s="65"/>
      <c r="Q115" s="65"/>
      <c r="R115" s="65"/>
      <c r="S115" s="65"/>
    </row>
    <row r="116" spans="1:19" x14ac:dyDescent="0.25">
      <c r="A116" s="15">
        <v>11</v>
      </c>
      <c r="B116" s="65"/>
      <c r="C116" s="65" t="s">
        <v>79</v>
      </c>
      <c r="D116" s="65"/>
      <c r="E116" s="65" t="s">
        <v>787</v>
      </c>
      <c r="F116" s="65">
        <v>6</v>
      </c>
      <c r="G116" s="65"/>
      <c r="H116" s="65">
        <v>7</v>
      </c>
      <c r="I116" s="65">
        <v>7.666666666666667</v>
      </c>
      <c r="J116" s="65" t="s">
        <v>879</v>
      </c>
      <c r="K116" s="65"/>
      <c r="L116" s="65"/>
      <c r="M116" s="65"/>
      <c r="N116" s="65"/>
      <c r="O116" s="65" t="s">
        <v>878</v>
      </c>
      <c r="P116" s="65"/>
      <c r="Q116" s="65">
        <v>1</v>
      </c>
      <c r="R116" s="65">
        <v>271</v>
      </c>
      <c r="S116" s="65"/>
    </row>
    <row r="117" spans="1:19" x14ac:dyDescent="0.25">
      <c r="A117" s="15">
        <v>11</v>
      </c>
      <c r="B117" s="65"/>
      <c r="C117" s="65">
        <v>2429</v>
      </c>
      <c r="D117" s="65"/>
      <c r="E117" s="65" t="s">
        <v>787</v>
      </c>
      <c r="F117" s="65">
        <v>6</v>
      </c>
      <c r="G117" s="65"/>
      <c r="H117" s="65"/>
      <c r="I117" s="65">
        <v>19.583333333333332</v>
      </c>
      <c r="J117" s="65" t="s">
        <v>879</v>
      </c>
      <c r="K117" s="65"/>
      <c r="L117" s="65"/>
      <c r="M117" s="65"/>
      <c r="N117" s="65"/>
      <c r="O117" s="65" t="s">
        <v>881</v>
      </c>
      <c r="P117" s="65"/>
      <c r="Q117" s="65">
        <v>1</v>
      </c>
      <c r="R117" s="65">
        <v>338</v>
      </c>
      <c r="S117" s="65"/>
    </row>
    <row r="118" spans="1:19" x14ac:dyDescent="0.25">
      <c r="A118" s="15">
        <v>11</v>
      </c>
      <c r="B118" s="65"/>
      <c r="C118" s="65">
        <v>2429</v>
      </c>
      <c r="D118" s="65"/>
      <c r="E118" s="65" t="s">
        <v>787</v>
      </c>
      <c r="F118" s="65">
        <v>1</v>
      </c>
      <c r="G118" s="65"/>
      <c r="H118" s="65" t="e">
        <v>#N/A</v>
      </c>
      <c r="I118" s="65"/>
      <c r="J118" s="65" t="s">
        <v>899</v>
      </c>
      <c r="K118" s="65" t="s">
        <v>900</v>
      </c>
      <c r="L118" s="65" t="s">
        <v>900</v>
      </c>
      <c r="M118" s="65" t="s">
        <v>900</v>
      </c>
      <c r="N118" s="65" t="s">
        <v>900</v>
      </c>
      <c r="O118" s="65" t="s">
        <v>898</v>
      </c>
      <c r="P118" s="65"/>
      <c r="Q118" s="65">
        <v>1</v>
      </c>
      <c r="R118" s="65">
        <v>570</v>
      </c>
      <c r="S118" s="65"/>
    </row>
    <row r="119" spans="1:19" x14ac:dyDescent="0.25">
      <c r="A119" s="15">
        <v>11</v>
      </c>
      <c r="B119" s="65"/>
      <c r="C119" s="65">
        <v>2429</v>
      </c>
      <c r="D119" s="65"/>
      <c r="E119" s="65" t="s">
        <v>787</v>
      </c>
      <c r="F119" s="65">
        <v>0</v>
      </c>
      <c r="G119" s="65"/>
      <c r="H119" s="65">
        <v>3</v>
      </c>
      <c r="I119" s="65" t="e">
        <v>#N/A</v>
      </c>
      <c r="J119" s="65" t="s">
        <v>899</v>
      </c>
      <c r="K119" s="65"/>
      <c r="L119" s="65"/>
      <c r="M119" s="65"/>
      <c r="N119" s="65"/>
      <c r="O119" s="65" t="s">
        <v>912</v>
      </c>
      <c r="P119" s="65"/>
      <c r="Q119" s="65">
        <v>1</v>
      </c>
      <c r="R119" s="65">
        <v>797</v>
      </c>
      <c r="S119" s="65"/>
    </row>
    <row r="120" spans="1:19" x14ac:dyDescent="0.25">
      <c r="A120" s="15">
        <v>11</v>
      </c>
      <c r="B120" s="65"/>
      <c r="C120" s="65">
        <v>2429</v>
      </c>
      <c r="D120" s="65"/>
      <c r="E120" s="65" t="s">
        <v>787</v>
      </c>
      <c r="F120" s="65">
        <v>3</v>
      </c>
      <c r="G120" s="65"/>
      <c r="H120" s="65">
        <v>3</v>
      </c>
      <c r="I120" s="65" t="e">
        <v>#N/A</v>
      </c>
      <c r="J120" s="65" t="s">
        <v>899</v>
      </c>
      <c r="K120" s="65"/>
      <c r="L120" s="65"/>
      <c r="M120" s="65"/>
      <c r="N120" s="65"/>
      <c r="O120" s="65" t="s">
        <v>924</v>
      </c>
      <c r="P120" s="65"/>
      <c r="Q120" s="65">
        <v>1</v>
      </c>
      <c r="R120" s="65">
        <v>1024</v>
      </c>
      <c r="S120" s="65"/>
    </row>
    <row r="121" spans="1:19" x14ac:dyDescent="0.25">
      <c r="A121" s="15">
        <v>11</v>
      </c>
      <c r="B121" s="65"/>
      <c r="C121" s="65">
        <v>2429</v>
      </c>
      <c r="D121" s="65"/>
      <c r="E121" s="65" t="s">
        <v>787</v>
      </c>
      <c r="F121" s="65">
        <v>3</v>
      </c>
      <c r="G121" s="65"/>
      <c r="H121" s="65" t="e">
        <v>#N/A</v>
      </c>
      <c r="I121" s="65"/>
      <c r="J121" s="65" t="s">
        <v>899</v>
      </c>
      <c r="K121" s="65"/>
      <c r="L121" s="65"/>
      <c r="M121" s="65"/>
      <c r="N121" s="65"/>
      <c r="O121" s="65" t="s">
        <v>936</v>
      </c>
      <c r="P121" s="65"/>
      <c r="Q121" s="65">
        <v>1</v>
      </c>
      <c r="R121" s="65">
        <v>1251</v>
      </c>
      <c r="S121" s="65"/>
    </row>
    <row r="122" spans="1:19" x14ac:dyDescent="0.25">
      <c r="A122" s="15">
        <v>11</v>
      </c>
      <c r="B122" s="65"/>
      <c r="C122" s="65">
        <v>2429</v>
      </c>
      <c r="D122" s="65"/>
      <c r="E122" s="65" t="s">
        <v>787</v>
      </c>
      <c r="F122" s="65">
        <v>5</v>
      </c>
      <c r="G122" s="65"/>
      <c r="H122" s="65" t="e">
        <v>#N/A</v>
      </c>
      <c r="I122" s="65"/>
      <c r="J122" s="65" t="s">
        <v>899</v>
      </c>
      <c r="K122" s="65"/>
      <c r="L122" s="65"/>
      <c r="M122" s="65"/>
      <c r="N122" s="65"/>
      <c r="O122" s="65" t="s">
        <v>938</v>
      </c>
      <c r="P122" s="65"/>
      <c r="Q122" s="65">
        <v>1</v>
      </c>
      <c r="R122" s="65">
        <v>1318</v>
      </c>
      <c r="S122" s="65"/>
    </row>
    <row r="123" spans="1:19" x14ac:dyDescent="0.25">
      <c r="A123" s="15">
        <v>12</v>
      </c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</row>
    <row r="124" spans="1:19" x14ac:dyDescent="0.25">
      <c r="A124" s="15">
        <v>12</v>
      </c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 t="s">
        <v>796</v>
      </c>
      <c r="P124" s="65"/>
      <c r="Q124" s="65"/>
      <c r="R124" s="65"/>
      <c r="S124" s="65"/>
    </row>
    <row r="125" spans="1:19" x14ac:dyDescent="0.25">
      <c r="A125" s="15">
        <v>12</v>
      </c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 t="s">
        <v>862</v>
      </c>
      <c r="P125" s="65"/>
      <c r="Q125" s="65"/>
      <c r="R125" s="65"/>
      <c r="S125" s="65"/>
    </row>
    <row r="126" spans="1:19" x14ac:dyDescent="0.25">
      <c r="A126" s="15">
        <v>12</v>
      </c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 t="s">
        <v>872</v>
      </c>
      <c r="P126" s="65"/>
      <c r="Q126" s="65"/>
      <c r="R126" s="65"/>
      <c r="S126" s="65"/>
    </row>
    <row r="127" spans="1:19" x14ac:dyDescent="0.25">
      <c r="A127" s="15">
        <v>12</v>
      </c>
      <c r="B127" s="65"/>
      <c r="C127" s="65" t="s">
        <v>79</v>
      </c>
      <c r="D127" s="65"/>
      <c r="E127" s="65" t="s">
        <v>787</v>
      </c>
      <c r="F127" s="65">
        <v>12</v>
      </c>
      <c r="G127" s="65"/>
      <c r="H127" s="65">
        <v>9</v>
      </c>
      <c r="I127" s="65">
        <v>10.75</v>
      </c>
      <c r="J127" s="65" t="s">
        <v>879</v>
      </c>
      <c r="K127" s="65"/>
      <c r="L127" s="65"/>
      <c r="M127" s="65"/>
      <c r="N127" s="65"/>
      <c r="O127" s="65" t="s">
        <v>878</v>
      </c>
      <c r="P127" s="65"/>
      <c r="Q127" s="65">
        <v>1</v>
      </c>
      <c r="R127" s="65">
        <v>272</v>
      </c>
      <c r="S127" s="65"/>
    </row>
    <row r="128" spans="1:19" x14ac:dyDescent="0.25">
      <c r="A128" s="15">
        <v>12</v>
      </c>
      <c r="B128" s="65"/>
      <c r="C128" s="65">
        <v>2429</v>
      </c>
      <c r="D128" s="65"/>
      <c r="E128" s="65" t="s">
        <v>787</v>
      </c>
      <c r="F128" s="65">
        <v>12</v>
      </c>
      <c r="G128" s="65"/>
      <c r="H128" s="65"/>
      <c r="I128" s="65">
        <v>21.583333333333332</v>
      </c>
      <c r="J128" s="65" t="s">
        <v>879</v>
      </c>
      <c r="K128" s="65"/>
      <c r="L128" s="65"/>
      <c r="M128" s="65"/>
      <c r="N128" s="65"/>
      <c r="O128" s="65" t="s">
        <v>881</v>
      </c>
      <c r="P128" s="65"/>
      <c r="Q128" s="65">
        <v>1</v>
      </c>
      <c r="R128" s="65">
        <v>339</v>
      </c>
      <c r="S128" s="65"/>
    </row>
    <row r="129" spans="1:19" x14ac:dyDescent="0.25">
      <c r="A129" s="15">
        <v>12</v>
      </c>
      <c r="B129" s="65"/>
      <c r="C129" s="65">
        <v>2429</v>
      </c>
      <c r="D129" s="65"/>
      <c r="E129" s="65" t="s">
        <v>787</v>
      </c>
      <c r="F129" s="65">
        <v>1</v>
      </c>
      <c r="G129" s="65"/>
      <c r="H129" s="65" t="e">
        <v>#N/A</v>
      </c>
      <c r="I129" s="65"/>
      <c r="J129" s="65" t="s">
        <v>899</v>
      </c>
      <c r="K129" s="65" t="s">
        <v>900</v>
      </c>
      <c r="L129" s="65" t="s">
        <v>900</v>
      </c>
      <c r="M129" s="65" t="s">
        <v>900</v>
      </c>
      <c r="N129" s="65" t="s">
        <v>900</v>
      </c>
      <c r="O129" s="65" t="s">
        <v>898</v>
      </c>
      <c r="P129" s="65"/>
      <c r="Q129" s="65">
        <v>1</v>
      </c>
      <c r="R129" s="65">
        <v>571</v>
      </c>
      <c r="S129" s="65"/>
    </row>
    <row r="130" spans="1:19" x14ac:dyDescent="0.25">
      <c r="A130" s="15">
        <v>12</v>
      </c>
      <c r="B130" s="65"/>
      <c r="C130" s="65">
        <v>2429</v>
      </c>
      <c r="D130" s="65"/>
      <c r="E130" s="65" t="s">
        <v>787</v>
      </c>
      <c r="F130" s="65">
        <v>0</v>
      </c>
      <c r="G130" s="65"/>
      <c r="H130" s="65">
        <v>3</v>
      </c>
      <c r="I130" s="65" t="e">
        <v>#N/A</v>
      </c>
      <c r="J130" s="65" t="s">
        <v>899</v>
      </c>
      <c r="K130" s="65"/>
      <c r="L130" s="65"/>
      <c r="M130" s="65"/>
      <c r="N130" s="65"/>
      <c r="O130" s="65" t="s">
        <v>912</v>
      </c>
      <c r="P130" s="65"/>
      <c r="Q130" s="65">
        <v>1</v>
      </c>
      <c r="R130" s="65">
        <v>798</v>
      </c>
      <c r="S130" s="65"/>
    </row>
    <row r="131" spans="1:19" x14ac:dyDescent="0.25">
      <c r="A131" s="15">
        <v>12</v>
      </c>
      <c r="B131" s="65"/>
      <c r="C131" s="65">
        <v>2429</v>
      </c>
      <c r="D131" s="65"/>
      <c r="E131" s="65" t="s">
        <v>787</v>
      </c>
      <c r="F131" s="65">
        <v>3</v>
      </c>
      <c r="G131" s="65"/>
      <c r="H131" s="65">
        <v>3</v>
      </c>
      <c r="I131" s="65" t="e">
        <v>#N/A</v>
      </c>
      <c r="J131" s="65" t="s">
        <v>899</v>
      </c>
      <c r="K131" s="65"/>
      <c r="L131" s="65"/>
      <c r="M131" s="65"/>
      <c r="N131" s="65"/>
      <c r="O131" s="65" t="s">
        <v>924</v>
      </c>
      <c r="P131" s="65"/>
      <c r="Q131" s="65">
        <v>1</v>
      </c>
      <c r="R131" s="65">
        <v>1025</v>
      </c>
      <c r="S131" s="65"/>
    </row>
    <row r="132" spans="1:19" x14ac:dyDescent="0.25">
      <c r="A132" s="15">
        <v>12</v>
      </c>
      <c r="B132" s="65"/>
      <c r="C132" s="65">
        <v>2429</v>
      </c>
      <c r="D132" s="65"/>
      <c r="E132" s="65" t="s">
        <v>787</v>
      </c>
      <c r="F132" s="65">
        <v>3</v>
      </c>
      <c r="G132" s="65"/>
      <c r="H132" s="65" t="e">
        <v>#N/A</v>
      </c>
      <c r="I132" s="65"/>
      <c r="J132" s="65" t="s">
        <v>899</v>
      </c>
      <c r="K132" s="65"/>
      <c r="L132" s="65"/>
      <c r="M132" s="65"/>
      <c r="N132" s="65"/>
      <c r="O132" s="65" t="s">
        <v>936</v>
      </c>
      <c r="P132" s="65"/>
      <c r="Q132" s="65">
        <v>1</v>
      </c>
      <c r="R132" s="65">
        <v>1252</v>
      </c>
      <c r="S132" s="65"/>
    </row>
    <row r="133" spans="1:19" x14ac:dyDescent="0.25">
      <c r="A133" s="15">
        <v>12</v>
      </c>
      <c r="B133" s="65"/>
      <c r="C133" s="65">
        <v>2429</v>
      </c>
      <c r="D133" s="65"/>
      <c r="E133" s="65" t="s">
        <v>787</v>
      </c>
      <c r="F133" s="65">
        <v>5</v>
      </c>
      <c r="G133" s="65"/>
      <c r="H133" s="65" t="e">
        <v>#N/A</v>
      </c>
      <c r="I133" s="65"/>
      <c r="J133" s="65" t="s">
        <v>899</v>
      </c>
      <c r="K133" s="65"/>
      <c r="L133" s="65"/>
      <c r="M133" s="65"/>
      <c r="N133" s="65"/>
      <c r="O133" s="65" t="s">
        <v>938</v>
      </c>
      <c r="P133" s="65"/>
      <c r="Q133" s="65">
        <v>1</v>
      </c>
      <c r="R133" s="65">
        <v>1319</v>
      </c>
      <c r="S133" s="65"/>
    </row>
    <row r="134" spans="1:19" x14ac:dyDescent="0.25">
      <c r="A134" s="15">
        <v>13</v>
      </c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</row>
    <row r="135" spans="1:19" x14ac:dyDescent="0.25">
      <c r="A135" s="15">
        <v>13</v>
      </c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 t="s">
        <v>797</v>
      </c>
      <c r="P135" s="65"/>
      <c r="Q135" s="65"/>
      <c r="R135" s="65"/>
      <c r="S135" s="65"/>
    </row>
    <row r="136" spans="1:19" x14ac:dyDescent="0.25">
      <c r="A136" s="15">
        <v>13</v>
      </c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 t="s">
        <v>862</v>
      </c>
      <c r="P136" s="65"/>
      <c r="Q136" s="65"/>
      <c r="R136" s="65"/>
      <c r="S136" s="65"/>
    </row>
    <row r="137" spans="1:19" x14ac:dyDescent="0.25">
      <c r="A137" s="15">
        <v>13</v>
      </c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 t="s">
        <v>872</v>
      </c>
      <c r="P137" s="65"/>
      <c r="Q137" s="65"/>
      <c r="R137" s="65"/>
      <c r="S137" s="65"/>
    </row>
    <row r="138" spans="1:19" x14ac:dyDescent="0.25">
      <c r="A138" s="15">
        <v>13</v>
      </c>
      <c r="B138" s="65"/>
      <c r="C138" s="65" t="s">
        <v>79</v>
      </c>
      <c r="D138" s="65"/>
      <c r="E138" s="65" t="s">
        <v>787</v>
      </c>
      <c r="F138" s="65">
        <v>12</v>
      </c>
      <c r="G138" s="65"/>
      <c r="H138" s="65">
        <v>9</v>
      </c>
      <c r="I138" s="65">
        <v>11.083333333333334</v>
      </c>
      <c r="J138" s="65" t="s">
        <v>879</v>
      </c>
      <c r="K138" s="65"/>
      <c r="L138" s="65"/>
      <c r="M138" s="65"/>
      <c r="N138" s="65"/>
      <c r="O138" s="65" t="s">
        <v>878</v>
      </c>
      <c r="P138" s="65"/>
      <c r="Q138" s="65">
        <v>1</v>
      </c>
      <c r="R138" s="65">
        <v>273</v>
      </c>
      <c r="S138" s="65"/>
    </row>
    <row r="139" spans="1:19" x14ac:dyDescent="0.25">
      <c r="A139" s="15">
        <v>13</v>
      </c>
      <c r="B139" s="65"/>
      <c r="C139" s="65">
        <v>2429</v>
      </c>
      <c r="D139" s="65"/>
      <c r="E139" s="65" t="s">
        <v>787</v>
      </c>
      <c r="F139" s="65">
        <v>12</v>
      </c>
      <c r="G139" s="65"/>
      <c r="H139" s="65"/>
      <c r="I139" s="65">
        <v>21.583333333333332</v>
      </c>
      <c r="J139" s="65" t="s">
        <v>879</v>
      </c>
      <c r="K139" s="65"/>
      <c r="L139" s="65"/>
      <c r="M139" s="65"/>
      <c r="N139" s="65"/>
      <c r="O139" s="65" t="s">
        <v>881</v>
      </c>
      <c r="P139" s="65"/>
      <c r="Q139" s="65">
        <v>1</v>
      </c>
      <c r="R139" s="65">
        <v>340</v>
      </c>
      <c r="S139" s="65"/>
    </row>
    <row r="140" spans="1:19" x14ac:dyDescent="0.25">
      <c r="A140" s="15">
        <v>13</v>
      </c>
      <c r="B140" s="65"/>
      <c r="C140" s="65">
        <v>2429</v>
      </c>
      <c r="D140" s="65"/>
      <c r="E140" s="65" t="s">
        <v>787</v>
      </c>
      <c r="F140" s="65">
        <v>1</v>
      </c>
      <c r="G140" s="65"/>
      <c r="H140" s="65" t="e">
        <v>#N/A</v>
      </c>
      <c r="I140" s="65"/>
      <c r="J140" s="65" t="s">
        <v>899</v>
      </c>
      <c r="K140" s="65" t="s">
        <v>900</v>
      </c>
      <c r="L140" s="65" t="s">
        <v>900</v>
      </c>
      <c r="M140" s="65" t="s">
        <v>900</v>
      </c>
      <c r="N140" s="65" t="s">
        <v>900</v>
      </c>
      <c r="O140" s="65" t="s">
        <v>898</v>
      </c>
      <c r="P140" s="65"/>
      <c r="Q140" s="65">
        <v>1</v>
      </c>
      <c r="R140" s="65">
        <v>572</v>
      </c>
      <c r="S140" s="65"/>
    </row>
    <row r="141" spans="1:19" x14ac:dyDescent="0.25">
      <c r="A141" s="15">
        <v>13</v>
      </c>
      <c r="B141" s="65"/>
      <c r="C141" s="65">
        <v>2429</v>
      </c>
      <c r="D141" s="65"/>
      <c r="E141" s="65" t="s">
        <v>787</v>
      </c>
      <c r="F141" s="65">
        <v>0</v>
      </c>
      <c r="G141" s="65"/>
      <c r="H141" s="65">
        <v>3</v>
      </c>
      <c r="I141" s="65" t="e">
        <v>#N/A</v>
      </c>
      <c r="J141" s="65" t="s">
        <v>899</v>
      </c>
      <c r="K141" s="65"/>
      <c r="L141" s="65"/>
      <c r="M141" s="65"/>
      <c r="N141" s="65"/>
      <c r="O141" s="65" t="s">
        <v>912</v>
      </c>
      <c r="P141" s="65"/>
      <c r="Q141" s="65">
        <v>1</v>
      </c>
      <c r="R141" s="65">
        <v>799</v>
      </c>
      <c r="S141" s="65"/>
    </row>
    <row r="142" spans="1:19" x14ac:dyDescent="0.25">
      <c r="A142" s="15">
        <v>13</v>
      </c>
      <c r="B142" s="65"/>
      <c r="C142" s="65">
        <v>2429</v>
      </c>
      <c r="D142" s="65"/>
      <c r="E142" s="65" t="s">
        <v>787</v>
      </c>
      <c r="F142" s="65">
        <v>3</v>
      </c>
      <c r="G142" s="65"/>
      <c r="H142" s="65">
        <v>3</v>
      </c>
      <c r="I142" s="65" t="e">
        <v>#N/A</v>
      </c>
      <c r="J142" s="65" t="s">
        <v>899</v>
      </c>
      <c r="K142" s="65"/>
      <c r="L142" s="65"/>
      <c r="M142" s="65"/>
      <c r="N142" s="65"/>
      <c r="O142" s="65" t="s">
        <v>924</v>
      </c>
      <c r="P142" s="65"/>
      <c r="Q142" s="65">
        <v>1</v>
      </c>
      <c r="R142" s="65">
        <v>1026</v>
      </c>
      <c r="S142" s="65"/>
    </row>
    <row r="143" spans="1:19" x14ac:dyDescent="0.25">
      <c r="A143" s="15">
        <v>13</v>
      </c>
      <c r="B143" s="65"/>
      <c r="C143" s="65">
        <v>2429</v>
      </c>
      <c r="D143" s="65"/>
      <c r="E143" s="65" t="s">
        <v>787</v>
      </c>
      <c r="F143" s="65">
        <v>3</v>
      </c>
      <c r="G143" s="65"/>
      <c r="H143" s="65" t="e">
        <v>#N/A</v>
      </c>
      <c r="I143" s="65"/>
      <c r="J143" s="65" t="s">
        <v>899</v>
      </c>
      <c r="K143" s="65"/>
      <c r="L143" s="65"/>
      <c r="M143" s="65"/>
      <c r="N143" s="65"/>
      <c r="O143" s="65" t="s">
        <v>936</v>
      </c>
      <c r="P143" s="65"/>
      <c r="Q143" s="65">
        <v>1</v>
      </c>
      <c r="R143" s="65">
        <v>1253</v>
      </c>
      <c r="S143" s="65"/>
    </row>
    <row r="144" spans="1:19" x14ac:dyDescent="0.25">
      <c r="A144" s="15">
        <v>13</v>
      </c>
      <c r="B144" s="65"/>
      <c r="C144" s="65">
        <v>2429</v>
      </c>
      <c r="D144" s="65"/>
      <c r="E144" s="65" t="s">
        <v>787</v>
      </c>
      <c r="F144" s="65">
        <v>5</v>
      </c>
      <c r="G144" s="65"/>
      <c r="H144" s="65" t="e">
        <v>#N/A</v>
      </c>
      <c r="I144" s="65"/>
      <c r="J144" s="65" t="s">
        <v>899</v>
      </c>
      <c r="K144" s="65"/>
      <c r="L144" s="65"/>
      <c r="M144" s="65"/>
      <c r="N144" s="65"/>
      <c r="O144" s="65" t="s">
        <v>938</v>
      </c>
      <c r="P144" s="65"/>
      <c r="Q144" s="65">
        <v>1</v>
      </c>
      <c r="R144" s="65">
        <v>1320</v>
      </c>
      <c r="S144" s="65"/>
    </row>
    <row r="145" spans="1:19" x14ac:dyDescent="0.25">
      <c r="A145" s="15">
        <v>14</v>
      </c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</row>
    <row r="146" spans="1:19" x14ac:dyDescent="0.25">
      <c r="A146" s="15">
        <v>14</v>
      </c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 t="s">
        <v>798</v>
      </c>
      <c r="P146" s="65"/>
      <c r="Q146" s="65"/>
      <c r="R146" s="65"/>
      <c r="S146" s="65"/>
    </row>
    <row r="147" spans="1:19" x14ac:dyDescent="0.25">
      <c r="A147" s="15">
        <v>14</v>
      </c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 t="s">
        <v>862</v>
      </c>
      <c r="P147" s="65"/>
      <c r="Q147" s="65"/>
      <c r="R147" s="65"/>
      <c r="S147" s="65"/>
    </row>
    <row r="148" spans="1:19" x14ac:dyDescent="0.25">
      <c r="A148" s="15">
        <v>14</v>
      </c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 t="s">
        <v>872</v>
      </c>
      <c r="P148" s="65"/>
      <c r="Q148" s="65"/>
      <c r="R148" s="65"/>
      <c r="S148" s="65"/>
    </row>
    <row r="149" spans="1:19" x14ac:dyDescent="0.25">
      <c r="A149" s="15">
        <v>14</v>
      </c>
      <c r="B149" s="65"/>
      <c r="C149" s="65" t="s">
        <v>79</v>
      </c>
      <c r="D149" s="65"/>
      <c r="E149" s="65" t="s">
        <v>787</v>
      </c>
      <c r="F149" s="65">
        <v>12</v>
      </c>
      <c r="G149" s="65"/>
      <c r="H149" s="65">
        <v>9</v>
      </c>
      <c r="I149" s="65">
        <v>11.083333333333334</v>
      </c>
      <c r="J149" s="65" t="s">
        <v>879</v>
      </c>
      <c r="K149" s="65"/>
      <c r="L149" s="65"/>
      <c r="M149" s="65"/>
      <c r="N149" s="65"/>
      <c r="O149" s="65" t="s">
        <v>878</v>
      </c>
      <c r="P149" s="65"/>
      <c r="Q149" s="65">
        <v>1</v>
      </c>
      <c r="R149" s="65">
        <v>274</v>
      </c>
      <c r="S149" s="65"/>
    </row>
    <row r="150" spans="1:19" x14ac:dyDescent="0.25">
      <c r="A150" s="15">
        <v>14</v>
      </c>
      <c r="B150" s="65"/>
      <c r="C150" s="65">
        <v>2429</v>
      </c>
      <c r="D150" s="65"/>
      <c r="E150" s="65" t="s">
        <v>787</v>
      </c>
      <c r="F150" s="65">
        <v>12</v>
      </c>
      <c r="G150" s="65"/>
      <c r="H150" s="65"/>
      <c r="I150" s="65">
        <v>21.583333333333332</v>
      </c>
      <c r="J150" s="65" t="s">
        <v>879</v>
      </c>
      <c r="K150" s="65"/>
      <c r="L150" s="65"/>
      <c r="M150" s="65"/>
      <c r="N150" s="65"/>
      <c r="O150" s="65" t="s">
        <v>881</v>
      </c>
      <c r="P150" s="65"/>
      <c r="Q150" s="65">
        <v>1</v>
      </c>
      <c r="R150" s="65">
        <v>341</v>
      </c>
      <c r="S150" s="65"/>
    </row>
    <row r="151" spans="1:19" x14ac:dyDescent="0.25">
      <c r="A151" s="15">
        <v>14</v>
      </c>
      <c r="B151" s="65"/>
      <c r="C151" s="65">
        <v>2429</v>
      </c>
      <c r="D151" s="65"/>
      <c r="E151" s="65" t="s">
        <v>787</v>
      </c>
      <c r="F151" s="65">
        <v>1</v>
      </c>
      <c r="G151" s="65"/>
      <c r="H151" s="65" t="e">
        <v>#N/A</v>
      </c>
      <c r="I151" s="65"/>
      <c r="J151" s="65" t="s">
        <v>899</v>
      </c>
      <c r="K151" s="65" t="s">
        <v>900</v>
      </c>
      <c r="L151" s="65" t="s">
        <v>900</v>
      </c>
      <c r="M151" s="65" t="s">
        <v>900</v>
      </c>
      <c r="N151" s="65" t="s">
        <v>900</v>
      </c>
      <c r="O151" s="65" t="s">
        <v>898</v>
      </c>
      <c r="P151" s="65"/>
      <c r="Q151" s="65">
        <v>1</v>
      </c>
      <c r="R151" s="65">
        <v>573</v>
      </c>
      <c r="S151" s="65"/>
    </row>
    <row r="152" spans="1:19" x14ac:dyDescent="0.25">
      <c r="A152" s="15">
        <v>14</v>
      </c>
      <c r="B152" s="65"/>
      <c r="C152" s="65">
        <v>2429</v>
      </c>
      <c r="D152" s="65"/>
      <c r="E152" s="65" t="s">
        <v>787</v>
      </c>
      <c r="F152" s="65">
        <v>0</v>
      </c>
      <c r="G152" s="65"/>
      <c r="H152" s="65">
        <v>3</v>
      </c>
      <c r="I152" s="65" t="e">
        <v>#N/A</v>
      </c>
      <c r="J152" s="65" t="s">
        <v>899</v>
      </c>
      <c r="K152" s="65"/>
      <c r="L152" s="65"/>
      <c r="M152" s="65"/>
      <c r="N152" s="65"/>
      <c r="O152" s="65" t="s">
        <v>912</v>
      </c>
      <c r="P152" s="65"/>
      <c r="Q152" s="65">
        <v>1</v>
      </c>
      <c r="R152" s="65">
        <v>800</v>
      </c>
      <c r="S152" s="65"/>
    </row>
    <row r="153" spans="1:19" x14ac:dyDescent="0.25">
      <c r="A153" s="15">
        <v>14</v>
      </c>
      <c r="B153" s="65"/>
      <c r="C153" s="65">
        <v>2429</v>
      </c>
      <c r="D153" s="65"/>
      <c r="E153" s="65" t="s">
        <v>787</v>
      </c>
      <c r="F153" s="65">
        <v>3</v>
      </c>
      <c r="G153" s="65"/>
      <c r="H153" s="65">
        <v>3</v>
      </c>
      <c r="I153" s="65" t="e">
        <v>#N/A</v>
      </c>
      <c r="J153" s="65" t="s">
        <v>899</v>
      </c>
      <c r="K153" s="65"/>
      <c r="L153" s="65"/>
      <c r="M153" s="65"/>
      <c r="N153" s="65"/>
      <c r="O153" s="65" t="s">
        <v>924</v>
      </c>
      <c r="P153" s="65"/>
      <c r="Q153" s="65">
        <v>1</v>
      </c>
      <c r="R153" s="65">
        <v>1027</v>
      </c>
      <c r="S153" s="65"/>
    </row>
    <row r="154" spans="1:19" x14ac:dyDescent="0.25">
      <c r="A154" s="15">
        <v>14</v>
      </c>
      <c r="B154" s="65"/>
      <c r="C154" s="65">
        <v>2429</v>
      </c>
      <c r="D154" s="65"/>
      <c r="E154" s="65" t="s">
        <v>787</v>
      </c>
      <c r="F154" s="65">
        <v>3</v>
      </c>
      <c r="G154" s="65"/>
      <c r="H154" s="65" t="e">
        <v>#N/A</v>
      </c>
      <c r="I154" s="65"/>
      <c r="J154" s="65" t="s">
        <v>899</v>
      </c>
      <c r="K154" s="65"/>
      <c r="L154" s="65"/>
      <c r="M154" s="65"/>
      <c r="N154" s="65"/>
      <c r="O154" s="65" t="s">
        <v>936</v>
      </c>
      <c r="P154" s="65"/>
      <c r="Q154" s="65">
        <v>1</v>
      </c>
      <c r="R154" s="65">
        <v>1254</v>
      </c>
      <c r="S154" s="65"/>
    </row>
    <row r="155" spans="1:19" x14ac:dyDescent="0.25">
      <c r="A155" s="15">
        <v>14</v>
      </c>
      <c r="B155" s="65"/>
      <c r="C155" s="65">
        <v>2429</v>
      </c>
      <c r="D155" s="65"/>
      <c r="E155" s="65" t="s">
        <v>787</v>
      </c>
      <c r="F155" s="65">
        <v>5</v>
      </c>
      <c r="G155" s="65"/>
      <c r="H155" s="65" t="e">
        <v>#N/A</v>
      </c>
      <c r="I155" s="65"/>
      <c r="J155" s="65" t="s">
        <v>899</v>
      </c>
      <c r="K155" s="65"/>
      <c r="L155" s="65"/>
      <c r="M155" s="65"/>
      <c r="N155" s="65"/>
      <c r="O155" s="65" t="s">
        <v>938</v>
      </c>
      <c r="P155" s="65"/>
      <c r="Q155" s="65">
        <v>1</v>
      </c>
      <c r="R155" s="65">
        <v>1321</v>
      </c>
      <c r="S155" s="65"/>
    </row>
    <row r="156" spans="1:19" x14ac:dyDescent="0.25">
      <c r="A156" s="15">
        <v>15</v>
      </c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</row>
    <row r="157" spans="1:19" x14ac:dyDescent="0.25">
      <c r="A157" s="15">
        <v>15</v>
      </c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 t="s">
        <v>799</v>
      </c>
      <c r="P157" s="65"/>
      <c r="Q157" s="65"/>
      <c r="R157" s="65"/>
      <c r="S157" s="65"/>
    </row>
    <row r="158" spans="1:19" x14ac:dyDescent="0.25">
      <c r="A158" s="15">
        <v>15</v>
      </c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 t="s">
        <v>862</v>
      </c>
      <c r="P158" s="65"/>
      <c r="Q158" s="65"/>
      <c r="R158" s="65"/>
      <c r="S158" s="65"/>
    </row>
    <row r="159" spans="1:19" x14ac:dyDescent="0.25">
      <c r="A159" s="15">
        <v>15</v>
      </c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 t="s">
        <v>872</v>
      </c>
      <c r="P159" s="65"/>
      <c r="Q159" s="65"/>
      <c r="R159" s="65"/>
      <c r="S159" s="65"/>
    </row>
    <row r="160" spans="1:19" x14ac:dyDescent="0.25">
      <c r="A160" s="15">
        <v>15</v>
      </c>
      <c r="B160" s="65"/>
      <c r="C160" s="65" t="s">
        <v>79</v>
      </c>
      <c r="D160" s="65"/>
      <c r="E160" s="65" t="s">
        <v>787</v>
      </c>
      <c r="F160" s="65">
        <v>16</v>
      </c>
      <c r="G160" s="65"/>
      <c r="H160" s="65">
        <v>11</v>
      </c>
      <c r="I160" s="65">
        <v>13.333333333333334</v>
      </c>
      <c r="J160" s="65" t="s">
        <v>879</v>
      </c>
      <c r="K160" s="65"/>
      <c r="L160" s="65"/>
      <c r="M160" s="65"/>
      <c r="N160" s="65"/>
      <c r="O160" s="65" t="s">
        <v>878</v>
      </c>
      <c r="P160" s="65"/>
      <c r="Q160" s="65">
        <v>1</v>
      </c>
      <c r="R160" s="65">
        <v>275</v>
      </c>
      <c r="S160" s="65"/>
    </row>
    <row r="161" spans="1:19" x14ac:dyDescent="0.25">
      <c r="A161" s="15">
        <v>15</v>
      </c>
      <c r="B161" s="65"/>
      <c r="C161" s="65">
        <v>2429</v>
      </c>
      <c r="D161" s="65"/>
      <c r="E161" s="65" t="s">
        <v>787</v>
      </c>
      <c r="F161" s="65">
        <v>16</v>
      </c>
      <c r="G161" s="65"/>
      <c r="H161" s="65"/>
      <c r="I161" s="65">
        <v>21.583333333333332</v>
      </c>
      <c r="J161" s="65" t="s">
        <v>879</v>
      </c>
      <c r="K161" s="65"/>
      <c r="L161" s="65"/>
      <c r="M161" s="65"/>
      <c r="N161" s="65"/>
      <c r="O161" s="65" t="s">
        <v>881</v>
      </c>
      <c r="P161" s="65"/>
      <c r="Q161" s="65">
        <v>1</v>
      </c>
      <c r="R161" s="65">
        <v>342</v>
      </c>
      <c r="S161" s="65"/>
    </row>
    <row r="162" spans="1:19" x14ac:dyDescent="0.25">
      <c r="A162" s="15">
        <v>15</v>
      </c>
      <c r="B162" s="65"/>
      <c r="C162" s="65">
        <v>2429</v>
      </c>
      <c r="D162" s="65"/>
      <c r="E162" s="65" t="s">
        <v>787</v>
      </c>
      <c r="F162" s="65">
        <v>1</v>
      </c>
      <c r="G162" s="65"/>
      <c r="H162" s="65" t="e">
        <v>#N/A</v>
      </c>
      <c r="I162" s="65"/>
      <c r="J162" s="65" t="s">
        <v>899</v>
      </c>
      <c r="K162" s="65" t="s">
        <v>900</v>
      </c>
      <c r="L162" s="65" t="s">
        <v>900</v>
      </c>
      <c r="M162" s="65" t="s">
        <v>900</v>
      </c>
      <c r="N162" s="65" t="s">
        <v>900</v>
      </c>
      <c r="O162" s="65" t="s">
        <v>898</v>
      </c>
      <c r="P162" s="65"/>
      <c r="Q162" s="65">
        <v>1</v>
      </c>
      <c r="R162" s="65">
        <v>574</v>
      </c>
      <c r="S162" s="65"/>
    </row>
    <row r="163" spans="1:19" x14ac:dyDescent="0.25">
      <c r="A163" s="15">
        <v>15</v>
      </c>
      <c r="B163" s="65"/>
      <c r="C163" s="65">
        <v>2429</v>
      </c>
      <c r="D163" s="65"/>
      <c r="E163" s="65" t="s">
        <v>787</v>
      </c>
      <c r="F163" s="65">
        <v>0</v>
      </c>
      <c r="G163" s="65"/>
      <c r="H163" s="65">
        <v>4</v>
      </c>
      <c r="I163" s="65" t="e">
        <v>#N/A</v>
      </c>
      <c r="J163" s="65" t="s">
        <v>899</v>
      </c>
      <c r="K163" s="65"/>
      <c r="L163" s="65"/>
      <c r="M163" s="65"/>
      <c r="N163" s="65"/>
      <c r="O163" s="65" t="s">
        <v>912</v>
      </c>
      <c r="P163" s="65"/>
      <c r="Q163" s="65">
        <v>1</v>
      </c>
      <c r="R163" s="65">
        <v>801</v>
      </c>
      <c r="S163" s="65"/>
    </row>
    <row r="164" spans="1:19" x14ac:dyDescent="0.25">
      <c r="A164" s="15">
        <v>15</v>
      </c>
      <c r="B164" s="65"/>
      <c r="C164" s="65">
        <v>2429</v>
      </c>
      <c r="D164" s="65"/>
      <c r="E164" s="65" t="s">
        <v>787</v>
      </c>
      <c r="F164" s="65">
        <v>3</v>
      </c>
      <c r="G164" s="65"/>
      <c r="H164" s="65">
        <v>4</v>
      </c>
      <c r="I164" s="65" t="e">
        <v>#N/A</v>
      </c>
      <c r="J164" s="65" t="s">
        <v>899</v>
      </c>
      <c r="K164" s="65"/>
      <c r="L164" s="65"/>
      <c r="M164" s="65"/>
      <c r="N164" s="65"/>
      <c r="O164" s="65" t="s">
        <v>924</v>
      </c>
      <c r="P164" s="65"/>
      <c r="Q164" s="65">
        <v>1</v>
      </c>
      <c r="R164" s="65">
        <v>1028</v>
      </c>
      <c r="S164" s="65"/>
    </row>
    <row r="165" spans="1:19" x14ac:dyDescent="0.25">
      <c r="A165" s="15">
        <v>15</v>
      </c>
      <c r="B165" s="65"/>
      <c r="C165" s="65">
        <v>2429</v>
      </c>
      <c r="D165" s="65"/>
      <c r="E165" s="65" t="s">
        <v>787</v>
      </c>
      <c r="F165" s="65">
        <v>3</v>
      </c>
      <c r="G165" s="65"/>
      <c r="H165" s="65" t="e">
        <v>#N/A</v>
      </c>
      <c r="I165" s="65"/>
      <c r="J165" s="65" t="s">
        <v>899</v>
      </c>
      <c r="K165" s="65"/>
      <c r="L165" s="65"/>
      <c r="M165" s="65"/>
      <c r="N165" s="65"/>
      <c r="O165" s="65" t="s">
        <v>936</v>
      </c>
      <c r="P165" s="65"/>
      <c r="Q165" s="65">
        <v>1</v>
      </c>
      <c r="R165" s="65">
        <v>1255</v>
      </c>
      <c r="S165" s="65"/>
    </row>
    <row r="166" spans="1:19" x14ac:dyDescent="0.25">
      <c r="A166" s="15">
        <v>15</v>
      </c>
      <c r="B166" s="65"/>
      <c r="C166" s="65">
        <v>2429</v>
      </c>
      <c r="D166" s="65"/>
      <c r="E166" s="65" t="s">
        <v>787</v>
      </c>
      <c r="F166" s="65">
        <v>5</v>
      </c>
      <c r="G166" s="65"/>
      <c r="H166" s="65" t="e">
        <v>#N/A</v>
      </c>
      <c r="I166" s="65"/>
      <c r="J166" s="65" t="s">
        <v>899</v>
      </c>
      <c r="K166" s="65"/>
      <c r="L166" s="65"/>
      <c r="M166" s="65"/>
      <c r="N166" s="65"/>
      <c r="O166" s="65" t="s">
        <v>938</v>
      </c>
      <c r="P166" s="65"/>
      <c r="Q166" s="65">
        <v>1</v>
      </c>
      <c r="R166" s="65">
        <v>1322</v>
      </c>
      <c r="S166" s="65"/>
    </row>
    <row r="167" spans="1:19" x14ac:dyDescent="0.25">
      <c r="A167" s="15">
        <v>16</v>
      </c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</row>
    <row r="168" spans="1:19" x14ac:dyDescent="0.25">
      <c r="A168" s="15">
        <v>16</v>
      </c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 t="s">
        <v>800</v>
      </c>
      <c r="P168" s="65"/>
      <c r="Q168" s="65"/>
      <c r="R168" s="65"/>
      <c r="S168" s="65"/>
    </row>
    <row r="169" spans="1:19" x14ac:dyDescent="0.25">
      <c r="A169" s="15">
        <v>16</v>
      </c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 t="s">
        <v>863</v>
      </c>
      <c r="P169" s="65"/>
      <c r="Q169" s="65"/>
      <c r="R169" s="65"/>
      <c r="S169" s="65"/>
    </row>
    <row r="170" spans="1:19" x14ac:dyDescent="0.25">
      <c r="A170" s="15">
        <v>16</v>
      </c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 t="s">
        <v>871</v>
      </c>
      <c r="P170" s="65"/>
      <c r="Q170" s="65"/>
      <c r="R170" s="65"/>
      <c r="S170" s="65"/>
    </row>
    <row r="171" spans="1:19" x14ac:dyDescent="0.25">
      <c r="A171" s="15">
        <v>16</v>
      </c>
      <c r="B171" s="65"/>
      <c r="C171" s="65" t="s">
        <v>79</v>
      </c>
      <c r="D171" s="65"/>
      <c r="E171" s="65" t="s">
        <v>787</v>
      </c>
      <c r="F171" s="65">
        <v>12</v>
      </c>
      <c r="G171" s="65"/>
      <c r="H171" s="65">
        <v>9</v>
      </c>
      <c r="I171" s="65">
        <v>10.583333333333334</v>
      </c>
      <c r="J171" s="65" t="s">
        <v>879</v>
      </c>
      <c r="K171" s="65"/>
      <c r="L171" s="65"/>
      <c r="M171" s="65"/>
      <c r="N171" s="65"/>
      <c r="O171" s="65" t="s">
        <v>878</v>
      </c>
      <c r="P171" s="65"/>
      <c r="Q171" s="65">
        <v>1</v>
      </c>
      <c r="R171" s="65">
        <v>276</v>
      </c>
      <c r="S171" s="65"/>
    </row>
    <row r="172" spans="1:19" x14ac:dyDescent="0.25">
      <c r="A172" s="15">
        <v>16</v>
      </c>
      <c r="B172" s="65"/>
      <c r="C172" s="65">
        <v>2429</v>
      </c>
      <c r="D172" s="65"/>
      <c r="E172" s="65" t="s">
        <v>787</v>
      </c>
      <c r="F172" s="65">
        <v>12</v>
      </c>
      <c r="G172" s="65"/>
      <c r="H172" s="65"/>
      <c r="I172" s="65">
        <v>19.583333333333332</v>
      </c>
      <c r="J172" s="65" t="s">
        <v>879</v>
      </c>
      <c r="K172" s="65"/>
      <c r="L172" s="65"/>
      <c r="M172" s="65"/>
      <c r="N172" s="65"/>
      <c r="O172" s="65" t="s">
        <v>881</v>
      </c>
      <c r="P172" s="65"/>
      <c r="Q172" s="65">
        <v>1</v>
      </c>
      <c r="R172" s="65">
        <v>343</v>
      </c>
      <c r="S172" s="65"/>
    </row>
    <row r="173" spans="1:19" x14ac:dyDescent="0.25">
      <c r="A173" s="15">
        <v>16</v>
      </c>
      <c r="B173" s="65"/>
      <c r="C173" s="65">
        <v>2429</v>
      </c>
      <c r="D173" s="65"/>
      <c r="E173" s="65" t="s">
        <v>787</v>
      </c>
      <c r="F173" s="65">
        <v>1</v>
      </c>
      <c r="G173" s="65"/>
      <c r="H173" s="65" t="e">
        <v>#N/A</v>
      </c>
      <c r="I173" s="65"/>
      <c r="J173" s="65" t="s">
        <v>899</v>
      </c>
      <c r="K173" s="65" t="s">
        <v>900</v>
      </c>
      <c r="L173" s="65" t="s">
        <v>900</v>
      </c>
      <c r="M173" s="65" t="s">
        <v>900</v>
      </c>
      <c r="N173" s="65" t="s">
        <v>900</v>
      </c>
      <c r="O173" s="65" t="s">
        <v>898</v>
      </c>
      <c r="P173" s="65"/>
      <c r="Q173" s="65">
        <v>1</v>
      </c>
      <c r="R173" s="65">
        <v>575</v>
      </c>
      <c r="S173" s="65"/>
    </row>
    <row r="174" spans="1:19" x14ac:dyDescent="0.25">
      <c r="A174" s="15">
        <v>16</v>
      </c>
      <c r="B174" s="65"/>
      <c r="C174" s="65">
        <v>2429</v>
      </c>
      <c r="D174" s="65"/>
      <c r="E174" s="65" t="s">
        <v>787</v>
      </c>
      <c r="F174" s="65">
        <v>0</v>
      </c>
      <c r="G174" s="65"/>
      <c r="H174" s="65">
        <v>3</v>
      </c>
      <c r="I174" s="65" t="e">
        <v>#N/A</v>
      </c>
      <c r="J174" s="65" t="s">
        <v>899</v>
      </c>
      <c r="K174" s="65"/>
      <c r="L174" s="65"/>
      <c r="M174" s="65"/>
      <c r="N174" s="65"/>
      <c r="O174" s="65" t="s">
        <v>912</v>
      </c>
      <c r="P174" s="65"/>
      <c r="Q174" s="65">
        <v>1</v>
      </c>
      <c r="R174" s="65">
        <v>802</v>
      </c>
      <c r="S174" s="65"/>
    </row>
    <row r="175" spans="1:19" x14ac:dyDescent="0.25">
      <c r="A175" s="15">
        <v>16</v>
      </c>
      <c r="B175" s="65"/>
      <c r="C175" s="65">
        <v>2429</v>
      </c>
      <c r="D175" s="65"/>
      <c r="E175" s="65" t="s">
        <v>787</v>
      </c>
      <c r="F175" s="65">
        <v>3</v>
      </c>
      <c r="G175" s="65"/>
      <c r="H175" s="65">
        <v>3</v>
      </c>
      <c r="I175" s="65" t="e">
        <v>#N/A</v>
      </c>
      <c r="J175" s="65" t="s">
        <v>899</v>
      </c>
      <c r="K175" s="65"/>
      <c r="L175" s="65"/>
      <c r="M175" s="65"/>
      <c r="N175" s="65"/>
      <c r="O175" s="65" t="s">
        <v>924</v>
      </c>
      <c r="P175" s="65"/>
      <c r="Q175" s="65">
        <v>1</v>
      </c>
      <c r="R175" s="65">
        <v>1029</v>
      </c>
      <c r="S175" s="65"/>
    </row>
    <row r="176" spans="1:19" x14ac:dyDescent="0.25">
      <c r="A176" s="15">
        <v>16</v>
      </c>
      <c r="B176" s="65"/>
      <c r="C176" s="65">
        <v>2429</v>
      </c>
      <c r="D176" s="65"/>
      <c r="E176" s="65" t="s">
        <v>787</v>
      </c>
      <c r="F176" s="65">
        <v>3</v>
      </c>
      <c r="G176" s="65"/>
      <c r="H176" s="65" t="e">
        <v>#N/A</v>
      </c>
      <c r="I176" s="65"/>
      <c r="J176" s="65" t="s">
        <v>899</v>
      </c>
      <c r="K176" s="65"/>
      <c r="L176" s="65"/>
      <c r="M176" s="65"/>
      <c r="N176" s="65"/>
      <c r="O176" s="65" t="s">
        <v>936</v>
      </c>
      <c r="P176" s="65"/>
      <c r="Q176" s="65">
        <v>1</v>
      </c>
      <c r="R176" s="65">
        <v>1256</v>
      </c>
      <c r="S176" s="65"/>
    </row>
    <row r="177" spans="1:19" x14ac:dyDescent="0.25">
      <c r="A177" s="15">
        <v>16</v>
      </c>
      <c r="B177" s="65"/>
      <c r="C177" s="65">
        <v>2429</v>
      </c>
      <c r="D177" s="65"/>
      <c r="E177" s="65" t="s">
        <v>787</v>
      </c>
      <c r="F177" s="65">
        <v>5</v>
      </c>
      <c r="G177" s="65"/>
      <c r="H177" s="65" t="e">
        <v>#N/A</v>
      </c>
      <c r="I177" s="65"/>
      <c r="J177" s="65" t="s">
        <v>899</v>
      </c>
      <c r="K177" s="65"/>
      <c r="L177" s="65"/>
      <c r="M177" s="65"/>
      <c r="N177" s="65"/>
      <c r="O177" s="65" t="s">
        <v>938</v>
      </c>
      <c r="P177" s="65"/>
      <c r="Q177" s="65">
        <v>1</v>
      </c>
      <c r="R177" s="65">
        <v>1323</v>
      </c>
      <c r="S177" s="65"/>
    </row>
    <row r="178" spans="1:19" x14ac:dyDescent="0.25">
      <c r="A178" s="15">
        <v>17</v>
      </c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</row>
    <row r="179" spans="1:19" x14ac:dyDescent="0.25">
      <c r="A179" s="15">
        <v>17</v>
      </c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 t="s">
        <v>801</v>
      </c>
      <c r="P179" s="65"/>
      <c r="Q179" s="65"/>
      <c r="R179" s="65"/>
      <c r="S179" s="65"/>
    </row>
    <row r="180" spans="1:19" x14ac:dyDescent="0.25">
      <c r="A180" s="15">
        <v>17</v>
      </c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 t="s">
        <v>863</v>
      </c>
      <c r="P180" s="65"/>
      <c r="Q180" s="65"/>
      <c r="R180" s="65"/>
      <c r="S180" s="65"/>
    </row>
    <row r="181" spans="1:19" x14ac:dyDescent="0.25">
      <c r="A181" s="15">
        <v>17</v>
      </c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 t="s">
        <v>873</v>
      </c>
      <c r="P181" s="65"/>
      <c r="Q181" s="65"/>
      <c r="R181" s="65"/>
      <c r="S181" s="65"/>
    </row>
    <row r="182" spans="1:19" x14ac:dyDescent="0.25">
      <c r="A182" s="15">
        <v>17</v>
      </c>
      <c r="B182" s="65"/>
      <c r="C182" s="65" t="s">
        <v>79</v>
      </c>
      <c r="D182" s="65"/>
      <c r="E182" s="65" t="s">
        <v>787</v>
      </c>
      <c r="F182" s="65">
        <v>6</v>
      </c>
      <c r="G182" s="65"/>
      <c r="H182" s="65">
        <v>7</v>
      </c>
      <c r="I182" s="65">
        <v>8.6666666666666679</v>
      </c>
      <c r="J182" s="65" t="s">
        <v>879</v>
      </c>
      <c r="K182" s="65"/>
      <c r="L182" s="65"/>
      <c r="M182" s="65"/>
      <c r="N182" s="65"/>
      <c r="O182" s="65" t="s">
        <v>878</v>
      </c>
      <c r="P182" s="65"/>
      <c r="Q182" s="65">
        <v>1</v>
      </c>
      <c r="R182" s="65">
        <v>277</v>
      </c>
      <c r="S182" s="65"/>
    </row>
    <row r="183" spans="1:19" x14ac:dyDescent="0.25">
      <c r="A183" s="15">
        <v>17</v>
      </c>
      <c r="B183" s="65"/>
      <c r="C183" s="65">
        <v>2429</v>
      </c>
      <c r="D183" s="65"/>
      <c r="E183" s="65" t="s">
        <v>787</v>
      </c>
      <c r="F183" s="65">
        <v>6</v>
      </c>
      <c r="G183" s="65"/>
      <c r="H183" s="65"/>
      <c r="I183" s="65">
        <v>12.25</v>
      </c>
      <c r="J183" s="65" t="s">
        <v>879</v>
      </c>
      <c r="K183" s="65"/>
      <c r="L183" s="65"/>
      <c r="M183" s="65"/>
      <c r="N183" s="65"/>
      <c r="O183" s="65" t="s">
        <v>881</v>
      </c>
      <c r="P183" s="65"/>
      <c r="Q183" s="65">
        <v>1</v>
      </c>
      <c r="R183" s="65">
        <v>344</v>
      </c>
      <c r="S183" s="65"/>
    </row>
    <row r="184" spans="1:19" x14ac:dyDescent="0.25">
      <c r="A184" s="15">
        <v>17</v>
      </c>
      <c r="B184" s="65"/>
      <c r="C184" s="65">
        <v>2429</v>
      </c>
      <c r="D184" s="65"/>
      <c r="E184" s="65" t="s">
        <v>787</v>
      </c>
      <c r="F184" s="65">
        <v>1</v>
      </c>
      <c r="G184" s="65"/>
      <c r="H184" s="65" t="e">
        <v>#N/A</v>
      </c>
      <c r="I184" s="65"/>
      <c r="J184" s="65" t="s">
        <v>899</v>
      </c>
      <c r="K184" s="65" t="s">
        <v>900</v>
      </c>
      <c r="L184" s="65" t="s">
        <v>900</v>
      </c>
      <c r="M184" s="65" t="s">
        <v>900</v>
      </c>
      <c r="N184" s="65" t="s">
        <v>900</v>
      </c>
      <c r="O184" s="65" t="s">
        <v>898</v>
      </c>
      <c r="P184" s="65"/>
      <c r="Q184" s="65">
        <v>1</v>
      </c>
      <c r="R184" s="65">
        <v>576</v>
      </c>
      <c r="S184" s="65"/>
    </row>
    <row r="185" spans="1:19" x14ac:dyDescent="0.25">
      <c r="A185" s="15">
        <v>17</v>
      </c>
      <c r="B185" s="65"/>
      <c r="C185" s="65">
        <v>2429</v>
      </c>
      <c r="D185" s="65"/>
      <c r="E185" s="65" t="s">
        <v>787</v>
      </c>
      <c r="F185" s="65">
        <v>0</v>
      </c>
      <c r="G185" s="65"/>
      <c r="H185" s="65">
        <v>3</v>
      </c>
      <c r="I185" s="65" t="e">
        <v>#N/A</v>
      </c>
      <c r="J185" s="65" t="s">
        <v>899</v>
      </c>
      <c r="K185" s="65"/>
      <c r="L185" s="65"/>
      <c r="M185" s="65"/>
      <c r="N185" s="65"/>
      <c r="O185" s="65" t="s">
        <v>912</v>
      </c>
      <c r="P185" s="65"/>
      <c r="Q185" s="65">
        <v>1</v>
      </c>
      <c r="R185" s="65">
        <v>803</v>
      </c>
      <c r="S185" s="65"/>
    </row>
    <row r="186" spans="1:19" x14ac:dyDescent="0.25">
      <c r="A186" s="15">
        <v>17</v>
      </c>
      <c r="B186" s="65"/>
      <c r="C186" s="65">
        <v>2429</v>
      </c>
      <c r="D186" s="65"/>
      <c r="E186" s="65" t="s">
        <v>787</v>
      </c>
      <c r="F186" s="65">
        <v>3</v>
      </c>
      <c r="G186" s="65"/>
      <c r="H186" s="65">
        <v>3</v>
      </c>
      <c r="I186" s="65" t="e">
        <v>#N/A</v>
      </c>
      <c r="J186" s="65" t="s">
        <v>899</v>
      </c>
      <c r="K186" s="65"/>
      <c r="L186" s="65"/>
      <c r="M186" s="65"/>
      <c r="N186" s="65"/>
      <c r="O186" s="65" t="s">
        <v>924</v>
      </c>
      <c r="P186" s="65"/>
      <c r="Q186" s="65">
        <v>1</v>
      </c>
      <c r="R186" s="65">
        <v>1030</v>
      </c>
      <c r="S186" s="65"/>
    </row>
    <row r="187" spans="1:19" x14ac:dyDescent="0.25">
      <c r="A187" s="15">
        <v>17</v>
      </c>
      <c r="B187" s="65"/>
      <c r="C187" s="65">
        <v>2429</v>
      </c>
      <c r="D187" s="65"/>
      <c r="E187" s="65" t="s">
        <v>787</v>
      </c>
      <c r="F187" s="65">
        <v>3</v>
      </c>
      <c r="G187" s="65"/>
      <c r="H187" s="65" t="e">
        <v>#N/A</v>
      </c>
      <c r="I187" s="65"/>
      <c r="J187" s="65" t="s">
        <v>899</v>
      </c>
      <c r="K187" s="65"/>
      <c r="L187" s="65"/>
      <c r="M187" s="65"/>
      <c r="N187" s="65"/>
      <c r="O187" s="65" t="s">
        <v>936</v>
      </c>
      <c r="P187" s="65"/>
      <c r="Q187" s="65">
        <v>1</v>
      </c>
      <c r="R187" s="65">
        <v>1257</v>
      </c>
      <c r="S187" s="65"/>
    </row>
    <row r="188" spans="1:19" x14ac:dyDescent="0.25">
      <c r="A188" s="15">
        <v>17</v>
      </c>
      <c r="B188" s="65"/>
      <c r="C188" s="65">
        <v>2429</v>
      </c>
      <c r="D188" s="65"/>
      <c r="E188" s="65" t="s">
        <v>787</v>
      </c>
      <c r="F188" s="65">
        <v>5</v>
      </c>
      <c r="G188" s="65"/>
      <c r="H188" s="65" t="e">
        <v>#N/A</v>
      </c>
      <c r="I188" s="65"/>
      <c r="J188" s="65" t="s">
        <v>899</v>
      </c>
      <c r="K188" s="65"/>
      <c r="L188" s="65"/>
      <c r="M188" s="65"/>
      <c r="N188" s="65"/>
      <c r="O188" s="65" t="s">
        <v>938</v>
      </c>
      <c r="P188" s="65"/>
      <c r="Q188" s="65">
        <v>1</v>
      </c>
      <c r="R188" s="65">
        <v>1324</v>
      </c>
      <c r="S188" s="65"/>
    </row>
    <row r="189" spans="1:19" x14ac:dyDescent="0.25">
      <c r="A189" s="15">
        <v>18</v>
      </c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</row>
    <row r="190" spans="1:19" x14ac:dyDescent="0.25">
      <c r="A190" s="15">
        <v>18</v>
      </c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 t="s">
        <v>802</v>
      </c>
      <c r="P190" s="65"/>
      <c r="Q190" s="65"/>
      <c r="R190" s="65"/>
      <c r="S190" s="65"/>
    </row>
    <row r="191" spans="1:19" x14ac:dyDescent="0.25">
      <c r="A191" s="15">
        <v>18</v>
      </c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 t="s">
        <v>863</v>
      </c>
      <c r="P191" s="65"/>
      <c r="Q191" s="65"/>
      <c r="R191" s="65"/>
      <c r="S191" s="65"/>
    </row>
    <row r="192" spans="1:19" x14ac:dyDescent="0.25">
      <c r="A192" s="15">
        <v>18</v>
      </c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 t="s">
        <v>871</v>
      </c>
      <c r="P192" s="65"/>
      <c r="Q192" s="65"/>
      <c r="R192" s="65"/>
      <c r="S192" s="65"/>
    </row>
    <row r="193" spans="1:19" x14ac:dyDescent="0.25">
      <c r="A193" s="15">
        <v>18</v>
      </c>
      <c r="B193" s="65"/>
      <c r="C193" s="65" t="s">
        <v>79</v>
      </c>
      <c r="D193" s="65"/>
      <c r="E193" s="65" t="s">
        <v>787</v>
      </c>
      <c r="F193" s="65">
        <v>12</v>
      </c>
      <c r="G193" s="65"/>
      <c r="H193" s="65">
        <v>9</v>
      </c>
      <c r="I193" s="65">
        <v>9.0833333333333339</v>
      </c>
      <c r="J193" s="65" t="s">
        <v>879</v>
      </c>
      <c r="K193" s="65"/>
      <c r="L193" s="65"/>
      <c r="M193" s="65"/>
      <c r="N193" s="65"/>
      <c r="O193" s="65" t="s">
        <v>878</v>
      </c>
      <c r="P193" s="65"/>
      <c r="Q193" s="65">
        <v>1</v>
      </c>
      <c r="R193" s="65">
        <v>278</v>
      </c>
      <c r="S193" s="65"/>
    </row>
    <row r="194" spans="1:19" x14ac:dyDescent="0.25">
      <c r="A194" s="15">
        <v>18</v>
      </c>
      <c r="B194" s="65"/>
      <c r="C194" s="65">
        <v>2429</v>
      </c>
      <c r="D194" s="65"/>
      <c r="E194" s="65" t="s">
        <v>787</v>
      </c>
      <c r="F194" s="65">
        <v>12</v>
      </c>
      <c r="G194" s="65"/>
      <c r="H194" s="65"/>
      <c r="I194" s="65">
        <v>19.583333333333332</v>
      </c>
      <c r="J194" s="65" t="s">
        <v>879</v>
      </c>
      <c r="K194" s="65"/>
      <c r="L194" s="65"/>
      <c r="M194" s="65"/>
      <c r="N194" s="65"/>
      <c r="O194" s="65" t="s">
        <v>881</v>
      </c>
      <c r="P194" s="65"/>
      <c r="Q194" s="65">
        <v>1</v>
      </c>
      <c r="R194" s="65">
        <v>345</v>
      </c>
      <c r="S194" s="65"/>
    </row>
    <row r="195" spans="1:19" x14ac:dyDescent="0.25">
      <c r="A195" s="15">
        <v>18</v>
      </c>
      <c r="B195" s="65"/>
      <c r="C195" s="65">
        <v>2429</v>
      </c>
      <c r="D195" s="65"/>
      <c r="E195" s="65" t="s">
        <v>787</v>
      </c>
      <c r="F195" s="65">
        <v>1</v>
      </c>
      <c r="G195" s="65"/>
      <c r="H195" s="65" t="e">
        <v>#N/A</v>
      </c>
      <c r="I195" s="65"/>
      <c r="J195" s="65" t="s">
        <v>899</v>
      </c>
      <c r="K195" s="65" t="s">
        <v>900</v>
      </c>
      <c r="L195" s="65" t="s">
        <v>900</v>
      </c>
      <c r="M195" s="65" t="s">
        <v>900</v>
      </c>
      <c r="N195" s="65" t="s">
        <v>900</v>
      </c>
      <c r="O195" s="65" t="s">
        <v>898</v>
      </c>
      <c r="P195" s="65"/>
      <c r="Q195" s="65">
        <v>1</v>
      </c>
      <c r="R195" s="65">
        <v>577</v>
      </c>
      <c r="S195" s="65"/>
    </row>
    <row r="196" spans="1:19" x14ac:dyDescent="0.25">
      <c r="A196" s="15">
        <v>18</v>
      </c>
      <c r="B196" s="65"/>
      <c r="C196" s="65">
        <v>2429</v>
      </c>
      <c r="D196" s="65"/>
      <c r="E196" s="65" t="s">
        <v>787</v>
      </c>
      <c r="F196" s="65">
        <v>0</v>
      </c>
      <c r="G196" s="65"/>
      <c r="H196" s="65">
        <v>3</v>
      </c>
      <c r="I196" s="65" t="e">
        <v>#N/A</v>
      </c>
      <c r="J196" s="65" t="s">
        <v>899</v>
      </c>
      <c r="K196" s="65"/>
      <c r="L196" s="65"/>
      <c r="M196" s="65"/>
      <c r="N196" s="65"/>
      <c r="O196" s="65" t="s">
        <v>912</v>
      </c>
      <c r="P196" s="65"/>
      <c r="Q196" s="65">
        <v>1</v>
      </c>
      <c r="R196" s="65">
        <v>804</v>
      </c>
      <c r="S196" s="65"/>
    </row>
    <row r="197" spans="1:19" x14ac:dyDescent="0.25">
      <c r="A197" s="15">
        <v>18</v>
      </c>
      <c r="B197" s="65"/>
      <c r="C197" s="65">
        <v>2429</v>
      </c>
      <c r="D197" s="65"/>
      <c r="E197" s="65" t="s">
        <v>787</v>
      </c>
      <c r="F197" s="65">
        <v>3</v>
      </c>
      <c r="G197" s="65"/>
      <c r="H197" s="65">
        <v>3</v>
      </c>
      <c r="I197" s="65" t="e">
        <v>#N/A</v>
      </c>
      <c r="J197" s="65" t="s">
        <v>899</v>
      </c>
      <c r="K197" s="65"/>
      <c r="L197" s="65"/>
      <c r="M197" s="65"/>
      <c r="N197" s="65"/>
      <c r="O197" s="65" t="s">
        <v>924</v>
      </c>
      <c r="P197" s="65"/>
      <c r="Q197" s="65">
        <v>1</v>
      </c>
      <c r="R197" s="65">
        <v>1031</v>
      </c>
      <c r="S197" s="65"/>
    </row>
    <row r="198" spans="1:19" x14ac:dyDescent="0.25">
      <c r="A198" s="15">
        <v>18</v>
      </c>
      <c r="B198" s="65"/>
      <c r="C198" s="65">
        <v>2429</v>
      </c>
      <c r="D198" s="65"/>
      <c r="E198" s="65" t="s">
        <v>787</v>
      </c>
      <c r="F198" s="65">
        <v>3</v>
      </c>
      <c r="G198" s="65"/>
      <c r="H198" s="65" t="e">
        <v>#N/A</v>
      </c>
      <c r="I198" s="65"/>
      <c r="J198" s="65" t="s">
        <v>899</v>
      </c>
      <c r="K198" s="65"/>
      <c r="L198" s="65"/>
      <c r="M198" s="65"/>
      <c r="N198" s="65"/>
      <c r="O198" s="65" t="s">
        <v>936</v>
      </c>
      <c r="P198" s="65"/>
      <c r="Q198" s="65">
        <v>1</v>
      </c>
      <c r="R198" s="65">
        <v>1258</v>
      </c>
      <c r="S198" s="65"/>
    </row>
    <row r="199" spans="1:19" x14ac:dyDescent="0.25">
      <c r="A199" s="15">
        <v>18</v>
      </c>
      <c r="B199" s="65"/>
      <c r="C199" s="65">
        <v>2429</v>
      </c>
      <c r="D199" s="65"/>
      <c r="E199" s="65" t="s">
        <v>787</v>
      </c>
      <c r="F199" s="65">
        <v>5</v>
      </c>
      <c r="G199" s="65"/>
      <c r="H199" s="65" t="e">
        <v>#N/A</v>
      </c>
      <c r="I199" s="65"/>
      <c r="J199" s="65" t="s">
        <v>899</v>
      </c>
      <c r="K199" s="65"/>
      <c r="L199" s="65"/>
      <c r="M199" s="65"/>
      <c r="N199" s="65"/>
      <c r="O199" s="65" t="s">
        <v>938</v>
      </c>
      <c r="P199" s="65"/>
      <c r="Q199" s="65">
        <v>1</v>
      </c>
      <c r="R199" s="65">
        <v>1325</v>
      </c>
      <c r="S199" s="65"/>
    </row>
    <row r="200" spans="1:19" x14ac:dyDescent="0.25">
      <c r="A200" s="15">
        <v>19</v>
      </c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25">
      <c r="A201" s="15">
        <v>19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 t="s">
        <v>803</v>
      </c>
      <c r="P201" s="65"/>
      <c r="Q201" s="65"/>
      <c r="R201" s="65"/>
      <c r="S201" s="65"/>
    </row>
    <row r="202" spans="1:19" x14ac:dyDescent="0.25">
      <c r="A202" s="15">
        <v>19</v>
      </c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 t="s">
        <v>862</v>
      </c>
      <c r="P202" s="65"/>
      <c r="Q202" s="65"/>
      <c r="R202" s="65"/>
      <c r="S202" s="65"/>
    </row>
    <row r="203" spans="1:19" x14ac:dyDescent="0.25">
      <c r="A203" s="15">
        <v>19</v>
      </c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 t="s">
        <v>872</v>
      </c>
      <c r="P203" s="65"/>
      <c r="Q203" s="65"/>
      <c r="R203" s="65"/>
      <c r="S203" s="65"/>
    </row>
    <row r="204" spans="1:19" x14ac:dyDescent="0.25">
      <c r="A204" s="15">
        <v>19</v>
      </c>
      <c r="B204" s="65"/>
      <c r="C204" s="65" t="s">
        <v>79</v>
      </c>
      <c r="D204" s="65"/>
      <c r="E204" s="65" t="s">
        <v>787</v>
      </c>
      <c r="F204" s="65">
        <v>12</v>
      </c>
      <c r="G204" s="65"/>
      <c r="H204" s="65">
        <v>9</v>
      </c>
      <c r="I204" s="65">
        <v>10.083333333333334</v>
      </c>
      <c r="J204" s="65" t="s">
        <v>879</v>
      </c>
      <c r="K204" s="65"/>
      <c r="L204" s="65"/>
      <c r="M204" s="65"/>
      <c r="N204" s="65"/>
      <c r="O204" s="65" t="s">
        <v>878</v>
      </c>
      <c r="P204" s="65"/>
      <c r="Q204" s="65">
        <v>1</v>
      </c>
      <c r="R204" s="65">
        <v>279</v>
      </c>
      <c r="S204" s="65"/>
    </row>
    <row r="205" spans="1:19" x14ac:dyDescent="0.25">
      <c r="A205" s="15">
        <v>19</v>
      </c>
      <c r="B205" s="65"/>
      <c r="C205" s="65">
        <v>2429</v>
      </c>
      <c r="D205" s="65"/>
      <c r="E205" s="65" t="s">
        <v>787</v>
      </c>
      <c r="F205" s="65">
        <v>12</v>
      </c>
      <c r="G205" s="65"/>
      <c r="H205" s="65"/>
      <c r="I205" s="65">
        <v>21.583333333333332</v>
      </c>
      <c r="J205" s="65" t="s">
        <v>879</v>
      </c>
      <c r="K205" s="65"/>
      <c r="L205" s="65"/>
      <c r="M205" s="65"/>
      <c r="N205" s="65"/>
      <c r="O205" s="65" t="s">
        <v>881</v>
      </c>
      <c r="P205" s="65"/>
      <c r="Q205" s="65">
        <v>1</v>
      </c>
      <c r="R205" s="65">
        <v>346</v>
      </c>
      <c r="S205" s="65"/>
    </row>
    <row r="206" spans="1:19" x14ac:dyDescent="0.25">
      <c r="A206" s="15">
        <v>19</v>
      </c>
      <c r="B206" s="65"/>
      <c r="C206" s="65">
        <v>2429</v>
      </c>
      <c r="D206" s="65"/>
      <c r="E206" s="65" t="s">
        <v>787</v>
      </c>
      <c r="F206" s="65">
        <v>1</v>
      </c>
      <c r="G206" s="65"/>
      <c r="H206" s="65" t="e">
        <v>#N/A</v>
      </c>
      <c r="I206" s="65"/>
      <c r="J206" s="65" t="s">
        <v>899</v>
      </c>
      <c r="K206" s="65" t="s">
        <v>900</v>
      </c>
      <c r="L206" s="65" t="s">
        <v>900</v>
      </c>
      <c r="M206" s="65" t="s">
        <v>900</v>
      </c>
      <c r="N206" s="65" t="s">
        <v>900</v>
      </c>
      <c r="O206" s="65" t="s">
        <v>898</v>
      </c>
      <c r="P206" s="65"/>
      <c r="Q206" s="65">
        <v>1</v>
      </c>
      <c r="R206" s="65">
        <v>578</v>
      </c>
      <c r="S206" s="65"/>
    </row>
    <row r="207" spans="1:19" x14ac:dyDescent="0.25">
      <c r="A207" s="15">
        <v>19</v>
      </c>
      <c r="B207" s="65"/>
      <c r="C207" s="65">
        <v>2429</v>
      </c>
      <c r="D207" s="65"/>
      <c r="E207" s="65" t="s">
        <v>787</v>
      </c>
      <c r="F207" s="65">
        <v>0</v>
      </c>
      <c r="G207" s="65"/>
      <c r="H207" s="65">
        <v>3</v>
      </c>
      <c r="I207" s="65" t="e">
        <v>#N/A</v>
      </c>
      <c r="J207" s="65" t="s">
        <v>899</v>
      </c>
      <c r="K207" s="65"/>
      <c r="L207" s="65"/>
      <c r="M207" s="65"/>
      <c r="N207" s="65"/>
      <c r="O207" s="65" t="s">
        <v>912</v>
      </c>
      <c r="P207" s="65"/>
      <c r="Q207" s="65">
        <v>1</v>
      </c>
      <c r="R207" s="65">
        <v>805</v>
      </c>
      <c r="S207" s="65"/>
    </row>
    <row r="208" spans="1:19" x14ac:dyDescent="0.25">
      <c r="A208" s="15">
        <v>19</v>
      </c>
      <c r="B208" s="65"/>
      <c r="C208" s="65">
        <v>2429</v>
      </c>
      <c r="D208" s="65"/>
      <c r="E208" s="65" t="s">
        <v>787</v>
      </c>
      <c r="F208" s="65">
        <v>3</v>
      </c>
      <c r="G208" s="65"/>
      <c r="H208" s="65">
        <v>3</v>
      </c>
      <c r="I208" s="65" t="e">
        <v>#N/A</v>
      </c>
      <c r="J208" s="65" t="s">
        <v>899</v>
      </c>
      <c r="K208" s="65"/>
      <c r="L208" s="65"/>
      <c r="M208" s="65"/>
      <c r="N208" s="65"/>
      <c r="O208" s="65" t="s">
        <v>924</v>
      </c>
      <c r="P208" s="65"/>
      <c r="Q208" s="65">
        <v>1</v>
      </c>
      <c r="R208" s="65">
        <v>1032</v>
      </c>
      <c r="S208" s="65"/>
    </row>
    <row r="209" spans="1:19" x14ac:dyDescent="0.25">
      <c r="A209" s="15">
        <v>19</v>
      </c>
      <c r="B209" s="65"/>
      <c r="C209" s="65">
        <v>2429</v>
      </c>
      <c r="D209" s="65"/>
      <c r="E209" s="65" t="s">
        <v>787</v>
      </c>
      <c r="F209" s="65">
        <v>3</v>
      </c>
      <c r="G209" s="65"/>
      <c r="H209" s="65" t="e">
        <v>#N/A</v>
      </c>
      <c r="I209" s="65"/>
      <c r="J209" s="65" t="s">
        <v>899</v>
      </c>
      <c r="K209" s="65"/>
      <c r="L209" s="65"/>
      <c r="M209" s="65"/>
      <c r="N209" s="65"/>
      <c r="O209" s="65" t="s">
        <v>936</v>
      </c>
      <c r="P209" s="65"/>
      <c r="Q209" s="65">
        <v>1</v>
      </c>
      <c r="R209" s="65">
        <v>1259</v>
      </c>
      <c r="S209" s="65"/>
    </row>
    <row r="210" spans="1:19" x14ac:dyDescent="0.25">
      <c r="A210" s="15">
        <v>19</v>
      </c>
      <c r="B210" s="65"/>
      <c r="C210" s="65">
        <v>2429</v>
      </c>
      <c r="D210" s="65"/>
      <c r="E210" s="65" t="s">
        <v>787</v>
      </c>
      <c r="F210" s="65">
        <v>5</v>
      </c>
      <c r="G210" s="65"/>
      <c r="H210" s="65" t="e">
        <v>#N/A</v>
      </c>
      <c r="I210" s="65"/>
      <c r="J210" s="65" t="s">
        <v>899</v>
      </c>
      <c r="K210" s="65"/>
      <c r="L210" s="65"/>
      <c r="M210" s="65"/>
      <c r="N210" s="65"/>
      <c r="O210" s="65" t="s">
        <v>938</v>
      </c>
      <c r="P210" s="65"/>
      <c r="Q210" s="65">
        <v>1</v>
      </c>
      <c r="R210" s="65">
        <v>1326</v>
      </c>
      <c r="S210" s="65"/>
    </row>
    <row r="211" spans="1:19" x14ac:dyDescent="0.25">
      <c r="A211" s="15">
        <v>20</v>
      </c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</row>
    <row r="212" spans="1:19" x14ac:dyDescent="0.25">
      <c r="A212" s="15">
        <v>20</v>
      </c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 t="s">
        <v>805</v>
      </c>
      <c r="P212" s="65"/>
      <c r="Q212" s="65"/>
      <c r="R212" s="65"/>
      <c r="S212" s="65"/>
    </row>
    <row r="213" spans="1:19" x14ac:dyDescent="0.25">
      <c r="A213" s="15">
        <v>20</v>
      </c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 t="s">
        <v>862</v>
      </c>
      <c r="P213" s="65"/>
      <c r="Q213" s="65"/>
      <c r="R213" s="65"/>
      <c r="S213" s="65"/>
    </row>
    <row r="214" spans="1:19" x14ac:dyDescent="0.25">
      <c r="A214" s="15">
        <v>20</v>
      </c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 t="s">
        <v>872</v>
      </c>
      <c r="P214" s="65"/>
      <c r="Q214" s="65"/>
      <c r="R214" s="65"/>
      <c r="S214" s="65"/>
    </row>
    <row r="215" spans="1:19" x14ac:dyDescent="0.25">
      <c r="A215" s="15">
        <v>20</v>
      </c>
      <c r="B215" s="65"/>
      <c r="C215" s="65" t="s">
        <v>79</v>
      </c>
      <c r="D215" s="65"/>
      <c r="E215" s="65" t="s">
        <v>787</v>
      </c>
      <c r="F215" s="65">
        <v>12</v>
      </c>
      <c r="G215" s="65"/>
      <c r="H215" s="65">
        <v>9</v>
      </c>
      <c r="I215" s="65">
        <v>10.083333333333334</v>
      </c>
      <c r="J215" s="65" t="s">
        <v>879</v>
      </c>
      <c r="K215" s="65"/>
      <c r="L215" s="65"/>
      <c r="M215" s="65"/>
      <c r="N215" s="65"/>
      <c r="O215" s="65" t="s">
        <v>878</v>
      </c>
      <c r="P215" s="65"/>
      <c r="Q215" s="65">
        <v>1</v>
      </c>
      <c r="R215" s="65">
        <v>281</v>
      </c>
      <c r="S215" s="65"/>
    </row>
    <row r="216" spans="1:19" x14ac:dyDescent="0.25">
      <c r="A216" s="15">
        <v>20</v>
      </c>
      <c r="B216" s="65"/>
      <c r="C216" s="65">
        <v>2429</v>
      </c>
      <c r="D216" s="65"/>
      <c r="E216" s="65" t="s">
        <v>787</v>
      </c>
      <c r="F216" s="65">
        <v>12</v>
      </c>
      <c r="G216" s="65"/>
      <c r="H216" s="65"/>
      <c r="I216" s="65">
        <v>21.583333333333332</v>
      </c>
      <c r="J216" s="65" t="s">
        <v>879</v>
      </c>
      <c r="K216" s="65"/>
      <c r="L216" s="65"/>
      <c r="M216" s="65"/>
      <c r="N216" s="65"/>
      <c r="O216" s="65" t="s">
        <v>881</v>
      </c>
      <c r="P216" s="65"/>
      <c r="Q216" s="65">
        <v>1</v>
      </c>
      <c r="R216" s="65">
        <v>348</v>
      </c>
      <c r="S216" s="65"/>
    </row>
    <row r="217" spans="1:19" x14ac:dyDescent="0.25">
      <c r="A217" s="15">
        <v>20</v>
      </c>
      <c r="B217" s="65"/>
      <c r="C217" s="65">
        <v>2429</v>
      </c>
      <c r="D217" s="65"/>
      <c r="E217" s="65" t="s">
        <v>787</v>
      </c>
      <c r="F217" s="65">
        <v>1</v>
      </c>
      <c r="G217" s="65"/>
      <c r="H217" s="65" t="e">
        <v>#N/A</v>
      </c>
      <c r="I217" s="65"/>
      <c r="J217" s="65" t="s">
        <v>899</v>
      </c>
      <c r="K217" s="65" t="s">
        <v>900</v>
      </c>
      <c r="L217" s="65" t="s">
        <v>900</v>
      </c>
      <c r="M217" s="65" t="s">
        <v>900</v>
      </c>
      <c r="N217" s="65" t="s">
        <v>900</v>
      </c>
      <c r="O217" s="65" t="s">
        <v>898</v>
      </c>
      <c r="P217" s="65"/>
      <c r="Q217" s="65">
        <v>1</v>
      </c>
      <c r="R217" s="65">
        <v>580</v>
      </c>
      <c r="S217" s="65"/>
    </row>
    <row r="218" spans="1:19" x14ac:dyDescent="0.25">
      <c r="A218" s="15">
        <v>20</v>
      </c>
      <c r="B218" s="65"/>
      <c r="C218" s="65">
        <v>2429</v>
      </c>
      <c r="D218" s="65"/>
      <c r="E218" s="65" t="s">
        <v>787</v>
      </c>
      <c r="F218" s="65">
        <v>0</v>
      </c>
      <c r="G218" s="65"/>
      <c r="H218" s="65">
        <v>3</v>
      </c>
      <c r="I218" s="65" t="e">
        <v>#N/A</v>
      </c>
      <c r="J218" s="65" t="s">
        <v>899</v>
      </c>
      <c r="K218" s="65"/>
      <c r="L218" s="65"/>
      <c r="M218" s="65"/>
      <c r="N218" s="65"/>
      <c r="O218" s="65" t="s">
        <v>912</v>
      </c>
      <c r="P218" s="65"/>
      <c r="Q218" s="65">
        <v>1</v>
      </c>
      <c r="R218" s="65">
        <v>807</v>
      </c>
      <c r="S218" s="65"/>
    </row>
    <row r="219" spans="1:19" x14ac:dyDescent="0.25">
      <c r="A219" s="15">
        <v>20</v>
      </c>
      <c r="B219" s="65"/>
      <c r="C219" s="65">
        <v>2429</v>
      </c>
      <c r="D219" s="65"/>
      <c r="E219" s="65" t="s">
        <v>787</v>
      </c>
      <c r="F219" s="65">
        <v>3</v>
      </c>
      <c r="G219" s="65"/>
      <c r="H219" s="65">
        <v>3</v>
      </c>
      <c r="I219" s="65" t="e">
        <v>#N/A</v>
      </c>
      <c r="J219" s="65" t="s">
        <v>899</v>
      </c>
      <c r="K219" s="65"/>
      <c r="L219" s="65"/>
      <c r="M219" s="65"/>
      <c r="N219" s="65"/>
      <c r="O219" s="65" t="s">
        <v>924</v>
      </c>
      <c r="P219" s="65"/>
      <c r="Q219" s="65">
        <v>1</v>
      </c>
      <c r="R219" s="65">
        <v>1034</v>
      </c>
      <c r="S219" s="65"/>
    </row>
    <row r="220" spans="1:19" x14ac:dyDescent="0.25">
      <c r="A220" s="15">
        <v>20</v>
      </c>
      <c r="B220" s="65"/>
      <c r="C220" s="65">
        <v>2429</v>
      </c>
      <c r="D220" s="65"/>
      <c r="E220" s="65" t="s">
        <v>787</v>
      </c>
      <c r="F220" s="65">
        <v>3</v>
      </c>
      <c r="G220" s="65"/>
      <c r="H220" s="65" t="e">
        <v>#N/A</v>
      </c>
      <c r="I220" s="65"/>
      <c r="J220" s="65" t="s">
        <v>899</v>
      </c>
      <c r="K220" s="65"/>
      <c r="L220" s="65"/>
      <c r="M220" s="65"/>
      <c r="N220" s="65"/>
      <c r="O220" s="65" t="s">
        <v>936</v>
      </c>
      <c r="P220" s="65"/>
      <c r="Q220" s="65">
        <v>1</v>
      </c>
      <c r="R220" s="65">
        <v>1261</v>
      </c>
      <c r="S220" s="65"/>
    </row>
    <row r="221" spans="1:19" x14ac:dyDescent="0.25">
      <c r="A221" s="15">
        <v>20</v>
      </c>
      <c r="B221" s="65"/>
      <c r="C221" s="65">
        <v>2429</v>
      </c>
      <c r="D221" s="65"/>
      <c r="E221" s="65" t="s">
        <v>787</v>
      </c>
      <c r="F221" s="65">
        <v>5</v>
      </c>
      <c r="G221" s="65"/>
      <c r="H221" s="65" t="e">
        <v>#N/A</v>
      </c>
      <c r="I221" s="65"/>
      <c r="J221" s="65" t="s">
        <v>899</v>
      </c>
      <c r="K221" s="65"/>
      <c r="L221" s="65"/>
      <c r="M221" s="65"/>
      <c r="N221" s="65"/>
      <c r="O221" s="65" t="s">
        <v>938</v>
      </c>
      <c r="P221" s="65"/>
      <c r="Q221" s="65">
        <v>1</v>
      </c>
      <c r="R221" s="65">
        <v>1328</v>
      </c>
      <c r="S221" s="65"/>
    </row>
    <row r="222" spans="1:19" x14ac:dyDescent="0.25">
      <c r="A222" s="15">
        <v>21</v>
      </c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</row>
    <row r="223" spans="1:19" x14ac:dyDescent="0.25">
      <c r="A223" s="15">
        <v>21</v>
      </c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 t="s">
        <v>806</v>
      </c>
      <c r="P223" s="65"/>
      <c r="Q223" s="65"/>
      <c r="R223" s="65"/>
      <c r="S223" s="65"/>
    </row>
    <row r="224" spans="1:19" x14ac:dyDescent="0.25">
      <c r="A224" s="15">
        <v>21</v>
      </c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 t="s">
        <v>862</v>
      </c>
      <c r="P224" s="65"/>
      <c r="Q224" s="65"/>
      <c r="R224" s="65"/>
      <c r="S224" s="65"/>
    </row>
    <row r="225" spans="1:19" x14ac:dyDescent="0.25">
      <c r="A225" s="15">
        <v>21</v>
      </c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 t="s">
        <v>872</v>
      </c>
      <c r="P225" s="65"/>
      <c r="Q225" s="65"/>
      <c r="R225" s="65"/>
      <c r="S225" s="65"/>
    </row>
    <row r="226" spans="1:19" x14ac:dyDescent="0.25">
      <c r="A226" s="15">
        <v>21</v>
      </c>
      <c r="B226" s="65"/>
      <c r="C226" s="65" t="s">
        <v>79</v>
      </c>
      <c r="D226" s="65"/>
      <c r="E226" s="65" t="s">
        <v>787</v>
      </c>
      <c r="F226" s="65">
        <v>12</v>
      </c>
      <c r="G226" s="65"/>
      <c r="H226" s="65">
        <v>9</v>
      </c>
      <c r="I226" s="65">
        <v>10.083333333333334</v>
      </c>
      <c r="J226" s="65" t="s">
        <v>879</v>
      </c>
      <c r="K226" s="65"/>
      <c r="L226" s="65"/>
      <c r="M226" s="65"/>
      <c r="N226" s="65"/>
      <c r="O226" s="65" t="s">
        <v>878</v>
      </c>
      <c r="P226" s="65"/>
      <c r="Q226" s="65">
        <v>1</v>
      </c>
      <c r="R226" s="65">
        <v>282</v>
      </c>
      <c r="S226" s="65"/>
    </row>
    <row r="227" spans="1:19" x14ac:dyDescent="0.25">
      <c r="A227" s="15">
        <v>21</v>
      </c>
      <c r="B227" s="65"/>
      <c r="C227" s="65">
        <v>2429</v>
      </c>
      <c r="D227" s="65"/>
      <c r="E227" s="65" t="s">
        <v>787</v>
      </c>
      <c r="F227" s="65">
        <v>12</v>
      </c>
      <c r="G227" s="65"/>
      <c r="H227" s="65"/>
      <c r="I227" s="65">
        <v>21.583333333333332</v>
      </c>
      <c r="J227" s="65" t="s">
        <v>879</v>
      </c>
      <c r="K227" s="65"/>
      <c r="L227" s="65"/>
      <c r="M227" s="65"/>
      <c r="N227" s="65"/>
      <c r="O227" s="65" t="s">
        <v>881</v>
      </c>
      <c r="P227" s="65"/>
      <c r="Q227" s="65">
        <v>1</v>
      </c>
      <c r="R227" s="65">
        <v>349</v>
      </c>
      <c r="S227" s="65"/>
    </row>
    <row r="228" spans="1:19" x14ac:dyDescent="0.25">
      <c r="A228" s="15">
        <v>21</v>
      </c>
      <c r="B228" s="65"/>
      <c r="C228" s="65">
        <v>2429</v>
      </c>
      <c r="D228" s="65"/>
      <c r="E228" s="65" t="s">
        <v>787</v>
      </c>
      <c r="F228" s="65">
        <v>1</v>
      </c>
      <c r="G228" s="65"/>
      <c r="H228" s="65" t="e">
        <v>#N/A</v>
      </c>
      <c r="I228" s="65"/>
      <c r="J228" s="65" t="s">
        <v>899</v>
      </c>
      <c r="K228" s="65" t="s">
        <v>900</v>
      </c>
      <c r="L228" s="65" t="s">
        <v>900</v>
      </c>
      <c r="M228" s="65" t="s">
        <v>900</v>
      </c>
      <c r="N228" s="65" t="s">
        <v>900</v>
      </c>
      <c r="O228" s="65" t="s">
        <v>898</v>
      </c>
      <c r="P228" s="65"/>
      <c r="Q228" s="65">
        <v>1</v>
      </c>
      <c r="R228" s="65">
        <v>581</v>
      </c>
      <c r="S228" s="65"/>
    </row>
    <row r="229" spans="1:19" x14ac:dyDescent="0.25">
      <c r="A229" s="15">
        <v>21</v>
      </c>
      <c r="B229" s="65"/>
      <c r="C229" s="65">
        <v>2429</v>
      </c>
      <c r="D229" s="65"/>
      <c r="E229" s="65" t="s">
        <v>787</v>
      </c>
      <c r="F229" s="65">
        <v>0</v>
      </c>
      <c r="G229" s="65"/>
      <c r="H229" s="65">
        <v>3</v>
      </c>
      <c r="I229" s="65" t="e">
        <v>#N/A</v>
      </c>
      <c r="J229" s="65" t="s">
        <v>899</v>
      </c>
      <c r="K229" s="65"/>
      <c r="L229" s="65"/>
      <c r="M229" s="65"/>
      <c r="N229" s="65"/>
      <c r="O229" s="65" t="s">
        <v>912</v>
      </c>
      <c r="P229" s="65"/>
      <c r="Q229" s="65">
        <v>1</v>
      </c>
      <c r="R229" s="65">
        <v>808</v>
      </c>
      <c r="S229" s="65"/>
    </row>
    <row r="230" spans="1:19" x14ac:dyDescent="0.25">
      <c r="A230" s="15">
        <v>21</v>
      </c>
      <c r="B230" s="65"/>
      <c r="C230" s="65">
        <v>2429</v>
      </c>
      <c r="D230" s="65"/>
      <c r="E230" s="65" t="s">
        <v>787</v>
      </c>
      <c r="F230" s="65">
        <v>3</v>
      </c>
      <c r="G230" s="65"/>
      <c r="H230" s="65">
        <v>3</v>
      </c>
      <c r="I230" s="65" t="e">
        <v>#N/A</v>
      </c>
      <c r="J230" s="65" t="s">
        <v>899</v>
      </c>
      <c r="K230" s="65"/>
      <c r="L230" s="65"/>
      <c r="M230" s="65"/>
      <c r="N230" s="65"/>
      <c r="O230" s="65" t="s">
        <v>924</v>
      </c>
      <c r="P230" s="65"/>
      <c r="Q230" s="65">
        <v>1</v>
      </c>
      <c r="R230" s="65">
        <v>1035</v>
      </c>
      <c r="S230" s="65"/>
    </row>
    <row r="231" spans="1:19" x14ac:dyDescent="0.25">
      <c r="A231" s="15">
        <v>21</v>
      </c>
      <c r="B231" s="65"/>
      <c r="C231" s="65">
        <v>2429</v>
      </c>
      <c r="D231" s="65"/>
      <c r="E231" s="65" t="s">
        <v>787</v>
      </c>
      <c r="F231" s="65">
        <v>3</v>
      </c>
      <c r="G231" s="65"/>
      <c r="H231" s="65" t="e">
        <v>#N/A</v>
      </c>
      <c r="I231" s="65"/>
      <c r="J231" s="65" t="s">
        <v>899</v>
      </c>
      <c r="K231" s="65"/>
      <c r="L231" s="65"/>
      <c r="M231" s="65"/>
      <c r="N231" s="65"/>
      <c r="O231" s="65" t="s">
        <v>936</v>
      </c>
      <c r="P231" s="65"/>
      <c r="Q231" s="65">
        <v>1</v>
      </c>
      <c r="R231" s="65">
        <v>1262</v>
      </c>
      <c r="S231" s="65"/>
    </row>
    <row r="232" spans="1:19" x14ac:dyDescent="0.25">
      <c r="A232" s="15">
        <v>21</v>
      </c>
      <c r="B232" s="65"/>
      <c r="C232" s="65">
        <v>2429</v>
      </c>
      <c r="D232" s="65"/>
      <c r="E232" s="65" t="s">
        <v>787</v>
      </c>
      <c r="F232" s="65">
        <v>5</v>
      </c>
      <c r="G232" s="65"/>
      <c r="H232" s="65" t="e">
        <v>#N/A</v>
      </c>
      <c r="I232" s="65"/>
      <c r="J232" s="65" t="s">
        <v>899</v>
      </c>
      <c r="K232" s="65"/>
      <c r="L232" s="65"/>
      <c r="M232" s="65"/>
      <c r="N232" s="65"/>
      <c r="O232" s="65" t="s">
        <v>938</v>
      </c>
      <c r="P232" s="65"/>
      <c r="Q232" s="65">
        <v>1</v>
      </c>
      <c r="R232" s="65">
        <v>1329</v>
      </c>
      <c r="S232" s="65"/>
    </row>
    <row r="233" spans="1:19" x14ac:dyDescent="0.25">
      <c r="A233" s="15">
        <v>22</v>
      </c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</row>
    <row r="234" spans="1:19" x14ac:dyDescent="0.25">
      <c r="A234" s="15">
        <v>22</v>
      </c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 t="s">
        <v>807</v>
      </c>
      <c r="P234" s="65"/>
      <c r="Q234" s="65"/>
      <c r="R234" s="65"/>
      <c r="S234" s="65"/>
    </row>
    <row r="235" spans="1:19" x14ac:dyDescent="0.25">
      <c r="A235" s="15">
        <v>22</v>
      </c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 t="s">
        <v>862</v>
      </c>
      <c r="P235" s="65"/>
      <c r="Q235" s="65"/>
      <c r="R235" s="65"/>
      <c r="S235" s="65"/>
    </row>
    <row r="236" spans="1:19" x14ac:dyDescent="0.25">
      <c r="A236" s="15">
        <v>22</v>
      </c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 t="s">
        <v>872</v>
      </c>
      <c r="P236" s="65"/>
      <c r="Q236" s="65"/>
      <c r="R236" s="65"/>
      <c r="S236" s="65"/>
    </row>
    <row r="237" spans="1:19" x14ac:dyDescent="0.25">
      <c r="A237" s="15">
        <v>22</v>
      </c>
      <c r="B237" s="65"/>
      <c r="C237" s="65" t="s">
        <v>79</v>
      </c>
      <c r="D237" s="65"/>
      <c r="E237" s="65" t="s">
        <v>787</v>
      </c>
      <c r="F237" s="65">
        <v>18</v>
      </c>
      <c r="G237" s="65"/>
      <c r="H237" s="65">
        <v>9</v>
      </c>
      <c r="I237" s="65">
        <v>10.75</v>
      </c>
      <c r="J237" s="65" t="s">
        <v>879</v>
      </c>
      <c r="K237" s="65"/>
      <c r="L237" s="65"/>
      <c r="M237" s="65"/>
      <c r="N237" s="65"/>
      <c r="O237" s="65" t="s">
        <v>878</v>
      </c>
      <c r="P237" s="65"/>
      <c r="Q237" s="65">
        <v>1</v>
      </c>
      <c r="R237" s="65">
        <v>283</v>
      </c>
      <c r="S237" s="65"/>
    </row>
    <row r="238" spans="1:19" x14ac:dyDescent="0.25">
      <c r="A238" s="15">
        <v>22</v>
      </c>
      <c r="B238" s="65"/>
      <c r="C238" s="65">
        <v>2429</v>
      </c>
      <c r="D238" s="65"/>
      <c r="E238" s="65" t="s">
        <v>787</v>
      </c>
      <c r="F238" s="65">
        <v>18</v>
      </c>
      <c r="G238" s="65"/>
      <c r="H238" s="65"/>
      <c r="I238" s="65">
        <v>21.583333333333332</v>
      </c>
      <c r="J238" s="65" t="s">
        <v>879</v>
      </c>
      <c r="K238" s="65"/>
      <c r="L238" s="65"/>
      <c r="M238" s="65"/>
      <c r="N238" s="65"/>
      <c r="O238" s="65" t="s">
        <v>881</v>
      </c>
      <c r="P238" s="65"/>
      <c r="Q238" s="65">
        <v>1</v>
      </c>
      <c r="R238" s="65">
        <v>350</v>
      </c>
      <c r="S238" s="65"/>
    </row>
    <row r="239" spans="1:19" x14ac:dyDescent="0.25">
      <c r="A239" s="15">
        <v>22</v>
      </c>
      <c r="B239" s="65"/>
      <c r="C239" s="65">
        <v>2429</v>
      </c>
      <c r="D239" s="65"/>
      <c r="E239" s="65" t="s">
        <v>787</v>
      </c>
      <c r="F239" s="65">
        <v>1</v>
      </c>
      <c r="G239" s="65"/>
      <c r="H239" s="65" t="e">
        <v>#N/A</v>
      </c>
      <c r="I239" s="65"/>
      <c r="J239" s="65" t="s">
        <v>899</v>
      </c>
      <c r="K239" s="65" t="s">
        <v>900</v>
      </c>
      <c r="L239" s="65" t="s">
        <v>900</v>
      </c>
      <c r="M239" s="65" t="s">
        <v>900</v>
      </c>
      <c r="N239" s="65" t="s">
        <v>900</v>
      </c>
      <c r="O239" s="65" t="s">
        <v>898</v>
      </c>
      <c r="P239" s="65"/>
      <c r="Q239" s="65">
        <v>1</v>
      </c>
      <c r="R239" s="65">
        <v>582</v>
      </c>
      <c r="S239" s="65"/>
    </row>
    <row r="240" spans="1:19" x14ac:dyDescent="0.25">
      <c r="A240" s="15">
        <v>22</v>
      </c>
      <c r="B240" s="65"/>
      <c r="C240" s="65">
        <v>2429</v>
      </c>
      <c r="D240" s="65"/>
      <c r="E240" s="65" t="s">
        <v>787</v>
      </c>
      <c r="F240" s="65">
        <v>0</v>
      </c>
      <c r="G240" s="65"/>
      <c r="H240" s="65">
        <v>3</v>
      </c>
      <c r="I240" s="65" t="e">
        <v>#N/A</v>
      </c>
      <c r="J240" s="65" t="s">
        <v>899</v>
      </c>
      <c r="K240" s="65"/>
      <c r="L240" s="65"/>
      <c r="M240" s="65"/>
      <c r="N240" s="65"/>
      <c r="O240" s="65" t="s">
        <v>912</v>
      </c>
      <c r="P240" s="65"/>
      <c r="Q240" s="65">
        <v>1</v>
      </c>
      <c r="R240" s="65">
        <v>809</v>
      </c>
      <c r="S240" s="65"/>
    </row>
    <row r="241" spans="1:19" x14ac:dyDescent="0.25">
      <c r="A241" s="15">
        <v>22</v>
      </c>
      <c r="B241" s="65"/>
      <c r="C241" s="65">
        <v>2429</v>
      </c>
      <c r="D241" s="65"/>
      <c r="E241" s="65" t="s">
        <v>787</v>
      </c>
      <c r="F241" s="65">
        <v>3</v>
      </c>
      <c r="G241" s="65"/>
      <c r="H241" s="65">
        <v>3</v>
      </c>
      <c r="I241" s="65" t="e">
        <v>#N/A</v>
      </c>
      <c r="J241" s="65" t="s">
        <v>899</v>
      </c>
      <c r="K241" s="65"/>
      <c r="L241" s="65"/>
      <c r="M241" s="65"/>
      <c r="N241" s="65"/>
      <c r="O241" s="65" t="s">
        <v>924</v>
      </c>
      <c r="P241" s="65"/>
      <c r="Q241" s="65">
        <v>1</v>
      </c>
      <c r="R241" s="65">
        <v>1036</v>
      </c>
      <c r="S241" s="65"/>
    </row>
    <row r="242" spans="1:19" x14ac:dyDescent="0.25">
      <c r="A242" s="15">
        <v>22</v>
      </c>
      <c r="B242" s="65"/>
      <c r="C242" s="65">
        <v>2429</v>
      </c>
      <c r="D242" s="65"/>
      <c r="E242" s="65" t="s">
        <v>787</v>
      </c>
      <c r="F242" s="65">
        <v>3</v>
      </c>
      <c r="G242" s="65"/>
      <c r="H242" s="65" t="e">
        <v>#N/A</v>
      </c>
      <c r="I242" s="65"/>
      <c r="J242" s="65" t="s">
        <v>899</v>
      </c>
      <c r="K242" s="65"/>
      <c r="L242" s="65"/>
      <c r="M242" s="65"/>
      <c r="N242" s="65"/>
      <c r="O242" s="65" t="s">
        <v>936</v>
      </c>
      <c r="P242" s="65"/>
      <c r="Q242" s="65">
        <v>1</v>
      </c>
      <c r="R242" s="65">
        <v>1263</v>
      </c>
      <c r="S242" s="65"/>
    </row>
    <row r="243" spans="1:19" x14ac:dyDescent="0.25">
      <c r="A243" s="15">
        <v>22</v>
      </c>
      <c r="B243" s="65"/>
      <c r="C243" s="65">
        <v>2429</v>
      </c>
      <c r="D243" s="65"/>
      <c r="E243" s="65" t="s">
        <v>787</v>
      </c>
      <c r="F243" s="65">
        <v>5</v>
      </c>
      <c r="G243" s="65"/>
      <c r="H243" s="65" t="e">
        <v>#N/A</v>
      </c>
      <c r="I243" s="65"/>
      <c r="J243" s="65" t="s">
        <v>899</v>
      </c>
      <c r="K243" s="65"/>
      <c r="L243" s="65"/>
      <c r="M243" s="65"/>
      <c r="N243" s="65"/>
      <c r="O243" s="65" t="s">
        <v>938</v>
      </c>
      <c r="P243" s="65"/>
      <c r="Q243" s="65">
        <v>1</v>
      </c>
      <c r="R243" s="65">
        <v>1330</v>
      </c>
      <c r="S243" s="65"/>
    </row>
    <row r="244" spans="1:19" x14ac:dyDescent="0.25">
      <c r="A244" s="15">
        <v>23</v>
      </c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</row>
    <row r="245" spans="1:19" x14ac:dyDescent="0.25">
      <c r="A245" s="15">
        <v>23</v>
      </c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 t="s">
        <v>808</v>
      </c>
      <c r="P245" s="65"/>
      <c r="Q245" s="65"/>
      <c r="R245" s="65"/>
      <c r="S245" s="65"/>
    </row>
    <row r="246" spans="1:19" x14ac:dyDescent="0.25">
      <c r="A246" s="15">
        <v>23</v>
      </c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 t="s">
        <v>863</v>
      </c>
      <c r="P246" s="65"/>
      <c r="Q246" s="65"/>
      <c r="R246" s="65"/>
      <c r="S246" s="65"/>
    </row>
    <row r="247" spans="1:19" x14ac:dyDescent="0.25">
      <c r="A247" s="15">
        <v>23</v>
      </c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 t="s">
        <v>871</v>
      </c>
      <c r="P247" s="65"/>
      <c r="Q247" s="65"/>
      <c r="R247" s="65"/>
      <c r="S247" s="65"/>
    </row>
    <row r="248" spans="1:19" x14ac:dyDescent="0.25">
      <c r="A248" s="15">
        <v>23</v>
      </c>
      <c r="B248" s="65"/>
      <c r="C248" s="65" t="s">
        <v>79</v>
      </c>
      <c r="D248" s="65"/>
      <c r="E248" s="65" t="s">
        <v>787</v>
      </c>
      <c r="F248" s="65">
        <v>6</v>
      </c>
      <c r="G248" s="65"/>
      <c r="H248" s="65">
        <v>7</v>
      </c>
      <c r="I248" s="65">
        <v>9.6666666666666679</v>
      </c>
      <c r="J248" s="65" t="s">
        <v>879</v>
      </c>
      <c r="K248" s="65"/>
      <c r="L248" s="65"/>
      <c r="M248" s="65"/>
      <c r="N248" s="65"/>
      <c r="O248" s="65" t="s">
        <v>878</v>
      </c>
      <c r="P248" s="65"/>
      <c r="Q248" s="65">
        <v>1</v>
      </c>
      <c r="R248" s="65">
        <v>284</v>
      </c>
      <c r="S248" s="65"/>
    </row>
    <row r="249" spans="1:19" x14ac:dyDescent="0.25">
      <c r="A249" s="15">
        <v>23</v>
      </c>
      <c r="B249" s="65"/>
      <c r="C249" s="65">
        <v>2429</v>
      </c>
      <c r="D249" s="65"/>
      <c r="E249" s="65" t="s">
        <v>787</v>
      </c>
      <c r="F249" s="65">
        <v>6</v>
      </c>
      <c r="G249" s="65"/>
      <c r="H249" s="65"/>
      <c r="I249" s="65">
        <v>19.583333333333332</v>
      </c>
      <c r="J249" s="65" t="s">
        <v>879</v>
      </c>
      <c r="K249" s="65"/>
      <c r="L249" s="65"/>
      <c r="M249" s="65"/>
      <c r="N249" s="65"/>
      <c r="O249" s="65" t="s">
        <v>881</v>
      </c>
      <c r="P249" s="65"/>
      <c r="Q249" s="65">
        <v>1</v>
      </c>
      <c r="R249" s="65">
        <v>351</v>
      </c>
      <c r="S249" s="65"/>
    </row>
    <row r="250" spans="1:19" x14ac:dyDescent="0.25">
      <c r="A250" s="15">
        <v>23</v>
      </c>
      <c r="B250" s="65"/>
      <c r="C250" s="65">
        <v>2429</v>
      </c>
      <c r="D250" s="65"/>
      <c r="E250" s="65" t="s">
        <v>787</v>
      </c>
      <c r="F250" s="65">
        <v>1</v>
      </c>
      <c r="G250" s="65"/>
      <c r="H250" s="65" t="e">
        <v>#N/A</v>
      </c>
      <c r="I250" s="65"/>
      <c r="J250" s="65" t="s">
        <v>899</v>
      </c>
      <c r="K250" s="65" t="s">
        <v>900</v>
      </c>
      <c r="L250" s="65" t="s">
        <v>900</v>
      </c>
      <c r="M250" s="65" t="s">
        <v>900</v>
      </c>
      <c r="N250" s="65" t="s">
        <v>900</v>
      </c>
      <c r="O250" s="65" t="s">
        <v>898</v>
      </c>
      <c r="P250" s="65"/>
      <c r="Q250" s="65">
        <v>1</v>
      </c>
      <c r="R250" s="65">
        <v>583</v>
      </c>
      <c r="S250" s="65"/>
    </row>
    <row r="251" spans="1:19" x14ac:dyDescent="0.25">
      <c r="A251" s="15">
        <v>23</v>
      </c>
      <c r="B251" s="65"/>
      <c r="C251" s="65">
        <v>2429</v>
      </c>
      <c r="D251" s="65"/>
      <c r="E251" s="65" t="s">
        <v>787</v>
      </c>
      <c r="F251" s="65">
        <v>0</v>
      </c>
      <c r="G251" s="65"/>
      <c r="H251" s="65">
        <v>3</v>
      </c>
      <c r="I251" s="65" t="e">
        <v>#N/A</v>
      </c>
      <c r="J251" s="65" t="s">
        <v>899</v>
      </c>
      <c r="K251" s="65"/>
      <c r="L251" s="65"/>
      <c r="M251" s="65"/>
      <c r="N251" s="65"/>
      <c r="O251" s="65" t="s">
        <v>912</v>
      </c>
      <c r="P251" s="65"/>
      <c r="Q251" s="65">
        <v>1</v>
      </c>
      <c r="R251" s="65">
        <v>810</v>
      </c>
      <c r="S251" s="65"/>
    </row>
    <row r="252" spans="1:19" x14ac:dyDescent="0.25">
      <c r="A252" s="15">
        <v>23</v>
      </c>
      <c r="B252" s="65"/>
      <c r="C252" s="65">
        <v>2429</v>
      </c>
      <c r="D252" s="65"/>
      <c r="E252" s="65" t="s">
        <v>787</v>
      </c>
      <c r="F252" s="65">
        <v>3</v>
      </c>
      <c r="G252" s="65"/>
      <c r="H252" s="65">
        <v>3</v>
      </c>
      <c r="I252" s="65" t="e">
        <v>#N/A</v>
      </c>
      <c r="J252" s="65" t="s">
        <v>899</v>
      </c>
      <c r="K252" s="65"/>
      <c r="L252" s="65"/>
      <c r="M252" s="65"/>
      <c r="N252" s="65"/>
      <c r="O252" s="65" t="s">
        <v>924</v>
      </c>
      <c r="P252" s="65"/>
      <c r="Q252" s="65">
        <v>1</v>
      </c>
      <c r="R252" s="65">
        <v>1037</v>
      </c>
      <c r="S252" s="65"/>
    </row>
    <row r="253" spans="1:19" x14ac:dyDescent="0.25">
      <c r="A253" s="15">
        <v>23</v>
      </c>
      <c r="B253" s="65"/>
      <c r="C253" s="65">
        <v>2429</v>
      </c>
      <c r="D253" s="65"/>
      <c r="E253" s="65" t="s">
        <v>787</v>
      </c>
      <c r="F253" s="65">
        <v>3</v>
      </c>
      <c r="G253" s="65"/>
      <c r="H253" s="65" t="e">
        <v>#N/A</v>
      </c>
      <c r="I253" s="65"/>
      <c r="J253" s="65" t="s">
        <v>899</v>
      </c>
      <c r="K253" s="65"/>
      <c r="L253" s="65"/>
      <c r="M253" s="65"/>
      <c r="N253" s="65"/>
      <c r="O253" s="65" t="s">
        <v>936</v>
      </c>
      <c r="P253" s="65"/>
      <c r="Q253" s="65">
        <v>1</v>
      </c>
      <c r="R253" s="65">
        <v>1264</v>
      </c>
      <c r="S253" s="65"/>
    </row>
    <row r="254" spans="1:19" x14ac:dyDescent="0.25">
      <c r="A254" s="15">
        <v>23</v>
      </c>
      <c r="B254" s="65"/>
      <c r="C254" s="65">
        <v>2429</v>
      </c>
      <c r="D254" s="65"/>
      <c r="E254" s="65" t="s">
        <v>787</v>
      </c>
      <c r="F254" s="65">
        <v>5</v>
      </c>
      <c r="G254" s="65"/>
      <c r="H254" s="65" t="e">
        <v>#N/A</v>
      </c>
      <c r="I254" s="65"/>
      <c r="J254" s="65" t="s">
        <v>899</v>
      </c>
      <c r="K254" s="65"/>
      <c r="L254" s="65"/>
      <c r="M254" s="65"/>
      <c r="N254" s="65"/>
      <c r="O254" s="65" t="s">
        <v>938</v>
      </c>
      <c r="P254" s="65"/>
      <c r="Q254" s="65">
        <v>1</v>
      </c>
      <c r="R254" s="65">
        <v>1331</v>
      </c>
      <c r="S254" s="65"/>
    </row>
    <row r="255" spans="1:19" x14ac:dyDescent="0.25">
      <c r="A255" s="15">
        <v>24</v>
      </c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</row>
    <row r="256" spans="1:19" x14ac:dyDescent="0.25">
      <c r="A256" s="15">
        <v>24</v>
      </c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 t="s">
        <v>809</v>
      </c>
      <c r="P256" s="65"/>
      <c r="Q256" s="65"/>
      <c r="R256" s="65"/>
      <c r="S256" s="65"/>
    </row>
    <row r="257" spans="1:19" x14ac:dyDescent="0.25">
      <c r="A257" s="15">
        <v>24</v>
      </c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 t="s">
        <v>863</v>
      </c>
      <c r="P257" s="65"/>
      <c r="Q257" s="65"/>
      <c r="R257" s="65"/>
      <c r="S257" s="65"/>
    </row>
    <row r="258" spans="1:19" x14ac:dyDescent="0.25">
      <c r="A258" s="15">
        <v>24</v>
      </c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 t="s">
        <v>873</v>
      </c>
      <c r="P258" s="65"/>
      <c r="Q258" s="65"/>
      <c r="R258" s="65"/>
      <c r="S258" s="65"/>
    </row>
    <row r="259" spans="1:19" x14ac:dyDescent="0.25">
      <c r="A259" s="15">
        <v>24</v>
      </c>
      <c r="B259" s="65"/>
      <c r="C259" s="65" t="s">
        <v>79</v>
      </c>
      <c r="D259" s="65"/>
      <c r="E259" s="65" t="s">
        <v>787</v>
      </c>
      <c r="F259" s="65">
        <v>6</v>
      </c>
      <c r="G259" s="65"/>
      <c r="H259" s="65">
        <v>7</v>
      </c>
      <c r="I259" s="65">
        <v>8.6666666666666679</v>
      </c>
      <c r="J259" s="65" t="s">
        <v>879</v>
      </c>
      <c r="K259" s="65"/>
      <c r="L259" s="65"/>
      <c r="M259" s="65"/>
      <c r="N259" s="65"/>
      <c r="O259" s="65" t="s">
        <v>878</v>
      </c>
      <c r="P259" s="65"/>
      <c r="Q259" s="65">
        <v>1</v>
      </c>
      <c r="R259" s="65">
        <v>285</v>
      </c>
      <c r="S259" s="65"/>
    </row>
    <row r="260" spans="1:19" x14ac:dyDescent="0.25">
      <c r="A260" s="15">
        <v>24</v>
      </c>
      <c r="B260" s="65"/>
      <c r="C260" s="65">
        <v>2429</v>
      </c>
      <c r="D260" s="65"/>
      <c r="E260" s="65" t="s">
        <v>787</v>
      </c>
      <c r="F260" s="65">
        <v>6</v>
      </c>
      <c r="G260" s="65"/>
      <c r="H260" s="65"/>
      <c r="I260" s="65">
        <v>12.25</v>
      </c>
      <c r="J260" s="65" t="s">
        <v>879</v>
      </c>
      <c r="K260" s="65"/>
      <c r="L260" s="65"/>
      <c r="M260" s="65"/>
      <c r="N260" s="65"/>
      <c r="O260" s="65" t="s">
        <v>881</v>
      </c>
      <c r="P260" s="65"/>
      <c r="Q260" s="65">
        <v>1</v>
      </c>
      <c r="R260" s="65">
        <v>352</v>
      </c>
      <c r="S260" s="65"/>
    </row>
    <row r="261" spans="1:19" x14ac:dyDescent="0.25">
      <c r="A261" s="15">
        <v>24</v>
      </c>
      <c r="B261" s="65"/>
      <c r="C261" s="65">
        <v>2429</v>
      </c>
      <c r="D261" s="65"/>
      <c r="E261" s="65" t="s">
        <v>787</v>
      </c>
      <c r="F261" s="65">
        <v>1</v>
      </c>
      <c r="G261" s="65"/>
      <c r="H261" s="65" t="e">
        <v>#N/A</v>
      </c>
      <c r="I261" s="65"/>
      <c r="J261" s="65" t="s">
        <v>899</v>
      </c>
      <c r="K261" s="65" t="s">
        <v>900</v>
      </c>
      <c r="L261" s="65" t="s">
        <v>900</v>
      </c>
      <c r="M261" s="65" t="s">
        <v>900</v>
      </c>
      <c r="N261" s="65" t="s">
        <v>900</v>
      </c>
      <c r="O261" s="65" t="s">
        <v>898</v>
      </c>
      <c r="P261" s="65"/>
      <c r="Q261" s="65">
        <v>1</v>
      </c>
      <c r="R261" s="65">
        <v>584</v>
      </c>
      <c r="S261" s="65"/>
    </row>
    <row r="262" spans="1:19" x14ac:dyDescent="0.25">
      <c r="A262" s="15">
        <v>24</v>
      </c>
      <c r="B262" s="65"/>
      <c r="C262" s="65">
        <v>2429</v>
      </c>
      <c r="D262" s="65"/>
      <c r="E262" s="65" t="s">
        <v>787</v>
      </c>
      <c r="F262" s="65">
        <v>0</v>
      </c>
      <c r="G262" s="65"/>
      <c r="H262" s="65">
        <v>3</v>
      </c>
      <c r="I262" s="65" t="e">
        <v>#N/A</v>
      </c>
      <c r="J262" s="65" t="s">
        <v>899</v>
      </c>
      <c r="K262" s="65"/>
      <c r="L262" s="65"/>
      <c r="M262" s="65"/>
      <c r="N262" s="65"/>
      <c r="O262" s="65" t="s">
        <v>912</v>
      </c>
      <c r="P262" s="65"/>
      <c r="Q262" s="65">
        <v>1</v>
      </c>
      <c r="R262" s="65">
        <v>811</v>
      </c>
      <c r="S262" s="65"/>
    </row>
    <row r="263" spans="1:19" x14ac:dyDescent="0.25">
      <c r="A263" s="15">
        <v>24</v>
      </c>
      <c r="B263" s="65"/>
      <c r="C263" s="65">
        <v>2429</v>
      </c>
      <c r="D263" s="65"/>
      <c r="E263" s="65" t="s">
        <v>787</v>
      </c>
      <c r="F263" s="65">
        <v>3</v>
      </c>
      <c r="G263" s="65"/>
      <c r="H263" s="65">
        <v>3</v>
      </c>
      <c r="I263" s="65" t="e">
        <v>#N/A</v>
      </c>
      <c r="J263" s="65" t="s">
        <v>899</v>
      </c>
      <c r="K263" s="65"/>
      <c r="L263" s="65"/>
      <c r="M263" s="65"/>
      <c r="N263" s="65"/>
      <c r="O263" s="65" t="s">
        <v>924</v>
      </c>
      <c r="P263" s="65"/>
      <c r="Q263" s="65">
        <v>1</v>
      </c>
      <c r="R263" s="65">
        <v>1038</v>
      </c>
      <c r="S263" s="65"/>
    </row>
    <row r="264" spans="1:19" x14ac:dyDescent="0.25">
      <c r="A264" s="15">
        <v>24</v>
      </c>
      <c r="B264" s="65"/>
      <c r="C264" s="65">
        <v>2429</v>
      </c>
      <c r="D264" s="65"/>
      <c r="E264" s="65" t="s">
        <v>787</v>
      </c>
      <c r="F264" s="65">
        <v>3</v>
      </c>
      <c r="G264" s="65"/>
      <c r="H264" s="65" t="e">
        <v>#N/A</v>
      </c>
      <c r="I264" s="65"/>
      <c r="J264" s="65" t="s">
        <v>899</v>
      </c>
      <c r="K264" s="65"/>
      <c r="L264" s="65"/>
      <c r="M264" s="65"/>
      <c r="N264" s="65"/>
      <c r="O264" s="65" t="s">
        <v>936</v>
      </c>
      <c r="P264" s="65"/>
      <c r="Q264" s="65">
        <v>1</v>
      </c>
      <c r="R264" s="65">
        <v>1265</v>
      </c>
      <c r="S264" s="65"/>
    </row>
    <row r="265" spans="1:19" x14ac:dyDescent="0.25">
      <c r="A265" s="15">
        <v>24</v>
      </c>
      <c r="B265" s="65"/>
      <c r="C265" s="65">
        <v>2429</v>
      </c>
      <c r="D265" s="65"/>
      <c r="E265" s="65" t="s">
        <v>787</v>
      </c>
      <c r="F265" s="65">
        <v>5</v>
      </c>
      <c r="G265" s="65"/>
      <c r="H265" s="65" t="e">
        <v>#N/A</v>
      </c>
      <c r="I265" s="65"/>
      <c r="J265" s="65" t="s">
        <v>899</v>
      </c>
      <c r="K265" s="65"/>
      <c r="L265" s="65"/>
      <c r="M265" s="65"/>
      <c r="N265" s="65"/>
      <c r="O265" s="65" t="s">
        <v>938</v>
      </c>
      <c r="P265" s="65"/>
      <c r="Q265" s="65">
        <v>1</v>
      </c>
      <c r="R265" s="65">
        <v>1332</v>
      </c>
      <c r="S265" s="65"/>
    </row>
    <row r="266" spans="1:19" x14ac:dyDescent="0.25">
      <c r="A266" s="15">
        <v>25</v>
      </c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</row>
    <row r="267" spans="1:19" x14ac:dyDescent="0.25">
      <c r="A267" s="15">
        <v>25</v>
      </c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 t="s">
        <v>810</v>
      </c>
      <c r="P267" s="65"/>
      <c r="Q267" s="65"/>
      <c r="R267" s="65"/>
      <c r="S267" s="65"/>
    </row>
    <row r="268" spans="1:19" x14ac:dyDescent="0.25">
      <c r="A268" s="15">
        <v>25</v>
      </c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 t="s">
        <v>863</v>
      </c>
      <c r="P268" s="65"/>
      <c r="Q268" s="65"/>
      <c r="R268" s="65"/>
      <c r="S268" s="65"/>
    </row>
    <row r="269" spans="1:19" x14ac:dyDescent="0.25">
      <c r="A269" s="15">
        <v>25</v>
      </c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 t="s">
        <v>871</v>
      </c>
      <c r="P269" s="65"/>
      <c r="Q269" s="65"/>
      <c r="R269" s="65"/>
      <c r="S269" s="65"/>
    </row>
    <row r="270" spans="1:19" x14ac:dyDescent="0.25">
      <c r="A270" s="15">
        <v>25</v>
      </c>
      <c r="B270" s="65"/>
      <c r="C270" s="65" t="s">
        <v>79</v>
      </c>
      <c r="D270" s="65"/>
      <c r="E270" s="65" t="s">
        <v>787</v>
      </c>
      <c r="F270" s="65">
        <v>6</v>
      </c>
      <c r="G270" s="65"/>
      <c r="H270" s="65">
        <v>7</v>
      </c>
      <c r="I270" s="65">
        <v>7.666666666666667</v>
      </c>
      <c r="J270" s="65" t="s">
        <v>879</v>
      </c>
      <c r="K270" s="65"/>
      <c r="L270" s="65"/>
      <c r="M270" s="65"/>
      <c r="N270" s="65"/>
      <c r="O270" s="65" t="s">
        <v>878</v>
      </c>
      <c r="P270" s="65"/>
      <c r="Q270" s="65">
        <v>1</v>
      </c>
      <c r="R270" s="65">
        <v>286</v>
      </c>
      <c r="S270" s="65"/>
    </row>
    <row r="271" spans="1:19" x14ac:dyDescent="0.25">
      <c r="A271" s="15">
        <v>25</v>
      </c>
      <c r="B271" s="65"/>
      <c r="C271" s="65">
        <v>2429</v>
      </c>
      <c r="D271" s="65"/>
      <c r="E271" s="65" t="s">
        <v>787</v>
      </c>
      <c r="F271" s="65">
        <v>6</v>
      </c>
      <c r="G271" s="65"/>
      <c r="H271" s="65"/>
      <c r="I271" s="65">
        <v>19.583333333333332</v>
      </c>
      <c r="J271" s="65" t="s">
        <v>879</v>
      </c>
      <c r="K271" s="65"/>
      <c r="L271" s="65"/>
      <c r="M271" s="65"/>
      <c r="N271" s="65"/>
      <c r="O271" s="65" t="s">
        <v>881</v>
      </c>
      <c r="P271" s="65"/>
      <c r="Q271" s="65">
        <v>1</v>
      </c>
      <c r="R271" s="65">
        <v>353</v>
      </c>
      <c r="S271" s="65"/>
    </row>
    <row r="272" spans="1:19" x14ac:dyDescent="0.25">
      <c r="A272" s="15">
        <v>25</v>
      </c>
      <c r="B272" s="65"/>
      <c r="C272" s="65">
        <v>2429</v>
      </c>
      <c r="D272" s="65"/>
      <c r="E272" s="65" t="s">
        <v>787</v>
      </c>
      <c r="F272" s="65">
        <v>1</v>
      </c>
      <c r="G272" s="65"/>
      <c r="H272" s="65" t="e">
        <v>#N/A</v>
      </c>
      <c r="I272" s="65"/>
      <c r="J272" s="65" t="s">
        <v>899</v>
      </c>
      <c r="K272" s="65" t="s">
        <v>900</v>
      </c>
      <c r="L272" s="65" t="s">
        <v>900</v>
      </c>
      <c r="M272" s="65" t="s">
        <v>900</v>
      </c>
      <c r="N272" s="65" t="s">
        <v>900</v>
      </c>
      <c r="O272" s="65" t="s">
        <v>898</v>
      </c>
      <c r="P272" s="65"/>
      <c r="Q272" s="65">
        <v>1</v>
      </c>
      <c r="R272" s="65">
        <v>585</v>
      </c>
      <c r="S272" s="65"/>
    </row>
    <row r="273" spans="1:19" x14ac:dyDescent="0.25">
      <c r="A273" s="15">
        <v>25</v>
      </c>
      <c r="B273" s="65"/>
      <c r="C273" s="65">
        <v>2429</v>
      </c>
      <c r="D273" s="65"/>
      <c r="E273" s="65" t="s">
        <v>787</v>
      </c>
      <c r="F273" s="65">
        <v>0</v>
      </c>
      <c r="G273" s="65"/>
      <c r="H273" s="65">
        <v>3</v>
      </c>
      <c r="I273" s="65" t="e">
        <v>#N/A</v>
      </c>
      <c r="J273" s="65" t="s">
        <v>899</v>
      </c>
      <c r="K273" s="65"/>
      <c r="L273" s="65"/>
      <c r="M273" s="65"/>
      <c r="N273" s="65"/>
      <c r="O273" s="65" t="s">
        <v>912</v>
      </c>
      <c r="P273" s="65"/>
      <c r="Q273" s="65">
        <v>1</v>
      </c>
      <c r="R273" s="65">
        <v>812</v>
      </c>
      <c r="S273" s="65"/>
    </row>
    <row r="274" spans="1:19" x14ac:dyDescent="0.25">
      <c r="A274" s="15">
        <v>25</v>
      </c>
      <c r="B274" s="65"/>
      <c r="C274" s="65">
        <v>2429</v>
      </c>
      <c r="D274" s="65"/>
      <c r="E274" s="65" t="s">
        <v>787</v>
      </c>
      <c r="F274" s="65">
        <v>3</v>
      </c>
      <c r="G274" s="65"/>
      <c r="H274" s="65">
        <v>3</v>
      </c>
      <c r="I274" s="65" t="e">
        <v>#N/A</v>
      </c>
      <c r="J274" s="65" t="s">
        <v>899</v>
      </c>
      <c r="K274" s="65"/>
      <c r="L274" s="65"/>
      <c r="M274" s="65"/>
      <c r="N274" s="65"/>
      <c r="O274" s="65" t="s">
        <v>924</v>
      </c>
      <c r="P274" s="65"/>
      <c r="Q274" s="65">
        <v>1</v>
      </c>
      <c r="R274" s="65">
        <v>1039</v>
      </c>
      <c r="S274" s="65"/>
    </row>
    <row r="275" spans="1:19" x14ac:dyDescent="0.25">
      <c r="A275" s="15">
        <v>25</v>
      </c>
      <c r="B275" s="65"/>
      <c r="C275" s="65">
        <v>2429</v>
      </c>
      <c r="D275" s="65"/>
      <c r="E275" s="65" t="s">
        <v>787</v>
      </c>
      <c r="F275" s="65">
        <v>3</v>
      </c>
      <c r="G275" s="65"/>
      <c r="H275" s="65" t="e">
        <v>#N/A</v>
      </c>
      <c r="I275" s="65"/>
      <c r="J275" s="65" t="s">
        <v>899</v>
      </c>
      <c r="K275" s="65"/>
      <c r="L275" s="65"/>
      <c r="M275" s="65"/>
      <c r="N275" s="65"/>
      <c r="O275" s="65" t="s">
        <v>936</v>
      </c>
      <c r="P275" s="65"/>
      <c r="Q275" s="65">
        <v>1</v>
      </c>
      <c r="R275" s="65">
        <v>1266</v>
      </c>
      <c r="S275" s="65"/>
    </row>
    <row r="276" spans="1:19" x14ac:dyDescent="0.25">
      <c r="A276" s="15">
        <v>25</v>
      </c>
      <c r="B276" s="65"/>
      <c r="C276" s="65">
        <v>2429</v>
      </c>
      <c r="D276" s="65"/>
      <c r="E276" s="65" t="s">
        <v>787</v>
      </c>
      <c r="F276" s="65">
        <v>5</v>
      </c>
      <c r="G276" s="65"/>
      <c r="H276" s="65" t="e">
        <v>#N/A</v>
      </c>
      <c r="I276" s="65"/>
      <c r="J276" s="65" t="s">
        <v>899</v>
      </c>
      <c r="K276" s="65"/>
      <c r="L276" s="65"/>
      <c r="M276" s="65"/>
      <c r="N276" s="65"/>
      <c r="O276" s="65" t="s">
        <v>938</v>
      </c>
      <c r="P276" s="65"/>
      <c r="Q276" s="65">
        <v>1</v>
      </c>
      <c r="R276" s="65">
        <v>1333</v>
      </c>
      <c r="S276" s="65"/>
    </row>
    <row r="277" spans="1:19" x14ac:dyDescent="0.25">
      <c r="A277" s="15">
        <v>26</v>
      </c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</row>
    <row r="278" spans="1:19" x14ac:dyDescent="0.25">
      <c r="A278" s="15">
        <v>26</v>
      </c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 t="s">
        <v>811</v>
      </c>
      <c r="P278" s="65"/>
      <c r="Q278" s="65"/>
      <c r="R278" s="65"/>
      <c r="S278" s="65"/>
    </row>
    <row r="279" spans="1:19" x14ac:dyDescent="0.25">
      <c r="A279" s="15">
        <v>26</v>
      </c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 t="s">
        <v>865</v>
      </c>
      <c r="P279" s="65"/>
      <c r="Q279" s="65"/>
      <c r="R279" s="65"/>
      <c r="S279" s="65"/>
    </row>
    <row r="280" spans="1:19" x14ac:dyDescent="0.25">
      <c r="A280" s="15">
        <v>26</v>
      </c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 t="s">
        <v>874</v>
      </c>
      <c r="P280" s="65"/>
      <c r="Q280" s="65"/>
      <c r="R280" s="65"/>
      <c r="S280" s="65"/>
    </row>
    <row r="281" spans="1:19" x14ac:dyDescent="0.25">
      <c r="A281" s="15">
        <v>26</v>
      </c>
      <c r="B281" s="65"/>
      <c r="C281" s="65" t="s">
        <v>79</v>
      </c>
      <c r="D281" s="65"/>
      <c r="E281" s="65" t="s">
        <v>787</v>
      </c>
      <c r="F281" s="65">
        <v>8</v>
      </c>
      <c r="G281" s="65"/>
      <c r="H281" s="65">
        <v>10</v>
      </c>
      <c r="I281" s="65">
        <v>12.75</v>
      </c>
      <c r="J281" s="65" t="s">
        <v>879</v>
      </c>
      <c r="K281" s="65"/>
      <c r="L281" s="65"/>
      <c r="M281" s="65"/>
      <c r="N281" s="65"/>
      <c r="O281" s="65" t="s">
        <v>878</v>
      </c>
      <c r="P281" s="65"/>
      <c r="Q281" s="65">
        <v>1</v>
      </c>
      <c r="R281" s="65">
        <v>287</v>
      </c>
      <c r="S281" s="65"/>
    </row>
    <row r="282" spans="1:19" x14ac:dyDescent="0.25">
      <c r="A282" s="15">
        <v>26</v>
      </c>
      <c r="B282" s="65"/>
      <c r="C282" s="65">
        <v>2429</v>
      </c>
      <c r="D282" s="65"/>
      <c r="E282" s="65" t="s">
        <v>787</v>
      </c>
      <c r="F282" s="65">
        <v>8</v>
      </c>
      <c r="G282" s="65"/>
      <c r="H282" s="65"/>
      <c r="I282" s="65">
        <v>26.666666666666668</v>
      </c>
      <c r="J282" s="65" t="s">
        <v>879</v>
      </c>
      <c r="K282" s="65"/>
      <c r="L282" s="65"/>
      <c r="M282" s="65"/>
      <c r="N282" s="65"/>
      <c r="O282" s="65" t="s">
        <v>881</v>
      </c>
      <c r="P282" s="65"/>
      <c r="Q282" s="65">
        <v>1</v>
      </c>
      <c r="R282" s="65">
        <v>354</v>
      </c>
      <c r="S282" s="65"/>
    </row>
    <row r="283" spans="1:19" x14ac:dyDescent="0.25">
      <c r="A283" s="15">
        <v>26</v>
      </c>
      <c r="B283" s="65"/>
      <c r="C283" s="65">
        <v>2429</v>
      </c>
      <c r="D283" s="65"/>
      <c r="E283" s="65" t="s">
        <v>787</v>
      </c>
      <c r="F283" s="65">
        <v>10</v>
      </c>
      <c r="G283" s="65"/>
      <c r="H283" s="65"/>
      <c r="I283" s="65">
        <v>15.666666666666666</v>
      </c>
      <c r="J283" s="65" t="s">
        <v>879</v>
      </c>
      <c r="K283" s="65"/>
      <c r="L283" s="65"/>
      <c r="M283" s="65"/>
      <c r="N283" s="65"/>
      <c r="O283" s="65" t="s">
        <v>882</v>
      </c>
      <c r="P283" s="65"/>
      <c r="Q283" s="65">
        <v>1</v>
      </c>
      <c r="R283" s="65">
        <v>355</v>
      </c>
      <c r="S283" s="65"/>
    </row>
    <row r="284" spans="1:19" x14ac:dyDescent="0.25">
      <c r="A284" s="15">
        <v>26</v>
      </c>
      <c r="B284" s="65"/>
      <c r="C284" s="65">
        <v>2429</v>
      </c>
      <c r="D284" s="65"/>
      <c r="E284" s="65" t="s">
        <v>787</v>
      </c>
      <c r="F284" s="65">
        <v>6</v>
      </c>
      <c r="G284" s="65"/>
      <c r="H284" s="65"/>
      <c r="I284" s="65">
        <v>15.666666666666666</v>
      </c>
      <c r="J284" s="65" t="s">
        <v>879</v>
      </c>
      <c r="K284" s="65"/>
      <c r="L284" s="65"/>
      <c r="M284" s="65"/>
      <c r="N284" s="65"/>
      <c r="O284" s="65" t="s">
        <v>883</v>
      </c>
      <c r="P284" s="65"/>
      <c r="Q284" s="65">
        <v>1</v>
      </c>
      <c r="R284" s="65">
        <v>356</v>
      </c>
      <c r="S284" s="65"/>
    </row>
    <row r="285" spans="1:19" x14ac:dyDescent="0.25">
      <c r="A285" s="15">
        <v>26</v>
      </c>
      <c r="B285" s="65"/>
      <c r="C285" s="65">
        <v>2429</v>
      </c>
      <c r="D285" s="65"/>
      <c r="E285" s="65" t="s">
        <v>787</v>
      </c>
      <c r="F285" s="65">
        <v>6</v>
      </c>
      <c r="G285" s="65"/>
      <c r="H285" s="65"/>
      <c r="I285" s="65">
        <v>15.666666666666666</v>
      </c>
      <c r="J285" s="65" t="s">
        <v>879</v>
      </c>
      <c r="K285" s="65"/>
      <c r="L285" s="65"/>
      <c r="M285" s="65"/>
      <c r="N285" s="65"/>
      <c r="O285" s="65" t="s">
        <v>884</v>
      </c>
      <c r="P285" s="65"/>
      <c r="Q285" s="65">
        <v>1</v>
      </c>
      <c r="R285" s="65">
        <v>357</v>
      </c>
      <c r="S285" s="65"/>
    </row>
    <row r="286" spans="1:19" x14ac:dyDescent="0.25">
      <c r="A286" s="15">
        <v>26</v>
      </c>
      <c r="B286" s="65"/>
      <c r="C286" s="65">
        <v>2429</v>
      </c>
      <c r="D286" s="65"/>
      <c r="E286" s="65" t="s">
        <v>787</v>
      </c>
      <c r="F286" s="65">
        <v>6</v>
      </c>
      <c r="G286" s="65"/>
      <c r="H286" s="65"/>
      <c r="I286" s="65">
        <v>15.666666666666666</v>
      </c>
      <c r="J286" s="65" t="s">
        <v>879</v>
      </c>
      <c r="K286" s="65"/>
      <c r="L286" s="65"/>
      <c r="M286" s="65"/>
      <c r="N286" s="65"/>
      <c r="O286" s="65" t="s">
        <v>885</v>
      </c>
      <c r="P286" s="65"/>
      <c r="Q286" s="65">
        <v>1</v>
      </c>
      <c r="R286" s="65">
        <v>358</v>
      </c>
      <c r="S286" s="65"/>
    </row>
    <row r="287" spans="1:19" x14ac:dyDescent="0.25">
      <c r="A287" s="15">
        <v>26</v>
      </c>
      <c r="B287" s="65"/>
      <c r="C287" s="65">
        <v>2429</v>
      </c>
      <c r="D287" s="65"/>
      <c r="E287" s="65" t="s">
        <v>787</v>
      </c>
      <c r="F287" s="65">
        <v>6</v>
      </c>
      <c r="G287" s="65"/>
      <c r="H287" s="65"/>
      <c r="I287" s="65">
        <v>15.666666666666666</v>
      </c>
      <c r="J287" s="65" t="s">
        <v>879</v>
      </c>
      <c r="K287" s="65"/>
      <c r="L287" s="65"/>
      <c r="M287" s="65"/>
      <c r="N287" s="65"/>
      <c r="O287" s="65" t="s">
        <v>886</v>
      </c>
      <c r="P287" s="65"/>
      <c r="Q287" s="65">
        <v>1</v>
      </c>
      <c r="R287" s="65">
        <v>359</v>
      </c>
      <c r="S287" s="65"/>
    </row>
    <row r="288" spans="1:19" x14ac:dyDescent="0.25">
      <c r="A288" s="15">
        <v>26</v>
      </c>
      <c r="B288" s="65"/>
      <c r="C288" s="65">
        <v>2429</v>
      </c>
      <c r="D288" s="65"/>
      <c r="E288" s="65" t="s">
        <v>787</v>
      </c>
      <c r="F288" s="65">
        <v>6</v>
      </c>
      <c r="G288" s="65"/>
      <c r="H288" s="65"/>
      <c r="I288" s="65">
        <v>15.666666666666666</v>
      </c>
      <c r="J288" s="65" t="s">
        <v>879</v>
      </c>
      <c r="K288" s="65"/>
      <c r="L288" s="65"/>
      <c r="M288" s="65"/>
      <c r="N288" s="65"/>
      <c r="O288" s="65" t="s">
        <v>887</v>
      </c>
      <c r="P288" s="65"/>
      <c r="Q288" s="65">
        <v>1</v>
      </c>
      <c r="R288" s="65">
        <v>360</v>
      </c>
      <c r="S288" s="65"/>
    </row>
    <row r="289" spans="1:19" x14ac:dyDescent="0.25">
      <c r="A289" s="15">
        <v>26</v>
      </c>
      <c r="B289" s="65"/>
      <c r="C289" s="65">
        <v>2429</v>
      </c>
      <c r="D289" s="65"/>
      <c r="E289" s="65" t="s">
        <v>787</v>
      </c>
      <c r="F289" s="65">
        <v>6</v>
      </c>
      <c r="G289" s="65"/>
      <c r="H289" s="65"/>
      <c r="I289" s="65">
        <v>15.666666666666666</v>
      </c>
      <c r="J289" s="65" t="s">
        <v>879</v>
      </c>
      <c r="K289" s="65"/>
      <c r="L289" s="65"/>
      <c r="M289" s="65"/>
      <c r="N289" s="65"/>
      <c r="O289" s="65" t="s">
        <v>888</v>
      </c>
      <c r="P289" s="65"/>
      <c r="Q289" s="65">
        <v>1</v>
      </c>
      <c r="R289" s="65">
        <v>361</v>
      </c>
      <c r="S289" s="65"/>
    </row>
    <row r="290" spans="1:19" x14ac:dyDescent="0.25">
      <c r="A290" s="15">
        <v>26</v>
      </c>
      <c r="B290" s="65"/>
      <c r="C290" s="65">
        <v>2429</v>
      </c>
      <c r="D290" s="65"/>
      <c r="E290" s="65" t="s">
        <v>787</v>
      </c>
      <c r="F290" s="65">
        <v>6</v>
      </c>
      <c r="G290" s="65"/>
      <c r="H290" s="65"/>
      <c r="I290" s="65">
        <v>15.666666666666666</v>
      </c>
      <c r="J290" s="65" t="s">
        <v>879</v>
      </c>
      <c r="K290" s="65"/>
      <c r="L290" s="65"/>
      <c r="M290" s="65"/>
      <c r="N290" s="65"/>
      <c r="O290" s="65" t="s">
        <v>889</v>
      </c>
      <c r="P290" s="65"/>
      <c r="Q290" s="65">
        <v>1</v>
      </c>
      <c r="R290" s="65">
        <v>362</v>
      </c>
      <c r="S290" s="65"/>
    </row>
    <row r="291" spans="1:19" x14ac:dyDescent="0.25">
      <c r="A291" s="15">
        <v>26</v>
      </c>
      <c r="B291" s="65"/>
      <c r="C291" s="65">
        <v>2429</v>
      </c>
      <c r="D291" s="65"/>
      <c r="E291" s="65" t="s">
        <v>787</v>
      </c>
      <c r="F291" s="65">
        <v>6</v>
      </c>
      <c r="G291" s="65"/>
      <c r="H291" s="65"/>
      <c r="I291" s="65">
        <v>15.666666666666666</v>
      </c>
      <c r="J291" s="65" t="s">
        <v>879</v>
      </c>
      <c r="K291" s="65"/>
      <c r="L291" s="65"/>
      <c r="M291" s="65"/>
      <c r="N291" s="65"/>
      <c r="O291" s="65" t="s">
        <v>890</v>
      </c>
      <c r="P291" s="65"/>
      <c r="Q291" s="65">
        <v>1</v>
      </c>
      <c r="R291" s="65">
        <v>363</v>
      </c>
      <c r="S291" s="65"/>
    </row>
    <row r="292" spans="1:19" x14ac:dyDescent="0.25">
      <c r="A292" s="15">
        <v>26</v>
      </c>
      <c r="B292" s="65"/>
      <c r="C292" s="65">
        <v>2429</v>
      </c>
      <c r="D292" s="65"/>
      <c r="E292" s="65" t="s">
        <v>787</v>
      </c>
      <c r="F292" s="65">
        <v>6</v>
      </c>
      <c r="G292" s="65"/>
      <c r="H292" s="65"/>
      <c r="I292" s="65">
        <v>15.666666666666666</v>
      </c>
      <c r="J292" s="65" t="s">
        <v>879</v>
      </c>
      <c r="K292" s="65"/>
      <c r="L292" s="65"/>
      <c r="M292" s="65"/>
      <c r="N292" s="65"/>
      <c r="O292" s="65" t="s">
        <v>891</v>
      </c>
      <c r="P292" s="65"/>
      <c r="Q292" s="65">
        <v>1</v>
      </c>
      <c r="R292" s="65">
        <v>364</v>
      </c>
      <c r="S292" s="65"/>
    </row>
    <row r="293" spans="1:19" x14ac:dyDescent="0.25">
      <c r="A293" s="15">
        <v>26</v>
      </c>
      <c r="B293" s="65"/>
      <c r="C293" s="65">
        <v>2429</v>
      </c>
      <c r="D293" s="65"/>
      <c r="E293" s="65" t="s">
        <v>787</v>
      </c>
      <c r="F293" s="65">
        <v>10</v>
      </c>
      <c r="G293" s="65"/>
      <c r="H293" s="65"/>
      <c r="I293" s="65">
        <v>10.583333333333334</v>
      </c>
      <c r="J293" s="65" t="s">
        <v>879</v>
      </c>
      <c r="K293" s="65"/>
      <c r="L293" s="65"/>
      <c r="M293" s="65"/>
      <c r="N293" s="65"/>
      <c r="O293" s="65" t="s">
        <v>892</v>
      </c>
      <c r="P293" s="65"/>
      <c r="Q293" s="65">
        <v>1</v>
      </c>
      <c r="R293" s="65">
        <v>365</v>
      </c>
      <c r="S293" s="65"/>
    </row>
    <row r="294" spans="1:19" x14ac:dyDescent="0.25">
      <c r="A294" s="15">
        <v>26</v>
      </c>
      <c r="B294" s="65"/>
      <c r="C294" s="65">
        <v>2429</v>
      </c>
      <c r="D294" s="65"/>
      <c r="E294" s="65" t="s">
        <v>787</v>
      </c>
      <c r="F294" s="65" t="s">
        <v>893</v>
      </c>
      <c r="G294" s="65"/>
      <c r="H294" s="65">
        <v>0</v>
      </c>
      <c r="I294" s="65">
        <v>10.833333333333332</v>
      </c>
      <c r="J294" s="65" t="s">
        <v>895</v>
      </c>
      <c r="K294" s="65"/>
      <c r="L294" s="65"/>
      <c r="M294" s="65"/>
      <c r="N294" s="65"/>
      <c r="O294" s="65" t="s">
        <v>894</v>
      </c>
      <c r="P294" s="65"/>
      <c r="Q294" s="65">
        <v>1</v>
      </c>
      <c r="R294" s="65">
        <v>563</v>
      </c>
      <c r="S294" s="65"/>
    </row>
    <row r="295" spans="1:19" x14ac:dyDescent="0.25">
      <c r="A295" s="15">
        <v>26</v>
      </c>
      <c r="B295" s="65"/>
      <c r="C295" s="65">
        <v>2429</v>
      </c>
      <c r="D295" s="65"/>
      <c r="E295" s="65" t="s">
        <v>787</v>
      </c>
      <c r="F295" s="65">
        <v>1</v>
      </c>
      <c r="G295" s="65"/>
      <c r="H295" s="65" t="e">
        <v>#N/A</v>
      </c>
      <c r="I295" s="65"/>
      <c r="J295" s="65" t="s">
        <v>899</v>
      </c>
      <c r="K295" s="65" t="s">
        <v>900</v>
      </c>
      <c r="L295" s="65" t="s">
        <v>900</v>
      </c>
      <c r="M295" s="65" t="s">
        <v>900</v>
      </c>
      <c r="N295" s="65" t="s">
        <v>900</v>
      </c>
      <c r="O295" s="65" t="s">
        <v>898</v>
      </c>
      <c r="P295" s="65"/>
      <c r="Q295" s="65">
        <v>1</v>
      </c>
      <c r="R295" s="65">
        <v>586</v>
      </c>
      <c r="S295" s="65"/>
    </row>
    <row r="296" spans="1:19" x14ac:dyDescent="0.25">
      <c r="A296" s="15">
        <v>26</v>
      </c>
      <c r="B296" s="65"/>
      <c r="C296" s="65">
        <v>2429</v>
      </c>
      <c r="D296" s="65"/>
      <c r="E296" s="65" t="s">
        <v>787</v>
      </c>
      <c r="F296" s="65">
        <v>1</v>
      </c>
      <c r="G296" s="65"/>
      <c r="H296" s="65" t="e">
        <v>#N/A</v>
      </c>
      <c r="I296" s="65"/>
      <c r="J296" s="65" t="s">
        <v>899</v>
      </c>
      <c r="K296" s="65" t="s">
        <v>900</v>
      </c>
      <c r="L296" s="65" t="s">
        <v>900</v>
      </c>
      <c r="M296" s="65" t="s">
        <v>900</v>
      </c>
      <c r="N296" s="65" t="s">
        <v>900</v>
      </c>
      <c r="O296" s="65" t="s">
        <v>901</v>
      </c>
      <c r="P296" s="65"/>
      <c r="Q296" s="65">
        <v>1</v>
      </c>
      <c r="R296" s="65">
        <v>587</v>
      </c>
      <c r="S296" s="65"/>
    </row>
    <row r="297" spans="1:19" x14ac:dyDescent="0.25">
      <c r="A297" s="15">
        <v>26</v>
      </c>
      <c r="B297" s="65"/>
      <c r="C297" s="65">
        <v>2429</v>
      </c>
      <c r="D297" s="65"/>
      <c r="E297" s="65" t="s">
        <v>787</v>
      </c>
      <c r="F297" s="65">
        <v>1</v>
      </c>
      <c r="G297" s="65"/>
      <c r="H297" s="65" t="e">
        <v>#N/A</v>
      </c>
      <c r="I297" s="65"/>
      <c r="J297" s="65" t="s">
        <v>899</v>
      </c>
      <c r="K297" s="65" t="s">
        <v>900</v>
      </c>
      <c r="L297" s="65" t="s">
        <v>900</v>
      </c>
      <c r="M297" s="65" t="s">
        <v>900</v>
      </c>
      <c r="N297" s="65" t="s">
        <v>900</v>
      </c>
      <c r="O297" s="65" t="s">
        <v>902</v>
      </c>
      <c r="P297" s="65"/>
      <c r="Q297" s="65">
        <v>1</v>
      </c>
      <c r="R297" s="65">
        <v>588</v>
      </c>
      <c r="S297" s="65"/>
    </row>
    <row r="298" spans="1:19" x14ac:dyDescent="0.25">
      <c r="A298" s="15">
        <v>26</v>
      </c>
      <c r="B298" s="65"/>
      <c r="C298" s="65">
        <v>2429</v>
      </c>
      <c r="D298" s="65"/>
      <c r="E298" s="65" t="s">
        <v>787</v>
      </c>
      <c r="F298" s="65">
        <v>1</v>
      </c>
      <c r="G298" s="65"/>
      <c r="H298" s="65" t="e">
        <v>#N/A</v>
      </c>
      <c r="I298" s="65"/>
      <c r="J298" s="65" t="s">
        <v>899</v>
      </c>
      <c r="K298" s="65" t="s">
        <v>900</v>
      </c>
      <c r="L298" s="65" t="s">
        <v>900</v>
      </c>
      <c r="M298" s="65" t="s">
        <v>900</v>
      </c>
      <c r="N298" s="65" t="s">
        <v>900</v>
      </c>
      <c r="O298" s="65" t="s">
        <v>903</v>
      </c>
      <c r="P298" s="65"/>
      <c r="Q298" s="65">
        <v>1</v>
      </c>
      <c r="R298" s="65">
        <v>589</v>
      </c>
      <c r="S298" s="65"/>
    </row>
    <row r="299" spans="1:19" x14ac:dyDescent="0.25">
      <c r="A299" s="15">
        <v>26</v>
      </c>
      <c r="B299" s="65"/>
      <c r="C299" s="65">
        <v>2429</v>
      </c>
      <c r="D299" s="65"/>
      <c r="E299" s="65" t="s">
        <v>787</v>
      </c>
      <c r="F299" s="65">
        <v>1</v>
      </c>
      <c r="G299" s="65"/>
      <c r="H299" s="65" t="e">
        <v>#N/A</v>
      </c>
      <c r="I299" s="65"/>
      <c r="J299" s="65" t="s">
        <v>899</v>
      </c>
      <c r="K299" s="65" t="s">
        <v>900</v>
      </c>
      <c r="L299" s="65" t="s">
        <v>900</v>
      </c>
      <c r="M299" s="65" t="s">
        <v>900</v>
      </c>
      <c r="N299" s="65" t="s">
        <v>900</v>
      </c>
      <c r="O299" s="65" t="s">
        <v>904</v>
      </c>
      <c r="P299" s="65"/>
      <c r="Q299" s="65">
        <v>1</v>
      </c>
      <c r="R299" s="65">
        <v>590</v>
      </c>
      <c r="S299" s="65"/>
    </row>
    <row r="300" spans="1:19" x14ac:dyDescent="0.25">
      <c r="A300" s="15">
        <v>26</v>
      </c>
      <c r="B300" s="65"/>
      <c r="C300" s="65">
        <v>2429</v>
      </c>
      <c r="D300" s="65"/>
      <c r="E300" s="65" t="s">
        <v>787</v>
      </c>
      <c r="F300" s="65">
        <v>1</v>
      </c>
      <c r="G300" s="65"/>
      <c r="H300" s="65" t="e">
        <v>#N/A</v>
      </c>
      <c r="I300" s="65"/>
      <c r="J300" s="65" t="s">
        <v>899</v>
      </c>
      <c r="K300" s="65" t="s">
        <v>900</v>
      </c>
      <c r="L300" s="65" t="s">
        <v>900</v>
      </c>
      <c r="M300" s="65" t="s">
        <v>900</v>
      </c>
      <c r="N300" s="65" t="s">
        <v>900</v>
      </c>
      <c r="O300" s="65" t="s">
        <v>905</v>
      </c>
      <c r="P300" s="65"/>
      <c r="Q300" s="65">
        <v>1</v>
      </c>
      <c r="R300" s="65">
        <v>591</v>
      </c>
      <c r="S300" s="65"/>
    </row>
    <row r="301" spans="1:19" x14ac:dyDescent="0.25">
      <c r="A301" s="15">
        <v>26</v>
      </c>
      <c r="B301" s="65"/>
      <c r="C301" s="65">
        <v>2429</v>
      </c>
      <c r="D301" s="65"/>
      <c r="E301" s="65" t="s">
        <v>787</v>
      </c>
      <c r="F301" s="65">
        <v>1</v>
      </c>
      <c r="G301" s="65"/>
      <c r="H301" s="65" t="e">
        <v>#N/A</v>
      </c>
      <c r="I301" s="65"/>
      <c r="J301" s="65" t="s">
        <v>899</v>
      </c>
      <c r="K301" s="65" t="s">
        <v>900</v>
      </c>
      <c r="L301" s="65" t="s">
        <v>900</v>
      </c>
      <c r="M301" s="65" t="s">
        <v>900</v>
      </c>
      <c r="N301" s="65" t="s">
        <v>900</v>
      </c>
      <c r="O301" s="65" t="s">
        <v>906</v>
      </c>
      <c r="P301" s="65"/>
      <c r="Q301" s="65">
        <v>1</v>
      </c>
      <c r="R301" s="65">
        <v>592</v>
      </c>
      <c r="S301" s="65"/>
    </row>
    <row r="302" spans="1:19" x14ac:dyDescent="0.25">
      <c r="A302" s="15">
        <v>26</v>
      </c>
      <c r="B302" s="65"/>
      <c r="C302" s="65">
        <v>2429</v>
      </c>
      <c r="D302" s="65"/>
      <c r="E302" s="65" t="s">
        <v>787</v>
      </c>
      <c r="F302" s="65">
        <v>1</v>
      </c>
      <c r="G302" s="65"/>
      <c r="H302" s="65" t="e">
        <v>#N/A</v>
      </c>
      <c r="I302" s="65"/>
      <c r="J302" s="65" t="s">
        <v>899</v>
      </c>
      <c r="K302" s="65" t="s">
        <v>900</v>
      </c>
      <c r="L302" s="65" t="s">
        <v>900</v>
      </c>
      <c r="M302" s="65" t="s">
        <v>900</v>
      </c>
      <c r="N302" s="65" t="s">
        <v>900</v>
      </c>
      <c r="O302" s="65" t="s">
        <v>907</v>
      </c>
      <c r="P302" s="65"/>
      <c r="Q302" s="65">
        <v>1</v>
      </c>
      <c r="R302" s="65">
        <v>593</v>
      </c>
      <c r="S302" s="65"/>
    </row>
    <row r="303" spans="1:19" x14ac:dyDescent="0.25">
      <c r="A303" s="15">
        <v>26</v>
      </c>
      <c r="B303" s="65"/>
      <c r="C303" s="65">
        <v>2429</v>
      </c>
      <c r="D303" s="65"/>
      <c r="E303" s="65" t="s">
        <v>787</v>
      </c>
      <c r="F303" s="65">
        <v>1</v>
      </c>
      <c r="G303" s="65"/>
      <c r="H303" s="65" t="e">
        <v>#N/A</v>
      </c>
      <c r="I303" s="65"/>
      <c r="J303" s="65" t="s">
        <v>899</v>
      </c>
      <c r="K303" s="65" t="s">
        <v>900</v>
      </c>
      <c r="L303" s="65" t="s">
        <v>900</v>
      </c>
      <c r="M303" s="65" t="s">
        <v>900</v>
      </c>
      <c r="N303" s="65" t="s">
        <v>900</v>
      </c>
      <c r="O303" s="65" t="s">
        <v>908</v>
      </c>
      <c r="P303" s="65"/>
      <c r="Q303" s="65">
        <v>1</v>
      </c>
      <c r="R303" s="65">
        <v>594</v>
      </c>
      <c r="S303" s="65"/>
    </row>
    <row r="304" spans="1:19" x14ac:dyDescent="0.25">
      <c r="A304" s="15">
        <v>26</v>
      </c>
      <c r="B304" s="65"/>
      <c r="C304" s="65">
        <v>2429</v>
      </c>
      <c r="D304" s="65"/>
      <c r="E304" s="65" t="s">
        <v>787</v>
      </c>
      <c r="F304" s="65">
        <v>1</v>
      </c>
      <c r="G304" s="65"/>
      <c r="H304" s="65" t="e">
        <v>#N/A</v>
      </c>
      <c r="I304" s="65"/>
      <c r="J304" s="65" t="s">
        <v>899</v>
      </c>
      <c r="K304" s="65" t="s">
        <v>900</v>
      </c>
      <c r="L304" s="65" t="s">
        <v>900</v>
      </c>
      <c r="M304" s="65" t="s">
        <v>900</v>
      </c>
      <c r="N304" s="65" t="s">
        <v>900</v>
      </c>
      <c r="O304" s="65" t="s">
        <v>909</v>
      </c>
      <c r="P304" s="65"/>
      <c r="Q304" s="65">
        <v>1</v>
      </c>
      <c r="R304" s="65">
        <v>595</v>
      </c>
      <c r="S304" s="65"/>
    </row>
    <row r="305" spans="1:19" x14ac:dyDescent="0.25">
      <c r="A305" s="15">
        <v>26</v>
      </c>
      <c r="B305" s="65"/>
      <c r="C305" s="65">
        <v>2429</v>
      </c>
      <c r="D305" s="65"/>
      <c r="E305" s="65" t="s">
        <v>787</v>
      </c>
      <c r="F305" s="65">
        <v>1</v>
      </c>
      <c r="G305" s="65"/>
      <c r="H305" s="65" t="e">
        <v>#N/A</v>
      </c>
      <c r="I305" s="65"/>
      <c r="J305" s="65" t="s">
        <v>899</v>
      </c>
      <c r="K305" s="65" t="s">
        <v>900</v>
      </c>
      <c r="L305" s="65" t="s">
        <v>900</v>
      </c>
      <c r="M305" s="65" t="s">
        <v>900</v>
      </c>
      <c r="N305" s="65" t="s">
        <v>900</v>
      </c>
      <c r="O305" s="65" t="s">
        <v>910</v>
      </c>
      <c r="P305" s="65"/>
      <c r="Q305" s="65">
        <v>1</v>
      </c>
      <c r="R305" s="65">
        <v>596</v>
      </c>
      <c r="S305" s="65"/>
    </row>
    <row r="306" spans="1:19" x14ac:dyDescent="0.25">
      <c r="A306" s="15">
        <v>26</v>
      </c>
      <c r="B306" s="65"/>
      <c r="C306" s="65">
        <v>2429</v>
      </c>
      <c r="D306" s="65"/>
      <c r="E306" s="65" t="s">
        <v>787</v>
      </c>
      <c r="F306" s="65">
        <v>1</v>
      </c>
      <c r="G306" s="65"/>
      <c r="H306" s="65" t="e">
        <v>#N/A</v>
      </c>
      <c r="I306" s="65"/>
      <c r="J306" s="65" t="s">
        <v>899</v>
      </c>
      <c r="K306" s="65" t="s">
        <v>900</v>
      </c>
      <c r="L306" s="65" t="s">
        <v>900</v>
      </c>
      <c r="M306" s="65" t="s">
        <v>900</v>
      </c>
      <c r="N306" s="65" t="s">
        <v>900</v>
      </c>
      <c r="O306" s="65" t="s">
        <v>911</v>
      </c>
      <c r="P306" s="65"/>
      <c r="Q306" s="65">
        <v>1</v>
      </c>
      <c r="R306" s="65">
        <v>597</v>
      </c>
      <c r="S306" s="65"/>
    </row>
    <row r="307" spans="1:19" x14ac:dyDescent="0.25">
      <c r="A307" s="15">
        <v>26</v>
      </c>
      <c r="B307" s="65"/>
      <c r="C307" s="65">
        <v>2429</v>
      </c>
      <c r="D307" s="65"/>
      <c r="E307" s="65" t="s">
        <v>787</v>
      </c>
      <c r="F307" s="65">
        <v>0</v>
      </c>
      <c r="G307" s="65"/>
      <c r="H307" s="65">
        <v>3</v>
      </c>
      <c r="I307" s="65" t="e">
        <v>#N/A</v>
      </c>
      <c r="J307" s="65" t="s">
        <v>899</v>
      </c>
      <c r="K307" s="65"/>
      <c r="L307" s="65"/>
      <c r="M307" s="65"/>
      <c r="N307" s="65"/>
      <c r="O307" s="65" t="s">
        <v>912</v>
      </c>
      <c r="P307" s="65"/>
      <c r="Q307" s="65">
        <v>1</v>
      </c>
      <c r="R307" s="65">
        <v>813</v>
      </c>
      <c r="S307" s="65"/>
    </row>
    <row r="308" spans="1:19" x14ac:dyDescent="0.25">
      <c r="A308" s="15">
        <v>26</v>
      </c>
      <c r="B308" s="65"/>
      <c r="C308" s="65">
        <v>2429</v>
      </c>
      <c r="D308" s="65"/>
      <c r="E308" s="65" t="s">
        <v>787</v>
      </c>
      <c r="F308" s="65">
        <v>0</v>
      </c>
      <c r="G308" s="65"/>
      <c r="H308" s="65">
        <v>3</v>
      </c>
      <c r="I308" s="65" t="e">
        <v>#N/A</v>
      </c>
      <c r="J308" s="65" t="s">
        <v>899</v>
      </c>
      <c r="K308" s="65"/>
      <c r="L308" s="65"/>
      <c r="M308" s="65"/>
      <c r="N308" s="65"/>
      <c r="O308" s="65" t="s">
        <v>913</v>
      </c>
      <c r="P308" s="65"/>
      <c r="Q308" s="65">
        <v>1</v>
      </c>
      <c r="R308" s="65">
        <v>814</v>
      </c>
      <c r="S308" s="65"/>
    </row>
    <row r="309" spans="1:19" x14ac:dyDescent="0.25">
      <c r="A309" s="15">
        <v>26</v>
      </c>
      <c r="B309" s="65"/>
      <c r="C309" s="65">
        <v>2429</v>
      </c>
      <c r="D309" s="65"/>
      <c r="E309" s="65" t="s">
        <v>787</v>
      </c>
      <c r="F309" s="65">
        <v>0</v>
      </c>
      <c r="G309" s="65"/>
      <c r="H309" s="65">
        <v>3</v>
      </c>
      <c r="I309" s="65" t="e">
        <v>#N/A</v>
      </c>
      <c r="J309" s="65" t="s">
        <v>899</v>
      </c>
      <c r="K309" s="65"/>
      <c r="L309" s="65"/>
      <c r="M309" s="65"/>
      <c r="N309" s="65"/>
      <c r="O309" s="65" t="s">
        <v>914</v>
      </c>
      <c r="P309" s="65"/>
      <c r="Q309" s="65">
        <v>1</v>
      </c>
      <c r="R309" s="65">
        <v>815</v>
      </c>
      <c r="S309" s="65"/>
    </row>
    <row r="310" spans="1:19" x14ac:dyDescent="0.25">
      <c r="A310" s="15">
        <v>26</v>
      </c>
      <c r="B310" s="65"/>
      <c r="C310" s="65">
        <v>2429</v>
      </c>
      <c r="D310" s="65"/>
      <c r="E310" s="65" t="s">
        <v>787</v>
      </c>
      <c r="F310" s="65">
        <v>0</v>
      </c>
      <c r="G310" s="65"/>
      <c r="H310" s="65">
        <v>3</v>
      </c>
      <c r="I310" s="65" t="e">
        <v>#N/A</v>
      </c>
      <c r="J310" s="65" t="s">
        <v>899</v>
      </c>
      <c r="K310" s="65"/>
      <c r="L310" s="65"/>
      <c r="M310" s="65"/>
      <c r="N310" s="65"/>
      <c r="O310" s="65" t="s">
        <v>915</v>
      </c>
      <c r="P310" s="65"/>
      <c r="Q310" s="65">
        <v>1</v>
      </c>
      <c r="R310" s="65">
        <v>816</v>
      </c>
      <c r="S310" s="65"/>
    </row>
    <row r="311" spans="1:19" x14ac:dyDescent="0.25">
      <c r="A311" s="15">
        <v>26</v>
      </c>
      <c r="B311" s="65"/>
      <c r="C311" s="65">
        <v>2429</v>
      </c>
      <c r="D311" s="65"/>
      <c r="E311" s="65" t="s">
        <v>787</v>
      </c>
      <c r="F311" s="65">
        <v>0</v>
      </c>
      <c r="G311" s="65"/>
      <c r="H311" s="65">
        <v>3</v>
      </c>
      <c r="I311" s="65" t="e">
        <v>#N/A</v>
      </c>
      <c r="J311" s="65" t="s">
        <v>899</v>
      </c>
      <c r="K311" s="65"/>
      <c r="L311" s="65"/>
      <c r="M311" s="65"/>
      <c r="N311" s="65"/>
      <c r="O311" s="65" t="s">
        <v>916</v>
      </c>
      <c r="P311" s="65"/>
      <c r="Q311" s="65">
        <v>1</v>
      </c>
      <c r="R311" s="65">
        <v>817</v>
      </c>
      <c r="S311" s="65"/>
    </row>
    <row r="312" spans="1:19" x14ac:dyDescent="0.25">
      <c r="A312" s="15">
        <v>26</v>
      </c>
      <c r="B312" s="65"/>
      <c r="C312" s="65">
        <v>2429</v>
      </c>
      <c r="D312" s="65"/>
      <c r="E312" s="65" t="s">
        <v>787</v>
      </c>
      <c r="F312" s="65">
        <v>0</v>
      </c>
      <c r="G312" s="65"/>
      <c r="H312" s="65">
        <v>3</v>
      </c>
      <c r="I312" s="65" t="e">
        <v>#N/A</v>
      </c>
      <c r="J312" s="65" t="s">
        <v>899</v>
      </c>
      <c r="K312" s="65"/>
      <c r="L312" s="65"/>
      <c r="M312" s="65"/>
      <c r="N312" s="65"/>
      <c r="O312" s="65" t="s">
        <v>917</v>
      </c>
      <c r="P312" s="65"/>
      <c r="Q312" s="65">
        <v>1</v>
      </c>
      <c r="R312" s="65">
        <v>818</v>
      </c>
      <c r="S312" s="65"/>
    </row>
    <row r="313" spans="1:19" x14ac:dyDescent="0.25">
      <c r="A313" s="15">
        <v>26</v>
      </c>
      <c r="B313" s="65"/>
      <c r="C313" s="65">
        <v>2429</v>
      </c>
      <c r="D313" s="65"/>
      <c r="E313" s="65" t="s">
        <v>787</v>
      </c>
      <c r="F313" s="65">
        <v>0</v>
      </c>
      <c r="G313" s="65"/>
      <c r="H313" s="65">
        <v>3</v>
      </c>
      <c r="I313" s="65" t="e">
        <v>#N/A</v>
      </c>
      <c r="J313" s="65" t="s">
        <v>899</v>
      </c>
      <c r="K313" s="65"/>
      <c r="L313" s="65"/>
      <c r="M313" s="65"/>
      <c r="N313" s="65"/>
      <c r="O313" s="65" t="s">
        <v>918</v>
      </c>
      <c r="P313" s="65"/>
      <c r="Q313" s="65">
        <v>1</v>
      </c>
      <c r="R313" s="65">
        <v>819</v>
      </c>
      <c r="S313" s="65"/>
    </row>
    <row r="314" spans="1:19" x14ac:dyDescent="0.25">
      <c r="A314" s="15">
        <v>26</v>
      </c>
      <c r="B314" s="65"/>
      <c r="C314" s="65">
        <v>2429</v>
      </c>
      <c r="D314" s="65"/>
      <c r="E314" s="65" t="s">
        <v>787</v>
      </c>
      <c r="F314" s="65">
        <v>0</v>
      </c>
      <c r="G314" s="65"/>
      <c r="H314" s="65">
        <v>3</v>
      </c>
      <c r="I314" s="65" t="e">
        <v>#N/A</v>
      </c>
      <c r="J314" s="65" t="s">
        <v>899</v>
      </c>
      <c r="K314" s="65"/>
      <c r="L314" s="65"/>
      <c r="M314" s="65"/>
      <c r="N314" s="65"/>
      <c r="O314" s="65" t="s">
        <v>919</v>
      </c>
      <c r="P314" s="65"/>
      <c r="Q314" s="65">
        <v>1</v>
      </c>
      <c r="R314" s="65">
        <v>820</v>
      </c>
      <c r="S314" s="65"/>
    </row>
    <row r="315" spans="1:19" x14ac:dyDescent="0.25">
      <c r="A315" s="15">
        <v>26</v>
      </c>
      <c r="B315" s="65"/>
      <c r="C315" s="65">
        <v>2429</v>
      </c>
      <c r="D315" s="65"/>
      <c r="E315" s="65" t="s">
        <v>787</v>
      </c>
      <c r="F315" s="65">
        <v>0</v>
      </c>
      <c r="G315" s="65"/>
      <c r="H315" s="65">
        <v>3</v>
      </c>
      <c r="I315" s="65" t="e">
        <v>#N/A</v>
      </c>
      <c r="J315" s="65" t="s">
        <v>899</v>
      </c>
      <c r="K315" s="65"/>
      <c r="L315" s="65"/>
      <c r="M315" s="65"/>
      <c r="N315" s="65"/>
      <c r="O315" s="65" t="s">
        <v>920</v>
      </c>
      <c r="P315" s="65"/>
      <c r="Q315" s="65">
        <v>1</v>
      </c>
      <c r="R315" s="65">
        <v>821</v>
      </c>
      <c r="S315" s="65"/>
    </row>
    <row r="316" spans="1:19" x14ac:dyDescent="0.25">
      <c r="A316" s="15">
        <v>26</v>
      </c>
      <c r="B316" s="65"/>
      <c r="C316" s="65">
        <v>2429</v>
      </c>
      <c r="D316" s="65"/>
      <c r="E316" s="65" t="s">
        <v>787</v>
      </c>
      <c r="F316" s="65">
        <v>0</v>
      </c>
      <c r="G316" s="65"/>
      <c r="H316" s="65">
        <v>3</v>
      </c>
      <c r="I316" s="65" t="e">
        <v>#N/A</v>
      </c>
      <c r="J316" s="65" t="s">
        <v>899</v>
      </c>
      <c r="K316" s="65"/>
      <c r="L316" s="65"/>
      <c r="M316" s="65"/>
      <c r="N316" s="65"/>
      <c r="O316" s="65" t="s">
        <v>921</v>
      </c>
      <c r="P316" s="65"/>
      <c r="Q316" s="65">
        <v>1</v>
      </c>
      <c r="R316" s="65">
        <v>822</v>
      </c>
      <c r="S316" s="65"/>
    </row>
    <row r="317" spans="1:19" x14ac:dyDescent="0.25">
      <c r="A317" s="15">
        <v>26</v>
      </c>
      <c r="B317" s="65"/>
      <c r="C317" s="65">
        <v>2429</v>
      </c>
      <c r="D317" s="65"/>
      <c r="E317" s="65" t="s">
        <v>787</v>
      </c>
      <c r="F317" s="65">
        <v>0</v>
      </c>
      <c r="G317" s="65"/>
      <c r="H317" s="65">
        <v>3</v>
      </c>
      <c r="I317" s="65" t="e">
        <v>#N/A</v>
      </c>
      <c r="J317" s="65" t="s">
        <v>899</v>
      </c>
      <c r="K317" s="65"/>
      <c r="L317" s="65"/>
      <c r="M317" s="65"/>
      <c r="N317" s="65"/>
      <c r="O317" s="65" t="s">
        <v>922</v>
      </c>
      <c r="P317" s="65"/>
      <c r="Q317" s="65">
        <v>1</v>
      </c>
      <c r="R317" s="65">
        <v>823</v>
      </c>
      <c r="S317" s="65"/>
    </row>
    <row r="318" spans="1:19" x14ac:dyDescent="0.25">
      <c r="A318" s="15">
        <v>26</v>
      </c>
      <c r="B318" s="65"/>
      <c r="C318" s="65">
        <v>2429</v>
      </c>
      <c r="D318" s="65"/>
      <c r="E318" s="65" t="s">
        <v>787</v>
      </c>
      <c r="F318" s="65">
        <v>0</v>
      </c>
      <c r="G318" s="65"/>
      <c r="H318" s="65">
        <v>3</v>
      </c>
      <c r="I318" s="65" t="e">
        <v>#N/A</v>
      </c>
      <c r="J318" s="65" t="s">
        <v>899</v>
      </c>
      <c r="K318" s="65"/>
      <c r="L318" s="65"/>
      <c r="M318" s="65"/>
      <c r="N318" s="65"/>
      <c r="O318" s="65" t="s">
        <v>923</v>
      </c>
      <c r="P318" s="65"/>
      <c r="Q318" s="65">
        <v>1</v>
      </c>
      <c r="R318" s="65">
        <v>824</v>
      </c>
      <c r="S318" s="65"/>
    </row>
    <row r="319" spans="1:19" x14ac:dyDescent="0.25">
      <c r="A319" s="15">
        <v>26</v>
      </c>
      <c r="B319" s="65"/>
      <c r="C319" s="65">
        <v>2429</v>
      </c>
      <c r="D319" s="65"/>
      <c r="E319" s="65" t="s">
        <v>787</v>
      </c>
      <c r="F319" s="65">
        <v>3</v>
      </c>
      <c r="G319" s="65"/>
      <c r="H319" s="65">
        <v>3</v>
      </c>
      <c r="I319" s="65" t="e">
        <v>#N/A</v>
      </c>
      <c r="J319" s="65" t="s">
        <v>899</v>
      </c>
      <c r="K319" s="65"/>
      <c r="L319" s="65"/>
      <c r="M319" s="65"/>
      <c r="N319" s="65"/>
      <c r="O319" s="65" t="s">
        <v>924</v>
      </c>
      <c r="P319" s="65"/>
      <c r="Q319" s="65">
        <v>1</v>
      </c>
      <c r="R319" s="65">
        <v>1040</v>
      </c>
      <c r="S319" s="65"/>
    </row>
    <row r="320" spans="1:19" x14ac:dyDescent="0.25">
      <c r="A320" s="15">
        <v>26</v>
      </c>
      <c r="B320" s="65"/>
      <c r="C320" s="65">
        <v>2429</v>
      </c>
      <c r="D320" s="65"/>
      <c r="E320" s="65" t="s">
        <v>787</v>
      </c>
      <c r="F320" s="65">
        <v>3</v>
      </c>
      <c r="G320" s="65"/>
      <c r="H320" s="65">
        <v>3</v>
      </c>
      <c r="I320" s="65" t="e">
        <v>#N/A</v>
      </c>
      <c r="J320" s="65" t="s">
        <v>899</v>
      </c>
      <c r="K320" s="65"/>
      <c r="L320" s="65"/>
      <c r="M320" s="65"/>
      <c r="N320" s="65"/>
      <c r="O320" s="65" t="s">
        <v>925</v>
      </c>
      <c r="P320" s="65"/>
      <c r="Q320" s="65">
        <v>1</v>
      </c>
      <c r="R320" s="65">
        <v>1041</v>
      </c>
      <c r="S320" s="65"/>
    </row>
    <row r="321" spans="1:19" x14ac:dyDescent="0.25">
      <c r="A321" s="15">
        <v>26</v>
      </c>
      <c r="B321" s="65"/>
      <c r="C321" s="65">
        <v>2429</v>
      </c>
      <c r="D321" s="65"/>
      <c r="E321" s="65" t="s">
        <v>787</v>
      </c>
      <c r="F321" s="65">
        <v>3</v>
      </c>
      <c r="G321" s="65"/>
      <c r="H321" s="65">
        <v>3</v>
      </c>
      <c r="I321" s="65" t="e">
        <v>#N/A</v>
      </c>
      <c r="J321" s="65" t="s">
        <v>899</v>
      </c>
      <c r="K321" s="65"/>
      <c r="L321" s="65"/>
      <c r="M321" s="65"/>
      <c r="N321" s="65"/>
      <c r="O321" s="65" t="s">
        <v>926</v>
      </c>
      <c r="P321" s="65"/>
      <c r="Q321" s="65">
        <v>1</v>
      </c>
      <c r="R321" s="65">
        <v>1042</v>
      </c>
      <c r="S321" s="65"/>
    </row>
    <row r="322" spans="1:19" x14ac:dyDescent="0.25">
      <c r="A322" s="15">
        <v>26</v>
      </c>
      <c r="B322" s="65"/>
      <c r="C322" s="65">
        <v>2429</v>
      </c>
      <c r="D322" s="65"/>
      <c r="E322" s="65" t="s">
        <v>787</v>
      </c>
      <c r="F322" s="65">
        <v>3</v>
      </c>
      <c r="G322" s="65"/>
      <c r="H322" s="65">
        <v>3</v>
      </c>
      <c r="I322" s="65" t="e">
        <v>#N/A</v>
      </c>
      <c r="J322" s="65" t="s">
        <v>899</v>
      </c>
      <c r="K322" s="65"/>
      <c r="L322" s="65"/>
      <c r="M322" s="65"/>
      <c r="N322" s="65"/>
      <c r="O322" s="65" t="s">
        <v>927</v>
      </c>
      <c r="P322" s="65"/>
      <c r="Q322" s="65">
        <v>1</v>
      </c>
      <c r="R322" s="65">
        <v>1043</v>
      </c>
      <c r="S322" s="65"/>
    </row>
    <row r="323" spans="1:19" x14ac:dyDescent="0.25">
      <c r="A323" s="15">
        <v>26</v>
      </c>
      <c r="B323" s="65"/>
      <c r="C323" s="65">
        <v>2429</v>
      </c>
      <c r="D323" s="65"/>
      <c r="E323" s="65" t="s">
        <v>787</v>
      </c>
      <c r="F323" s="65">
        <v>3</v>
      </c>
      <c r="G323" s="65"/>
      <c r="H323" s="65">
        <v>3</v>
      </c>
      <c r="I323" s="65" t="e">
        <v>#N/A</v>
      </c>
      <c r="J323" s="65" t="s">
        <v>899</v>
      </c>
      <c r="K323" s="65"/>
      <c r="L323" s="65"/>
      <c r="M323" s="65"/>
      <c r="N323" s="65"/>
      <c r="O323" s="65" t="s">
        <v>928</v>
      </c>
      <c r="P323" s="65"/>
      <c r="Q323" s="65">
        <v>1</v>
      </c>
      <c r="R323" s="65">
        <v>1044</v>
      </c>
      <c r="S323" s="65"/>
    </row>
    <row r="324" spans="1:19" x14ac:dyDescent="0.25">
      <c r="A324" s="15">
        <v>26</v>
      </c>
      <c r="B324" s="65"/>
      <c r="C324" s="65">
        <v>2429</v>
      </c>
      <c r="D324" s="65"/>
      <c r="E324" s="65" t="s">
        <v>787</v>
      </c>
      <c r="F324" s="65">
        <v>3</v>
      </c>
      <c r="G324" s="65"/>
      <c r="H324" s="65">
        <v>3</v>
      </c>
      <c r="I324" s="65" t="e">
        <v>#N/A</v>
      </c>
      <c r="J324" s="65" t="s">
        <v>899</v>
      </c>
      <c r="K324" s="65"/>
      <c r="L324" s="65"/>
      <c r="M324" s="65"/>
      <c r="N324" s="65"/>
      <c r="O324" s="65" t="s">
        <v>929</v>
      </c>
      <c r="P324" s="65"/>
      <c r="Q324" s="65">
        <v>1</v>
      </c>
      <c r="R324" s="65">
        <v>1045</v>
      </c>
      <c r="S324" s="65"/>
    </row>
    <row r="325" spans="1:19" x14ac:dyDescent="0.25">
      <c r="A325" s="15">
        <v>26</v>
      </c>
      <c r="B325" s="65"/>
      <c r="C325" s="65">
        <v>2429</v>
      </c>
      <c r="D325" s="65"/>
      <c r="E325" s="65" t="s">
        <v>787</v>
      </c>
      <c r="F325" s="65">
        <v>3</v>
      </c>
      <c r="G325" s="65"/>
      <c r="H325" s="65">
        <v>3</v>
      </c>
      <c r="I325" s="65" t="e">
        <v>#N/A</v>
      </c>
      <c r="J325" s="65" t="s">
        <v>899</v>
      </c>
      <c r="K325" s="65"/>
      <c r="L325" s="65"/>
      <c r="M325" s="65"/>
      <c r="N325" s="65"/>
      <c r="O325" s="65" t="s">
        <v>930</v>
      </c>
      <c r="P325" s="65"/>
      <c r="Q325" s="65">
        <v>1</v>
      </c>
      <c r="R325" s="65">
        <v>1046</v>
      </c>
      <c r="S325" s="65"/>
    </row>
    <row r="326" spans="1:19" x14ac:dyDescent="0.25">
      <c r="A326" s="15">
        <v>26</v>
      </c>
      <c r="B326" s="65"/>
      <c r="C326" s="65">
        <v>2429</v>
      </c>
      <c r="D326" s="65"/>
      <c r="E326" s="65" t="s">
        <v>787</v>
      </c>
      <c r="F326" s="65">
        <v>3</v>
      </c>
      <c r="G326" s="65"/>
      <c r="H326" s="65">
        <v>3</v>
      </c>
      <c r="I326" s="65" t="e">
        <v>#N/A</v>
      </c>
      <c r="J326" s="65" t="s">
        <v>899</v>
      </c>
      <c r="K326" s="65"/>
      <c r="L326" s="65"/>
      <c r="M326" s="65"/>
      <c r="N326" s="65"/>
      <c r="O326" s="65" t="s">
        <v>931</v>
      </c>
      <c r="P326" s="65"/>
      <c r="Q326" s="65">
        <v>1</v>
      </c>
      <c r="R326" s="65">
        <v>1047</v>
      </c>
      <c r="S326" s="65"/>
    </row>
    <row r="327" spans="1:19" x14ac:dyDescent="0.25">
      <c r="A327" s="15">
        <v>26</v>
      </c>
      <c r="B327" s="65"/>
      <c r="C327" s="65">
        <v>2429</v>
      </c>
      <c r="D327" s="65"/>
      <c r="E327" s="65" t="s">
        <v>787</v>
      </c>
      <c r="F327" s="65">
        <v>3</v>
      </c>
      <c r="G327" s="65"/>
      <c r="H327" s="65">
        <v>3</v>
      </c>
      <c r="I327" s="65" t="e">
        <v>#N/A</v>
      </c>
      <c r="J327" s="65" t="s">
        <v>899</v>
      </c>
      <c r="K327" s="65"/>
      <c r="L327" s="65"/>
      <c r="M327" s="65"/>
      <c r="N327" s="65"/>
      <c r="O327" s="65" t="s">
        <v>932</v>
      </c>
      <c r="P327" s="65"/>
      <c r="Q327" s="65">
        <v>1</v>
      </c>
      <c r="R327" s="65">
        <v>1048</v>
      </c>
      <c r="S327" s="65"/>
    </row>
    <row r="328" spans="1:19" x14ac:dyDescent="0.25">
      <c r="A328" s="15">
        <v>26</v>
      </c>
      <c r="B328" s="65"/>
      <c r="C328" s="65">
        <v>2429</v>
      </c>
      <c r="D328" s="65"/>
      <c r="E328" s="65" t="s">
        <v>787</v>
      </c>
      <c r="F328" s="65">
        <v>3</v>
      </c>
      <c r="G328" s="65"/>
      <c r="H328" s="65">
        <v>3</v>
      </c>
      <c r="I328" s="65" t="e">
        <v>#N/A</v>
      </c>
      <c r="J328" s="65" t="s">
        <v>899</v>
      </c>
      <c r="K328" s="65"/>
      <c r="L328" s="65"/>
      <c r="M328" s="65"/>
      <c r="N328" s="65"/>
      <c r="O328" s="65" t="s">
        <v>933</v>
      </c>
      <c r="P328" s="65"/>
      <c r="Q328" s="65">
        <v>1</v>
      </c>
      <c r="R328" s="65">
        <v>1049</v>
      </c>
      <c r="S328" s="65"/>
    </row>
    <row r="329" spans="1:19" x14ac:dyDescent="0.25">
      <c r="A329" s="15">
        <v>26</v>
      </c>
      <c r="B329" s="65"/>
      <c r="C329" s="65">
        <v>2429</v>
      </c>
      <c r="D329" s="65"/>
      <c r="E329" s="65" t="s">
        <v>787</v>
      </c>
      <c r="F329" s="65">
        <v>3</v>
      </c>
      <c r="G329" s="65"/>
      <c r="H329" s="65">
        <v>3</v>
      </c>
      <c r="I329" s="65" t="e">
        <v>#N/A</v>
      </c>
      <c r="J329" s="65" t="s">
        <v>899</v>
      </c>
      <c r="K329" s="65"/>
      <c r="L329" s="65"/>
      <c r="M329" s="65"/>
      <c r="N329" s="65"/>
      <c r="O329" s="65" t="s">
        <v>934</v>
      </c>
      <c r="P329" s="65"/>
      <c r="Q329" s="65">
        <v>1</v>
      </c>
      <c r="R329" s="65">
        <v>1050</v>
      </c>
      <c r="S329" s="65"/>
    </row>
    <row r="330" spans="1:19" x14ac:dyDescent="0.25">
      <c r="A330" s="15">
        <v>26</v>
      </c>
      <c r="B330" s="65"/>
      <c r="C330" s="65">
        <v>2429</v>
      </c>
      <c r="D330" s="65"/>
      <c r="E330" s="65" t="s">
        <v>787</v>
      </c>
      <c r="F330" s="65">
        <v>3</v>
      </c>
      <c r="G330" s="65"/>
      <c r="H330" s="65">
        <v>3</v>
      </c>
      <c r="I330" s="65" t="e">
        <v>#N/A</v>
      </c>
      <c r="J330" s="65" t="s">
        <v>899</v>
      </c>
      <c r="K330" s="65"/>
      <c r="L330" s="65"/>
      <c r="M330" s="65"/>
      <c r="N330" s="65"/>
      <c r="O330" s="65" t="s">
        <v>935</v>
      </c>
      <c r="P330" s="65"/>
      <c r="Q330" s="65">
        <v>1</v>
      </c>
      <c r="R330" s="65">
        <v>1051</v>
      </c>
      <c r="S330" s="65"/>
    </row>
    <row r="331" spans="1:19" x14ac:dyDescent="0.25">
      <c r="A331" s="15">
        <v>26</v>
      </c>
      <c r="B331" s="65"/>
      <c r="C331" s="65">
        <v>2429</v>
      </c>
      <c r="D331" s="65"/>
      <c r="E331" s="65" t="s">
        <v>787</v>
      </c>
      <c r="F331" s="65">
        <v>3</v>
      </c>
      <c r="G331" s="65"/>
      <c r="H331" s="65" t="e">
        <v>#N/A</v>
      </c>
      <c r="I331" s="65"/>
      <c r="J331" s="65" t="s">
        <v>899</v>
      </c>
      <c r="K331" s="65"/>
      <c r="L331" s="65"/>
      <c r="M331" s="65"/>
      <c r="N331" s="65"/>
      <c r="O331" s="65" t="s">
        <v>936</v>
      </c>
      <c r="P331" s="65"/>
      <c r="Q331" s="65">
        <v>1</v>
      </c>
      <c r="R331" s="65">
        <v>1267</v>
      </c>
      <c r="S331" s="65"/>
    </row>
    <row r="332" spans="1:19" x14ac:dyDescent="0.25">
      <c r="A332" s="15">
        <v>26</v>
      </c>
      <c r="B332" s="65"/>
      <c r="C332" s="65">
        <v>2429</v>
      </c>
      <c r="D332" s="65"/>
      <c r="E332" s="65" t="s">
        <v>787</v>
      </c>
      <c r="F332" s="65">
        <v>5</v>
      </c>
      <c r="G332" s="65"/>
      <c r="H332" s="65" t="e">
        <v>#N/A</v>
      </c>
      <c r="I332" s="65"/>
      <c r="J332" s="65" t="s">
        <v>899</v>
      </c>
      <c r="K332" s="65"/>
      <c r="L332" s="65"/>
      <c r="M332" s="65"/>
      <c r="N332" s="65"/>
      <c r="O332" s="65" t="s">
        <v>938</v>
      </c>
      <c r="P332" s="65"/>
      <c r="Q332" s="65">
        <v>1</v>
      </c>
      <c r="R332" s="65">
        <v>1334</v>
      </c>
      <c r="S332" s="65"/>
    </row>
    <row r="333" spans="1:19" x14ac:dyDescent="0.25">
      <c r="A333" s="15">
        <v>26</v>
      </c>
      <c r="B333" s="65"/>
      <c r="C333" s="65">
        <v>2429</v>
      </c>
      <c r="D333" s="65"/>
      <c r="E333" s="65" t="s">
        <v>787</v>
      </c>
      <c r="F333" s="65">
        <v>5</v>
      </c>
      <c r="G333" s="65"/>
      <c r="H333" s="65" t="e">
        <v>#N/A</v>
      </c>
      <c r="I333" s="65"/>
      <c r="J333" s="65" t="s">
        <v>899</v>
      </c>
      <c r="K333" s="65"/>
      <c r="L333" s="65"/>
      <c r="M333" s="65"/>
      <c r="N333" s="65"/>
      <c r="O333" s="65" t="s">
        <v>939</v>
      </c>
      <c r="P333" s="65"/>
      <c r="Q333" s="65">
        <v>1</v>
      </c>
      <c r="R333" s="65">
        <v>1335</v>
      </c>
      <c r="S333" s="65"/>
    </row>
    <row r="334" spans="1:19" x14ac:dyDescent="0.25">
      <c r="A334" s="15">
        <v>26</v>
      </c>
      <c r="B334" s="65"/>
      <c r="C334" s="65">
        <v>2429</v>
      </c>
      <c r="D334" s="65"/>
      <c r="E334" s="65" t="s">
        <v>787</v>
      </c>
      <c r="F334" s="65">
        <v>5</v>
      </c>
      <c r="G334" s="65"/>
      <c r="H334" s="65" t="e">
        <v>#N/A</v>
      </c>
      <c r="I334" s="65"/>
      <c r="J334" s="65" t="s">
        <v>899</v>
      </c>
      <c r="K334" s="65"/>
      <c r="L334" s="65"/>
      <c r="M334" s="65"/>
      <c r="N334" s="65"/>
      <c r="O334" s="65" t="s">
        <v>940</v>
      </c>
      <c r="P334" s="65"/>
      <c r="Q334" s="65">
        <v>1</v>
      </c>
      <c r="R334" s="65">
        <v>1336</v>
      </c>
      <c r="S334" s="65"/>
    </row>
    <row r="335" spans="1:19" x14ac:dyDescent="0.25">
      <c r="A335" s="15">
        <v>26</v>
      </c>
      <c r="B335" s="65"/>
      <c r="C335" s="65">
        <v>2429</v>
      </c>
      <c r="D335" s="65"/>
      <c r="E335" s="65" t="s">
        <v>787</v>
      </c>
      <c r="F335" s="65">
        <v>5</v>
      </c>
      <c r="G335" s="65"/>
      <c r="H335" s="65" t="e">
        <v>#N/A</v>
      </c>
      <c r="I335" s="65"/>
      <c r="J335" s="65" t="s">
        <v>899</v>
      </c>
      <c r="K335" s="65"/>
      <c r="L335" s="65"/>
      <c r="M335" s="65"/>
      <c r="N335" s="65"/>
      <c r="O335" s="65" t="s">
        <v>941</v>
      </c>
      <c r="P335" s="65"/>
      <c r="Q335" s="65">
        <v>1</v>
      </c>
      <c r="R335" s="65">
        <v>1337</v>
      </c>
      <c r="S335" s="65"/>
    </row>
    <row r="336" spans="1:19" x14ac:dyDescent="0.25">
      <c r="A336" s="15">
        <v>26</v>
      </c>
      <c r="B336" s="65"/>
      <c r="C336" s="65">
        <v>2429</v>
      </c>
      <c r="D336" s="65"/>
      <c r="E336" s="65" t="s">
        <v>787</v>
      </c>
      <c r="F336" s="65">
        <v>5</v>
      </c>
      <c r="G336" s="65"/>
      <c r="H336" s="65" t="e">
        <v>#N/A</v>
      </c>
      <c r="I336" s="65"/>
      <c r="J336" s="65" t="s">
        <v>899</v>
      </c>
      <c r="K336" s="65"/>
      <c r="L336" s="65"/>
      <c r="M336" s="65"/>
      <c r="N336" s="65"/>
      <c r="O336" s="65" t="s">
        <v>942</v>
      </c>
      <c r="P336" s="65"/>
      <c r="Q336" s="65">
        <v>1</v>
      </c>
      <c r="R336" s="65">
        <v>1338</v>
      </c>
      <c r="S336" s="65"/>
    </row>
    <row r="337" spans="1:19" x14ac:dyDescent="0.25">
      <c r="A337" s="15">
        <v>26</v>
      </c>
      <c r="B337" s="65"/>
      <c r="C337" s="65">
        <v>2429</v>
      </c>
      <c r="D337" s="65"/>
      <c r="E337" s="65" t="s">
        <v>787</v>
      </c>
      <c r="F337" s="65">
        <v>5</v>
      </c>
      <c r="G337" s="65"/>
      <c r="H337" s="65" t="e">
        <v>#N/A</v>
      </c>
      <c r="I337" s="65"/>
      <c r="J337" s="65" t="s">
        <v>899</v>
      </c>
      <c r="K337" s="65"/>
      <c r="L337" s="65"/>
      <c r="M337" s="65"/>
      <c r="N337" s="65"/>
      <c r="O337" s="65" t="s">
        <v>943</v>
      </c>
      <c r="P337" s="65"/>
      <c r="Q337" s="65">
        <v>1</v>
      </c>
      <c r="R337" s="65">
        <v>1339</v>
      </c>
      <c r="S337" s="65"/>
    </row>
    <row r="338" spans="1:19" x14ac:dyDescent="0.25">
      <c r="A338" s="15">
        <v>26</v>
      </c>
      <c r="B338" s="65"/>
      <c r="C338" s="65">
        <v>2429</v>
      </c>
      <c r="D338" s="65"/>
      <c r="E338" s="65" t="s">
        <v>787</v>
      </c>
      <c r="F338" s="65">
        <v>5</v>
      </c>
      <c r="G338" s="65"/>
      <c r="H338" s="65" t="e">
        <v>#N/A</v>
      </c>
      <c r="I338" s="65"/>
      <c r="J338" s="65" t="s">
        <v>899</v>
      </c>
      <c r="K338" s="65"/>
      <c r="L338" s="65"/>
      <c r="M338" s="65"/>
      <c r="N338" s="65"/>
      <c r="O338" s="65" t="s">
        <v>944</v>
      </c>
      <c r="P338" s="65"/>
      <c r="Q338" s="65">
        <v>1</v>
      </c>
      <c r="R338" s="65">
        <v>1340</v>
      </c>
      <c r="S338" s="65"/>
    </row>
    <row r="339" spans="1:19" x14ac:dyDescent="0.25">
      <c r="A339" s="15">
        <v>26</v>
      </c>
      <c r="B339" s="65"/>
      <c r="C339" s="65">
        <v>2429</v>
      </c>
      <c r="D339" s="65"/>
      <c r="E339" s="65" t="s">
        <v>787</v>
      </c>
      <c r="F339" s="65">
        <v>5</v>
      </c>
      <c r="G339" s="65"/>
      <c r="H339" s="65" t="e">
        <v>#N/A</v>
      </c>
      <c r="I339" s="65"/>
      <c r="J339" s="65" t="s">
        <v>899</v>
      </c>
      <c r="K339" s="65"/>
      <c r="L339" s="65"/>
      <c r="M339" s="65"/>
      <c r="N339" s="65"/>
      <c r="O339" s="65" t="s">
        <v>945</v>
      </c>
      <c r="P339" s="65"/>
      <c r="Q339" s="65">
        <v>1</v>
      </c>
      <c r="R339" s="65">
        <v>1341</v>
      </c>
      <c r="S339" s="65"/>
    </row>
    <row r="340" spans="1:19" x14ac:dyDescent="0.25">
      <c r="A340" s="15">
        <v>26</v>
      </c>
      <c r="B340" s="65"/>
      <c r="C340" s="65">
        <v>2429</v>
      </c>
      <c r="D340" s="65"/>
      <c r="E340" s="65" t="s">
        <v>787</v>
      </c>
      <c r="F340" s="65">
        <v>5</v>
      </c>
      <c r="G340" s="65"/>
      <c r="H340" s="65" t="e">
        <v>#N/A</v>
      </c>
      <c r="I340" s="65"/>
      <c r="J340" s="65" t="s">
        <v>899</v>
      </c>
      <c r="K340" s="65"/>
      <c r="L340" s="65"/>
      <c r="M340" s="65"/>
      <c r="N340" s="65"/>
      <c r="O340" s="65" t="s">
        <v>946</v>
      </c>
      <c r="P340" s="65"/>
      <c r="Q340" s="65">
        <v>1</v>
      </c>
      <c r="R340" s="65">
        <v>1342</v>
      </c>
      <c r="S340" s="65"/>
    </row>
    <row r="341" spans="1:19" x14ac:dyDescent="0.25">
      <c r="A341" s="15">
        <v>26</v>
      </c>
      <c r="B341" s="65"/>
      <c r="C341" s="65">
        <v>2429</v>
      </c>
      <c r="D341" s="65"/>
      <c r="E341" s="65" t="s">
        <v>787</v>
      </c>
      <c r="F341" s="65">
        <v>5</v>
      </c>
      <c r="G341" s="65"/>
      <c r="H341" s="65" t="e">
        <v>#N/A</v>
      </c>
      <c r="I341" s="65"/>
      <c r="J341" s="65" t="s">
        <v>899</v>
      </c>
      <c r="K341" s="65"/>
      <c r="L341" s="65"/>
      <c r="M341" s="65"/>
      <c r="N341" s="65"/>
      <c r="O341" s="65" t="s">
        <v>947</v>
      </c>
      <c r="P341" s="65"/>
      <c r="Q341" s="65">
        <v>1</v>
      </c>
      <c r="R341" s="65">
        <v>1343</v>
      </c>
      <c r="S341" s="65"/>
    </row>
    <row r="342" spans="1:19" x14ac:dyDescent="0.25">
      <c r="A342" s="15">
        <v>26</v>
      </c>
      <c r="B342" s="65"/>
      <c r="C342" s="65">
        <v>2429</v>
      </c>
      <c r="D342" s="65"/>
      <c r="E342" s="65" t="s">
        <v>787</v>
      </c>
      <c r="F342" s="65">
        <v>5</v>
      </c>
      <c r="G342" s="65"/>
      <c r="H342" s="65" t="e">
        <v>#N/A</v>
      </c>
      <c r="I342" s="65"/>
      <c r="J342" s="65" t="s">
        <v>899</v>
      </c>
      <c r="K342" s="65"/>
      <c r="L342" s="65"/>
      <c r="M342" s="65"/>
      <c r="N342" s="65"/>
      <c r="O342" s="65" t="s">
        <v>948</v>
      </c>
      <c r="P342" s="65"/>
      <c r="Q342" s="65">
        <v>1</v>
      </c>
      <c r="R342" s="65">
        <v>1344</v>
      </c>
      <c r="S342" s="65"/>
    </row>
    <row r="343" spans="1:19" x14ac:dyDescent="0.25">
      <c r="A343" s="15">
        <v>26</v>
      </c>
      <c r="B343" s="65"/>
      <c r="C343" s="65">
        <v>2429</v>
      </c>
      <c r="D343" s="65"/>
      <c r="E343" s="65" t="s">
        <v>787</v>
      </c>
      <c r="F343" s="65">
        <v>5</v>
      </c>
      <c r="G343" s="65"/>
      <c r="H343" s="65" t="e">
        <v>#N/A</v>
      </c>
      <c r="I343" s="65"/>
      <c r="J343" s="65" t="s">
        <v>899</v>
      </c>
      <c r="K343" s="65"/>
      <c r="L343" s="65"/>
      <c r="M343" s="65"/>
      <c r="N343" s="65"/>
      <c r="O343" s="65" t="s">
        <v>949</v>
      </c>
      <c r="P343" s="65"/>
      <c r="Q343" s="65">
        <v>1</v>
      </c>
      <c r="R343" s="65">
        <v>1345</v>
      </c>
      <c r="S343" s="65"/>
    </row>
    <row r="344" spans="1:19" x14ac:dyDescent="0.25">
      <c r="A344" s="15">
        <v>27</v>
      </c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</row>
    <row r="345" spans="1:19" x14ac:dyDescent="0.25">
      <c r="A345" s="15">
        <v>27</v>
      </c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 t="s">
        <v>812</v>
      </c>
      <c r="P345" s="65"/>
      <c r="Q345" s="65"/>
      <c r="R345" s="65"/>
      <c r="S345" s="65"/>
    </row>
    <row r="346" spans="1:19" x14ac:dyDescent="0.25">
      <c r="A346" s="15">
        <v>27</v>
      </c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 t="s">
        <v>865</v>
      </c>
      <c r="P346" s="65"/>
      <c r="Q346" s="65"/>
      <c r="R346" s="65"/>
      <c r="S346" s="65"/>
    </row>
    <row r="347" spans="1:19" x14ac:dyDescent="0.25">
      <c r="A347" s="15">
        <v>27</v>
      </c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 t="s">
        <v>874</v>
      </c>
      <c r="P347" s="65"/>
      <c r="Q347" s="65"/>
      <c r="R347" s="65"/>
      <c r="S347" s="65"/>
    </row>
    <row r="348" spans="1:19" x14ac:dyDescent="0.25">
      <c r="A348" s="15">
        <v>27</v>
      </c>
      <c r="B348" s="65"/>
      <c r="C348" s="65" t="s">
        <v>79</v>
      </c>
      <c r="D348" s="65"/>
      <c r="E348" s="65" t="s">
        <v>787</v>
      </c>
      <c r="F348" s="65">
        <v>8</v>
      </c>
      <c r="G348" s="65"/>
      <c r="H348" s="65">
        <v>10</v>
      </c>
      <c r="I348" s="65">
        <v>12.75</v>
      </c>
      <c r="J348" s="65" t="s">
        <v>879</v>
      </c>
      <c r="K348" s="65"/>
      <c r="L348" s="65"/>
      <c r="M348" s="65"/>
      <c r="N348" s="65"/>
      <c r="O348" s="65" t="s">
        <v>878</v>
      </c>
      <c r="P348" s="65"/>
      <c r="Q348" s="65">
        <v>1</v>
      </c>
      <c r="R348" s="65">
        <v>288</v>
      </c>
      <c r="S348" s="65"/>
    </row>
    <row r="349" spans="1:19" x14ac:dyDescent="0.25">
      <c r="A349" s="15">
        <v>27</v>
      </c>
      <c r="B349" s="65"/>
      <c r="C349" s="65">
        <v>2429</v>
      </c>
      <c r="D349" s="65"/>
      <c r="E349" s="65" t="s">
        <v>787</v>
      </c>
      <c r="F349" s="65">
        <v>8</v>
      </c>
      <c r="G349" s="65"/>
      <c r="H349" s="65"/>
      <c r="I349" s="65">
        <v>26.666666666666668</v>
      </c>
      <c r="J349" s="65" t="s">
        <v>879</v>
      </c>
      <c r="K349" s="65"/>
      <c r="L349" s="65"/>
      <c r="M349" s="65"/>
      <c r="N349" s="65"/>
      <c r="O349" s="65" t="s">
        <v>881</v>
      </c>
      <c r="P349" s="65"/>
      <c r="Q349" s="65">
        <v>1</v>
      </c>
      <c r="R349" s="65">
        <v>366</v>
      </c>
      <c r="S349" s="65"/>
    </row>
    <row r="350" spans="1:19" x14ac:dyDescent="0.25">
      <c r="A350" s="15">
        <v>27</v>
      </c>
      <c r="B350" s="65"/>
      <c r="C350" s="65">
        <v>2429</v>
      </c>
      <c r="D350" s="65"/>
      <c r="E350" s="65" t="s">
        <v>787</v>
      </c>
      <c r="F350" s="65">
        <v>10</v>
      </c>
      <c r="G350" s="65"/>
      <c r="H350" s="65"/>
      <c r="I350" s="65">
        <v>14.083333333333334</v>
      </c>
      <c r="J350" s="65" t="s">
        <v>879</v>
      </c>
      <c r="K350" s="65"/>
      <c r="L350" s="65"/>
      <c r="M350" s="65"/>
      <c r="N350" s="65"/>
      <c r="O350" s="65" t="s">
        <v>882</v>
      </c>
      <c r="P350" s="65"/>
      <c r="Q350" s="65">
        <v>1</v>
      </c>
      <c r="R350" s="65">
        <v>367</v>
      </c>
      <c r="S350" s="65"/>
    </row>
    <row r="351" spans="1:19" x14ac:dyDescent="0.25">
      <c r="A351" s="15">
        <v>27</v>
      </c>
      <c r="B351" s="65"/>
      <c r="C351" s="65">
        <v>2429</v>
      </c>
      <c r="D351" s="65"/>
      <c r="E351" s="65" t="s">
        <v>787</v>
      </c>
      <c r="F351" s="65">
        <v>10</v>
      </c>
      <c r="G351" s="65"/>
      <c r="H351" s="65"/>
      <c r="I351" s="65">
        <v>14.083333333333334</v>
      </c>
      <c r="J351" s="65" t="s">
        <v>879</v>
      </c>
      <c r="K351" s="65"/>
      <c r="L351" s="65"/>
      <c r="M351" s="65"/>
      <c r="N351" s="65"/>
      <c r="O351" s="65" t="s">
        <v>883</v>
      </c>
      <c r="P351" s="65"/>
      <c r="Q351" s="65">
        <v>1</v>
      </c>
      <c r="R351" s="65">
        <v>368</v>
      </c>
      <c r="S351" s="65"/>
    </row>
    <row r="352" spans="1:19" x14ac:dyDescent="0.25">
      <c r="A352" s="15">
        <v>27</v>
      </c>
      <c r="B352" s="65"/>
      <c r="C352" s="65">
        <v>2429</v>
      </c>
      <c r="D352" s="65"/>
      <c r="E352" s="65" t="s">
        <v>787</v>
      </c>
      <c r="F352" s="65">
        <v>10</v>
      </c>
      <c r="G352" s="65"/>
      <c r="H352" s="65"/>
      <c r="I352" s="65">
        <v>14.083333333333334</v>
      </c>
      <c r="J352" s="65" t="s">
        <v>879</v>
      </c>
      <c r="K352" s="65"/>
      <c r="L352" s="65"/>
      <c r="M352" s="65"/>
      <c r="N352" s="65"/>
      <c r="O352" s="65" t="s">
        <v>884</v>
      </c>
      <c r="P352" s="65"/>
      <c r="Q352" s="65">
        <v>1</v>
      </c>
      <c r="R352" s="65">
        <v>369</v>
      </c>
      <c r="S352" s="65"/>
    </row>
    <row r="353" spans="1:19" x14ac:dyDescent="0.25">
      <c r="A353" s="15">
        <v>27</v>
      </c>
      <c r="B353" s="65"/>
      <c r="C353" s="65">
        <v>2429</v>
      </c>
      <c r="D353" s="65"/>
      <c r="E353" s="65" t="s">
        <v>787</v>
      </c>
      <c r="F353" s="65">
        <v>10</v>
      </c>
      <c r="G353" s="65"/>
      <c r="H353" s="65"/>
      <c r="I353" s="65">
        <v>14.083333333333334</v>
      </c>
      <c r="J353" s="65" t="s">
        <v>879</v>
      </c>
      <c r="K353" s="65"/>
      <c r="L353" s="65"/>
      <c r="M353" s="65"/>
      <c r="N353" s="65"/>
      <c r="O353" s="65" t="s">
        <v>885</v>
      </c>
      <c r="P353" s="65"/>
      <c r="Q353" s="65">
        <v>1</v>
      </c>
      <c r="R353" s="65">
        <v>370</v>
      </c>
      <c r="S353" s="65"/>
    </row>
    <row r="354" spans="1:19" x14ac:dyDescent="0.25">
      <c r="A354" s="15">
        <v>27</v>
      </c>
      <c r="B354" s="65"/>
      <c r="C354" s="65">
        <v>2429</v>
      </c>
      <c r="D354" s="65"/>
      <c r="E354" s="65" t="s">
        <v>787</v>
      </c>
      <c r="F354" s="65">
        <v>10</v>
      </c>
      <c r="G354" s="65"/>
      <c r="H354" s="65"/>
      <c r="I354" s="65">
        <v>14.083333333333334</v>
      </c>
      <c r="J354" s="65" t="s">
        <v>879</v>
      </c>
      <c r="K354" s="65"/>
      <c r="L354" s="65"/>
      <c r="M354" s="65"/>
      <c r="N354" s="65"/>
      <c r="O354" s="65" t="s">
        <v>886</v>
      </c>
      <c r="P354" s="65"/>
      <c r="Q354" s="65">
        <v>1</v>
      </c>
      <c r="R354" s="65">
        <v>371</v>
      </c>
      <c r="S354" s="65"/>
    </row>
    <row r="355" spans="1:19" x14ac:dyDescent="0.25">
      <c r="A355" s="15">
        <v>27</v>
      </c>
      <c r="B355" s="65"/>
      <c r="C355" s="65">
        <v>2429</v>
      </c>
      <c r="D355" s="65"/>
      <c r="E355" s="65" t="s">
        <v>787</v>
      </c>
      <c r="F355" s="65">
        <v>10</v>
      </c>
      <c r="G355" s="65"/>
      <c r="H355" s="65"/>
      <c r="I355" s="65">
        <v>14.083333333333334</v>
      </c>
      <c r="J355" s="65" t="s">
        <v>879</v>
      </c>
      <c r="K355" s="65"/>
      <c r="L355" s="65"/>
      <c r="M355" s="65"/>
      <c r="N355" s="65"/>
      <c r="O355" s="65" t="s">
        <v>887</v>
      </c>
      <c r="P355" s="65"/>
      <c r="Q355" s="65">
        <v>1</v>
      </c>
      <c r="R355" s="65">
        <v>372</v>
      </c>
      <c r="S355" s="65"/>
    </row>
    <row r="356" spans="1:19" x14ac:dyDescent="0.25">
      <c r="A356" s="15">
        <v>27</v>
      </c>
      <c r="B356" s="65"/>
      <c r="C356" s="65">
        <v>2429</v>
      </c>
      <c r="D356" s="65"/>
      <c r="E356" s="65" t="s">
        <v>787</v>
      </c>
      <c r="F356" s="65">
        <v>10</v>
      </c>
      <c r="G356" s="65"/>
      <c r="H356" s="65"/>
      <c r="I356" s="65">
        <v>14.083333333333334</v>
      </c>
      <c r="J356" s="65" t="s">
        <v>879</v>
      </c>
      <c r="K356" s="65"/>
      <c r="L356" s="65"/>
      <c r="M356" s="65"/>
      <c r="N356" s="65"/>
      <c r="O356" s="65" t="s">
        <v>888</v>
      </c>
      <c r="P356" s="65"/>
      <c r="Q356" s="65">
        <v>1</v>
      </c>
      <c r="R356" s="65">
        <v>373</v>
      </c>
      <c r="S356" s="65"/>
    </row>
    <row r="357" spans="1:19" x14ac:dyDescent="0.25">
      <c r="A357" s="15">
        <v>27</v>
      </c>
      <c r="B357" s="65"/>
      <c r="C357" s="65">
        <v>2429</v>
      </c>
      <c r="D357" s="65"/>
      <c r="E357" s="65" t="s">
        <v>787</v>
      </c>
      <c r="F357" s="65">
        <v>10</v>
      </c>
      <c r="G357" s="65"/>
      <c r="H357" s="65"/>
      <c r="I357" s="65">
        <v>14.083333333333334</v>
      </c>
      <c r="J357" s="65" t="s">
        <v>879</v>
      </c>
      <c r="K357" s="65"/>
      <c r="L357" s="65"/>
      <c r="M357" s="65"/>
      <c r="N357" s="65"/>
      <c r="O357" s="65" t="s">
        <v>889</v>
      </c>
      <c r="P357" s="65"/>
      <c r="Q357" s="65">
        <v>1</v>
      </c>
      <c r="R357" s="65">
        <v>374</v>
      </c>
      <c r="S357" s="65"/>
    </row>
    <row r="358" spans="1:19" x14ac:dyDescent="0.25">
      <c r="A358" s="15">
        <v>27</v>
      </c>
      <c r="B358" s="65"/>
      <c r="C358" s="65">
        <v>2429</v>
      </c>
      <c r="D358" s="65"/>
      <c r="E358" s="65" t="s">
        <v>787</v>
      </c>
      <c r="F358" s="65">
        <v>10</v>
      </c>
      <c r="G358" s="65"/>
      <c r="H358" s="65"/>
      <c r="I358" s="65">
        <v>14.083333333333334</v>
      </c>
      <c r="J358" s="65" t="s">
        <v>879</v>
      </c>
      <c r="K358" s="65"/>
      <c r="L358" s="65"/>
      <c r="M358" s="65"/>
      <c r="N358" s="65"/>
      <c r="O358" s="65" t="s">
        <v>890</v>
      </c>
      <c r="P358" s="65"/>
      <c r="Q358" s="65">
        <v>1</v>
      </c>
      <c r="R358" s="65">
        <v>375</v>
      </c>
      <c r="S358" s="65"/>
    </row>
    <row r="359" spans="1:19" x14ac:dyDescent="0.25">
      <c r="A359" s="15">
        <v>27</v>
      </c>
      <c r="B359" s="65"/>
      <c r="C359" s="65">
        <v>2429</v>
      </c>
      <c r="D359" s="65"/>
      <c r="E359" s="65" t="s">
        <v>787</v>
      </c>
      <c r="F359" s="65">
        <v>10</v>
      </c>
      <c r="G359" s="65"/>
      <c r="H359" s="65"/>
      <c r="I359" s="65">
        <v>14.083333333333334</v>
      </c>
      <c r="J359" s="65" t="s">
        <v>879</v>
      </c>
      <c r="K359" s="65"/>
      <c r="L359" s="65"/>
      <c r="M359" s="65"/>
      <c r="N359" s="65"/>
      <c r="O359" s="65" t="s">
        <v>891</v>
      </c>
      <c r="P359" s="65"/>
      <c r="Q359" s="65">
        <v>1</v>
      </c>
      <c r="R359" s="65">
        <v>376</v>
      </c>
      <c r="S359" s="65"/>
    </row>
    <row r="360" spans="1:19" x14ac:dyDescent="0.25">
      <c r="A360" s="15">
        <v>27</v>
      </c>
      <c r="B360" s="65"/>
      <c r="C360" s="65">
        <v>2429</v>
      </c>
      <c r="D360" s="65"/>
      <c r="E360" s="65" t="s">
        <v>787</v>
      </c>
      <c r="F360" s="65">
        <v>10</v>
      </c>
      <c r="G360" s="65"/>
      <c r="H360" s="65"/>
      <c r="I360" s="65">
        <v>10.583333333333334</v>
      </c>
      <c r="J360" s="65" t="s">
        <v>879</v>
      </c>
      <c r="K360" s="65"/>
      <c r="L360" s="65"/>
      <c r="M360" s="65"/>
      <c r="N360" s="65"/>
      <c r="O360" s="65" t="s">
        <v>892</v>
      </c>
      <c r="P360" s="65"/>
      <c r="Q360" s="65">
        <v>1</v>
      </c>
      <c r="R360" s="65">
        <v>377</v>
      </c>
      <c r="S360" s="65"/>
    </row>
    <row r="361" spans="1:19" x14ac:dyDescent="0.25">
      <c r="A361" s="15">
        <v>27</v>
      </c>
      <c r="B361" s="65"/>
      <c r="C361" s="65">
        <v>2429</v>
      </c>
      <c r="D361" s="65"/>
      <c r="E361" s="65" t="s">
        <v>787</v>
      </c>
      <c r="F361" s="65">
        <v>1</v>
      </c>
      <c r="G361" s="65"/>
      <c r="H361" s="65" t="e">
        <v>#N/A</v>
      </c>
      <c r="I361" s="65"/>
      <c r="J361" s="65" t="s">
        <v>899</v>
      </c>
      <c r="K361" s="65" t="s">
        <v>900</v>
      </c>
      <c r="L361" s="65" t="s">
        <v>900</v>
      </c>
      <c r="M361" s="65" t="s">
        <v>900</v>
      </c>
      <c r="N361" s="65" t="s">
        <v>900</v>
      </c>
      <c r="O361" s="65" t="s">
        <v>898</v>
      </c>
      <c r="P361" s="65"/>
      <c r="Q361" s="65">
        <v>1</v>
      </c>
      <c r="R361" s="65">
        <v>598</v>
      </c>
      <c r="S361" s="65"/>
    </row>
    <row r="362" spans="1:19" x14ac:dyDescent="0.25">
      <c r="A362" s="15">
        <v>27</v>
      </c>
      <c r="B362" s="65"/>
      <c r="C362" s="65">
        <v>2429</v>
      </c>
      <c r="D362" s="65"/>
      <c r="E362" s="65" t="s">
        <v>787</v>
      </c>
      <c r="F362" s="65">
        <v>1</v>
      </c>
      <c r="G362" s="65"/>
      <c r="H362" s="65" t="e">
        <v>#N/A</v>
      </c>
      <c r="I362" s="65"/>
      <c r="J362" s="65" t="s">
        <v>899</v>
      </c>
      <c r="K362" s="65" t="s">
        <v>900</v>
      </c>
      <c r="L362" s="65" t="s">
        <v>900</v>
      </c>
      <c r="M362" s="65" t="s">
        <v>900</v>
      </c>
      <c r="N362" s="65" t="s">
        <v>900</v>
      </c>
      <c r="O362" s="65" t="s">
        <v>901</v>
      </c>
      <c r="P362" s="65"/>
      <c r="Q362" s="65">
        <v>1</v>
      </c>
      <c r="R362" s="65">
        <v>599</v>
      </c>
      <c r="S362" s="65"/>
    </row>
    <row r="363" spans="1:19" x14ac:dyDescent="0.25">
      <c r="A363" s="15">
        <v>27</v>
      </c>
      <c r="B363" s="65"/>
      <c r="C363" s="65">
        <v>2429</v>
      </c>
      <c r="D363" s="65"/>
      <c r="E363" s="65" t="s">
        <v>787</v>
      </c>
      <c r="F363" s="65">
        <v>1</v>
      </c>
      <c r="G363" s="65"/>
      <c r="H363" s="65" t="e">
        <v>#N/A</v>
      </c>
      <c r="I363" s="65"/>
      <c r="J363" s="65" t="s">
        <v>899</v>
      </c>
      <c r="K363" s="65" t="s">
        <v>900</v>
      </c>
      <c r="L363" s="65" t="s">
        <v>900</v>
      </c>
      <c r="M363" s="65" t="s">
        <v>900</v>
      </c>
      <c r="N363" s="65" t="s">
        <v>900</v>
      </c>
      <c r="O363" s="65" t="s">
        <v>902</v>
      </c>
      <c r="P363" s="65"/>
      <c r="Q363" s="65">
        <v>1</v>
      </c>
      <c r="R363" s="65">
        <v>600</v>
      </c>
      <c r="S363" s="65"/>
    </row>
    <row r="364" spans="1:19" x14ac:dyDescent="0.25">
      <c r="A364" s="15">
        <v>27</v>
      </c>
      <c r="B364" s="65"/>
      <c r="C364" s="65">
        <v>2429</v>
      </c>
      <c r="D364" s="65"/>
      <c r="E364" s="65" t="s">
        <v>787</v>
      </c>
      <c r="F364" s="65">
        <v>1</v>
      </c>
      <c r="G364" s="65"/>
      <c r="H364" s="65" t="e">
        <v>#N/A</v>
      </c>
      <c r="I364" s="65"/>
      <c r="J364" s="65" t="s">
        <v>899</v>
      </c>
      <c r="K364" s="65" t="s">
        <v>900</v>
      </c>
      <c r="L364" s="65" t="s">
        <v>900</v>
      </c>
      <c r="M364" s="65" t="s">
        <v>900</v>
      </c>
      <c r="N364" s="65" t="s">
        <v>900</v>
      </c>
      <c r="O364" s="65" t="s">
        <v>903</v>
      </c>
      <c r="P364" s="65"/>
      <c r="Q364" s="65">
        <v>1</v>
      </c>
      <c r="R364" s="65">
        <v>601</v>
      </c>
      <c r="S364" s="65"/>
    </row>
    <row r="365" spans="1:19" x14ac:dyDescent="0.25">
      <c r="A365" s="15">
        <v>27</v>
      </c>
      <c r="B365" s="65"/>
      <c r="C365" s="65">
        <v>2429</v>
      </c>
      <c r="D365" s="65"/>
      <c r="E365" s="65" t="s">
        <v>787</v>
      </c>
      <c r="F365" s="65">
        <v>1</v>
      </c>
      <c r="G365" s="65"/>
      <c r="H365" s="65" t="e">
        <v>#N/A</v>
      </c>
      <c r="I365" s="65"/>
      <c r="J365" s="65" t="s">
        <v>899</v>
      </c>
      <c r="K365" s="65" t="s">
        <v>900</v>
      </c>
      <c r="L365" s="65" t="s">
        <v>900</v>
      </c>
      <c r="M365" s="65" t="s">
        <v>900</v>
      </c>
      <c r="N365" s="65" t="s">
        <v>900</v>
      </c>
      <c r="O365" s="65" t="s">
        <v>904</v>
      </c>
      <c r="P365" s="65"/>
      <c r="Q365" s="65">
        <v>1</v>
      </c>
      <c r="R365" s="65">
        <v>602</v>
      </c>
      <c r="S365" s="65"/>
    </row>
    <row r="366" spans="1:19" x14ac:dyDescent="0.25">
      <c r="A366" s="15">
        <v>27</v>
      </c>
      <c r="B366" s="65"/>
      <c r="C366" s="65">
        <v>2429</v>
      </c>
      <c r="D366" s="65"/>
      <c r="E366" s="65" t="s">
        <v>787</v>
      </c>
      <c r="F366" s="65">
        <v>1</v>
      </c>
      <c r="G366" s="65"/>
      <c r="H366" s="65" t="e">
        <v>#N/A</v>
      </c>
      <c r="I366" s="65"/>
      <c r="J366" s="65" t="s">
        <v>899</v>
      </c>
      <c r="K366" s="65" t="s">
        <v>900</v>
      </c>
      <c r="L366" s="65" t="s">
        <v>900</v>
      </c>
      <c r="M366" s="65" t="s">
        <v>900</v>
      </c>
      <c r="N366" s="65" t="s">
        <v>900</v>
      </c>
      <c r="O366" s="65" t="s">
        <v>905</v>
      </c>
      <c r="P366" s="65"/>
      <c r="Q366" s="65">
        <v>1</v>
      </c>
      <c r="R366" s="65">
        <v>603</v>
      </c>
      <c r="S366" s="65"/>
    </row>
    <row r="367" spans="1:19" x14ac:dyDescent="0.25">
      <c r="A367" s="15">
        <v>27</v>
      </c>
      <c r="B367" s="65"/>
      <c r="C367" s="65">
        <v>2429</v>
      </c>
      <c r="D367" s="65"/>
      <c r="E367" s="65" t="s">
        <v>787</v>
      </c>
      <c r="F367" s="65">
        <v>1</v>
      </c>
      <c r="G367" s="65"/>
      <c r="H367" s="65" t="e">
        <v>#N/A</v>
      </c>
      <c r="I367" s="65"/>
      <c r="J367" s="65" t="s">
        <v>899</v>
      </c>
      <c r="K367" s="65" t="s">
        <v>900</v>
      </c>
      <c r="L367" s="65" t="s">
        <v>900</v>
      </c>
      <c r="M367" s="65" t="s">
        <v>900</v>
      </c>
      <c r="N367" s="65" t="s">
        <v>900</v>
      </c>
      <c r="O367" s="65" t="s">
        <v>906</v>
      </c>
      <c r="P367" s="65"/>
      <c r="Q367" s="65">
        <v>1</v>
      </c>
      <c r="R367" s="65">
        <v>604</v>
      </c>
      <c r="S367" s="65"/>
    </row>
    <row r="368" spans="1:19" x14ac:dyDescent="0.25">
      <c r="A368" s="15">
        <v>27</v>
      </c>
      <c r="B368" s="65"/>
      <c r="C368" s="65">
        <v>2429</v>
      </c>
      <c r="D368" s="65"/>
      <c r="E368" s="65" t="s">
        <v>787</v>
      </c>
      <c r="F368" s="65">
        <v>1</v>
      </c>
      <c r="G368" s="65"/>
      <c r="H368" s="65" t="e">
        <v>#N/A</v>
      </c>
      <c r="I368" s="65"/>
      <c r="J368" s="65" t="s">
        <v>899</v>
      </c>
      <c r="K368" s="65" t="s">
        <v>900</v>
      </c>
      <c r="L368" s="65" t="s">
        <v>900</v>
      </c>
      <c r="M368" s="65" t="s">
        <v>900</v>
      </c>
      <c r="N368" s="65" t="s">
        <v>900</v>
      </c>
      <c r="O368" s="65" t="s">
        <v>907</v>
      </c>
      <c r="P368" s="65"/>
      <c r="Q368" s="65">
        <v>1</v>
      </c>
      <c r="R368" s="65">
        <v>605</v>
      </c>
      <c r="S368" s="65"/>
    </row>
    <row r="369" spans="1:19" x14ac:dyDescent="0.25">
      <c r="A369" s="15">
        <v>27</v>
      </c>
      <c r="B369" s="65"/>
      <c r="C369" s="65">
        <v>2429</v>
      </c>
      <c r="D369" s="65"/>
      <c r="E369" s="65" t="s">
        <v>787</v>
      </c>
      <c r="F369" s="65">
        <v>1</v>
      </c>
      <c r="G369" s="65"/>
      <c r="H369" s="65" t="e">
        <v>#N/A</v>
      </c>
      <c r="I369" s="65"/>
      <c r="J369" s="65" t="s">
        <v>899</v>
      </c>
      <c r="K369" s="65" t="s">
        <v>900</v>
      </c>
      <c r="L369" s="65" t="s">
        <v>900</v>
      </c>
      <c r="M369" s="65" t="s">
        <v>900</v>
      </c>
      <c r="N369" s="65" t="s">
        <v>900</v>
      </c>
      <c r="O369" s="65" t="s">
        <v>908</v>
      </c>
      <c r="P369" s="65"/>
      <c r="Q369" s="65">
        <v>1</v>
      </c>
      <c r="R369" s="65">
        <v>606</v>
      </c>
      <c r="S369" s="65"/>
    </row>
    <row r="370" spans="1:19" x14ac:dyDescent="0.25">
      <c r="A370" s="15">
        <v>27</v>
      </c>
      <c r="B370" s="65"/>
      <c r="C370" s="65">
        <v>2429</v>
      </c>
      <c r="D370" s="65"/>
      <c r="E370" s="65" t="s">
        <v>787</v>
      </c>
      <c r="F370" s="65">
        <v>1</v>
      </c>
      <c r="G370" s="65"/>
      <c r="H370" s="65" t="e">
        <v>#N/A</v>
      </c>
      <c r="I370" s="65"/>
      <c r="J370" s="65" t="s">
        <v>899</v>
      </c>
      <c r="K370" s="65" t="s">
        <v>900</v>
      </c>
      <c r="L370" s="65" t="s">
        <v>900</v>
      </c>
      <c r="M370" s="65" t="s">
        <v>900</v>
      </c>
      <c r="N370" s="65" t="s">
        <v>900</v>
      </c>
      <c r="O370" s="65" t="s">
        <v>909</v>
      </c>
      <c r="P370" s="65"/>
      <c r="Q370" s="65">
        <v>1</v>
      </c>
      <c r="R370" s="65">
        <v>607</v>
      </c>
      <c r="S370" s="65"/>
    </row>
    <row r="371" spans="1:19" x14ac:dyDescent="0.25">
      <c r="A371" s="15">
        <v>27</v>
      </c>
      <c r="B371" s="65"/>
      <c r="C371" s="65">
        <v>2429</v>
      </c>
      <c r="D371" s="65"/>
      <c r="E371" s="65" t="s">
        <v>787</v>
      </c>
      <c r="F371" s="65">
        <v>1</v>
      </c>
      <c r="G371" s="65"/>
      <c r="H371" s="65" t="e">
        <v>#N/A</v>
      </c>
      <c r="I371" s="65"/>
      <c r="J371" s="65" t="s">
        <v>899</v>
      </c>
      <c r="K371" s="65" t="s">
        <v>900</v>
      </c>
      <c r="L371" s="65" t="s">
        <v>900</v>
      </c>
      <c r="M371" s="65" t="s">
        <v>900</v>
      </c>
      <c r="N371" s="65" t="s">
        <v>900</v>
      </c>
      <c r="O371" s="65" t="s">
        <v>910</v>
      </c>
      <c r="P371" s="65"/>
      <c r="Q371" s="65">
        <v>1</v>
      </c>
      <c r="R371" s="65">
        <v>608</v>
      </c>
      <c r="S371" s="65"/>
    </row>
    <row r="372" spans="1:19" x14ac:dyDescent="0.25">
      <c r="A372" s="15">
        <v>27</v>
      </c>
      <c r="B372" s="65"/>
      <c r="C372" s="65">
        <v>2429</v>
      </c>
      <c r="D372" s="65"/>
      <c r="E372" s="65" t="s">
        <v>787</v>
      </c>
      <c r="F372" s="65">
        <v>1</v>
      </c>
      <c r="G372" s="65"/>
      <c r="H372" s="65" t="e">
        <v>#N/A</v>
      </c>
      <c r="I372" s="65"/>
      <c r="J372" s="65" t="s">
        <v>899</v>
      </c>
      <c r="K372" s="65" t="s">
        <v>900</v>
      </c>
      <c r="L372" s="65" t="s">
        <v>900</v>
      </c>
      <c r="M372" s="65" t="s">
        <v>900</v>
      </c>
      <c r="N372" s="65" t="s">
        <v>900</v>
      </c>
      <c r="O372" s="65" t="s">
        <v>911</v>
      </c>
      <c r="P372" s="65"/>
      <c r="Q372" s="65">
        <v>1</v>
      </c>
      <c r="R372" s="65">
        <v>609</v>
      </c>
      <c r="S372" s="65"/>
    </row>
    <row r="373" spans="1:19" x14ac:dyDescent="0.25">
      <c r="A373" s="15">
        <v>27</v>
      </c>
      <c r="B373" s="65"/>
      <c r="C373" s="65">
        <v>2429</v>
      </c>
      <c r="D373" s="65"/>
      <c r="E373" s="65" t="s">
        <v>787</v>
      </c>
      <c r="F373" s="65">
        <v>0</v>
      </c>
      <c r="G373" s="65"/>
      <c r="H373" s="65">
        <v>3</v>
      </c>
      <c r="I373" s="65" t="e">
        <v>#N/A</v>
      </c>
      <c r="J373" s="65" t="s">
        <v>899</v>
      </c>
      <c r="K373" s="65"/>
      <c r="L373" s="65"/>
      <c r="M373" s="65"/>
      <c r="N373" s="65"/>
      <c r="O373" s="65" t="s">
        <v>912</v>
      </c>
      <c r="P373" s="65"/>
      <c r="Q373" s="65">
        <v>1</v>
      </c>
      <c r="R373" s="65">
        <v>825</v>
      </c>
      <c r="S373" s="65"/>
    </row>
    <row r="374" spans="1:19" x14ac:dyDescent="0.25">
      <c r="A374" s="15">
        <v>27</v>
      </c>
      <c r="B374" s="65"/>
      <c r="C374" s="65">
        <v>2429</v>
      </c>
      <c r="D374" s="65"/>
      <c r="E374" s="65" t="s">
        <v>787</v>
      </c>
      <c r="F374" s="65">
        <v>0</v>
      </c>
      <c r="G374" s="65"/>
      <c r="H374" s="65">
        <v>3</v>
      </c>
      <c r="I374" s="65" t="e">
        <v>#N/A</v>
      </c>
      <c r="J374" s="65" t="s">
        <v>899</v>
      </c>
      <c r="K374" s="65"/>
      <c r="L374" s="65"/>
      <c r="M374" s="65"/>
      <c r="N374" s="65"/>
      <c r="O374" s="65" t="s">
        <v>913</v>
      </c>
      <c r="P374" s="65"/>
      <c r="Q374" s="65">
        <v>1</v>
      </c>
      <c r="R374" s="65">
        <v>826</v>
      </c>
      <c r="S374" s="65"/>
    </row>
    <row r="375" spans="1:19" x14ac:dyDescent="0.25">
      <c r="A375" s="15">
        <v>27</v>
      </c>
      <c r="B375" s="65"/>
      <c r="C375" s="65">
        <v>2429</v>
      </c>
      <c r="D375" s="65"/>
      <c r="E375" s="65" t="s">
        <v>787</v>
      </c>
      <c r="F375" s="65">
        <v>0</v>
      </c>
      <c r="G375" s="65"/>
      <c r="H375" s="65">
        <v>3</v>
      </c>
      <c r="I375" s="65" t="e">
        <v>#N/A</v>
      </c>
      <c r="J375" s="65" t="s">
        <v>899</v>
      </c>
      <c r="K375" s="65"/>
      <c r="L375" s="65"/>
      <c r="M375" s="65"/>
      <c r="N375" s="65"/>
      <c r="O375" s="65" t="s">
        <v>914</v>
      </c>
      <c r="P375" s="65"/>
      <c r="Q375" s="65">
        <v>1</v>
      </c>
      <c r="R375" s="65">
        <v>827</v>
      </c>
      <c r="S375" s="65"/>
    </row>
    <row r="376" spans="1:19" x14ac:dyDescent="0.25">
      <c r="A376" s="15">
        <v>27</v>
      </c>
      <c r="B376" s="65"/>
      <c r="C376" s="65">
        <v>2429</v>
      </c>
      <c r="D376" s="65"/>
      <c r="E376" s="65" t="s">
        <v>787</v>
      </c>
      <c r="F376" s="65">
        <v>0</v>
      </c>
      <c r="G376" s="65"/>
      <c r="H376" s="65">
        <v>3</v>
      </c>
      <c r="I376" s="65" t="e">
        <v>#N/A</v>
      </c>
      <c r="J376" s="65" t="s">
        <v>899</v>
      </c>
      <c r="K376" s="65"/>
      <c r="L376" s="65"/>
      <c r="M376" s="65"/>
      <c r="N376" s="65"/>
      <c r="O376" s="65" t="s">
        <v>915</v>
      </c>
      <c r="P376" s="65"/>
      <c r="Q376" s="65">
        <v>1</v>
      </c>
      <c r="R376" s="65">
        <v>828</v>
      </c>
      <c r="S376" s="65"/>
    </row>
    <row r="377" spans="1:19" x14ac:dyDescent="0.25">
      <c r="A377" s="15">
        <v>27</v>
      </c>
      <c r="B377" s="65"/>
      <c r="C377" s="65">
        <v>2429</v>
      </c>
      <c r="D377" s="65"/>
      <c r="E377" s="65" t="s">
        <v>787</v>
      </c>
      <c r="F377" s="65">
        <v>0</v>
      </c>
      <c r="G377" s="65"/>
      <c r="H377" s="65">
        <v>3</v>
      </c>
      <c r="I377" s="65" t="e">
        <v>#N/A</v>
      </c>
      <c r="J377" s="65" t="s">
        <v>899</v>
      </c>
      <c r="K377" s="65"/>
      <c r="L377" s="65"/>
      <c r="M377" s="65"/>
      <c r="N377" s="65"/>
      <c r="O377" s="65" t="s">
        <v>916</v>
      </c>
      <c r="P377" s="65"/>
      <c r="Q377" s="65">
        <v>1</v>
      </c>
      <c r="R377" s="65">
        <v>829</v>
      </c>
      <c r="S377" s="65"/>
    </row>
    <row r="378" spans="1:19" x14ac:dyDescent="0.25">
      <c r="A378" s="15">
        <v>27</v>
      </c>
      <c r="B378" s="65"/>
      <c r="C378" s="65">
        <v>2429</v>
      </c>
      <c r="D378" s="65"/>
      <c r="E378" s="65" t="s">
        <v>787</v>
      </c>
      <c r="F378" s="65">
        <v>0</v>
      </c>
      <c r="G378" s="65"/>
      <c r="H378" s="65">
        <v>3</v>
      </c>
      <c r="I378" s="65" t="e">
        <v>#N/A</v>
      </c>
      <c r="J378" s="65" t="s">
        <v>899</v>
      </c>
      <c r="K378" s="65"/>
      <c r="L378" s="65"/>
      <c r="M378" s="65"/>
      <c r="N378" s="65"/>
      <c r="O378" s="65" t="s">
        <v>917</v>
      </c>
      <c r="P378" s="65"/>
      <c r="Q378" s="65">
        <v>1</v>
      </c>
      <c r="R378" s="65">
        <v>830</v>
      </c>
      <c r="S378" s="65"/>
    </row>
    <row r="379" spans="1:19" x14ac:dyDescent="0.25">
      <c r="A379" s="15">
        <v>27</v>
      </c>
      <c r="B379" s="65"/>
      <c r="C379" s="65">
        <v>2429</v>
      </c>
      <c r="D379" s="65"/>
      <c r="E379" s="65" t="s">
        <v>787</v>
      </c>
      <c r="F379" s="65">
        <v>0</v>
      </c>
      <c r="G379" s="65"/>
      <c r="H379" s="65">
        <v>3</v>
      </c>
      <c r="I379" s="65" t="e">
        <v>#N/A</v>
      </c>
      <c r="J379" s="65" t="s">
        <v>899</v>
      </c>
      <c r="K379" s="65"/>
      <c r="L379" s="65"/>
      <c r="M379" s="65"/>
      <c r="N379" s="65"/>
      <c r="O379" s="65" t="s">
        <v>918</v>
      </c>
      <c r="P379" s="65"/>
      <c r="Q379" s="65">
        <v>1</v>
      </c>
      <c r="R379" s="65">
        <v>831</v>
      </c>
      <c r="S379" s="65"/>
    </row>
    <row r="380" spans="1:19" x14ac:dyDescent="0.25">
      <c r="A380" s="15">
        <v>27</v>
      </c>
      <c r="B380" s="65"/>
      <c r="C380" s="65">
        <v>2429</v>
      </c>
      <c r="D380" s="65"/>
      <c r="E380" s="65" t="s">
        <v>787</v>
      </c>
      <c r="F380" s="65">
        <v>0</v>
      </c>
      <c r="G380" s="65"/>
      <c r="H380" s="65">
        <v>3</v>
      </c>
      <c r="I380" s="65" t="e">
        <v>#N/A</v>
      </c>
      <c r="J380" s="65" t="s">
        <v>899</v>
      </c>
      <c r="K380" s="65"/>
      <c r="L380" s="65"/>
      <c r="M380" s="65"/>
      <c r="N380" s="65"/>
      <c r="O380" s="65" t="s">
        <v>919</v>
      </c>
      <c r="P380" s="65"/>
      <c r="Q380" s="65">
        <v>1</v>
      </c>
      <c r="R380" s="65">
        <v>832</v>
      </c>
      <c r="S380" s="65"/>
    </row>
    <row r="381" spans="1:19" x14ac:dyDescent="0.25">
      <c r="A381" s="15">
        <v>27</v>
      </c>
      <c r="B381" s="65"/>
      <c r="C381" s="65">
        <v>2429</v>
      </c>
      <c r="D381" s="65"/>
      <c r="E381" s="65" t="s">
        <v>787</v>
      </c>
      <c r="F381" s="65">
        <v>0</v>
      </c>
      <c r="G381" s="65"/>
      <c r="H381" s="65">
        <v>3</v>
      </c>
      <c r="I381" s="65" t="e">
        <v>#N/A</v>
      </c>
      <c r="J381" s="65" t="s">
        <v>899</v>
      </c>
      <c r="K381" s="65"/>
      <c r="L381" s="65"/>
      <c r="M381" s="65"/>
      <c r="N381" s="65"/>
      <c r="O381" s="65" t="s">
        <v>920</v>
      </c>
      <c r="P381" s="65"/>
      <c r="Q381" s="65">
        <v>1</v>
      </c>
      <c r="R381" s="65">
        <v>833</v>
      </c>
      <c r="S381" s="65"/>
    </row>
    <row r="382" spans="1:19" x14ac:dyDescent="0.25">
      <c r="A382" s="15">
        <v>27</v>
      </c>
      <c r="B382" s="65"/>
      <c r="C382" s="65">
        <v>2429</v>
      </c>
      <c r="D382" s="65"/>
      <c r="E382" s="65" t="s">
        <v>787</v>
      </c>
      <c r="F382" s="65">
        <v>0</v>
      </c>
      <c r="G382" s="65"/>
      <c r="H382" s="65">
        <v>3</v>
      </c>
      <c r="I382" s="65" t="e">
        <v>#N/A</v>
      </c>
      <c r="J382" s="65" t="s">
        <v>899</v>
      </c>
      <c r="K382" s="65"/>
      <c r="L382" s="65"/>
      <c r="M382" s="65"/>
      <c r="N382" s="65"/>
      <c r="O382" s="65" t="s">
        <v>921</v>
      </c>
      <c r="P382" s="65"/>
      <c r="Q382" s="65">
        <v>1</v>
      </c>
      <c r="R382" s="65">
        <v>834</v>
      </c>
      <c r="S382" s="65"/>
    </row>
    <row r="383" spans="1:19" x14ac:dyDescent="0.25">
      <c r="A383" s="15">
        <v>27</v>
      </c>
      <c r="B383" s="65"/>
      <c r="C383" s="65">
        <v>2429</v>
      </c>
      <c r="D383" s="65"/>
      <c r="E383" s="65" t="s">
        <v>787</v>
      </c>
      <c r="F383" s="65">
        <v>0</v>
      </c>
      <c r="G383" s="65"/>
      <c r="H383" s="65">
        <v>3</v>
      </c>
      <c r="I383" s="65" t="e">
        <v>#N/A</v>
      </c>
      <c r="J383" s="65" t="s">
        <v>899</v>
      </c>
      <c r="K383" s="65"/>
      <c r="L383" s="65"/>
      <c r="M383" s="65"/>
      <c r="N383" s="65"/>
      <c r="O383" s="65" t="s">
        <v>922</v>
      </c>
      <c r="P383" s="65"/>
      <c r="Q383" s="65">
        <v>1</v>
      </c>
      <c r="R383" s="65">
        <v>835</v>
      </c>
      <c r="S383" s="65"/>
    </row>
    <row r="384" spans="1:19" x14ac:dyDescent="0.25">
      <c r="A384" s="15">
        <v>27</v>
      </c>
      <c r="B384" s="65"/>
      <c r="C384" s="65">
        <v>2429</v>
      </c>
      <c r="D384" s="65"/>
      <c r="E384" s="65" t="s">
        <v>787</v>
      </c>
      <c r="F384" s="65">
        <v>0</v>
      </c>
      <c r="G384" s="65"/>
      <c r="H384" s="65">
        <v>3</v>
      </c>
      <c r="I384" s="65" t="e">
        <v>#N/A</v>
      </c>
      <c r="J384" s="65" t="s">
        <v>899</v>
      </c>
      <c r="K384" s="65"/>
      <c r="L384" s="65"/>
      <c r="M384" s="65"/>
      <c r="N384" s="65"/>
      <c r="O384" s="65" t="s">
        <v>923</v>
      </c>
      <c r="P384" s="65"/>
      <c r="Q384" s="65">
        <v>1</v>
      </c>
      <c r="R384" s="65">
        <v>836</v>
      </c>
      <c r="S384" s="65"/>
    </row>
    <row r="385" spans="1:19" x14ac:dyDescent="0.25">
      <c r="A385" s="15">
        <v>27</v>
      </c>
      <c r="B385" s="65"/>
      <c r="C385" s="65">
        <v>2429</v>
      </c>
      <c r="D385" s="65"/>
      <c r="E385" s="65" t="s">
        <v>787</v>
      </c>
      <c r="F385" s="65">
        <v>3</v>
      </c>
      <c r="G385" s="65"/>
      <c r="H385" s="65">
        <v>3</v>
      </c>
      <c r="I385" s="65" t="e">
        <v>#N/A</v>
      </c>
      <c r="J385" s="65" t="s">
        <v>899</v>
      </c>
      <c r="K385" s="65"/>
      <c r="L385" s="65"/>
      <c r="M385" s="65"/>
      <c r="N385" s="65"/>
      <c r="O385" s="65" t="s">
        <v>924</v>
      </c>
      <c r="P385" s="65"/>
      <c r="Q385" s="65">
        <v>1</v>
      </c>
      <c r="R385" s="65">
        <v>1052</v>
      </c>
      <c r="S385" s="65"/>
    </row>
    <row r="386" spans="1:19" x14ac:dyDescent="0.25">
      <c r="A386" s="15">
        <v>27</v>
      </c>
      <c r="B386" s="65"/>
      <c r="C386" s="65">
        <v>2429</v>
      </c>
      <c r="D386" s="65"/>
      <c r="E386" s="65" t="s">
        <v>787</v>
      </c>
      <c r="F386" s="65">
        <v>3</v>
      </c>
      <c r="G386" s="65"/>
      <c r="H386" s="65">
        <v>3</v>
      </c>
      <c r="I386" s="65" t="e">
        <v>#N/A</v>
      </c>
      <c r="J386" s="65" t="s">
        <v>899</v>
      </c>
      <c r="K386" s="65"/>
      <c r="L386" s="65"/>
      <c r="M386" s="65"/>
      <c r="N386" s="65"/>
      <c r="O386" s="65" t="s">
        <v>925</v>
      </c>
      <c r="P386" s="65"/>
      <c r="Q386" s="65">
        <v>1</v>
      </c>
      <c r="R386" s="65">
        <v>1053</v>
      </c>
      <c r="S386" s="65"/>
    </row>
    <row r="387" spans="1:19" x14ac:dyDescent="0.25">
      <c r="A387" s="15">
        <v>27</v>
      </c>
      <c r="B387" s="65"/>
      <c r="C387" s="65">
        <v>2429</v>
      </c>
      <c r="D387" s="65"/>
      <c r="E387" s="65" t="s">
        <v>787</v>
      </c>
      <c r="F387" s="65">
        <v>3</v>
      </c>
      <c r="G387" s="65"/>
      <c r="H387" s="65">
        <v>3</v>
      </c>
      <c r="I387" s="65" t="e">
        <v>#N/A</v>
      </c>
      <c r="J387" s="65" t="s">
        <v>899</v>
      </c>
      <c r="K387" s="65"/>
      <c r="L387" s="65"/>
      <c r="M387" s="65"/>
      <c r="N387" s="65"/>
      <c r="O387" s="65" t="s">
        <v>926</v>
      </c>
      <c r="P387" s="65"/>
      <c r="Q387" s="65">
        <v>1</v>
      </c>
      <c r="R387" s="65">
        <v>1054</v>
      </c>
      <c r="S387" s="65"/>
    </row>
    <row r="388" spans="1:19" x14ac:dyDescent="0.25">
      <c r="A388" s="15">
        <v>27</v>
      </c>
      <c r="B388" s="65"/>
      <c r="C388" s="65">
        <v>2429</v>
      </c>
      <c r="D388" s="65"/>
      <c r="E388" s="65" t="s">
        <v>787</v>
      </c>
      <c r="F388" s="65">
        <v>3</v>
      </c>
      <c r="G388" s="65"/>
      <c r="H388" s="65">
        <v>3</v>
      </c>
      <c r="I388" s="65" t="e">
        <v>#N/A</v>
      </c>
      <c r="J388" s="65" t="s">
        <v>899</v>
      </c>
      <c r="K388" s="65"/>
      <c r="L388" s="65"/>
      <c r="M388" s="65"/>
      <c r="N388" s="65"/>
      <c r="O388" s="65" t="s">
        <v>927</v>
      </c>
      <c r="P388" s="65"/>
      <c r="Q388" s="65">
        <v>1</v>
      </c>
      <c r="R388" s="65">
        <v>1055</v>
      </c>
      <c r="S388" s="65"/>
    </row>
    <row r="389" spans="1:19" x14ac:dyDescent="0.25">
      <c r="A389" s="15">
        <v>27</v>
      </c>
      <c r="B389" s="65"/>
      <c r="C389" s="65">
        <v>2429</v>
      </c>
      <c r="D389" s="65"/>
      <c r="E389" s="65" t="s">
        <v>787</v>
      </c>
      <c r="F389" s="65">
        <v>3</v>
      </c>
      <c r="G389" s="65"/>
      <c r="H389" s="65">
        <v>3</v>
      </c>
      <c r="I389" s="65" t="e">
        <v>#N/A</v>
      </c>
      <c r="J389" s="65" t="s">
        <v>899</v>
      </c>
      <c r="K389" s="65"/>
      <c r="L389" s="65"/>
      <c r="M389" s="65"/>
      <c r="N389" s="65"/>
      <c r="O389" s="65" t="s">
        <v>928</v>
      </c>
      <c r="P389" s="65"/>
      <c r="Q389" s="65">
        <v>1</v>
      </c>
      <c r="R389" s="65">
        <v>1056</v>
      </c>
      <c r="S389" s="65"/>
    </row>
    <row r="390" spans="1:19" x14ac:dyDescent="0.25">
      <c r="A390" s="15">
        <v>27</v>
      </c>
      <c r="B390" s="65"/>
      <c r="C390" s="65">
        <v>2429</v>
      </c>
      <c r="D390" s="65"/>
      <c r="E390" s="65" t="s">
        <v>787</v>
      </c>
      <c r="F390" s="65">
        <v>3</v>
      </c>
      <c r="G390" s="65"/>
      <c r="H390" s="65">
        <v>3</v>
      </c>
      <c r="I390" s="65" t="e">
        <v>#N/A</v>
      </c>
      <c r="J390" s="65" t="s">
        <v>899</v>
      </c>
      <c r="K390" s="65"/>
      <c r="L390" s="65"/>
      <c r="M390" s="65"/>
      <c r="N390" s="65"/>
      <c r="O390" s="65" t="s">
        <v>929</v>
      </c>
      <c r="P390" s="65"/>
      <c r="Q390" s="65">
        <v>1</v>
      </c>
      <c r="R390" s="65">
        <v>1057</v>
      </c>
      <c r="S390" s="65"/>
    </row>
    <row r="391" spans="1:19" x14ac:dyDescent="0.25">
      <c r="A391" s="15">
        <v>27</v>
      </c>
      <c r="B391" s="65"/>
      <c r="C391" s="65">
        <v>2429</v>
      </c>
      <c r="D391" s="65"/>
      <c r="E391" s="65" t="s">
        <v>787</v>
      </c>
      <c r="F391" s="65">
        <v>3</v>
      </c>
      <c r="G391" s="65"/>
      <c r="H391" s="65">
        <v>3</v>
      </c>
      <c r="I391" s="65" t="e">
        <v>#N/A</v>
      </c>
      <c r="J391" s="65" t="s">
        <v>899</v>
      </c>
      <c r="K391" s="65"/>
      <c r="L391" s="65"/>
      <c r="M391" s="65"/>
      <c r="N391" s="65"/>
      <c r="O391" s="65" t="s">
        <v>930</v>
      </c>
      <c r="P391" s="65"/>
      <c r="Q391" s="65">
        <v>1</v>
      </c>
      <c r="R391" s="65">
        <v>1058</v>
      </c>
      <c r="S391" s="65"/>
    </row>
    <row r="392" spans="1:19" x14ac:dyDescent="0.25">
      <c r="A392" s="15">
        <v>27</v>
      </c>
      <c r="B392" s="65"/>
      <c r="C392" s="65">
        <v>2429</v>
      </c>
      <c r="D392" s="65"/>
      <c r="E392" s="65" t="s">
        <v>787</v>
      </c>
      <c r="F392" s="65">
        <v>3</v>
      </c>
      <c r="G392" s="65"/>
      <c r="H392" s="65">
        <v>3</v>
      </c>
      <c r="I392" s="65" t="e">
        <v>#N/A</v>
      </c>
      <c r="J392" s="65" t="s">
        <v>899</v>
      </c>
      <c r="K392" s="65"/>
      <c r="L392" s="65"/>
      <c r="M392" s="65"/>
      <c r="N392" s="65"/>
      <c r="O392" s="65" t="s">
        <v>931</v>
      </c>
      <c r="P392" s="65"/>
      <c r="Q392" s="65">
        <v>1</v>
      </c>
      <c r="R392" s="65">
        <v>1059</v>
      </c>
      <c r="S392" s="65"/>
    </row>
    <row r="393" spans="1:19" x14ac:dyDescent="0.25">
      <c r="A393" s="15">
        <v>27</v>
      </c>
      <c r="B393" s="65"/>
      <c r="C393" s="65">
        <v>2429</v>
      </c>
      <c r="D393" s="65"/>
      <c r="E393" s="65" t="s">
        <v>787</v>
      </c>
      <c r="F393" s="65">
        <v>3</v>
      </c>
      <c r="G393" s="65"/>
      <c r="H393" s="65">
        <v>3</v>
      </c>
      <c r="I393" s="65" t="e">
        <v>#N/A</v>
      </c>
      <c r="J393" s="65" t="s">
        <v>899</v>
      </c>
      <c r="K393" s="65"/>
      <c r="L393" s="65"/>
      <c r="M393" s="65"/>
      <c r="N393" s="65"/>
      <c r="O393" s="65" t="s">
        <v>932</v>
      </c>
      <c r="P393" s="65"/>
      <c r="Q393" s="65">
        <v>1</v>
      </c>
      <c r="R393" s="65">
        <v>1060</v>
      </c>
      <c r="S393" s="65"/>
    </row>
    <row r="394" spans="1:19" x14ac:dyDescent="0.25">
      <c r="A394" s="15">
        <v>27</v>
      </c>
      <c r="B394" s="65"/>
      <c r="C394" s="65">
        <v>2429</v>
      </c>
      <c r="D394" s="65"/>
      <c r="E394" s="65" t="s">
        <v>787</v>
      </c>
      <c r="F394" s="65">
        <v>3</v>
      </c>
      <c r="G394" s="65"/>
      <c r="H394" s="65">
        <v>3</v>
      </c>
      <c r="I394" s="65" t="e">
        <v>#N/A</v>
      </c>
      <c r="J394" s="65" t="s">
        <v>899</v>
      </c>
      <c r="K394" s="65"/>
      <c r="L394" s="65"/>
      <c r="M394" s="65"/>
      <c r="N394" s="65"/>
      <c r="O394" s="65" t="s">
        <v>933</v>
      </c>
      <c r="P394" s="65"/>
      <c r="Q394" s="65">
        <v>1</v>
      </c>
      <c r="R394" s="65">
        <v>1061</v>
      </c>
      <c r="S394" s="65"/>
    </row>
    <row r="395" spans="1:19" x14ac:dyDescent="0.25">
      <c r="A395" s="15">
        <v>27</v>
      </c>
      <c r="B395" s="65"/>
      <c r="C395" s="65">
        <v>2429</v>
      </c>
      <c r="D395" s="65"/>
      <c r="E395" s="65" t="s">
        <v>787</v>
      </c>
      <c r="F395" s="65">
        <v>3</v>
      </c>
      <c r="G395" s="65"/>
      <c r="H395" s="65">
        <v>3</v>
      </c>
      <c r="I395" s="65" t="e">
        <v>#N/A</v>
      </c>
      <c r="J395" s="65" t="s">
        <v>899</v>
      </c>
      <c r="K395" s="65"/>
      <c r="L395" s="65"/>
      <c r="M395" s="65"/>
      <c r="N395" s="65"/>
      <c r="O395" s="65" t="s">
        <v>934</v>
      </c>
      <c r="P395" s="65"/>
      <c r="Q395" s="65">
        <v>1</v>
      </c>
      <c r="R395" s="65">
        <v>1062</v>
      </c>
      <c r="S395" s="65"/>
    </row>
    <row r="396" spans="1:19" x14ac:dyDescent="0.25">
      <c r="A396" s="15">
        <v>27</v>
      </c>
      <c r="B396" s="65"/>
      <c r="C396" s="65">
        <v>2429</v>
      </c>
      <c r="D396" s="65"/>
      <c r="E396" s="65" t="s">
        <v>787</v>
      </c>
      <c r="F396" s="65">
        <v>3</v>
      </c>
      <c r="G396" s="65"/>
      <c r="H396" s="65">
        <v>3</v>
      </c>
      <c r="I396" s="65" t="e">
        <v>#N/A</v>
      </c>
      <c r="J396" s="65" t="s">
        <v>899</v>
      </c>
      <c r="K396" s="65"/>
      <c r="L396" s="65"/>
      <c r="M396" s="65"/>
      <c r="N396" s="65"/>
      <c r="O396" s="65" t="s">
        <v>935</v>
      </c>
      <c r="P396" s="65"/>
      <c r="Q396" s="65">
        <v>1</v>
      </c>
      <c r="R396" s="65">
        <v>1063</v>
      </c>
      <c r="S396" s="65"/>
    </row>
    <row r="397" spans="1:19" x14ac:dyDescent="0.25">
      <c r="A397" s="15">
        <v>27</v>
      </c>
      <c r="B397" s="65"/>
      <c r="C397" s="65">
        <v>2429</v>
      </c>
      <c r="D397" s="65"/>
      <c r="E397" s="65" t="s">
        <v>787</v>
      </c>
      <c r="F397" s="65">
        <v>3</v>
      </c>
      <c r="G397" s="65"/>
      <c r="H397" s="65" t="e">
        <v>#N/A</v>
      </c>
      <c r="I397" s="65"/>
      <c r="J397" s="65" t="s">
        <v>899</v>
      </c>
      <c r="K397" s="65"/>
      <c r="L397" s="65"/>
      <c r="M397" s="65"/>
      <c r="N397" s="65"/>
      <c r="O397" s="65" t="s">
        <v>936</v>
      </c>
      <c r="P397" s="65"/>
      <c r="Q397" s="65">
        <v>1</v>
      </c>
      <c r="R397" s="65">
        <v>1268</v>
      </c>
      <c r="S397" s="65"/>
    </row>
    <row r="398" spans="1:19" x14ac:dyDescent="0.25">
      <c r="A398" s="15">
        <v>27</v>
      </c>
      <c r="B398" s="65"/>
      <c r="C398" s="65">
        <v>2429</v>
      </c>
      <c r="D398" s="65"/>
      <c r="E398" s="65" t="s">
        <v>787</v>
      </c>
      <c r="F398" s="65">
        <v>5</v>
      </c>
      <c r="G398" s="65"/>
      <c r="H398" s="65" t="e">
        <v>#N/A</v>
      </c>
      <c r="I398" s="65"/>
      <c r="J398" s="65" t="s">
        <v>899</v>
      </c>
      <c r="K398" s="65"/>
      <c r="L398" s="65"/>
      <c r="M398" s="65"/>
      <c r="N398" s="65"/>
      <c r="O398" s="65" t="s">
        <v>938</v>
      </c>
      <c r="P398" s="65"/>
      <c r="Q398" s="65">
        <v>1</v>
      </c>
      <c r="R398" s="65">
        <v>1346</v>
      </c>
      <c r="S398" s="65"/>
    </row>
    <row r="399" spans="1:19" x14ac:dyDescent="0.25">
      <c r="A399" s="15">
        <v>27</v>
      </c>
      <c r="B399" s="65"/>
      <c r="C399" s="65">
        <v>2429</v>
      </c>
      <c r="D399" s="65"/>
      <c r="E399" s="65" t="s">
        <v>787</v>
      </c>
      <c r="F399" s="65">
        <v>5</v>
      </c>
      <c r="G399" s="65"/>
      <c r="H399" s="65" t="e">
        <v>#N/A</v>
      </c>
      <c r="I399" s="65"/>
      <c r="J399" s="65" t="s">
        <v>899</v>
      </c>
      <c r="K399" s="65"/>
      <c r="L399" s="65"/>
      <c r="M399" s="65"/>
      <c r="N399" s="65"/>
      <c r="O399" s="65" t="s">
        <v>939</v>
      </c>
      <c r="P399" s="65"/>
      <c r="Q399" s="65">
        <v>1</v>
      </c>
      <c r="R399" s="65">
        <v>1347</v>
      </c>
      <c r="S399" s="65"/>
    </row>
    <row r="400" spans="1:19" x14ac:dyDescent="0.25">
      <c r="A400" s="15">
        <v>27</v>
      </c>
      <c r="B400" s="65"/>
      <c r="C400" s="65">
        <v>2429</v>
      </c>
      <c r="D400" s="65"/>
      <c r="E400" s="65" t="s">
        <v>787</v>
      </c>
      <c r="F400" s="65">
        <v>5</v>
      </c>
      <c r="G400" s="65"/>
      <c r="H400" s="65" t="e">
        <v>#N/A</v>
      </c>
      <c r="I400" s="65"/>
      <c r="J400" s="65" t="s">
        <v>899</v>
      </c>
      <c r="K400" s="65"/>
      <c r="L400" s="65"/>
      <c r="M400" s="65"/>
      <c r="N400" s="65"/>
      <c r="O400" s="65" t="s">
        <v>940</v>
      </c>
      <c r="P400" s="65"/>
      <c r="Q400" s="65">
        <v>1</v>
      </c>
      <c r="R400" s="65">
        <v>1348</v>
      </c>
      <c r="S400" s="65"/>
    </row>
    <row r="401" spans="1:19" x14ac:dyDescent="0.25">
      <c r="A401" s="15">
        <v>27</v>
      </c>
      <c r="B401" s="65"/>
      <c r="C401" s="65">
        <v>2429</v>
      </c>
      <c r="D401" s="65"/>
      <c r="E401" s="65" t="s">
        <v>787</v>
      </c>
      <c r="F401" s="65">
        <v>5</v>
      </c>
      <c r="G401" s="65"/>
      <c r="H401" s="65" t="e">
        <v>#N/A</v>
      </c>
      <c r="I401" s="65"/>
      <c r="J401" s="65" t="s">
        <v>899</v>
      </c>
      <c r="K401" s="65"/>
      <c r="L401" s="65"/>
      <c r="M401" s="65"/>
      <c r="N401" s="65"/>
      <c r="O401" s="65" t="s">
        <v>941</v>
      </c>
      <c r="P401" s="65"/>
      <c r="Q401" s="65">
        <v>1</v>
      </c>
      <c r="R401" s="65">
        <v>1349</v>
      </c>
      <c r="S401" s="65"/>
    </row>
    <row r="402" spans="1:19" x14ac:dyDescent="0.25">
      <c r="A402" s="15">
        <v>27</v>
      </c>
      <c r="B402" s="65"/>
      <c r="C402" s="65">
        <v>2429</v>
      </c>
      <c r="D402" s="65"/>
      <c r="E402" s="65" t="s">
        <v>787</v>
      </c>
      <c r="F402" s="65">
        <v>5</v>
      </c>
      <c r="G402" s="65"/>
      <c r="H402" s="65" t="e">
        <v>#N/A</v>
      </c>
      <c r="I402" s="65"/>
      <c r="J402" s="65" t="s">
        <v>899</v>
      </c>
      <c r="K402" s="65"/>
      <c r="L402" s="65"/>
      <c r="M402" s="65"/>
      <c r="N402" s="65"/>
      <c r="O402" s="65" t="s">
        <v>942</v>
      </c>
      <c r="P402" s="65"/>
      <c r="Q402" s="65">
        <v>1</v>
      </c>
      <c r="R402" s="65">
        <v>1350</v>
      </c>
      <c r="S402" s="65"/>
    </row>
    <row r="403" spans="1:19" x14ac:dyDescent="0.25">
      <c r="A403" s="15">
        <v>27</v>
      </c>
      <c r="B403" s="65"/>
      <c r="C403" s="65">
        <v>2429</v>
      </c>
      <c r="D403" s="65"/>
      <c r="E403" s="65" t="s">
        <v>787</v>
      </c>
      <c r="F403" s="65">
        <v>5</v>
      </c>
      <c r="G403" s="65"/>
      <c r="H403" s="65" t="e">
        <v>#N/A</v>
      </c>
      <c r="I403" s="65"/>
      <c r="J403" s="65" t="s">
        <v>899</v>
      </c>
      <c r="K403" s="65"/>
      <c r="L403" s="65"/>
      <c r="M403" s="65"/>
      <c r="N403" s="65"/>
      <c r="O403" s="65" t="s">
        <v>943</v>
      </c>
      <c r="P403" s="65"/>
      <c r="Q403" s="65">
        <v>1</v>
      </c>
      <c r="R403" s="65">
        <v>1351</v>
      </c>
      <c r="S403" s="65"/>
    </row>
    <row r="404" spans="1:19" x14ac:dyDescent="0.25">
      <c r="A404" s="15">
        <v>27</v>
      </c>
      <c r="B404" s="65"/>
      <c r="C404" s="65">
        <v>2429</v>
      </c>
      <c r="D404" s="65"/>
      <c r="E404" s="65" t="s">
        <v>787</v>
      </c>
      <c r="F404" s="65">
        <v>5</v>
      </c>
      <c r="G404" s="65"/>
      <c r="H404" s="65" t="e">
        <v>#N/A</v>
      </c>
      <c r="I404" s="65"/>
      <c r="J404" s="65" t="s">
        <v>899</v>
      </c>
      <c r="K404" s="65"/>
      <c r="L404" s="65"/>
      <c r="M404" s="65"/>
      <c r="N404" s="65"/>
      <c r="O404" s="65" t="s">
        <v>944</v>
      </c>
      <c r="P404" s="65"/>
      <c r="Q404" s="65">
        <v>1</v>
      </c>
      <c r="R404" s="65">
        <v>1352</v>
      </c>
      <c r="S404" s="65"/>
    </row>
    <row r="405" spans="1:19" x14ac:dyDescent="0.25">
      <c r="A405" s="15">
        <v>27</v>
      </c>
      <c r="B405" s="65"/>
      <c r="C405" s="65">
        <v>2429</v>
      </c>
      <c r="D405" s="65"/>
      <c r="E405" s="65" t="s">
        <v>787</v>
      </c>
      <c r="F405" s="65">
        <v>5</v>
      </c>
      <c r="G405" s="65"/>
      <c r="H405" s="65" t="e">
        <v>#N/A</v>
      </c>
      <c r="I405" s="65"/>
      <c r="J405" s="65" t="s">
        <v>899</v>
      </c>
      <c r="K405" s="65"/>
      <c r="L405" s="65"/>
      <c r="M405" s="65"/>
      <c r="N405" s="65"/>
      <c r="O405" s="65" t="s">
        <v>945</v>
      </c>
      <c r="P405" s="65"/>
      <c r="Q405" s="65">
        <v>1</v>
      </c>
      <c r="R405" s="65">
        <v>1353</v>
      </c>
      <c r="S405" s="65"/>
    </row>
    <row r="406" spans="1:19" x14ac:dyDescent="0.25">
      <c r="A406" s="15">
        <v>27</v>
      </c>
      <c r="B406" s="65"/>
      <c r="C406" s="65">
        <v>2429</v>
      </c>
      <c r="D406" s="65"/>
      <c r="E406" s="65" t="s">
        <v>787</v>
      </c>
      <c r="F406" s="65">
        <v>5</v>
      </c>
      <c r="G406" s="65"/>
      <c r="H406" s="65" t="e">
        <v>#N/A</v>
      </c>
      <c r="I406" s="65"/>
      <c r="J406" s="65" t="s">
        <v>899</v>
      </c>
      <c r="K406" s="65"/>
      <c r="L406" s="65"/>
      <c r="M406" s="65"/>
      <c r="N406" s="65"/>
      <c r="O406" s="65" t="s">
        <v>946</v>
      </c>
      <c r="P406" s="65"/>
      <c r="Q406" s="65">
        <v>1</v>
      </c>
      <c r="R406" s="65">
        <v>1354</v>
      </c>
      <c r="S406" s="65"/>
    </row>
    <row r="407" spans="1:19" x14ac:dyDescent="0.25">
      <c r="A407" s="15">
        <v>27</v>
      </c>
      <c r="B407" s="65"/>
      <c r="C407" s="65">
        <v>2429</v>
      </c>
      <c r="D407" s="65"/>
      <c r="E407" s="65" t="s">
        <v>787</v>
      </c>
      <c r="F407" s="65">
        <v>5</v>
      </c>
      <c r="G407" s="65"/>
      <c r="H407" s="65" t="e">
        <v>#N/A</v>
      </c>
      <c r="I407" s="65"/>
      <c r="J407" s="65" t="s">
        <v>899</v>
      </c>
      <c r="K407" s="65"/>
      <c r="L407" s="65"/>
      <c r="M407" s="65"/>
      <c r="N407" s="65"/>
      <c r="O407" s="65" t="s">
        <v>947</v>
      </c>
      <c r="P407" s="65"/>
      <c r="Q407" s="65">
        <v>1</v>
      </c>
      <c r="R407" s="65">
        <v>1355</v>
      </c>
      <c r="S407" s="65"/>
    </row>
    <row r="408" spans="1:19" x14ac:dyDescent="0.25">
      <c r="A408" s="15">
        <v>27</v>
      </c>
      <c r="B408" s="65"/>
      <c r="C408" s="65">
        <v>2429</v>
      </c>
      <c r="D408" s="65"/>
      <c r="E408" s="65" t="s">
        <v>787</v>
      </c>
      <c r="F408" s="65">
        <v>5</v>
      </c>
      <c r="G408" s="65"/>
      <c r="H408" s="65" t="e">
        <v>#N/A</v>
      </c>
      <c r="I408" s="65"/>
      <c r="J408" s="65" t="s">
        <v>899</v>
      </c>
      <c r="K408" s="65"/>
      <c r="L408" s="65"/>
      <c r="M408" s="65"/>
      <c r="N408" s="65"/>
      <c r="O408" s="65" t="s">
        <v>948</v>
      </c>
      <c r="P408" s="65"/>
      <c r="Q408" s="65">
        <v>1</v>
      </c>
      <c r="R408" s="65">
        <v>1356</v>
      </c>
      <c r="S408" s="65"/>
    </row>
    <row r="409" spans="1:19" x14ac:dyDescent="0.25">
      <c r="A409" s="15">
        <v>27</v>
      </c>
      <c r="B409" s="65"/>
      <c r="C409" s="65">
        <v>2429</v>
      </c>
      <c r="D409" s="65"/>
      <c r="E409" s="65" t="s">
        <v>787</v>
      </c>
      <c r="F409" s="65">
        <v>5</v>
      </c>
      <c r="G409" s="65"/>
      <c r="H409" s="65" t="e">
        <v>#N/A</v>
      </c>
      <c r="I409" s="65"/>
      <c r="J409" s="65" t="s">
        <v>899</v>
      </c>
      <c r="K409" s="65"/>
      <c r="L409" s="65"/>
      <c r="M409" s="65"/>
      <c r="N409" s="65"/>
      <c r="O409" s="65" t="s">
        <v>949</v>
      </c>
      <c r="P409" s="65"/>
      <c r="Q409" s="65">
        <v>1</v>
      </c>
      <c r="R409" s="65">
        <v>1357</v>
      </c>
      <c r="S409" s="65"/>
    </row>
    <row r="410" spans="1:19" x14ac:dyDescent="0.25">
      <c r="A410" s="15">
        <v>28</v>
      </c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</row>
    <row r="411" spans="1:19" x14ac:dyDescent="0.25">
      <c r="A411" s="15">
        <v>28</v>
      </c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 t="s">
        <v>813</v>
      </c>
      <c r="P411" s="65"/>
      <c r="Q411" s="65"/>
      <c r="R411" s="65"/>
      <c r="S411" s="65"/>
    </row>
    <row r="412" spans="1:19" x14ac:dyDescent="0.25">
      <c r="A412" s="15">
        <v>28</v>
      </c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 t="s">
        <v>863</v>
      </c>
      <c r="P412" s="65"/>
      <c r="Q412" s="65"/>
      <c r="R412" s="65"/>
      <c r="S412" s="65"/>
    </row>
    <row r="413" spans="1:19" x14ac:dyDescent="0.25">
      <c r="A413" s="15">
        <v>28</v>
      </c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 t="s">
        <v>872</v>
      </c>
      <c r="P413" s="65"/>
      <c r="Q413" s="65"/>
      <c r="R413" s="65"/>
      <c r="S413" s="65"/>
    </row>
    <row r="414" spans="1:19" x14ac:dyDescent="0.25">
      <c r="A414" s="15">
        <v>28</v>
      </c>
      <c r="B414" s="65"/>
      <c r="C414" s="65" t="s">
        <v>79</v>
      </c>
      <c r="D414" s="65"/>
      <c r="E414" s="65" t="s">
        <v>787</v>
      </c>
      <c r="F414" s="65">
        <v>6</v>
      </c>
      <c r="G414" s="65"/>
      <c r="H414" s="65">
        <v>7</v>
      </c>
      <c r="I414" s="65">
        <v>10.5</v>
      </c>
      <c r="J414" s="65" t="s">
        <v>879</v>
      </c>
      <c r="K414" s="65"/>
      <c r="L414" s="65"/>
      <c r="M414" s="65"/>
      <c r="N414" s="65"/>
      <c r="O414" s="65" t="s">
        <v>878</v>
      </c>
      <c r="P414" s="65"/>
      <c r="Q414" s="65">
        <v>1</v>
      </c>
      <c r="R414" s="65">
        <v>289</v>
      </c>
      <c r="S414" s="65"/>
    </row>
    <row r="415" spans="1:19" x14ac:dyDescent="0.25">
      <c r="A415" s="15">
        <v>28</v>
      </c>
      <c r="B415" s="65"/>
      <c r="C415" s="65">
        <v>2429</v>
      </c>
      <c r="D415" s="65"/>
      <c r="E415" s="65" t="s">
        <v>787</v>
      </c>
      <c r="F415" s="65">
        <v>6</v>
      </c>
      <c r="G415" s="65"/>
      <c r="H415" s="65"/>
      <c r="I415" s="65">
        <v>21.583333333333332</v>
      </c>
      <c r="J415" s="65" t="s">
        <v>879</v>
      </c>
      <c r="K415" s="65"/>
      <c r="L415" s="65"/>
      <c r="M415" s="65"/>
      <c r="N415" s="65"/>
      <c r="O415" s="65" t="s">
        <v>881</v>
      </c>
      <c r="P415" s="65"/>
      <c r="Q415" s="65">
        <v>1</v>
      </c>
      <c r="R415" s="65">
        <v>378</v>
      </c>
      <c r="S415" s="65"/>
    </row>
    <row r="416" spans="1:19" x14ac:dyDescent="0.25">
      <c r="A416" s="15">
        <v>28</v>
      </c>
      <c r="B416" s="65"/>
      <c r="C416" s="65">
        <v>2429</v>
      </c>
      <c r="D416" s="65"/>
      <c r="E416" s="65" t="s">
        <v>787</v>
      </c>
      <c r="F416" s="65">
        <v>1</v>
      </c>
      <c r="G416" s="65"/>
      <c r="H416" s="65" t="e">
        <v>#N/A</v>
      </c>
      <c r="I416" s="65"/>
      <c r="J416" s="65" t="s">
        <v>899</v>
      </c>
      <c r="K416" s="65" t="s">
        <v>900</v>
      </c>
      <c r="L416" s="65" t="s">
        <v>900</v>
      </c>
      <c r="M416" s="65" t="s">
        <v>900</v>
      </c>
      <c r="N416" s="65" t="s">
        <v>900</v>
      </c>
      <c r="O416" s="65" t="s">
        <v>898</v>
      </c>
      <c r="P416" s="65"/>
      <c r="Q416" s="65">
        <v>1</v>
      </c>
      <c r="R416" s="65">
        <v>610</v>
      </c>
      <c r="S416" s="65"/>
    </row>
    <row r="417" spans="1:19" x14ac:dyDescent="0.25">
      <c r="A417" s="15">
        <v>28</v>
      </c>
      <c r="B417" s="65"/>
      <c r="C417" s="65">
        <v>2429</v>
      </c>
      <c r="D417" s="65"/>
      <c r="E417" s="65" t="s">
        <v>787</v>
      </c>
      <c r="F417" s="65">
        <v>0</v>
      </c>
      <c r="G417" s="65"/>
      <c r="H417" s="65">
        <v>3</v>
      </c>
      <c r="I417" s="65" t="e">
        <v>#N/A</v>
      </c>
      <c r="J417" s="65" t="s">
        <v>899</v>
      </c>
      <c r="K417" s="65"/>
      <c r="L417" s="65"/>
      <c r="M417" s="65"/>
      <c r="N417" s="65"/>
      <c r="O417" s="65" t="s">
        <v>912</v>
      </c>
      <c r="P417" s="65"/>
      <c r="Q417" s="65">
        <v>1</v>
      </c>
      <c r="R417" s="65">
        <v>837</v>
      </c>
      <c r="S417" s="65"/>
    </row>
    <row r="418" spans="1:19" x14ac:dyDescent="0.25">
      <c r="A418" s="15">
        <v>28</v>
      </c>
      <c r="B418" s="65"/>
      <c r="C418" s="65">
        <v>2429</v>
      </c>
      <c r="D418" s="65"/>
      <c r="E418" s="65" t="s">
        <v>787</v>
      </c>
      <c r="F418" s="65">
        <v>3</v>
      </c>
      <c r="G418" s="65"/>
      <c r="H418" s="65">
        <v>3</v>
      </c>
      <c r="I418" s="65" t="e">
        <v>#N/A</v>
      </c>
      <c r="J418" s="65" t="s">
        <v>899</v>
      </c>
      <c r="K418" s="65"/>
      <c r="L418" s="65"/>
      <c r="M418" s="65"/>
      <c r="N418" s="65"/>
      <c r="O418" s="65" t="s">
        <v>924</v>
      </c>
      <c r="P418" s="65"/>
      <c r="Q418" s="65">
        <v>1</v>
      </c>
      <c r="R418" s="65">
        <v>1064</v>
      </c>
      <c r="S418" s="65"/>
    </row>
    <row r="419" spans="1:19" x14ac:dyDescent="0.25">
      <c r="A419" s="15">
        <v>28</v>
      </c>
      <c r="B419" s="65"/>
      <c r="C419" s="65">
        <v>2429</v>
      </c>
      <c r="D419" s="65"/>
      <c r="E419" s="65" t="s">
        <v>787</v>
      </c>
      <c r="F419" s="65">
        <v>3</v>
      </c>
      <c r="G419" s="65"/>
      <c r="H419" s="65" t="e">
        <v>#N/A</v>
      </c>
      <c r="I419" s="65"/>
      <c r="J419" s="65" t="s">
        <v>899</v>
      </c>
      <c r="K419" s="65"/>
      <c r="L419" s="65"/>
      <c r="M419" s="65"/>
      <c r="N419" s="65"/>
      <c r="O419" s="65" t="s">
        <v>936</v>
      </c>
      <c r="P419" s="65"/>
      <c r="Q419" s="65">
        <v>1</v>
      </c>
      <c r="R419" s="65">
        <v>1269</v>
      </c>
      <c r="S419" s="65"/>
    </row>
    <row r="420" spans="1:19" x14ac:dyDescent="0.25">
      <c r="A420" s="15">
        <v>28</v>
      </c>
      <c r="B420" s="65"/>
      <c r="C420" s="65">
        <v>2429</v>
      </c>
      <c r="D420" s="65"/>
      <c r="E420" s="65" t="s">
        <v>787</v>
      </c>
      <c r="F420" s="65">
        <v>5</v>
      </c>
      <c r="G420" s="65"/>
      <c r="H420" s="65" t="e">
        <v>#N/A</v>
      </c>
      <c r="I420" s="65"/>
      <c r="J420" s="65" t="s">
        <v>899</v>
      </c>
      <c r="K420" s="65"/>
      <c r="L420" s="65"/>
      <c r="M420" s="65"/>
      <c r="N420" s="65"/>
      <c r="O420" s="65" t="s">
        <v>938</v>
      </c>
      <c r="P420" s="65"/>
      <c r="Q420" s="65">
        <v>1</v>
      </c>
      <c r="R420" s="65">
        <v>1358</v>
      </c>
      <c r="S420" s="65"/>
    </row>
    <row r="421" spans="1:19" x14ac:dyDescent="0.25">
      <c r="A421" s="15">
        <v>29</v>
      </c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</row>
    <row r="422" spans="1:19" x14ac:dyDescent="0.25">
      <c r="A422" s="15">
        <v>29</v>
      </c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 t="s">
        <v>814</v>
      </c>
      <c r="P422" s="65"/>
      <c r="Q422" s="65"/>
      <c r="R422" s="65"/>
      <c r="S422" s="65"/>
    </row>
    <row r="423" spans="1:19" x14ac:dyDescent="0.25">
      <c r="A423" s="15">
        <v>29</v>
      </c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 t="s">
        <v>865</v>
      </c>
      <c r="P423" s="65"/>
      <c r="Q423" s="65"/>
      <c r="R423" s="65"/>
      <c r="S423" s="65"/>
    </row>
    <row r="424" spans="1:19" x14ac:dyDescent="0.25">
      <c r="A424" s="15">
        <v>29</v>
      </c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 t="s">
        <v>874</v>
      </c>
      <c r="P424" s="65"/>
      <c r="Q424" s="65"/>
      <c r="R424" s="65"/>
      <c r="S424" s="65"/>
    </row>
    <row r="425" spans="1:19" x14ac:dyDescent="0.25">
      <c r="A425" s="15">
        <v>29</v>
      </c>
      <c r="B425" s="65"/>
      <c r="C425" s="65" t="s">
        <v>79</v>
      </c>
      <c r="D425" s="65"/>
      <c r="E425" s="65" t="s">
        <v>787</v>
      </c>
      <c r="F425" s="65">
        <v>8</v>
      </c>
      <c r="G425" s="65"/>
      <c r="H425" s="65">
        <v>10</v>
      </c>
      <c r="I425" s="65">
        <v>12.583333333333332</v>
      </c>
      <c r="J425" s="65" t="s">
        <v>879</v>
      </c>
      <c r="K425" s="65"/>
      <c r="L425" s="65"/>
      <c r="M425" s="65"/>
      <c r="N425" s="65"/>
      <c r="O425" s="65" t="s">
        <v>878</v>
      </c>
      <c r="P425" s="65"/>
      <c r="Q425" s="65">
        <v>1</v>
      </c>
      <c r="R425" s="65">
        <v>290</v>
      </c>
      <c r="S425" s="65"/>
    </row>
    <row r="426" spans="1:19" x14ac:dyDescent="0.25">
      <c r="A426" s="15">
        <v>29</v>
      </c>
      <c r="B426" s="65"/>
      <c r="C426" s="65">
        <v>2429</v>
      </c>
      <c r="D426" s="65"/>
      <c r="E426" s="65" t="s">
        <v>787</v>
      </c>
      <c r="F426" s="65">
        <v>8</v>
      </c>
      <c r="G426" s="65"/>
      <c r="H426" s="65"/>
      <c r="I426" s="65">
        <v>26.666666666666668</v>
      </c>
      <c r="J426" s="65" t="s">
        <v>879</v>
      </c>
      <c r="K426" s="65"/>
      <c r="L426" s="65"/>
      <c r="M426" s="65"/>
      <c r="N426" s="65"/>
      <c r="O426" s="65" t="s">
        <v>881</v>
      </c>
      <c r="P426" s="65"/>
      <c r="Q426" s="65">
        <v>1</v>
      </c>
      <c r="R426" s="65">
        <v>379</v>
      </c>
      <c r="S426" s="65"/>
    </row>
    <row r="427" spans="1:19" x14ac:dyDescent="0.25">
      <c r="A427" s="15">
        <v>29</v>
      </c>
      <c r="B427" s="65"/>
      <c r="C427" s="65">
        <v>2429</v>
      </c>
      <c r="D427" s="65"/>
      <c r="E427" s="65" t="s">
        <v>787</v>
      </c>
      <c r="F427" s="65">
        <v>10</v>
      </c>
      <c r="G427" s="65"/>
      <c r="H427" s="65"/>
      <c r="I427" s="65">
        <v>15.666666666666666</v>
      </c>
      <c r="J427" s="65" t="s">
        <v>879</v>
      </c>
      <c r="K427" s="65"/>
      <c r="L427" s="65"/>
      <c r="M427" s="65"/>
      <c r="N427" s="65"/>
      <c r="O427" s="65" t="s">
        <v>882</v>
      </c>
      <c r="P427" s="65"/>
      <c r="Q427" s="65">
        <v>1</v>
      </c>
      <c r="R427" s="65">
        <v>380</v>
      </c>
      <c r="S427" s="65"/>
    </row>
    <row r="428" spans="1:19" x14ac:dyDescent="0.25">
      <c r="A428" s="15">
        <v>29</v>
      </c>
      <c r="B428" s="65"/>
      <c r="C428" s="65">
        <v>2429</v>
      </c>
      <c r="D428" s="65"/>
      <c r="E428" s="65" t="s">
        <v>787</v>
      </c>
      <c r="F428" s="65">
        <v>6</v>
      </c>
      <c r="G428" s="65"/>
      <c r="H428" s="65"/>
      <c r="I428" s="65">
        <v>15.666666666666666</v>
      </c>
      <c r="J428" s="65" t="s">
        <v>879</v>
      </c>
      <c r="K428" s="65"/>
      <c r="L428" s="65"/>
      <c r="M428" s="65"/>
      <c r="N428" s="65"/>
      <c r="O428" s="65" t="s">
        <v>883</v>
      </c>
      <c r="P428" s="65"/>
      <c r="Q428" s="65">
        <v>1</v>
      </c>
      <c r="R428" s="65">
        <v>381</v>
      </c>
      <c r="S428" s="65"/>
    </row>
    <row r="429" spans="1:19" x14ac:dyDescent="0.25">
      <c r="A429" s="15">
        <v>29</v>
      </c>
      <c r="B429" s="65"/>
      <c r="C429" s="65">
        <v>2429</v>
      </c>
      <c r="D429" s="65"/>
      <c r="E429" s="65" t="s">
        <v>787</v>
      </c>
      <c r="F429" s="65">
        <v>6</v>
      </c>
      <c r="G429" s="65"/>
      <c r="H429" s="65"/>
      <c r="I429" s="65">
        <v>15.666666666666666</v>
      </c>
      <c r="J429" s="65" t="s">
        <v>879</v>
      </c>
      <c r="K429" s="65"/>
      <c r="L429" s="65"/>
      <c r="M429" s="65"/>
      <c r="N429" s="65"/>
      <c r="O429" s="65" t="s">
        <v>884</v>
      </c>
      <c r="P429" s="65"/>
      <c r="Q429" s="65">
        <v>1</v>
      </c>
      <c r="R429" s="65">
        <v>382</v>
      </c>
      <c r="S429" s="65"/>
    </row>
    <row r="430" spans="1:19" x14ac:dyDescent="0.25">
      <c r="A430" s="15">
        <v>29</v>
      </c>
      <c r="B430" s="65"/>
      <c r="C430" s="65">
        <v>2429</v>
      </c>
      <c r="D430" s="65"/>
      <c r="E430" s="65" t="s">
        <v>787</v>
      </c>
      <c r="F430" s="65">
        <v>6</v>
      </c>
      <c r="G430" s="65"/>
      <c r="H430" s="65"/>
      <c r="I430" s="65">
        <v>15.666666666666666</v>
      </c>
      <c r="J430" s="65" t="s">
        <v>879</v>
      </c>
      <c r="K430" s="65"/>
      <c r="L430" s="65"/>
      <c r="M430" s="65"/>
      <c r="N430" s="65"/>
      <c r="O430" s="65" t="s">
        <v>885</v>
      </c>
      <c r="P430" s="65"/>
      <c r="Q430" s="65">
        <v>1</v>
      </c>
      <c r="R430" s="65">
        <v>383</v>
      </c>
      <c r="S430" s="65"/>
    </row>
    <row r="431" spans="1:19" x14ac:dyDescent="0.25">
      <c r="A431" s="15">
        <v>29</v>
      </c>
      <c r="B431" s="65"/>
      <c r="C431" s="65">
        <v>2429</v>
      </c>
      <c r="D431" s="65"/>
      <c r="E431" s="65" t="s">
        <v>787</v>
      </c>
      <c r="F431" s="65">
        <v>6</v>
      </c>
      <c r="G431" s="65"/>
      <c r="H431" s="65"/>
      <c r="I431" s="65">
        <v>15.666666666666666</v>
      </c>
      <c r="J431" s="65" t="s">
        <v>879</v>
      </c>
      <c r="K431" s="65"/>
      <c r="L431" s="65"/>
      <c r="M431" s="65"/>
      <c r="N431" s="65"/>
      <c r="O431" s="65" t="s">
        <v>886</v>
      </c>
      <c r="P431" s="65"/>
      <c r="Q431" s="65">
        <v>1</v>
      </c>
      <c r="R431" s="65">
        <v>384</v>
      </c>
      <c r="S431" s="65"/>
    </row>
    <row r="432" spans="1:19" x14ac:dyDescent="0.25">
      <c r="A432" s="15">
        <v>29</v>
      </c>
      <c r="B432" s="65"/>
      <c r="C432" s="65">
        <v>2429</v>
      </c>
      <c r="D432" s="65"/>
      <c r="E432" s="65" t="s">
        <v>787</v>
      </c>
      <c r="F432" s="65">
        <v>6</v>
      </c>
      <c r="G432" s="65"/>
      <c r="H432" s="65"/>
      <c r="I432" s="65">
        <v>15.666666666666666</v>
      </c>
      <c r="J432" s="65" t="s">
        <v>879</v>
      </c>
      <c r="K432" s="65"/>
      <c r="L432" s="65"/>
      <c r="M432" s="65"/>
      <c r="N432" s="65"/>
      <c r="O432" s="65" t="s">
        <v>887</v>
      </c>
      <c r="P432" s="65"/>
      <c r="Q432" s="65">
        <v>1</v>
      </c>
      <c r="R432" s="65">
        <v>385</v>
      </c>
      <c r="S432" s="65"/>
    </row>
    <row r="433" spans="1:19" x14ac:dyDescent="0.25">
      <c r="A433" s="15">
        <v>29</v>
      </c>
      <c r="B433" s="65"/>
      <c r="C433" s="65">
        <v>2429</v>
      </c>
      <c r="D433" s="65"/>
      <c r="E433" s="65" t="s">
        <v>787</v>
      </c>
      <c r="F433" s="65">
        <v>6</v>
      </c>
      <c r="G433" s="65"/>
      <c r="H433" s="65"/>
      <c r="I433" s="65">
        <v>15.666666666666666</v>
      </c>
      <c r="J433" s="65" t="s">
        <v>879</v>
      </c>
      <c r="K433" s="65"/>
      <c r="L433" s="65"/>
      <c r="M433" s="65"/>
      <c r="N433" s="65"/>
      <c r="O433" s="65" t="s">
        <v>888</v>
      </c>
      <c r="P433" s="65"/>
      <c r="Q433" s="65">
        <v>1</v>
      </c>
      <c r="R433" s="65">
        <v>386</v>
      </c>
      <c r="S433" s="65"/>
    </row>
    <row r="434" spans="1:19" x14ac:dyDescent="0.25">
      <c r="A434" s="15">
        <v>29</v>
      </c>
      <c r="B434" s="65"/>
      <c r="C434" s="65">
        <v>2429</v>
      </c>
      <c r="D434" s="65"/>
      <c r="E434" s="65" t="s">
        <v>787</v>
      </c>
      <c r="F434" s="65">
        <v>6</v>
      </c>
      <c r="G434" s="65"/>
      <c r="H434" s="65"/>
      <c r="I434" s="65">
        <v>15.666666666666666</v>
      </c>
      <c r="J434" s="65" t="s">
        <v>879</v>
      </c>
      <c r="K434" s="65"/>
      <c r="L434" s="65"/>
      <c r="M434" s="65"/>
      <c r="N434" s="65"/>
      <c r="O434" s="65" t="s">
        <v>889</v>
      </c>
      <c r="P434" s="65"/>
      <c r="Q434" s="65">
        <v>1</v>
      </c>
      <c r="R434" s="65">
        <v>387</v>
      </c>
      <c r="S434" s="65"/>
    </row>
    <row r="435" spans="1:19" x14ac:dyDescent="0.25">
      <c r="A435" s="15">
        <v>29</v>
      </c>
      <c r="B435" s="65"/>
      <c r="C435" s="65">
        <v>2429</v>
      </c>
      <c r="D435" s="65"/>
      <c r="E435" s="65" t="s">
        <v>787</v>
      </c>
      <c r="F435" s="65">
        <v>6</v>
      </c>
      <c r="G435" s="65"/>
      <c r="H435" s="65"/>
      <c r="I435" s="65">
        <v>15.666666666666666</v>
      </c>
      <c r="J435" s="65" t="s">
        <v>879</v>
      </c>
      <c r="K435" s="65"/>
      <c r="L435" s="65"/>
      <c r="M435" s="65"/>
      <c r="N435" s="65"/>
      <c r="O435" s="65" t="s">
        <v>890</v>
      </c>
      <c r="P435" s="65"/>
      <c r="Q435" s="65">
        <v>1</v>
      </c>
      <c r="R435" s="65">
        <v>388</v>
      </c>
      <c r="S435" s="65"/>
    </row>
    <row r="436" spans="1:19" x14ac:dyDescent="0.25">
      <c r="A436" s="15">
        <v>29</v>
      </c>
      <c r="B436" s="65"/>
      <c r="C436" s="65">
        <v>2429</v>
      </c>
      <c r="D436" s="65"/>
      <c r="E436" s="65" t="s">
        <v>787</v>
      </c>
      <c r="F436" s="65">
        <v>6</v>
      </c>
      <c r="G436" s="65"/>
      <c r="H436" s="65"/>
      <c r="I436" s="65">
        <v>15.666666666666666</v>
      </c>
      <c r="J436" s="65" t="s">
        <v>879</v>
      </c>
      <c r="K436" s="65"/>
      <c r="L436" s="65"/>
      <c r="M436" s="65"/>
      <c r="N436" s="65"/>
      <c r="O436" s="65" t="s">
        <v>891</v>
      </c>
      <c r="P436" s="65"/>
      <c r="Q436" s="65">
        <v>1</v>
      </c>
      <c r="R436" s="65">
        <v>389</v>
      </c>
      <c r="S436" s="65"/>
    </row>
    <row r="437" spans="1:19" x14ac:dyDescent="0.25">
      <c r="A437" s="15">
        <v>29</v>
      </c>
      <c r="B437" s="65"/>
      <c r="C437" s="65">
        <v>2429</v>
      </c>
      <c r="D437" s="65"/>
      <c r="E437" s="65" t="s">
        <v>787</v>
      </c>
      <c r="F437" s="65">
        <v>10</v>
      </c>
      <c r="G437" s="65"/>
      <c r="H437" s="65"/>
      <c r="I437" s="65">
        <v>10.583333333333334</v>
      </c>
      <c r="J437" s="65" t="s">
        <v>879</v>
      </c>
      <c r="K437" s="65"/>
      <c r="L437" s="65"/>
      <c r="M437" s="65"/>
      <c r="N437" s="65"/>
      <c r="O437" s="65" t="s">
        <v>892</v>
      </c>
      <c r="P437" s="65"/>
      <c r="Q437" s="65">
        <v>1</v>
      </c>
      <c r="R437" s="65">
        <v>390</v>
      </c>
      <c r="S437" s="65"/>
    </row>
    <row r="438" spans="1:19" x14ac:dyDescent="0.25">
      <c r="A438" s="15">
        <v>29</v>
      </c>
      <c r="B438" s="65"/>
      <c r="C438" s="65">
        <v>2429</v>
      </c>
      <c r="D438" s="65"/>
      <c r="E438" s="65" t="s">
        <v>787</v>
      </c>
      <c r="F438" s="65" t="s">
        <v>893</v>
      </c>
      <c r="G438" s="65"/>
      <c r="H438" s="65">
        <v>0</v>
      </c>
      <c r="I438" s="65">
        <v>10.833333333333332</v>
      </c>
      <c r="J438" s="65" t="s">
        <v>895</v>
      </c>
      <c r="K438" s="65"/>
      <c r="L438" s="65"/>
      <c r="M438" s="65"/>
      <c r="N438" s="65"/>
      <c r="O438" s="65" t="s">
        <v>894</v>
      </c>
      <c r="P438" s="65"/>
      <c r="Q438" s="65">
        <v>1</v>
      </c>
      <c r="R438" s="65">
        <v>564</v>
      </c>
      <c r="S438" s="65"/>
    </row>
    <row r="439" spans="1:19" x14ac:dyDescent="0.25">
      <c r="A439" s="15">
        <v>29</v>
      </c>
      <c r="B439" s="65"/>
      <c r="C439" s="65">
        <v>2429</v>
      </c>
      <c r="D439" s="65"/>
      <c r="E439" s="65" t="s">
        <v>787</v>
      </c>
      <c r="F439" s="65">
        <v>1</v>
      </c>
      <c r="G439" s="65"/>
      <c r="H439" s="65" t="e">
        <v>#N/A</v>
      </c>
      <c r="I439" s="65"/>
      <c r="J439" s="65" t="s">
        <v>899</v>
      </c>
      <c r="K439" s="65" t="s">
        <v>900</v>
      </c>
      <c r="L439" s="65" t="s">
        <v>900</v>
      </c>
      <c r="M439" s="65" t="s">
        <v>900</v>
      </c>
      <c r="N439" s="65" t="s">
        <v>900</v>
      </c>
      <c r="O439" s="65" t="s">
        <v>898</v>
      </c>
      <c r="P439" s="65"/>
      <c r="Q439" s="65">
        <v>1</v>
      </c>
      <c r="R439" s="65">
        <v>611</v>
      </c>
      <c r="S439" s="65"/>
    </row>
    <row r="440" spans="1:19" x14ac:dyDescent="0.25">
      <c r="A440" s="15">
        <v>29</v>
      </c>
      <c r="B440" s="65"/>
      <c r="C440" s="65">
        <v>2429</v>
      </c>
      <c r="D440" s="65"/>
      <c r="E440" s="65" t="s">
        <v>787</v>
      </c>
      <c r="F440" s="65">
        <v>1</v>
      </c>
      <c r="G440" s="65"/>
      <c r="H440" s="65" t="e">
        <v>#N/A</v>
      </c>
      <c r="I440" s="65"/>
      <c r="J440" s="65" t="s">
        <v>899</v>
      </c>
      <c r="K440" s="65" t="s">
        <v>900</v>
      </c>
      <c r="L440" s="65" t="s">
        <v>900</v>
      </c>
      <c r="M440" s="65" t="s">
        <v>900</v>
      </c>
      <c r="N440" s="65" t="s">
        <v>900</v>
      </c>
      <c r="O440" s="65" t="s">
        <v>901</v>
      </c>
      <c r="P440" s="65"/>
      <c r="Q440" s="65">
        <v>1</v>
      </c>
      <c r="R440" s="65">
        <v>612</v>
      </c>
      <c r="S440" s="65"/>
    </row>
    <row r="441" spans="1:19" x14ac:dyDescent="0.25">
      <c r="A441" s="15">
        <v>29</v>
      </c>
      <c r="B441" s="65"/>
      <c r="C441" s="65">
        <v>2429</v>
      </c>
      <c r="D441" s="65"/>
      <c r="E441" s="65" t="s">
        <v>787</v>
      </c>
      <c r="F441" s="65">
        <v>1</v>
      </c>
      <c r="G441" s="65"/>
      <c r="H441" s="65" t="e">
        <v>#N/A</v>
      </c>
      <c r="I441" s="65"/>
      <c r="J441" s="65" t="s">
        <v>899</v>
      </c>
      <c r="K441" s="65" t="s">
        <v>900</v>
      </c>
      <c r="L441" s="65" t="s">
        <v>900</v>
      </c>
      <c r="M441" s="65" t="s">
        <v>900</v>
      </c>
      <c r="N441" s="65" t="s">
        <v>900</v>
      </c>
      <c r="O441" s="65" t="s">
        <v>902</v>
      </c>
      <c r="P441" s="65"/>
      <c r="Q441" s="65">
        <v>1</v>
      </c>
      <c r="R441" s="65">
        <v>613</v>
      </c>
      <c r="S441" s="65"/>
    </row>
    <row r="442" spans="1:19" x14ac:dyDescent="0.25">
      <c r="A442" s="15">
        <v>29</v>
      </c>
      <c r="B442" s="65"/>
      <c r="C442" s="65">
        <v>2429</v>
      </c>
      <c r="D442" s="65"/>
      <c r="E442" s="65" t="s">
        <v>787</v>
      </c>
      <c r="F442" s="65">
        <v>1</v>
      </c>
      <c r="G442" s="65"/>
      <c r="H442" s="65" t="e">
        <v>#N/A</v>
      </c>
      <c r="I442" s="65"/>
      <c r="J442" s="65" t="s">
        <v>899</v>
      </c>
      <c r="K442" s="65" t="s">
        <v>900</v>
      </c>
      <c r="L442" s="65" t="s">
        <v>900</v>
      </c>
      <c r="M442" s="65" t="s">
        <v>900</v>
      </c>
      <c r="N442" s="65" t="s">
        <v>900</v>
      </c>
      <c r="O442" s="65" t="s">
        <v>903</v>
      </c>
      <c r="P442" s="65"/>
      <c r="Q442" s="65">
        <v>1</v>
      </c>
      <c r="R442" s="65">
        <v>614</v>
      </c>
      <c r="S442" s="65"/>
    </row>
    <row r="443" spans="1:19" x14ac:dyDescent="0.25">
      <c r="A443" s="15">
        <v>29</v>
      </c>
      <c r="B443" s="65"/>
      <c r="C443" s="65">
        <v>2429</v>
      </c>
      <c r="D443" s="65"/>
      <c r="E443" s="65" t="s">
        <v>787</v>
      </c>
      <c r="F443" s="65">
        <v>1</v>
      </c>
      <c r="G443" s="65"/>
      <c r="H443" s="65" t="e">
        <v>#N/A</v>
      </c>
      <c r="I443" s="65"/>
      <c r="J443" s="65" t="s">
        <v>899</v>
      </c>
      <c r="K443" s="65" t="s">
        <v>900</v>
      </c>
      <c r="L443" s="65" t="s">
        <v>900</v>
      </c>
      <c r="M443" s="65" t="s">
        <v>900</v>
      </c>
      <c r="N443" s="65" t="s">
        <v>900</v>
      </c>
      <c r="O443" s="65" t="s">
        <v>904</v>
      </c>
      <c r="P443" s="65"/>
      <c r="Q443" s="65">
        <v>1</v>
      </c>
      <c r="R443" s="65">
        <v>615</v>
      </c>
      <c r="S443" s="65"/>
    </row>
    <row r="444" spans="1:19" x14ac:dyDescent="0.25">
      <c r="A444" s="15">
        <v>29</v>
      </c>
      <c r="B444" s="65"/>
      <c r="C444" s="65">
        <v>2429</v>
      </c>
      <c r="D444" s="65"/>
      <c r="E444" s="65" t="s">
        <v>787</v>
      </c>
      <c r="F444" s="65">
        <v>1</v>
      </c>
      <c r="G444" s="65"/>
      <c r="H444" s="65" t="e">
        <v>#N/A</v>
      </c>
      <c r="I444" s="65"/>
      <c r="J444" s="65" t="s">
        <v>899</v>
      </c>
      <c r="K444" s="65" t="s">
        <v>900</v>
      </c>
      <c r="L444" s="65" t="s">
        <v>900</v>
      </c>
      <c r="M444" s="65" t="s">
        <v>900</v>
      </c>
      <c r="N444" s="65" t="s">
        <v>900</v>
      </c>
      <c r="O444" s="65" t="s">
        <v>905</v>
      </c>
      <c r="P444" s="65"/>
      <c r="Q444" s="65">
        <v>1</v>
      </c>
      <c r="R444" s="65">
        <v>616</v>
      </c>
      <c r="S444" s="65"/>
    </row>
    <row r="445" spans="1:19" x14ac:dyDescent="0.25">
      <c r="A445" s="15">
        <v>29</v>
      </c>
      <c r="B445" s="65"/>
      <c r="C445" s="65">
        <v>2429</v>
      </c>
      <c r="D445" s="65"/>
      <c r="E445" s="65" t="s">
        <v>787</v>
      </c>
      <c r="F445" s="65">
        <v>1</v>
      </c>
      <c r="G445" s="65"/>
      <c r="H445" s="65" t="e">
        <v>#N/A</v>
      </c>
      <c r="I445" s="65"/>
      <c r="J445" s="65" t="s">
        <v>899</v>
      </c>
      <c r="K445" s="65" t="s">
        <v>900</v>
      </c>
      <c r="L445" s="65" t="s">
        <v>900</v>
      </c>
      <c r="M445" s="65" t="s">
        <v>900</v>
      </c>
      <c r="N445" s="65" t="s">
        <v>900</v>
      </c>
      <c r="O445" s="65" t="s">
        <v>906</v>
      </c>
      <c r="P445" s="65"/>
      <c r="Q445" s="65">
        <v>1</v>
      </c>
      <c r="R445" s="65">
        <v>617</v>
      </c>
      <c r="S445" s="65"/>
    </row>
    <row r="446" spans="1:19" x14ac:dyDescent="0.25">
      <c r="A446" s="15">
        <v>29</v>
      </c>
      <c r="B446" s="65"/>
      <c r="C446" s="65">
        <v>2429</v>
      </c>
      <c r="D446" s="65"/>
      <c r="E446" s="65" t="s">
        <v>787</v>
      </c>
      <c r="F446" s="65">
        <v>1</v>
      </c>
      <c r="G446" s="65"/>
      <c r="H446" s="65" t="e">
        <v>#N/A</v>
      </c>
      <c r="I446" s="65"/>
      <c r="J446" s="65" t="s">
        <v>899</v>
      </c>
      <c r="K446" s="65" t="s">
        <v>900</v>
      </c>
      <c r="L446" s="65" t="s">
        <v>900</v>
      </c>
      <c r="M446" s="65" t="s">
        <v>900</v>
      </c>
      <c r="N446" s="65" t="s">
        <v>900</v>
      </c>
      <c r="O446" s="65" t="s">
        <v>907</v>
      </c>
      <c r="P446" s="65"/>
      <c r="Q446" s="65">
        <v>1</v>
      </c>
      <c r="R446" s="65">
        <v>618</v>
      </c>
      <c r="S446" s="65"/>
    </row>
    <row r="447" spans="1:19" x14ac:dyDescent="0.25">
      <c r="A447" s="15">
        <v>29</v>
      </c>
      <c r="B447" s="65"/>
      <c r="C447" s="65">
        <v>2429</v>
      </c>
      <c r="D447" s="65"/>
      <c r="E447" s="65" t="s">
        <v>787</v>
      </c>
      <c r="F447" s="65">
        <v>1</v>
      </c>
      <c r="G447" s="65"/>
      <c r="H447" s="65" t="e">
        <v>#N/A</v>
      </c>
      <c r="I447" s="65"/>
      <c r="J447" s="65" t="s">
        <v>899</v>
      </c>
      <c r="K447" s="65" t="s">
        <v>900</v>
      </c>
      <c r="L447" s="65" t="s">
        <v>900</v>
      </c>
      <c r="M447" s="65" t="s">
        <v>900</v>
      </c>
      <c r="N447" s="65" t="s">
        <v>900</v>
      </c>
      <c r="O447" s="65" t="s">
        <v>908</v>
      </c>
      <c r="P447" s="65"/>
      <c r="Q447" s="65">
        <v>1</v>
      </c>
      <c r="R447" s="65">
        <v>619</v>
      </c>
      <c r="S447" s="65"/>
    </row>
    <row r="448" spans="1:19" x14ac:dyDescent="0.25">
      <c r="A448" s="15">
        <v>29</v>
      </c>
      <c r="B448" s="65"/>
      <c r="C448" s="65">
        <v>2429</v>
      </c>
      <c r="D448" s="65"/>
      <c r="E448" s="65" t="s">
        <v>787</v>
      </c>
      <c r="F448" s="65">
        <v>1</v>
      </c>
      <c r="G448" s="65"/>
      <c r="H448" s="65" t="e">
        <v>#N/A</v>
      </c>
      <c r="I448" s="65"/>
      <c r="J448" s="65" t="s">
        <v>899</v>
      </c>
      <c r="K448" s="65" t="s">
        <v>900</v>
      </c>
      <c r="L448" s="65" t="s">
        <v>900</v>
      </c>
      <c r="M448" s="65" t="s">
        <v>900</v>
      </c>
      <c r="N448" s="65" t="s">
        <v>900</v>
      </c>
      <c r="O448" s="65" t="s">
        <v>909</v>
      </c>
      <c r="P448" s="65"/>
      <c r="Q448" s="65">
        <v>1</v>
      </c>
      <c r="R448" s="65">
        <v>620</v>
      </c>
      <c r="S448" s="65"/>
    </row>
    <row r="449" spans="1:19" x14ac:dyDescent="0.25">
      <c r="A449" s="15">
        <v>29</v>
      </c>
      <c r="B449" s="65"/>
      <c r="C449" s="65">
        <v>2429</v>
      </c>
      <c r="D449" s="65"/>
      <c r="E449" s="65" t="s">
        <v>787</v>
      </c>
      <c r="F449" s="65">
        <v>1</v>
      </c>
      <c r="G449" s="65"/>
      <c r="H449" s="65" t="e">
        <v>#N/A</v>
      </c>
      <c r="I449" s="65"/>
      <c r="J449" s="65" t="s">
        <v>899</v>
      </c>
      <c r="K449" s="65" t="s">
        <v>900</v>
      </c>
      <c r="L449" s="65" t="s">
        <v>900</v>
      </c>
      <c r="M449" s="65" t="s">
        <v>900</v>
      </c>
      <c r="N449" s="65" t="s">
        <v>900</v>
      </c>
      <c r="O449" s="65" t="s">
        <v>910</v>
      </c>
      <c r="P449" s="65"/>
      <c r="Q449" s="65">
        <v>1</v>
      </c>
      <c r="R449" s="65">
        <v>621</v>
      </c>
      <c r="S449" s="65"/>
    </row>
    <row r="450" spans="1:19" x14ac:dyDescent="0.25">
      <c r="A450" s="15">
        <v>29</v>
      </c>
      <c r="B450" s="65"/>
      <c r="C450" s="65">
        <v>2429</v>
      </c>
      <c r="D450" s="65"/>
      <c r="E450" s="65" t="s">
        <v>787</v>
      </c>
      <c r="F450" s="65">
        <v>1</v>
      </c>
      <c r="G450" s="65"/>
      <c r="H450" s="65" t="e">
        <v>#N/A</v>
      </c>
      <c r="I450" s="65"/>
      <c r="J450" s="65" t="s">
        <v>899</v>
      </c>
      <c r="K450" s="65" t="s">
        <v>900</v>
      </c>
      <c r="L450" s="65" t="s">
        <v>900</v>
      </c>
      <c r="M450" s="65" t="s">
        <v>900</v>
      </c>
      <c r="N450" s="65" t="s">
        <v>900</v>
      </c>
      <c r="O450" s="65" t="s">
        <v>911</v>
      </c>
      <c r="P450" s="65"/>
      <c r="Q450" s="65">
        <v>1</v>
      </c>
      <c r="R450" s="65">
        <v>622</v>
      </c>
      <c r="S450" s="65"/>
    </row>
    <row r="451" spans="1:19" x14ac:dyDescent="0.25">
      <c r="A451" s="15">
        <v>29</v>
      </c>
      <c r="B451" s="65"/>
      <c r="C451" s="65">
        <v>2429</v>
      </c>
      <c r="D451" s="65"/>
      <c r="E451" s="65" t="s">
        <v>787</v>
      </c>
      <c r="F451" s="65">
        <v>0</v>
      </c>
      <c r="G451" s="65"/>
      <c r="H451" s="65">
        <v>3</v>
      </c>
      <c r="I451" s="65" t="e">
        <v>#N/A</v>
      </c>
      <c r="J451" s="65" t="s">
        <v>899</v>
      </c>
      <c r="K451" s="65"/>
      <c r="L451" s="65"/>
      <c r="M451" s="65"/>
      <c r="N451" s="65"/>
      <c r="O451" s="65" t="s">
        <v>912</v>
      </c>
      <c r="P451" s="65"/>
      <c r="Q451" s="65">
        <v>1</v>
      </c>
      <c r="R451" s="65">
        <v>838</v>
      </c>
      <c r="S451" s="65"/>
    </row>
    <row r="452" spans="1:19" x14ac:dyDescent="0.25">
      <c r="A452" s="15">
        <v>29</v>
      </c>
      <c r="B452" s="65"/>
      <c r="C452" s="65">
        <v>2429</v>
      </c>
      <c r="D452" s="65"/>
      <c r="E452" s="65" t="s">
        <v>787</v>
      </c>
      <c r="F452" s="65">
        <v>0</v>
      </c>
      <c r="G452" s="65"/>
      <c r="H452" s="65">
        <v>3</v>
      </c>
      <c r="I452" s="65" t="e">
        <v>#N/A</v>
      </c>
      <c r="J452" s="65" t="s">
        <v>899</v>
      </c>
      <c r="K452" s="65"/>
      <c r="L452" s="65"/>
      <c r="M452" s="65"/>
      <c r="N452" s="65"/>
      <c r="O452" s="65" t="s">
        <v>913</v>
      </c>
      <c r="P452" s="65"/>
      <c r="Q452" s="65">
        <v>1</v>
      </c>
      <c r="R452" s="65">
        <v>839</v>
      </c>
      <c r="S452" s="65"/>
    </row>
    <row r="453" spans="1:19" x14ac:dyDescent="0.25">
      <c r="A453" s="15">
        <v>29</v>
      </c>
      <c r="B453" s="65"/>
      <c r="C453" s="65">
        <v>2429</v>
      </c>
      <c r="D453" s="65"/>
      <c r="E453" s="65" t="s">
        <v>787</v>
      </c>
      <c r="F453" s="65">
        <v>0</v>
      </c>
      <c r="G453" s="65"/>
      <c r="H453" s="65">
        <v>3</v>
      </c>
      <c r="I453" s="65" t="e">
        <v>#N/A</v>
      </c>
      <c r="J453" s="65" t="s">
        <v>899</v>
      </c>
      <c r="K453" s="65"/>
      <c r="L453" s="65"/>
      <c r="M453" s="65"/>
      <c r="N453" s="65"/>
      <c r="O453" s="65" t="s">
        <v>914</v>
      </c>
      <c r="P453" s="65"/>
      <c r="Q453" s="65">
        <v>1</v>
      </c>
      <c r="R453" s="65">
        <v>840</v>
      </c>
      <c r="S453" s="65"/>
    </row>
    <row r="454" spans="1:19" x14ac:dyDescent="0.25">
      <c r="A454" s="15">
        <v>29</v>
      </c>
      <c r="B454" s="65"/>
      <c r="C454" s="65">
        <v>2429</v>
      </c>
      <c r="D454" s="65"/>
      <c r="E454" s="65" t="s">
        <v>787</v>
      </c>
      <c r="F454" s="65">
        <v>0</v>
      </c>
      <c r="G454" s="65"/>
      <c r="H454" s="65">
        <v>3</v>
      </c>
      <c r="I454" s="65" t="e">
        <v>#N/A</v>
      </c>
      <c r="J454" s="65" t="s">
        <v>899</v>
      </c>
      <c r="K454" s="65"/>
      <c r="L454" s="65"/>
      <c r="M454" s="65"/>
      <c r="N454" s="65"/>
      <c r="O454" s="65" t="s">
        <v>915</v>
      </c>
      <c r="P454" s="65"/>
      <c r="Q454" s="65">
        <v>1</v>
      </c>
      <c r="R454" s="65">
        <v>841</v>
      </c>
      <c r="S454" s="65"/>
    </row>
    <row r="455" spans="1:19" x14ac:dyDescent="0.25">
      <c r="A455" s="15">
        <v>29</v>
      </c>
      <c r="B455" s="65"/>
      <c r="C455" s="65">
        <v>2429</v>
      </c>
      <c r="D455" s="65"/>
      <c r="E455" s="65" t="s">
        <v>787</v>
      </c>
      <c r="F455" s="65">
        <v>0</v>
      </c>
      <c r="G455" s="65"/>
      <c r="H455" s="65">
        <v>3</v>
      </c>
      <c r="I455" s="65" t="e">
        <v>#N/A</v>
      </c>
      <c r="J455" s="65" t="s">
        <v>899</v>
      </c>
      <c r="K455" s="65"/>
      <c r="L455" s="65"/>
      <c r="M455" s="65"/>
      <c r="N455" s="65"/>
      <c r="O455" s="65" t="s">
        <v>916</v>
      </c>
      <c r="P455" s="65"/>
      <c r="Q455" s="65">
        <v>1</v>
      </c>
      <c r="R455" s="65">
        <v>842</v>
      </c>
      <c r="S455" s="65"/>
    </row>
    <row r="456" spans="1:19" x14ac:dyDescent="0.25">
      <c r="A456" s="15">
        <v>29</v>
      </c>
      <c r="B456" s="65"/>
      <c r="C456" s="65">
        <v>2429</v>
      </c>
      <c r="D456" s="65"/>
      <c r="E456" s="65" t="s">
        <v>787</v>
      </c>
      <c r="F456" s="65">
        <v>0</v>
      </c>
      <c r="G456" s="65"/>
      <c r="H456" s="65">
        <v>3</v>
      </c>
      <c r="I456" s="65" t="e">
        <v>#N/A</v>
      </c>
      <c r="J456" s="65" t="s">
        <v>899</v>
      </c>
      <c r="K456" s="65"/>
      <c r="L456" s="65"/>
      <c r="M456" s="65"/>
      <c r="N456" s="65"/>
      <c r="O456" s="65" t="s">
        <v>917</v>
      </c>
      <c r="P456" s="65"/>
      <c r="Q456" s="65">
        <v>1</v>
      </c>
      <c r="R456" s="65">
        <v>843</v>
      </c>
      <c r="S456" s="65"/>
    </row>
    <row r="457" spans="1:19" x14ac:dyDescent="0.25">
      <c r="A457" s="15">
        <v>29</v>
      </c>
      <c r="B457" s="65"/>
      <c r="C457" s="65">
        <v>2429</v>
      </c>
      <c r="D457" s="65"/>
      <c r="E457" s="65" t="s">
        <v>787</v>
      </c>
      <c r="F457" s="65">
        <v>0</v>
      </c>
      <c r="G457" s="65"/>
      <c r="H457" s="65">
        <v>3</v>
      </c>
      <c r="I457" s="65" t="e">
        <v>#N/A</v>
      </c>
      <c r="J457" s="65" t="s">
        <v>899</v>
      </c>
      <c r="K457" s="65"/>
      <c r="L457" s="65"/>
      <c r="M457" s="65"/>
      <c r="N457" s="65"/>
      <c r="O457" s="65" t="s">
        <v>918</v>
      </c>
      <c r="P457" s="65"/>
      <c r="Q457" s="65">
        <v>1</v>
      </c>
      <c r="R457" s="65">
        <v>844</v>
      </c>
      <c r="S457" s="65"/>
    </row>
    <row r="458" spans="1:19" x14ac:dyDescent="0.25">
      <c r="A458" s="15">
        <v>29</v>
      </c>
      <c r="B458" s="65"/>
      <c r="C458" s="65">
        <v>2429</v>
      </c>
      <c r="D458" s="65"/>
      <c r="E458" s="65" t="s">
        <v>787</v>
      </c>
      <c r="F458" s="65">
        <v>0</v>
      </c>
      <c r="G458" s="65"/>
      <c r="H458" s="65">
        <v>3</v>
      </c>
      <c r="I458" s="65" t="e">
        <v>#N/A</v>
      </c>
      <c r="J458" s="65" t="s">
        <v>899</v>
      </c>
      <c r="K458" s="65"/>
      <c r="L458" s="65"/>
      <c r="M458" s="65"/>
      <c r="N458" s="65"/>
      <c r="O458" s="65" t="s">
        <v>919</v>
      </c>
      <c r="P458" s="65"/>
      <c r="Q458" s="65">
        <v>1</v>
      </c>
      <c r="R458" s="65">
        <v>845</v>
      </c>
      <c r="S458" s="65"/>
    </row>
    <row r="459" spans="1:19" x14ac:dyDescent="0.25">
      <c r="A459" s="15">
        <v>29</v>
      </c>
      <c r="B459" s="65"/>
      <c r="C459" s="65">
        <v>2429</v>
      </c>
      <c r="D459" s="65"/>
      <c r="E459" s="65" t="s">
        <v>787</v>
      </c>
      <c r="F459" s="65">
        <v>0</v>
      </c>
      <c r="G459" s="65"/>
      <c r="H459" s="65">
        <v>3</v>
      </c>
      <c r="I459" s="65" t="e">
        <v>#N/A</v>
      </c>
      <c r="J459" s="65" t="s">
        <v>899</v>
      </c>
      <c r="K459" s="65"/>
      <c r="L459" s="65"/>
      <c r="M459" s="65"/>
      <c r="N459" s="65"/>
      <c r="O459" s="65" t="s">
        <v>920</v>
      </c>
      <c r="P459" s="65"/>
      <c r="Q459" s="65">
        <v>1</v>
      </c>
      <c r="R459" s="65">
        <v>846</v>
      </c>
      <c r="S459" s="65"/>
    </row>
    <row r="460" spans="1:19" x14ac:dyDescent="0.25">
      <c r="A460" s="15">
        <v>29</v>
      </c>
      <c r="B460" s="65"/>
      <c r="C460" s="65">
        <v>2429</v>
      </c>
      <c r="D460" s="65"/>
      <c r="E460" s="65" t="s">
        <v>787</v>
      </c>
      <c r="F460" s="65">
        <v>0</v>
      </c>
      <c r="G460" s="65"/>
      <c r="H460" s="65">
        <v>3</v>
      </c>
      <c r="I460" s="65" t="e">
        <v>#N/A</v>
      </c>
      <c r="J460" s="65" t="s">
        <v>899</v>
      </c>
      <c r="K460" s="65"/>
      <c r="L460" s="65"/>
      <c r="M460" s="65"/>
      <c r="N460" s="65"/>
      <c r="O460" s="65" t="s">
        <v>921</v>
      </c>
      <c r="P460" s="65"/>
      <c r="Q460" s="65">
        <v>1</v>
      </c>
      <c r="R460" s="65">
        <v>847</v>
      </c>
      <c r="S460" s="65"/>
    </row>
    <row r="461" spans="1:19" x14ac:dyDescent="0.25">
      <c r="A461" s="15">
        <v>29</v>
      </c>
      <c r="B461" s="65"/>
      <c r="C461" s="65">
        <v>2429</v>
      </c>
      <c r="D461" s="65"/>
      <c r="E461" s="65" t="s">
        <v>787</v>
      </c>
      <c r="F461" s="65">
        <v>0</v>
      </c>
      <c r="G461" s="65"/>
      <c r="H461" s="65">
        <v>3</v>
      </c>
      <c r="I461" s="65" t="e">
        <v>#N/A</v>
      </c>
      <c r="J461" s="65" t="s">
        <v>899</v>
      </c>
      <c r="K461" s="65"/>
      <c r="L461" s="65"/>
      <c r="M461" s="65"/>
      <c r="N461" s="65"/>
      <c r="O461" s="65" t="s">
        <v>922</v>
      </c>
      <c r="P461" s="65"/>
      <c r="Q461" s="65">
        <v>1</v>
      </c>
      <c r="R461" s="65">
        <v>848</v>
      </c>
      <c r="S461" s="65"/>
    </row>
    <row r="462" spans="1:19" x14ac:dyDescent="0.25">
      <c r="A462" s="15">
        <v>29</v>
      </c>
      <c r="B462" s="65"/>
      <c r="C462" s="65">
        <v>2429</v>
      </c>
      <c r="D462" s="65"/>
      <c r="E462" s="65" t="s">
        <v>787</v>
      </c>
      <c r="F462" s="65">
        <v>0</v>
      </c>
      <c r="G462" s="65"/>
      <c r="H462" s="65">
        <v>3</v>
      </c>
      <c r="I462" s="65" t="e">
        <v>#N/A</v>
      </c>
      <c r="J462" s="65" t="s">
        <v>899</v>
      </c>
      <c r="K462" s="65"/>
      <c r="L462" s="65"/>
      <c r="M462" s="65"/>
      <c r="N462" s="65"/>
      <c r="O462" s="65" t="s">
        <v>923</v>
      </c>
      <c r="P462" s="65"/>
      <c r="Q462" s="65">
        <v>1</v>
      </c>
      <c r="R462" s="65">
        <v>849</v>
      </c>
      <c r="S462" s="65"/>
    </row>
    <row r="463" spans="1:19" x14ac:dyDescent="0.25">
      <c r="A463" s="15">
        <v>29</v>
      </c>
      <c r="B463" s="65"/>
      <c r="C463" s="65">
        <v>2429</v>
      </c>
      <c r="D463" s="65"/>
      <c r="E463" s="65" t="s">
        <v>787</v>
      </c>
      <c r="F463" s="65">
        <v>3</v>
      </c>
      <c r="G463" s="65"/>
      <c r="H463" s="65">
        <v>3</v>
      </c>
      <c r="I463" s="65" t="e">
        <v>#N/A</v>
      </c>
      <c r="J463" s="65" t="s">
        <v>899</v>
      </c>
      <c r="K463" s="65"/>
      <c r="L463" s="65"/>
      <c r="M463" s="65"/>
      <c r="N463" s="65"/>
      <c r="O463" s="65" t="s">
        <v>924</v>
      </c>
      <c r="P463" s="65"/>
      <c r="Q463" s="65">
        <v>1</v>
      </c>
      <c r="R463" s="65">
        <v>1065</v>
      </c>
      <c r="S463" s="65"/>
    </row>
    <row r="464" spans="1:19" x14ac:dyDescent="0.25">
      <c r="A464" s="15">
        <v>29</v>
      </c>
      <c r="B464" s="65"/>
      <c r="C464" s="65">
        <v>2429</v>
      </c>
      <c r="D464" s="65"/>
      <c r="E464" s="65" t="s">
        <v>787</v>
      </c>
      <c r="F464" s="65">
        <v>3</v>
      </c>
      <c r="G464" s="65"/>
      <c r="H464" s="65">
        <v>3</v>
      </c>
      <c r="I464" s="65" t="e">
        <v>#N/A</v>
      </c>
      <c r="J464" s="65" t="s">
        <v>899</v>
      </c>
      <c r="K464" s="65"/>
      <c r="L464" s="65"/>
      <c r="M464" s="65"/>
      <c r="N464" s="65"/>
      <c r="O464" s="65" t="s">
        <v>925</v>
      </c>
      <c r="P464" s="65"/>
      <c r="Q464" s="65">
        <v>1</v>
      </c>
      <c r="R464" s="65">
        <v>1066</v>
      </c>
      <c r="S464" s="65"/>
    </row>
    <row r="465" spans="1:19" x14ac:dyDescent="0.25">
      <c r="A465" s="15">
        <v>29</v>
      </c>
      <c r="B465" s="65"/>
      <c r="C465" s="65">
        <v>2429</v>
      </c>
      <c r="D465" s="65"/>
      <c r="E465" s="65" t="s">
        <v>787</v>
      </c>
      <c r="F465" s="65">
        <v>3</v>
      </c>
      <c r="G465" s="65"/>
      <c r="H465" s="65">
        <v>3</v>
      </c>
      <c r="I465" s="65" t="e">
        <v>#N/A</v>
      </c>
      <c r="J465" s="65" t="s">
        <v>899</v>
      </c>
      <c r="K465" s="65"/>
      <c r="L465" s="65"/>
      <c r="M465" s="65"/>
      <c r="N465" s="65"/>
      <c r="O465" s="65" t="s">
        <v>926</v>
      </c>
      <c r="P465" s="65"/>
      <c r="Q465" s="65">
        <v>1</v>
      </c>
      <c r="R465" s="65">
        <v>1067</v>
      </c>
      <c r="S465" s="65"/>
    </row>
    <row r="466" spans="1:19" x14ac:dyDescent="0.25">
      <c r="A466" s="15">
        <v>29</v>
      </c>
      <c r="B466" s="65"/>
      <c r="C466" s="65">
        <v>2429</v>
      </c>
      <c r="D466" s="65"/>
      <c r="E466" s="65" t="s">
        <v>787</v>
      </c>
      <c r="F466" s="65">
        <v>3</v>
      </c>
      <c r="G466" s="65"/>
      <c r="H466" s="65">
        <v>3</v>
      </c>
      <c r="I466" s="65" t="e">
        <v>#N/A</v>
      </c>
      <c r="J466" s="65" t="s">
        <v>899</v>
      </c>
      <c r="K466" s="65"/>
      <c r="L466" s="65"/>
      <c r="M466" s="65"/>
      <c r="N466" s="65"/>
      <c r="O466" s="65" t="s">
        <v>927</v>
      </c>
      <c r="P466" s="65"/>
      <c r="Q466" s="65">
        <v>1</v>
      </c>
      <c r="R466" s="65">
        <v>1068</v>
      </c>
      <c r="S466" s="65"/>
    </row>
    <row r="467" spans="1:19" x14ac:dyDescent="0.25">
      <c r="A467" s="15">
        <v>29</v>
      </c>
      <c r="B467" s="65"/>
      <c r="C467" s="65">
        <v>2429</v>
      </c>
      <c r="D467" s="65"/>
      <c r="E467" s="65" t="s">
        <v>787</v>
      </c>
      <c r="F467" s="65">
        <v>3</v>
      </c>
      <c r="G467" s="65"/>
      <c r="H467" s="65">
        <v>3</v>
      </c>
      <c r="I467" s="65" t="e">
        <v>#N/A</v>
      </c>
      <c r="J467" s="65" t="s">
        <v>899</v>
      </c>
      <c r="K467" s="65"/>
      <c r="L467" s="65"/>
      <c r="M467" s="65"/>
      <c r="N467" s="65"/>
      <c r="O467" s="65" t="s">
        <v>928</v>
      </c>
      <c r="P467" s="65"/>
      <c r="Q467" s="65">
        <v>1</v>
      </c>
      <c r="R467" s="65">
        <v>1069</v>
      </c>
      <c r="S467" s="65"/>
    </row>
    <row r="468" spans="1:19" x14ac:dyDescent="0.25">
      <c r="A468" s="15">
        <v>29</v>
      </c>
      <c r="B468" s="65"/>
      <c r="C468" s="65">
        <v>2429</v>
      </c>
      <c r="D468" s="65"/>
      <c r="E468" s="65" t="s">
        <v>787</v>
      </c>
      <c r="F468" s="65">
        <v>3</v>
      </c>
      <c r="G468" s="65"/>
      <c r="H468" s="65">
        <v>3</v>
      </c>
      <c r="I468" s="65" t="e">
        <v>#N/A</v>
      </c>
      <c r="J468" s="65" t="s">
        <v>899</v>
      </c>
      <c r="K468" s="65"/>
      <c r="L468" s="65"/>
      <c r="M468" s="65"/>
      <c r="N468" s="65"/>
      <c r="O468" s="65" t="s">
        <v>929</v>
      </c>
      <c r="P468" s="65"/>
      <c r="Q468" s="65">
        <v>1</v>
      </c>
      <c r="R468" s="65">
        <v>1070</v>
      </c>
      <c r="S468" s="65"/>
    </row>
    <row r="469" spans="1:19" x14ac:dyDescent="0.25">
      <c r="A469" s="15">
        <v>29</v>
      </c>
      <c r="B469" s="65"/>
      <c r="C469" s="65">
        <v>2429</v>
      </c>
      <c r="D469" s="65"/>
      <c r="E469" s="65" t="s">
        <v>787</v>
      </c>
      <c r="F469" s="65">
        <v>3</v>
      </c>
      <c r="G469" s="65"/>
      <c r="H469" s="65">
        <v>3</v>
      </c>
      <c r="I469" s="65" t="e">
        <v>#N/A</v>
      </c>
      <c r="J469" s="65" t="s">
        <v>899</v>
      </c>
      <c r="K469" s="65"/>
      <c r="L469" s="65"/>
      <c r="M469" s="65"/>
      <c r="N469" s="65"/>
      <c r="O469" s="65" t="s">
        <v>930</v>
      </c>
      <c r="P469" s="65"/>
      <c r="Q469" s="65">
        <v>1</v>
      </c>
      <c r="R469" s="65">
        <v>1071</v>
      </c>
      <c r="S469" s="65"/>
    </row>
    <row r="470" spans="1:19" x14ac:dyDescent="0.25">
      <c r="A470" s="15">
        <v>29</v>
      </c>
      <c r="B470" s="65"/>
      <c r="C470" s="65">
        <v>2429</v>
      </c>
      <c r="D470" s="65"/>
      <c r="E470" s="65" t="s">
        <v>787</v>
      </c>
      <c r="F470" s="65">
        <v>3</v>
      </c>
      <c r="G470" s="65"/>
      <c r="H470" s="65">
        <v>3</v>
      </c>
      <c r="I470" s="65" t="e">
        <v>#N/A</v>
      </c>
      <c r="J470" s="65" t="s">
        <v>899</v>
      </c>
      <c r="K470" s="65"/>
      <c r="L470" s="65"/>
      <c r="M470" s="65"/>
      <c r="N470" s="65"/>
      <c r="O470" s="65" t="s">
        <v>931</v>
      </c>
      <c r="P470" s="65"/>
      <c r="Q470" s="65">
        <v>1</v>
      </c>
      <c r="R470" s="65">
        <v>1072</v>
      </c>
      <c r="S470" s="65"/>
    </row>
    <row r="471" spans="1:19" x14ac:dyDescent="0.25">
      <c r="A471" s="15">
        <v>29</v>
      </c>
      <c r="B471" s="65"/>
      <c r="C471" s="65">
        <v>2429</v>
      </c>
      <c r="D471" s="65"/>
      <c r="E471" s="65" t="s">
        <v>787</v>
      </c>
      <c r="F471" s="65">
        <v>3</v>
      </c>
      <c r="G471" s="65"/>
      <c r="H471" s="65">
        <v>3</v>
      </c>
      <c r="I471" s="65" t="e">
        <v>#N/A</v>
      </c>
      <c r="J471" s="65" t="s">
        <v>899</v>
      </c>
      <c r="K471" s="65"/>
      <c r="L471" s="65"/>
      <c r="M471" s="65"/>
      <c r="N471" s="65"/>
      <c r="O471" s="65" t="s">
        <v>932</v>
      </c>
      <c r="P471" s="65"/>
      <c r="Q471" s="65">
        <v>1</v>
      </c>
      <c r="R471" s="65">
        <v>1073</v>
      </c>
      <c r="S471" s="65"/>
    </row>
    <row r="472" spans="1:19" x14ac:dyDescent="0.25">
      <c r="A472" s="15">
        <v>29</v>
      </c>
      <c r="B472" s="65"/>
      <c r="C472" s="65">
        <v>2429</v>
      </c>
      <c r="D472" s="65"/>
      <c r="E472" s="65" t="s">
        <v>787</v>
      </c>
      <c r="F472" s="65">
        <v>3</v>
      </c>
      <c r="G472" s="65"/>
      <c r="H472" s="65">
        <v>3</v>
      </c>
      <c r="I472" s="65" t="e">
        <v>#N/A</v>
      </c>
      <c r="J472" s="65" t="s">
        <v>899</v>
      </c>
      <c r="K472" s="65"/>
      <c r="L472" s="65"/>
      <c r="M472" s="65"/>
      <c r="N472" s="65"/>
      <c r="O472" s="65" t="s">
        <v>933</v>
      </c>
      <c r="P472" s="65"/>
      <c r="Q472" s="65">
        <v>1</v>
      </c>
      <c r="R472" s="65">
        <v>1074</v>
      </c>
      <c r="S472" s="65"/>
    </row>
    <row r="473" spans="1:19" x14ac:dyDescent="0.25">
      <c r="A473" s="15">
        <v>29</v>
      </c>
      <c r="B473" s="65"/>
      <c r="C473" s="65">
        <v>2429</v>
      </c>
      <c r="D473" s="65"/>
      <c r="E473" s="65" t="s">
        <v>787</v>
      </c>
      <c r="F473" s="65">
        <v>3</v>
      </c>
      <c r="G473" s="65"/>
      <c r="H473" s="65">
        <v>3</v>
      </c>
      <c r="I473" s="65" t="e">
        <v>#N/A</v>
      </c>
      <c r="J473" s="65" t="s">
        <v>899</v>
      </c>
      <c r="K473" s="65"/>
      <c r="L473" s="65"/>
      <c r="M473" s="65"/>
      <c r="N473" s="65"/>
      <c r="O473" s="65" t="s">
        <v>934</v>
      </c>
      <c r="P473" s="65"/>
      <c r="Q473" s="65">
        <v>1</v>
      </c>
      <c r="R473" s="65">
        <v>1075</v>
      </c>
      <c r="S473" s="65"/>
    </row>
    <row r="474" spans="1:19" x14ac:dyDescent="0.25">
      <c r="A474" s="15">
        <v>29</v>
      </c>
      <c r="B474" s="65"/>
      <c r="C474" s="65">
        <v>2429</v>
      </c>
      <c r="D474" s="65"/>
      <c r="E474" s="65" t="s">
        <v>787</v>
      </c>
      <c r="F474" s="65">
        <v>3</v>
      </c>
      <c r="G474" s="65"/>
      <c r="H474" s="65">
        <v>3</v>
      </c>
      <c r="I474" s="65" t="e">
        <v>#N/A</v>
      </c>
      <c r="J474" s="65" t="s">
        <v>899</v>
      </c>
      <c r="K474" s="65"/>
      <c r="L474" s="65"/>
      <c r="M474" s="65"/>
      <c r="N474" s="65"/>
      <c r="O474" s="65" t="s">
        <v>935</v>
      </c>
      <c r="P474" s="65"/>
      <c r="Q474" s="65">
        <v>1</v>
      </c>
      <c r="R474" s="65">
        <v>1076</v>
      </c>
      <c r="S474" s="65"/>
    </row>
    <row r="475" spans="1:19" x14ac:dyDescent="0.25">
      <c r="A475" s="15">
        <v>29</v>
      </c>
      <c r="B475" s="65"/>
      <c r="C475" s="65">
        <v>2429</v>
      </c>
      <c r="D475" s="65"/>
      <c r="E475" s="65" t="s">
        <v>787</v>
      </c>
      <c r="F475" s="65">
        <v>3</v>
      </c>
      <c r="G475" s="65"/>
      <c r="H475" s="65" t="e">
        <v>#N/A</v>
      </c>
      <c r="I475" s="65"/>
      <c r="J475" s="65" t="s">
        <v>899</v>
      </c>
      <c r="K475" s="65"/>
      <c r="L475" s="65"/>
      <c r="M475" s="65"/>
      <c r="N475" s="65"/>
      <c r="O475" s="65" t="s">
        <v>936</v>
      </c>
      <c r="P475" s="65"/>
      <c r="Q475" s="65">
        <v>1</v>
      </c>
      <c r="R475" s="65">
        <v>1270</v>
      </c>
      <c r="S475" s="65"/>
    </row>
    <row r="476" spans="1:19" x14ac:dyDescent="0.25">
      <c r="A476" s="15">
        <v>29</v>
      </c>
      <c r="B476" s="65"/>
      <c r="C476" s="65">
        <v>2429</v>
      </c>
      <c r="D476" s="65"/>
      <c r="E476" s="65" t="s">
        <v>787</v>
      </c>
      <c r="F476" s="65">
        <v>5</v>
      </c>
      <c r="G476" s="65"/>
      <c r="H476" s="65" t="e">
        <v>#N/A</v>
      </c>
      <c r="I476" s="65"/>
      <c r="J476" s="65" t="s">
        <v>899</v>
      </c>
      <c r="K476" s="65"/>
      <c r="L476" s="65"/>
      <c r="M476" s="65"/>
      <c r="N476" s="65"/>
      <c r="O476" s="65" t="s">
        <v>938</v>
      </c>
      <c r="P476" s="65"/>
      <c r="Q476" s="65">
        <v>1</v>
      </c>
      <c r="R476" s="65">
        <v>1359</v>
      </c>
      <c r="S476" s="65"/>
    </row>
    <row r="477" spans="1:19" x14ac:dyDescent="0.25">
      <c r="A477" s="15">
        <v>29</v>
      </c>
      <c r="B477" s="65"/>
      <c r="C477" s="65">
        <v>2429</v>
      </c>
      <c r="D477" s="65"/>
      <c r="E477" s="65" t="s">
        <v>787</v>
      </c>
      <c r="F477" s="65">
        <v>5</v>
      </c>
      <c r="G477" s="65"/>
      <c r="H477" s="65" t="e">
        <v>#N/A</v>
      </c>
      <c r="I477" s="65"/>
      <c r="J477" s="65" t="s">
        <v>899</v>
      </c>
      <c r="K477" s="65"/>
      <c r="L477" s="65"/>
      <c r="M477" s="65"/>
      <c r="N477" s="65"/>
      <c r="O477" s="65" t="s">
        <v>939</v>
      </c>
      <c r="P477" s="65"/>
      <c r="Q477" s="65">
        <v>1</v>
      </c>
      <c r="R477" s="65">
        <v>1360</v>
      </c>
      <c r="S477" s="65"/>
    </row>
    <row r="478" spans="1:19" x14ac:dyDescent="0.25">
      <c r="A478" s="15">
        <v>29</v>
      </c>
      <c r="B478" s="65"/>
      <c r="C478" s="65">
        <v>2429</v>
      </c>
      <c r="D478" s="65"/>
      <c r="E478" s="65" t="s">
        <v>787</v>
      </c>
      <c r="F478" s="65">
        <v>5</v>
      </c>
      <c r="G478" s="65"/>
      <c r="H478" s="65" t="e">
        <v>#N/A</v>
      </c>
      <c r="I478" s="65"/>
      <c r="J478" s="65" t="s">
        <v>899</v>
      </c>
      <c r="K478" s="65"/>
      <c r="L478" s="65"/>
      <c r="M478" s="65"/>
      <c r="N478" s="65"/>
      <c r="O478" s="65" t="s">
        <v>940</v>
      </c>
      <c r="P478" s="65"/>
      <c r="Q478" s="65">
        <v>1</v>
      </c>
      <c r="R478" s="65">
        <v>1361</v>
      </c>
      <c r="S478" s="65"/>
    </row>
    <row r="479" spans="1:19" x14ac:dyDescent="0.25">
      <c r="A479" s="15">
        <v>29</v>
      </c>
      <c r="B479" s="65"/>
      <c r="C479" s="65">
        <v>2429</v>
      </c>
      <c r="D479" s="65"/>
      <c r="E479" s="65" t="s">
        <v>787</v>
      </c>
      <c r="F479" s="65">
        <v>5</v>
      </c>
      <c r="G479" s="65"/>
      <c r="H479" s="65" t="e">
        <v>#N/A</v>
      </c>
      <c r="I479" s="65"/>
      <c r="J479" s="65" t="s">
        <v>899</v>
      </c>
      <c r="K479" s="65"/>
      <c r="L479" s="65"/>
      <c r="M479" s="65"/>
      <c r="N479" s="65"/>
      <c r="O479" s="65" t="s">
        <v>941</v>
      </c>
      <c r="P479" s="65"/>
      <c r="Q479" s="65">
        <v>1</v>
      </c>
      <c r="R479" s="65">
        <v>1362</v>
      </c>
      <c r="S479" s="65"/>
    </row>
    <row r="480" spans="1:19" x14ac:dyDescent="0.25">
      <c r="A480" s="15">
        <v>29</v>
      </c>
      <c r="B480" s="65"/>
      <c r="C480" s="65">
        <v>2429</v>
      </c>
      <c r="D480" s="65"/>
      <c r="E480" s="65" t="s">
        <v>787</v>
      </c>
      <c r="F480" s="65">
        <v>5</v>
      </c>
      <c r="G480" s="65"/>
      <c r="H480" s="65" t="e">
        <v>#N/A</v>
      </c>
      <c r="I480" s="65"/>
      <c r="J480" s="65" t="s">
        <v>899</v>
      </c>
      <c r="K480" s="65"/>
      <c r="L480" s="65"/>
      <c r="M480" s="65"/>
      <c r="N480" s="65"/>
      <c r="O480" s="65" t="s">
        <v>942</v>
      </c>
      <c r="P480" s="65"/>
      <c r="Q480" s="65">
        <v>1</v>
      </c>
      <c r="R480" s="65">
        <v>1363</v>
      </c>
      <c r="S480" s="65"/>
    </row>
    <row r="481" spans="1:19" x14ac:dyDescent="0.25">
      <c r="A481" s="15">
        <v>29</v>
      </c>
      <c r="B481" s="65"/>
      <c r="C481" s="65">
        <v>2429</v>
      </c>
      <c r="D481" s="65"/>
      <c r="E481" s="65" t="s">
        <v>787</v>
      </c>
      <c r="F481" s="65">
        <v>5</v>
      </c>
      <c r="G481" s="65"/>
      <c r="H481" s="65" t="e">
        <v>#N/A</v>
      </c>
      <c r="I481" s="65"/>
      <c r="J481" s="65" t="s">
        <v>899</v>
      </c>
      <c r="K481" s="65"/>
      <c r="L481" s="65"/>
      <c r="M481" s="65"/>
      <c r="N481" s="65"/>
      <c r="O481" s="65" t="s">
        <v>943</v>
      </c>
      <c r="P481" s="65"/>
      <c r="Q481" s="65">
        <v>1</v>
      </c>
      <c r="R481" s="65">
        <v>1364</v>
      </c>
      <c r="S481" s="65"/>
    </row>
    <row r="482" spans="1:19" x14ac:dyDescent="0.25">
      <c r="A482" s="15">
        <v>29</v>
      </c>
      <c r="B482" s="65"/>
      <c r="C482" s="65">
        <v>2429</v>
      </c>
      <c r="D482" s="65"/>
      <c r="E482" s="65" t="s">
        <v>787</v>
      </c>
      <c r="F482" s="65">
        <v>5</v>
      </c>
      <c r="G482" s="65"/>
      <c r="H482" s="65" t="e">
        <v>#N/A</v>
      </c>
      <c r="I482" s="65"/>
      <c r="J482" s="65" t="s">
        <v>899</v>
      </c>
      <c r="K482" s="65"/>
      <c r="L482" s="65"/>
      <c r="M482" s="65"/>
      <c r="N482" s="65"/>
      <c r="O482" s="65" t="s">
        <v>944</v>
      </c>
      <c r="P482" s="65"/>
      <c r="Q482" s="65">
        <v>1</v>
      </c>
      <c r="R482" s="65">
        <v>1365</v>
      </c>
      <c r="S482" s="65"/>
    </row>
    <row r="483" spans="1:19" x14ac:dyDescent="0.25">
      <c r="A483" s="15">
        <v>29</v>
      </c>
      <c r="B483" s="65"/>
      <c r="C483" s="65">
        <v>2429</v>
      </c>
      <c r="D483" s="65"/>
      <c r="E483" s="65" t="s">
        <v>787</v>
      </c>
      <c r="F483" s="65">
        <v>5</v>
      </c>
      <c r="G483" s="65"/>
      <c r="H483" s="65" t="e">
        <v>#N/A</v>
      </c>
      <c r="I483" s="65"/>
      <c r="J483" s="65" t="s">
        <v>899</v>
      </c>
      <c r="K483" s="65"/>
      <c r="L483" s="65"/>
      <c r="M483" s="65"/>
      <c r="N483" s="65"/>
      <c r="O483" s="65" t="s">
        <v>945</v>
      </c>
      <c r="P483" s="65"/>
      <c r="Q483" s="65">
        <v>1</v>
      </c>
      <c r="R483" s="65">
        <v>1366</v>
      </c>
      <c r="S483" s="65"/>
    </row>
    <row r="484" spans="1:19" x14ac:dyDescent="0.25">
      <c r="A484" s="15">
        <v>29</v>
      </c>
      <c r="B484" s="65"/>
      <c r="C484" s="65">
        <v>2429</v>
      </c>
      <c r="D484" s="65"/>
      <c r="E484" s="65" t="s">
        <v>787</v>
      </c>
      <c r="F484" s="65">
        <v>5</v>
      </c>
      <c r="G484" s="65"/>
      <c r="H484" s="65" t="e">
        <v>#N/A</v>
      </c>
      <c r="I484" s="65"/>
      <c r="J484" s="65" t="s">
        <v>899</v>
      </c>
      <c r="K484" s="65"/>
      <c r="L484" s="65"/>
      <c r="M484" s="65"/>
      <c r="N484" s="65"/>
      <c r="O484" s="65" t="s">
        <v>946</v>
      </c>
      <c r="P484" s="65"/>
      <c r="Q484" s="65">
        <v>1</v>
      </c>
      <c r="R484" s="65">
        <v>1367</v>
      </c>
      <c r="S484" s="65"/>
    </row>
    <row r="485" spans="1:19" x14ac:dyDescent="0.25">
      <c r="A485" s="15">
        <v>29</v>
      </c>
      <c r="B485" s="65"/>
      <c r="C485" s="65">
        <v>2429</v>
      </c>
      <c r="D485" s="65"/>
      <c r="E485" s="65" t="s">
        <v>787</v>
      </c>
      <c r="F485" s="65">
        <v>5</v>
      </c>
      <c r="G485" s="65"/>
      <c r="H485" s="65" t="e">
        <v>#N/A</v>
      </c>
      <c r="I485" s="65"/>
      <c r="J485" s="65" t="s">
        <v>899</v>
      </c>
      <c r="K485" s="65"/>
      <c r="L485" s="65"/>
      <c r="M485" s="65"/>
      <c r="N485" s="65"/>
      <c r="O485" s="65" t="s">
        <v>947</v>
      </c>
      <c r="P485" s="65"/>
      <c r="Q485" s="65">
        <v>1</v>
      </c>
      <c r="R485" s="65">
        <v>1368</v>
      </c>
      <c r="S485" s="65"/>
    </row>
    <row r="486" spans="1:19" x14ac:dyDescent="0.25">
      <c r="A486" s="15">
        <v>29</v>
      </c>
      <c r="B486" s="65"/>
      <c r="C486" s="65">
        <v>2429</v>
      </c>
      <c r="D486" s="65"/>
      <c r="E486" s="65" t="s">
        <v>787</v>
      </c>
      <c r="F486" s="65">
        <v>5</v>
      </c>
      <c r="G486" s="65"/>
      <c r="H486" s="65" t="e">
        <v>#N/A</v>
      </c>
      <c r="I486" s="65"/>
      <c r="J486" s="65" t="s">
        <v>899</v>
      </c>
      <c r="K486" s="65"/>
      <c r="L486" s="65"/>
      <c r="M486" s="65"/>
      <c r="N486" s="65"/>
      <c r="O486" s="65" t="s">
        <v>948</v>
      </c>
      <c r="P486" s="65"/>
      <c r="Q486" s="65">
        <v>1</v>
      </c>
      <c r="R486" s="65">
        <v>1369</v>
      </c>
      <c r="S486" s="65"/>
    </row>
    <row r="487" spans="1:19" x14ac:dyDescent="0.25">
      <c r="A487" s="15">
        <v>29</v>
      </c>
      <c r="B487" s="65"/>
      <c r="C487" s="65">
        <v>2429</v>
      </c>
      <c r="D487" s="65"/>
      <c r="E487" s="65" t="s">
        <v>787</v>
      </c>
      <c r="F487" s="65">
        <v>5</v>
      </c>
      <c r="G487" s="65"/>
      <c r="H487" s="65" t="e">
        <v>#N/A</v>
      </c>
      <c r="I487" s="65"/>
      <c r="J487" s="65" t="s">
        <v>899</v>
      </c>
      <c r="K487" s="65"/>
      <c r="L487" s="65"/>
      <c r="M487" s="65"/>
      <c r="N487" s="65"/>
      <c r="O487" s="65" t="s">
        <v>949</v>
      </c>
      <c r="P487" s="65"/>
      <c r="Q487" s="65">
        <v>1</v>
      </c>
      <c r="R487" s="65">
        <v>1370</v>
      </c>
      <c r="S487" s="65"/>
    </row>
    <row r="488" spans="1:19" x14ac:dyDescent="0.25">
      <c r="A488" s="15">
        <v>30</v>
      </c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</row>
    <row r="489" spans="1:19" x14ac:dyDescent="0.25">
      <c r="A489" s="15">
        <v>30</v>
      </c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 t="s">
        <v>816</v>
      </c>
      <c r="P489" s="65"/>
      <c r="Q489" s="65"/>
      <c r="R489" s="65"/>
      <c r="S489" s="65"/>
    </row>
    <row r="490" spans="1:19" x14ac:dyDescent="0.25">
      <c r="A490" s="15">
        <v>30</v>
      </c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 t="s">
        <v>865</v>
      </c>
      <c r="P490" s="65"/>
      <c r="Q490" s="65"/>
      <c r="R490" s="65"/>
      <c r="S490" s="65"/>
    </row>
    <row r="491" spans="1:19" x14ac:dyDescent="0.25">
      <c r="A491" s="15">
        <v>30</v>
      </c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 t="s">
        <v>874</v>
      </c>
      <c r="P491" s="65"/>
      <c r="Q491" s="65"/>
      <c r="R491" s="65"/>
      <c r="S491" s="65"/>
    </row>
    <row r="492" spans="1:19" x14ac:dyDescent="0.25">
      <c r="A492" s="15">
        <v>30</v>
      </c>
      <c r="B492" s="65"/>
      <c r="C492" s="65" t="s">
        <v>79</v>
      </c>
      <c r="D492" s="65"/>
      <c r="E492" s="65" t="s">
        <v>787</v>
      </c>
      <c r="F492" s="65">
        <v>8</v>
      </c>
      <c r="G492" s="65"/>
      <c r="H492" s="65">
        <v>10</v>
      </c>
      <c r="I492" s="65">
        <v>10.916666666666666</v>
      </c>
      <c r="J492" s="65" t="s">
        <v>879</v>
      </c>
      <c r="K492" s="65"/>
      <c r="L492" s="65"/>
      <c r="M492" s="65"/>
      <c r="N492" s="65"/>
      <c r="O492" s="65" t="s">
        <v>878</v>
      </c>
      <c r="P492" s="65"/>
      <c r="Q492" s="65">
        <v>1</v>
      </c>
      <c r="R492" s="65">
        <v>292</v>
      </c>
      <c r="S492" s="65"/>
    </row>
    <row r="493" spans="1:19" x14ac:dyDescent="0.25">
      <c r="A493" s="15">
        <v>30</v>
      </c>
      <c r="B493" s="65"/>
      <c r="C493" s="65">
        <v>2429</v>
      </c>
      <c r="D493" s="65"/>
      <c r="E493" s="65" t="s">
        <v>787</v>
      </c>
      <c r="F493" s="65">
        <v>8</v>
      </c>
      <c r="G493" s="65"/>
      <c r="H493" s="65"/>
      <c r="I493" s="65">
        <v>26.666666666666668</v>
      </c>
      <c r="J493" s="65" t="s">
        <v>879</v>
      </c>
      <c r="K493" s="65"/>
      <c r="L493" s="65"/>
      <c r="M493" s="65"/>
      <c r="N493" s="65"/>
      <c r="O493" s="65" t="s">
        <v>881</v>
      </c>
      <c r="P493" s="65"/>
      <c r="Q493" s="65">
        <v>1</v>
      </c>
      <c r="R493" s="65">
        <v>392</v>
      </c>
      <c r="S493" s="65"/>
    </row>
    <row r="494" spans="1:19" x14ac:dyDescent="0.25">
      <c r="A494" s="15">
        <v>30</v>
      </c>
      <c r="B494" s="65"/>
      <c r="C494" s="65">
        <v>2429</v>
      </c>
      <c r="D494" s="65"/>
      <c r="E494" s="65" t="s">
        <v>787</v>
      </c>
      <c r="F494" s="65">
        <v>8</v>
      </c>
      <c r="G494" s="65"/>
      <c r="H494" s="65"/>
      <c r="I494" s="65">
        <v>15.666666666666666</v>
      </c>
      <c r="J494" s="65" t="s">
        <v>879</v>
      </c>
      <c r="K494" s="65"/>
      <c r="L494" s="65"/>
      <c r="M494" s="65"/>
      <c r="N494" s="65"/>
      <c r="O494" s="65" t="s">
        <v>882</v>
      </c>
      <c r="P494" s="65"/>
      <c r="Q494" s="65">
        <v>1</v>
      </c>
      <c r="R494" s="65">
        <v>393</v>
      </c>
      <c r="S494" s="65"/>
    </row>
    <row r="495" spans="1:19" x14ac:dyDescent="0.25">
      <c r="A495" s="15">
        <v>30</v>
      </c>
      <c r="B495" s="65"/>
      <c r="C495" s="65">
        <v>2429</v>
      </c>
      <c r="D495" s="65"/>
      <c r="E495" s="65" t="s">
        <v>787</v>
      </c>
      <c r="F495" s="65">
        <v>8</v>
      </c>
      <c r="G495" s="65"/>
      <c r="H495" s="65"/>
      <c r="I495" s="65">
        <v>15.666666666666666</v>
      </c>
      <c r="J495" s="65" t="s">
        <v>879</v>
      </c>
      <c r="K495" s="65"/>
      <c r="L495" s="65"/>
      <c r="M495" s="65"/>
      <c r="N495" s="65"/>
      <c r="O495" s="65" t="s">
        <v>883</v>
      </c>
      <c r="P495" s="65"/>
      <c r="Q495" s="65">
        <v>1</v>
      </c>
      <c r="R495" s="65">
        <v>394</v>
      </c>
      <c r="S495" s="65"/>
    </row>
    <row r="496" spans="1:19" x14ac:dyDescent="0.25">
      <c r="A496" s="15">
        <v>30</v>
      </c>
      <c r="B496" s="65"/>
      <c r="C496" s="65">
        <v>2429</v>
      </c>
      <c r="D496" s="65"/>
      <c r="E496" s="65" t="s">
        <v>787</v>
      </c>
      <c r="F496" s="65">
        <v>8</v>
      </c>
      <c r="G496" s="65"/>
      <c r="H496" s="65"/>
      <c r="I496" s="65">
        <v>15.666666666666666</v>
      </c>
      <c r="J496" s="65" t="s">
        <v>879</v>
      </c>
      <c r="K496" s="65"/>
      <c r="L496" s="65"/>
      <c r="M496" s="65"/>
      <c r="N496" s="65"/>
      <c r="O496" s="65" t="s">
        <v>884</v>
      </c>
      <c r="P496" s="65"/>
      <c r="Q496" s="65">
        <v>1</v>
      </c>
      <c r="R496" s="65">
        <v>395</v>
      </c>
      <c r="S496" s="65"/>
    </row>
    <row r="497" spans="1:19" x14ac:dyDescent="0.25">
      <c r="A497" s="15">
        <v>30</v>
      </c>
      <c r="B497" s="65"/>
      <c r="C497" s="65">
        <v>2429</v>
      </c>
      <c r="D497" s="65"/>
      <c r="E497" s="65" t="s">
        <v>787</v>
      </c>
      <c r="F497" s="65">
        <v>8</v>
      </c>
      <c r="G497" s="65"/>
      <c r="H497" s="65"/>
      <c r="I497" s="65">
        <v>15.666666666666666</v>
      </c>
      <c r="J497" s="65" t="s">
        <v>879</v>
      </c>
      <c r="K497" s="65"/>
      <c r="L497" s="65"/>
      <c r="M497" s="65"/>
      <c r="N497" s="65"/>
      <c r="O497" s="65" t="s">
        <v>885</v>
      </c>
      <c r="P497" s="65"/>
      <c r="Q497" s="65">
        <v>1</v>
      </c>
      <c r="R497" s="65">
        <v>396</v>
      </c>
      <c r="S497" s="65"/>
    </row>
    <row r="498" spans="1:19" x14ac:dyDescent="0.25">
      <c r="A498" s="15">
        <v>30</v>
      </c>
      <c r="B498" s="65"/>
      <c r="C498" s="65">
        <v>2429</v>
      </c>
      <c r="D498" s="65"/>
      <c r="E498" s="65" t="s">
        <v>787</v>
      </c>
      <c r="F498" s="65">
        <v>8</v>
      </c>
      <c r="G498" s="65"/>
      <c r="H498" s="65"/>
      <c r="I498" s="65">
        <v>15.666666666666666</v>
      </c>
      <c r="J498" s="65" t="s">
        <v>879</v>
      </c>
      <c r="K498" s="65"/>
      <c r="L498" s="65"/>
      <c r="M498" s="65"/>
      <c r="N498" s="65"/>
      <c r="O498" s="65" t="s">
        <v>886</v>
      </c>
      <c r="P498" s="65"/>
      <c r="Q498" s="65">
        <v>1</v>
      </c>
      <c r="R498" s="65">
        <v>397</v>
      </c>
      <c r="S498" s="65"/>
    </row>
    <row r="499" spans="1:19" x14ac:dyDescent="0.25">
      <c r="A499" s="15">
        <v>30</v>
      </c>
      <c r="B499" s="65"/>
      <c r="C499" s="65">
        <v>2429</v>
      </c>
      <c r="D499" s="65"/>
      <c r="E499" s="65" t="s">
        <v>787</v>
      </c>
      <c r="F499" s="65">
        <v>8</v>
      </c>
      <c r="G499" s="65"/>
      <c r="H499" s="65"/>
      <c r="I499" s="65">
        <v>15.666666666666666</v>
      </c>
      <c r="J499" s="65" t="s">
        <v>879</v>
      </c>
      <c r="K499" s="65"/>
      <c r="L499" s="65"/>
      <c r="M499" s="65"/>
      <c r="N499" s="65"/>
      <c r="O499" s="65" t="s">
        <v>887</v>
      </c>
      <c r="P499" s="65"/>
      <c r="Q499" s="65">
        <v>1</v>
      </c>
      <c r="R499" s="65">
        <v>398</v>
      </c>
      <c r="S499" s="65"/>
    </row>
    <row r="500" spans="1:19" x14ac:dyDescent="0.25">
      <c r="A500" s="15">
        <v>30</v>
      </c>
      <c r="B500" s="65"/>
      <c r="C500" s="65">
        <v>2429</v>
      </c>
      <c r="D500" s="65"/>
      <c r="E500" s="65" t="s">
        <v>787</v>
      </c>
      <c r="F500" s="65">
        <v>8</v>
      </c>
      <c r="G500" s="65"/>
      <c r="H500" s="65"/>
      <c r="I500" s="65">
        <v>15.666666666666666</v>
      </c>
      <c r="J500" s="65" t="s">
        <v>879</v>
      </c>
      <c r="K500" s="65"/>
      <c r="L500" s="65"/>
      <c r="M500" s="65"/>
      <c r="N500" s="65"/>
      <c r="O500" s="65" t="s">
        <v>888</v>
      </c>
      <c r="P500" s="65"/>
      <c r="Q500" s="65">
        <v>1</v>
      </c>
      <c r="R500" s="65">
        <v>399</v>
      </c>
      <c r="S500" s="65"/>
    </row>
    <row r="501" spans="1:19" x14ac:dyDescent="0.25">
      <c r="A501" s="15">
        <v>30</v>
      </c>
      <c r="B501" s="65"/>
      <c r="C501" s="65">
        <v>2429</v>
      </c>
      <c r="D501" s="65"/>
      <c r="E501" s="65" t="s">
        <v>787</v>
      </c>
      <c r="F501" s="65">
        <v>8</v>
      </c>
      <c r="G501" s="65"/>
      <c r="H501" s="65"/>
      <c r="I501" s="65">
        <v>15.666666666666666</v>
      </c>
      <c r="J501" s="65" t="s">
        <v>879</v>
      </c>
      <c r="K501" s="65"/>
      <c r="L501" s="65"/>
      <c r="M501" s="65"/>
      <c r="N501" s="65"/>
      <c r="O501" s="65" t="s">
        <v>889</v>
      </c>
      <c r="P501" s="65"/>
      <c r="Q501" s="65">
        <v>1</v>
      </c>
      <c r="R501" s="65">
        <v>400</v>
      </c>
      <c r="S501" s="65"/>
    </row>
    <row r="502" spans="1:19" x14ac:dyDescent="0.25">
      <c r="A502" s="15">
        <v>30</v>
      </c>
      <c r="B502" s="65"/>
      <c r="C502" s="65">
        <v>2429</v>
      </c>
      <c r="D502" s="65"/>
      <c r="E502" s="65" t="s">
        <v>787</v>
      </c>
      <c r="F502" s="65">
        <v>8</v>
      </c>
      <c r="G502" s="65"/>
      <c r="H502" s="65"/>
      <c r="I502" s="65">
        <v>15.666666666666666</v>
      </c>
      <c r="J502" s="65" t="s">
        <v>879</v>
      </c>
      <c r="K502" s="65"/>
      <c r="L502" s="65"/>
      <c r="M502" s="65"/>
      <c r="N502" s="65"/>
      <c r="O502" s="65" t="s">
        <v>890</v>
      </c>
      <c r="P502" s="65"/>
      <c r="Q502" s="65">
        <v>1</v>
      </c>
      <c r="R502" s="65">
        <v>401</v>
      </c>
      <c r="S502" s="65"/>
    </row>
    <row r="503" spans="1:19" x14ac:dyDescent="0.25">
      <c r="A503" s="15">
        <v>30</v>
      </c>
      <c r="B503" s="65"/>
      <c r="C503" s="65">
        <v>2429</v>
      </c>
      <c r="D503" s="65"/>
      <c r="E503" s="65" t="s">
        <v>787</v>
      </c>
      <c r="F503" s="65">
        <v>8</v>
      </c>
      <c r="G503" s="65"/>
      <c r="H503" s="65"/>
      <c r="I503" s="65">
        <v>15.666666666666666</v>
      </c>
      <c r="J503" s="65" t="s">
        <v>879</v>
      </c>
      <c r="K503" s="65"/>
      <c r="L503" s="65"/>
      <c r="M503" s="65"/>
      <c r="N503" s="65"/>
      <c r="O503" s="65" t="s">
        <v>891</v>
      </c>
      <c r="P503" s="65"/>
      <c r="Q503" s="65">
        <v>1</v>
      </c>
      <c r="R503" s="65">
        <v>402</v>
      </c>
      <c r="S503" s="65"/>
    </row>
    <row r="504" spans="1:19" x14ac:dyDescent="0.25">
      <c r="A504" s="15">
        <v>30</v>
      </c>
      <c r="B504" s="65"/>
      <c r="C504" s="65">
        <v>2429</v>
      </c>
      <c r="D504" s="65"/>
      <c r="E504" s="65" t="s">
        <v>787</v>
      </c>
      <c r="F504" s="65">
        <v>12</v>
      </c>
      <c r="G504" s="65"/>
      <c r="H504" s="65"/>
      <c r="I504" s="65">
        <v>10.583333333333334</v>
      </c>
      <c r="J504" s="65" t="s">
        <v>879</v>
      </c>
      <c r="K504" s="65"/>
      <c r="L504" s="65"/>
      <c r="M504" s="65"/>
      <c r="N504" s="65"/>
      <c r="O504" s="65" t="s">
        <v>892</v>
      </c>
      <c r="P504" s="65"/>
      <c r="Q504" s="65">
        <v>1</v>
      </c>
      <c r="R504" s="65">
        <v>403</v>
      </c>
      <c r="S504" s="65"/>
    </row>
    <row r="505" spans="1:19" x14ac:dyDescent="0.25">
      <c r="A505" s="15">
        <v>30</v>
      </c>
      <c r="B505" s="65"/>
      <c r="C505" s="65">
        <v>2429</v>
      </c>
      <c r="D505" s="65"/>
      <c r="E505" s="65" t="s">
        <v>787</v>
      </c>
      <c r="F505" s="65">
        <v>1</v>
      </c>
      <c r="G505" s="65"/>
      <c r="H505" s="65" t="e">
        <v>#N/A</v>
      </c>
      <c r="I505" s="65"/>
      <c r="J505" s="65" t="s">
        <v>899</v>
      </c>
      <c r="K505" s="65" t="s">
        <v>900</v>
      </c>
      <c r="L505" s="65" t="s">
        <v>900</v>
      </c>
      <c r="M505" s="65" t="s">
        <v>900</v>
      </c>
      <c r="N505" s="65" t="s">
        <v>900</v>
      </c>
      <c r="O505" s="65" t="s">
        <v>898</v>
      </c>
      <c r="P505" s="65"/>
      <c r="Q505" s="65">
        <v>1</v>
      </c>
      <c r="R505" s="65">
        <v>624</v>
      </c>
      <c r="S505" s="65"/>
    </row>
    <row r="506" spans="1:19" x14ac:dyDescent="0.25">
      <c r="A506" s="15">
        <v>30</v>
      </c>
      <c r="B506" s="65"/>
      <c r="C506" s="65">
        <v>2429</v>
      </c>
      <c r="D506" s="65"/>
      <c r="E506" s="65" t="s">
        <v>787</v>
      </c>
      <c r="F506" s="65">
        <v>1</v>
      </c>
      <c r="G506" s="65"/>
      <c r="H506" s="65" t="e">
        <v>#N/A</v>
      </c>
      <c r="I506" s="65"/>
      <c r="J506" s="65" t="s">
        <v>899</v>
      </c>
      <c r="K506" s="65" t="s">
        <v>900</v>
      </c>
      <c r="L506" s="65" t="s">
        <v>900</v>
      </c>
      <c r="M506" s="65" t="s">
        <v>900</v>
      </c>
      <c r="N506" s="65" t="s">
        <v>900</v>
      </c>
      <c r="O506" s="65" t="s">
        <v>901</v>
      </c>
      <c r="P506" s="65"/>
      <c r="Q506" s="65">
        <v>1</v>
      </c>
      <c r="R506" s="65">
        <v>625</v>
      </c>
      <c r="S506" s="65"/>
    </row>
    <row r="507" spans="1:19" x14ac:dyDescent="0.25">
      <c r="A507" s="15">
        <v>30</v>
      </c>
      <c r="B507" s="65"/>
      <c r="C507" s="65">
        <v>2429</v>
      </c>
      <c r="D507" s="65"/>
      <c r="E507" s="65" t="s">
        <v>787</v>
      </c>
      <c r="F507" s="65">
        <v>1</v>
      </c>
      <c r="G507" s="65"/>
      <c r="H507" s="65" t="e">
        <v>#N/A</v>
      </c>
      <c r="I507" s="65"/>
      <c r="J507" s="65" t="s">
        <v>899</v>
      </c>
      <c r="K507" s="65" t="s">
        <v>900</v>
      </c>
      <c r="L507" s="65" t="s">
        <v>900</v>
      </c>
      <c r="M507" s="65" t="s">
        <v>900</v>
      </c>
      <c r="N507" s="65" t="s">
        <v>900</v>
      </c>
      <c r="O507" s="65" t="s">
        <v>902</v>
      </c>
      <c r="P507" s="65"/>
      <c r="Q507" s="65">
        <v>1</v>
      </c>
      <c r="R507" s="65">
        <v>626</v>
      </c>
      <c r="S507" s="65"/>
    </row>
    <row r="508" spans="1:19" x14ac:dyDescent="0.25">
      <c r="A508" s="15">
        <v>30</v>
      </c>
      <c r="B508" s="65"/>
      <c r="C508" s="65">
        <v>2429</v>
      </c>
      <c r="D508" s="65"/>
      <c r="E508" s="65" t="s">
        <v>787</v>
      </c>
      <c r="F508" s="65">
        <v>1</v>
      </c>
      <c r="G508" s="65"/>
      <c r="H508" s="65" t="e">
        <v>#N/A</v>
      </c>
      <c r="I508" s="65"/>
      <c r="J508" s="65" t="s">
        <v>899</v>
      </c>
      <c r="K508" s="65" t="s">
        <v>900</v>
      </c>
      <c r="L508" s="65" t="s">
        <v>900</v>
      </c>
      <c r="M508" s="65" t="s">
        <v>900</v>
      </c>
      <c r="N508" s="65" t="s">
        <v>900</v>
      </c>
      <c r="O508" s="65" t="s">
        <v>903</v>
      </c>
      <c r="P508" s="65"/>
      <c r="Q508" s="65">
        <v>1</v>
      </c>
      <c r="R508" s="65">
        <v>627</v>
      </c>
      <c r="S508" s="65"/>
    </row>
    <row r="509" spans="1:19" x14ac:dyDescent="0.25">
      <c r="A509" s="15">
        <v>30</v>
      </c>
      <c r="B509" s="65"/>
      <c r="C509" s="65">
        <v>2429</v>
      </c>
      <c r="D509" s="65"/>
      <c r="E509" s="65" t="s">
        <v>787</v>
      </c>
      <c r="F509" s="65">
        <v>1</v>
      </c>
      <c r="G509" s="65"/>
      <c r="H509" s="65" t="e">
        <v>#N/A</v>
      </c>
      <c r="I509" s="65"/>
      <c r="J509" s="65" t="s">
        <v>899</v>
      </c>
      <c r="K509" s="65" t="s">
        <v>900</v>
      </c>
      <c r="L509" s="65" t="s">
        <v>900</v>
      </c>
      <c r="M509" s="65" t="s">
        <v>900</v>
      </c>
      <c r="N509" s="65" t="s">
        <v>900</v>
      </c>
      <c r="O509" s="65" t="s">
        <v>904</v>
      </c>
      <c r="P509" s="65"/>
      <c r="Q509" s="65">
        <v>1</v>
      </c>
      <c r="R509" s="65">
        <v>628</v>
      </c>
      <c r="S509" s="65"/>
    </row>
    <row r="510" spans="1:19" x14ac:dyDescent="0.25">
      <c r="A510" s="15">
        <v>30</v>
      </c>
      <c r="B510" s="65"/>
      <c r="C510" s="65">
        <v>2429</v>
      </c>
      <c r="D510" s="65"/>
      <c r="E510" s="65" t="s">
        <v>787</v>
      </c>
      <c r="F510" s="65">
        <v>1</v>
      </c>
      <c r="G510" s="65"/>
      <c r="H510" s="65" t="e">
        <v>#N/A</v>
      </c>
      <c r="I510" s="65"/>
      <c r="J510" s="65" t="s">
        <v>899</v>
      </c>
      <c r="K510" s="65" t="s">
        <v>900</v>
      </c>
      <c r="L510" s="65" t="s">
        <v>900</v>
      </c>
      <c r="M510" s="65" t="s">
        <v>900</v>
      </c>
      <c r="N510" s="65" t="s">
        <v>900</v>
      </c>
      <c r="O510" s="65" t="s">
        <v>905</v>
      </c>
      <c r="P510" s="65"/>
      <c r="Q510" s="65">
        <v>1</v>
      </c>
      <c r="R510" s="65">
        <v>629</v>
      </c>
      <c r="S510" s="65"/>
    </row>
    <row r="511" spans="1:19" x14ac:dyDescent="0.25">
      <c r="A511" s="15">
        <v>30</v>
      </c>
      <c r="B511" s="65"/>
      <c r="C511" s="65">
        <v>2429</v>
      </c>
      <c r="D511" s="65"/>
      <c r="E511" s="65" t="s">
        <v>787</v>
      </c>
      <c r="F511" s="65">
        <v>1</v>
      </c>
      <c r="G511" s="65"/>
      <c r="H511" s="65" t="e">
        <v>#N/A</v>
      </c>
      <c r="I511" s="65"/>
      <c r="J511" s="65" t="s">
        <v>899</v>
      </c>
      <c r="K511" s="65" t="s">
        <v>900</v>
      </c>
      <c r="L511" s="65" t="s">
        <v>900</v>
      </c>
      <c r="M511" s="65" t="s">
        <v>900</v>
      </c>
      <c r="N511" s="65" t="s">
        <v>900</v>
      </c>
      <c r="O511" s="65" t="s">
        <v>906</v>
      </c>
      <c r="P511" s="65"/>
      <c r="Q511" s="65">
        <v>1</v>
      </c>
      <c r="R511" s="65">
        <v>630</v>
      </c>
      <c r="S511" s="65"/>
    </row>
    <row r="512" spans="1:19" x14ac:dyDescent="0.25">
      <c r="A512" s="15">
        <v>30</v>
      </c>
      <c r="B512" s="65"/>
      <c r="C512" s="65">
        <v>2429</v>
      </c>
      <c r="D512" s="65"/>
      <c r="E512" s="65" t="s">
        <v>787</v>
      </c>
      <c r="F512" s="65">
        <v>1</v>
      </c>
      <c r="G512" s="65"/>
      <c r="H512" s="65" t="e">
        <v>#N/A</v>
      </c>
      <c r="I512" s="65"/>
      <c r="J512" s="65" t="s">
        <v>899</v>
      </c>
      <c r="K512" s="65" t="s">
        <v>900</v>
      </c>
      <c r="L512" s="65" t="s">
        <v>900</v>
      </c>
      <c r="M512" s="65" t="s">
        <v>900</v>
      </c>
      <c r="N512" s="65" t="s">
        <v>900</v>
      </c>
      <c r="O512" s="65" t="s">
        <v>907</v>
      </c>
      <c r="P512" s="65"/>
      <c r="Q512" s="65">
        <v>1</v>
      </c>
      <c r="R512" s="65">
        <v>631</v>
      </c>
      <c r="S512" s="65"/>
    </row>
    <row r="513" spans="1:19" x14ac:dyDescent="0.25">
      <c r="A513" s="15">
        <v>30</v>
      </c>
      <c r="B513" s="65"/>
      <c r="C513" s="65">
        <v>2429</v>
      </c>
      <c r="D513" s="65"/>
      <c r="E513" s="65" t="s">
        <v>787</v>
      </c>
      <c r="F513" s="65">
        <v>1</v>
      </c>
      <c r="G513" s="65"/>
      <c r="H513" s="65" t="e">
        <v>#N/A</v>
      </c>
      <c r="I513" s="65"/>
      <c r="J513" s="65" t="s">
        <v>899</v>
      </c>
      <c r="K513" s="65" t="s">
        <v>900</v>
      </c>
      <c r="L513" s="65" t="s">
        <v>900</v>
      </c>
      <c r="M513" s="65" t="s">
        <v>900</v>
      </c>
      <c r="N513" s="65" t="s">
        <v>900</v>
      </c>
      <c r="O513" s="65" t="s">
        <v>908</v>
      </c>
      <c r="P513" s="65"/>
      <c r="Q513" s="65">
        <v>1</v>
      </c>
      <c r="R513" s="65">
        <v>632</v>
      </c>
      <c r="S513" s="65"/>
    </row>
    <row r="514" spans="1:19" x14ac:dyDescent="0.25">
      <c r="A514" s="15">
        <v>30</v>
      </c>
      <c r="B514" s="65"/>
      <c r="C514" s="65">
        <v>2429</v>
      </c>
      <c r="D514" s="65"/>
      <c r="E514" s="65" t="s">
        <v>787</v>
      </c>
      <c r="F514" s="65">
        <v>1</v>
      </c>
      <c r="G514" s="65"/>
      <c r="H514" s="65" t="e">
        <v>#N/A</v>
      </c>
      <c r="I514" s="65"/>
      <c r="J514" s="65" t="s">
        <v>899</v>
      </c>
      <c r="K514" s="65" t="s">
        <v>900</v>
      </c>
      <c r="L514" s="65" t="s">
        <v>900</v>
      </c>
      <c r="M514" s="65" t="s">
        <v>900</v>
      </c>
      <c r="N514" s="65" t="s">
        <v>900</v>
      </c>
      <c r="O514" s="65" t="s">
        <v>909</v>
      </c>
      <c r="P514" s="65"/>
      <c r="Q514" s="65">
        <v>1</v>
      </c>
      <c r="R514" s="65">
        <v>633</v>
      </c>
      <c r="S514" s="65"/>
    </row>
    <row r="515" spans="1:19" x14ac:dyDescent="0.25">
      <c r="A515" s="15">
        <v>30</v>
      </c>
      <c r="B515" s="65"/>
      <c r="C515" s="65">
        <v>2429</v>
      </c>
      <c r="D515" s="65"/>
      <c r="E515" s="65" t="s">
        <v>787</v>
      </c>
      <c r="F515" s="65">
        <v>1</v>
      </c>
      <c r="G515" s="65"/>
      <c r="H515" s="65" t="e">
        <v>#N/A</v>
      </c>
      <c r="I515" s="65"/>
      <c r="J515" s="65" t="s">
        <v>899</v>
      </c>
      <c r="K515" s="65" t="s">
        <v>900</v>
      </c>
      <c r="L515" s="65" t="s">
        <v>900</v>
      </c>
      <c r="M515" s="65" t="s">
        <v>900</v>
      </c>
      <c r="N515" s="65" t="s">
        <v>900</v>
      </c>
      <c r="O515" s="65" t="s">
        <v>910</v>
      </c>
      <c r="P515" s="65"/>
      <c r="Q515" s="65">
        <v>1</v>
      </c>
      <c r="R515" s="65">
        <v>634</v>
      </c>
      <c r="S515" s="65"/>
    </row>
    <row r="516" spans="1:19" x14ac:dyDescent="0.25">
      <c r="A516" s="15">
        <v>30</v>
      </c>
      <c r="B516" s="65"/>
      <c r="C516" s="65">
        <v>2429</v>
      </c>
      <c r="D516" s="65"/>
      <c r="E516" s="65" t="s">
        <v>787</v>
      </c>
      <c r="F516" s="65">
        <v>1</v>
      </c>
      <c r="G516" s="65"/>
      <c r="H516" s="65" t="e">
        <v>#N/A</v>
      </c>
      <c r="I516" s="65"/>
      <c r="J516" s="65" t="s">
        <v>899</v>
      </c>
      <c r="K516" s="65" t="s">
        <v>900</v>
      </c>
      <c r="L516" s="65" t="s">
        <v>900</v>
      </c>
      <c r="M516" s="65" t="s">
        <v>900</v>
      </c>
      <c r="N516" s="65" t="s">
        <v>900</v>
      </c>
      <c r="O516" s="65" t="s">
        <v>911</v>
      </c>
      <c r="P516" s="65"/>
      <c r="Q516" s="65">
        <v>1</v>
      </c>
      <c r="R516" s="65">
        <v>635</v>
      </c>
      <c r="S516" s="65"/>
    </row>
    <row r="517" spans="1:19" x14ac:dyDescent="0.25">
      <c r="A517" s="15">
        <v>30</v>
      </c>
      <c r="B517" s="65"/>
      <c r="C517" s="65">
        <v>2429</v>
      </c>
      <c r="D517" s="65"/>
      <c r="E517" s="65" t="s">
        <v>787</v>
      </c>
      <c r="F517" s="65">
        <v>0</v>
      </c>
      <c r="G517" s="65"/>
      <c r="H517" s="65">
        <v>3</v>
      </c>
      <c r="I517" s="65" t="e">
        <v>#N/A</v>
      </c>
      <c r="J517" s="65" t="s">
        <v>899</v>
      </c>
      <c r="K517" s="65"/>
      <c r="L517" s="65"/>
      <c r="M517" s="65"/>
      <c r="N517" s="65"/>
      <c r="O517" s="65" t="s">
        <v>912</v>
      </c>
      <c r="P517" s="65"/>
      <c r="Q517" s="65">
        <v>1</v>
      </c>
      <c r="R517" s="65">
        <v>851</v>
      </c>
      <c r="S517" s="65"/>
    </row>
    <row r="518" spans="1:19" x14ac:dyDescent="0.25">
      <c r="A518" s="15">
        <v>30</v>
      </c>
      <c r="B518" s="65"/>
      <c r="C518" s="65">
        <v>2429</v>
      </c>
      <c r="D518" s="65"/>
      <c r="E518" s="65" t="s">
        <v>787</v>
      </c>
      <c r="F518" s="65">
        <v>0</v>
      </c>
      <c r="G518" s="65"/>
      <c r="H518" s="65">
        <v>3</v>
      </c>
      <c r="I518" s="65" t="e">
        <v>#N/A</v>
      </c>
      <c r="J518" s="65" t="s">
        <v>899</v>
      </c>
      <c r="K518" s="65"/>
      <c r="L518" s="65"/>
      <c r="M518" s="65"/>
      <c r="N518" s="65"/>
      <c r="O518" s="65" t="s">
        <v>913</v>
      </c>
      <c r="P518" s="65"/>
      <c r="Q518" s="65">
        <v>1</v>
      </c>
      <c r="R518" s="65">
        <v>852</v>
      </c>
      <c r="S518" s="65"/>
    </row>
    <row r="519" spans="1:19" x14ac:dyDescent="0.25">
      <c r="A519" s="15">
        <v>30</v>
      </c>
      <c r="B519" s="65"/>
      <c r="C519" s="65">
        <v>2429</v>
      </c>
      <c r="D519" s="65"/>
      <c r="E519" s="65" t="s">
        <v>787</v>
      </c>
      <c r="F519" s="65">
        <v>0</v>
      </c>
      <c r="G519" s="65"/>
      <c r="H519" s="65">
        <v>3</v>
      </c>
      <c r="I519" s="65" t="e">
        <v>#N/A</v>
      </c>
      <c r="J519" s="65" t="s">
        <v>899</v>
      </c>
      <c r="K519" s="65"/>
      <c r="L519" s="65"/>
      <c r="M519" s="65"/>
      <c r="N519" s="65"/>
      <c r="O519" s="65" t="s">
        <v>914</v>
      </c>
      <c r="P519" s="65"/>
      <c r="Q519" s="65">
        <v>1</v>
      </c>
      <c r="R519" s="65">
        <v>853</v>
      </c>
      <c r="S519" s="65"/>
    </row>
    <row r="520" spans="1:19" x14ac:dyDescent="0.25">
      <c r="A520" s="15">
        <v>30</v>
      </c>
      <c r="B520" s="65"/>
      <c r="C520" s="65">
        <v>2429</v>
      </c>
      <c r="D520" s="65"/>
      <c r="E520" s="65" t="s">
        <v>787</v>
      </c>
      <c r="F520" s="65">
        <v>0</v>
      </c>
      <c r="G520" s="65"/>
      <c r="H520" s="65">
        <v>3</v>
      </c>
      <c r="I520" s="65" t="e">
        <v>#N/A</v>
      </c>
      <c r="J520" s="65" t="s">
        <v>899</v>
      </c>
      <c r="K520" s="65"/>
      <c r="L520" s="65"/>
      <c r="M520" s="65"/>
      <c r="N520" s="65"/>
      <c r="O520" s="65" t="s">
        <v>915</v>
      </c>
      <c r="P520" s="65"/>
      <c r="Q520" s="65">
        <v>1</v>
      </c>
      <c r="R520" s="65">
        <v>854</v>
      </c>
      <c r="S520" s="65"/>
    </row>
    <row r="521" spans="1:19" x14ac:dyDescent="0.25">
      <c r="A521" s="15">
        <v>30</v>
      </c>
      <c r="B521" s="65"/>
      <c r="C521" s="65">
        <v>2429</v>
      </c>
      <c r="D521" s="65"/>
      <c r="E521" s="65" t="s">
        <v>787</v>
      </c>
      <c r="F521" s="65">
        <v>0</v>
      </c>
      <c r="G521" s="65"/>
      <c r="H521" s="65">
        <v>3</v>
      </c>
      <c r="I521" s="65" t="e">
        <v>#N/A</v>
      </c>
      <c r="J521" s="65" t="s">
        <v>899</v>
      </c>
      <c r="K521" s="65"/>
      <c r="L521" s="65"/>
      <c r="M521" s="65"/>
      <c r="N521" s="65"/>
      <c r="O521" s="65" t="s">
        <v>916</v>
      </c>
      <c r="P521" s="65"/>
      <c r="Q521" s="65">
        <v>1</v>
      </c>
      <c r="R521" s="65">
        <v>855</v>
      </c>
      <c r="S521" s="65"/>
    </row>
    <row r="522" spans="1:19" x14ac:dyDescent="0.25">
      <c r="A522" s="15">
        <v>30</v>
      </c>
      <c r="B522" s="65"/>
      <c r="C522" s="65">
        <v>2429</v>
      </c>
      <c r="D522" s="65"/>
      <c r="E522" s="65" t="s">
        <v>787</v>
      </c>
      <c r="F522" s="65">
        <v>0</v>
      </c>
      <c r="G522" s="65"/>
      <c r="H522" s="65">
        <v>3</v>
      </c>
      <c r="I522" s="65" t="e">
        <v>#N/A</v>
      </c>
      <c r="J522" s="65" t="s">
        <v>899</v>
      </c>
      <c r="K522" s="65"/>
      <c r="L522" s="65"/>
      <c r="M522" s="65"/>
      <c r="N522" s="65"/>
      <c r="O522" s="65" t="s">
        <v>917</v>
      </c>
      <c r="P522" s="65"/>
      <c r="Q522" s="65">
        <v>1</v>
      </c>
      <c r="R522" s="65">
        <v>856</v>
      </c>
      <c r="S522" s="65"/>
    </row>
    <row r="523" spans="1:19" x14ac:dyDescent="0.25">
      <c r="A523" s="15">
        <v>30</v>
      </c>
      <c r="B523" s="65"/>
      <c r="C523" s="65">
        <v>2429</v>
      </c>
      <c r="D523" s="65"/>
      <c r="E523" s="65" t="s">
        <v>787</v>
      </c>
      <c r="F523" s="65">
        <v>0</v>
      </c>
      <c r="G523" s="65"/>
      <c r="H523" s="65">
        <v>3</v>
      </c>
      <c r="I523" s="65" t="e">
        <v>#N/A</v>
      </c>
      <c r="J523" s="65" t="s">
        <v>899</v>
      </c>
      <c r="K523" s="65"/>
      <c r="L523" s="65"/>
      <c r="M523" s="65"/>
      <c r="N523" s="65"/>
      <c r="O523" s="65" t="s">
        <v>918</v>
      </c>
      <c r="P523" s="65"/>
      <c r="Q523" s="65">
        <v>1</v>
      </c>
      <c r="R523" s="65">
        <v>857</v>
      </c>
      <c r="S523" s="65"/>
    </row>
    <row r="524" spans="1:19" x14ac:dyDescent="0.25">
      <c r="A524" s="15">
        <v>30</v>
      </c>
      <c r="B524" s="65"/>
      <c r="C524" s="65">
        <v>2429</v>
      </c>
      <c r="D524" s="65"/>
      <c r="E524" s="65" t="s">
        <v>787</v>
      </c>
      <c r="F524" s="65">
        <v>0</v>
      </c>
      <c r="G524" s="65"/>
      <c r="H524" s="65">
        <v>3</v>
      </c>
      <c r="I524" s="65" t="e">
        <v>#N/A</v>
      </c>
      <c r="J524" s="65" t="s">
        <v>899</v>
      </c>
      <c r="K524" s="65"/>
      <c r="L524" s="65"/>
      <c r="M524" s="65"/>
      <c r="N524" s="65"/>
      <c r="O524" s="65" t="s">
        <v>919</v>
      </c>
      <c r="P524" s="65"/>
      <c r="Q524" s="65">
        <v>1</v>
      </c>
      <c r="R524" s="65">
        <v>858</v>
      </c>
      <c r="S524" s="65"/>
    </row>
    <row r="525" spans="1:19" x14ac:dyDescent="0.25">
      <c r="A525" s="15">
        <v>30</v>
      </c>
      <c r="B525" s="65"/>
      <c r="C525" s="65">
        <v>2429</v>
      </c>
      <c r="D525" s="65"/>
      <c r="E525" s="65" t="s">
        <v>787</v>
      </c>
      <c r="F525" s="65">
        <v>0</v>
      </c>
      <c r="G525" s="65"/>
      <c r="H525" s="65">
        <v>3</v>
      </c>
      <c r="I525" s="65" t="e">
        <v>#N/A</v>
      </c>
      <c r="J525" s="65" t="s">
        <v>899</v>
      </c>
      <c r="K525" s="65"/>
      <c r="L525" s="65"/>
      <c r="M525" s="65"/>
      <c r="N525" s="65"/>
      <c r="O525" s="65" t="s">
        <v>920</v>
      </c>
      <c r="P525" s="65"/>
      <c r="Q525" s="65">
        <v>1</v>
      </c>
      <c r="R525" s="65">
        <v>859</v>
      </c>
      <c r="S525" s="65"/>
    </row>
    <row r="526" spans="1:19" x14ac:dyDescent="0.25">
      <c r="A526" s="15">
        <v>30</v>
      </c>
      <c r="B526" s="65"/>
      <c r="C526" s="65">
        <v>2429</v>
      </c>
      <c r="D526" s="65"/>
      <c r="E526" s="65" t="s">
        <v>787</v>
      </c>
      <c r="F526" s="65">
        <v>0</v>
      </c>
      <c r="G526" s="65"/>
      <c r="H526" s="65">
        <v>3</v>
      </c>
      <c r="I526" s="65" t="e">
        <v>#N/A</v>
      </c>
      <c r="J526" s="65" t="s">
        <v>899</v>
      </c>
      <c r="K526" s="65"/>
      <c r="L526" s="65"/>
      <c r="M526" s="65"/>
      <c r="N526" s="65"/>
      <c r="O526" s="65" t="s">
        <v>921</v>
      </c>
      <c r="P526" s="65"/>
      <c r="Q526" s="65">
        <v>1</v>
      </c>
      <c r="R526" s="65">
        <v>860</v>
      </c>
      <c r="S526" s="65"/>
    </row>
    <row r="527" spans="1:19" x14ac:dyDescent="0.25">
      <c r="A527" s="15">
        <v>30</v>
      </c>
      <c r="B527" s="65"/>
      <c r="C527" s="65">
        <v>2429</v>
      </c>
      <c r="D527" s="65"/>
      <c r="E527" s="65" t="s">
        <v>787</v>
      </c>
      <c r="F527" s="65">
        <v>0</v>
      </c>
      <c r="G527" s="65"/>
      <c r="H527" s="65">
        <v>3</v>
      </c>
      <c r="I527" s="65" t="e">
        <v>#N/A</v>
      </c>
      <c r="J527" s="65" t="s">
        <v>899</v>
      </c>
      <c r="K527" s="65"/>
      <c r="L527" s="65"/>
      <c r="M527" s="65"/>
      <c r="N527" s="65"/>
      <c r="O527" s="65" t="s">
        <v>922</v>
      </c>
      <c r="P527" s="65"/>
      <c r="Q527" s="65">
        <v>1</v>
      </c>
      <c r="R527" s="65">
        <v>861</v>
      </c>
      <c r="S527" s="65"/>
    </row>
    <row r="528" spans="1:19" x14ac:dyDescent="0.25">
      <c r="A528" s="15">
        <v>30</v>
      </c>
      <c r="B528" s="65"/>
      <c r="C528" s="65">
        <v>2429</v>
      </c>
      <c r="D528" s="65"/>
      <c r="E528" s="65" t="s">
        <v>787</v>
      </c>
      <c r="F528" s="65">
        <v>0</v>
      </c>
      <c r="G528" s="65"/>
      <c r="H528" s="65">
        <v>3</v>
      </c>
      <c r="I528" s="65" t="e">
        <v>#N/A</v>
      </c>
      <c r="J528" s="65" t="s">
        <v>899</v>
      </c>
      <c r="K528" s="65"/>
      <c r="L528" s="65"/>
      <c r="M528" s="65"/>
      <c r="N528" s="65"/>
      <c r="O528" s="65" t="s">
        <v>923</v>
      </c>
      <c r="P528" s="65"/>
      <c r="Q528" s="65">
        <v>1</v>
      </c>
      <c r="R528" s="65">
        <v>862</v>
      </c>
      <c r="S528" s="65"/>
    </row>
    <row r="529" spans="1:19" x14ac:dyDescent="0.25">
      <c r="A529" s="15">
        <v>30</v>
      </c>
      <c r="B529" s="65"/>
      <c r="C529" s="65">
        <v>2429</v>
      </c>
      <c r="D529" s="65"/>
      <c r="E529" s="65" t="s">
        <v>787</v>
      </c>
      <c r="F529" s="65">
        <v>3</v>
      </c>
      <c r="G529" s="65"/>
      <c r="H529" s="65">
        <v>3</v>
      </c>
      <c r="I529" s="65" t="e">
        <v>#N/A</v>
      </c>
      <c r="J529" s="65" t="s">
        <v>899</v>
      </c>
      <c r="K529" s="65"/>
      <c r="L529" s="65"/>
      <c r="M529" s="65"/>
      <c r="N529" s="65"/>
      <c r="O529" s="65" t="s">
        <v>924</v>
      </c>
      <c r="P529" s="65"/>
      <c r="Q529" s="65">
        <v>1</v>
      </c>
      <c r="R529" s="65">
        <v>1078</v>
      </c>
      <c r="S529" s="65"/>
    </row>
    <row r="530" spans="1:19" x14ac:dyDescent="0.25">
      <c r="A530" s="15">
        <v>30</v>
      </c>
      <c r="B530" s="65"/>
      <c r="C530" s="65">
        <v>2429</v>
      </c>
      <c r="D530" s="65"/>
      <c r="E530" s="65" t="s">
        <v>787</v>
      </c>
      <c r="F530" s="65">
        <v>3</v>
      </c>
      <c r="G530" s="65"/>
      <c r="H530" s="65">
        <v>3</v>
      </c>
      <c r="I530" s="65" t="e">
        <v>#N/A</v>
      </c>
      <c r="J530" s="65" t="s">
        <v>899</v>
      </c>
      <c r="K530" s="65"/>
      <c r="L530" s="65"/>
      <c r="M530" s="65"/>
      <c r="N530" s="65"/>
      <c r="O530" s="65" t="s">
        <v>925</v>
      </c>
      <c r="P530" s="65"/>
      <c r="Q530" s="65">
        <v>1</v>
      </c>
      <c r="R530" s="65">
        <v>1079</v>
      </c>
      <c r="S530" s="65"/>
    </row>
    <row r="531" spans="1:19" x14ac:dyDescent="0.25">
      <c r="A531" s="15">
        <v>30</v>
      </c>
      <c r="B531" s="65"/>
      <c r="C531" s="65">
        <v>2429</v>
      </c>
      <c r="D531" s="65"/>
      <c r="E531" s="65" t="s">
        <v>787</v>
      </c>
      <c r="F531" s="65">
        <v>3</v>
      </c>
      <c r="G531" s="65"/>
      <c r="H531" s="65">
        <v>3</v>
      </c>
      <c r="I531" s="65" t="e">
        <v>#N/A</v>
      </c>
      <c r="J531" s="65" t="s">
        <v>899</v>
      </c>
      <c r="K531" s="65"/>
      <c r="L531" s="65"/>
      <c r="M531" s="65"/>
      <c r="N531" s="65"/>
      <c r="O531" s="65" t="s">
        <v>926</v>
      </c>
      <c r="P531" s="65"/>
      <c r="Q531" s="65">
        <v>1</v>
      </c>
      <c r="R531" s="65">
        <v>1080</v>
      </c>
      <c r="S531" s="65"/>
    </row>
    <row r="532" spans="1:19" x14ac:dyDescent="0.25">
      <c r="A532" s="15">
        <v>30</v>
      </c>
      <c r="B532" s="65"/>
      <c r="C532" s="65">
        <v>2429</v>
      </c>
      <c r="D532" s="65"/>
      <c r="E532" s="65" t="s">
        <v>787</v>
      </c>
      <c r="F532" s="65">
        <v>3</v>
      </c>
      <c r="G532" s="65"/>
      <c r="H532" s="65">
        <v>3</v>
      </c>
      <c r="I532" s="65" t="e">
        <v>#N/A</v>
      </c>
      <c r="J532" s="65" t="s">
        <v>899</v>
      </c>
      <c r="K532" s="65"/>
      <c r="L532" s="65"/>
      <c r="M532" s="65"/>
      <c r="N532" s="65"/>
      <c r="O532" s="65" t="s">
        <v>927</v>
      </c>
      <c r="P532" s="65"/>
      <c r="Q532" s="65">
        <v>1</v>
      </c>
      <c r="R532" s="65">
        <v>1081</v>
      </c>
      <c r="S532" s="65"/>
    </row>
    <row r="533" spans="1:19" x14ac:dyDescent="0.25">
      <c r="A533" s="15">
        <v>30</v>
      </c>
      <c r="B533" s="65"/>
      <c r="C533" s="65">
        <v>2429</v>
      </c>
      <c r="D533" s="65"/>
      <c r="E533" s="65" t="s">
        <v>787</v>
      </c>
      <c r="F533" s="65">
        <v>3</v>
      </c>
      <c r="G533" s="65"/>
      <c r="H533" s="65">
        <v>3</v>
      </c>
      <c r="I533" s="65" t="e">
        <v>#N/A</v>
      </c>
      <c r="J533" s="65" t="s">
        <v>899</v>
      </c>
      <c r="K533" s="65"/>
      <c r="L533" s="65"/>
      <c r="M533" s="65"/>
      <c r="N533" s="65"/>
      <c r="O533" s="65" t="s">
        <v>928</v>
      </c>
      <c r="P533" s="65"/>
      <c r="Q533" s="65">
        <v>1</v>
      </c>
      <c r="R533" s="65">
        <v>1082</v>
      </c>
      <c r="S533" s="65"/>
    </row>
    <row r="534" spans="1:19" x14ac:dyDescent="0.25">
      <c r="A534" s="15">
        <v>30</v>
      </c>
      <c r="B534" s="65"/>
      <c r="C534" s="65">
        <v>2429</v>
      </c>
      <c r="D534" s="65"/>
      <c r="E534" s="65" t="s">
        <v>787</v>
      </c>
      <c r="F534" s="65">
        <v>3</v>
      </c>
      <c r="G534" s="65"/>
      <c r="H534" s="65">
        <v>3</v>
      </c>
      <c r="I534" s="65" t="e">
        <v>#N/A</v>
      </c>
      <c r="J534" s="65" t="s">
        <v>899</v>
      </c>
      <c r="K534" s="65"/>
      <c r="L534" s="65"/>
      <c r="M534" s="65"/>
      <c r="N534" s="65"/>
      <c r="O534" s="65" t="s">
        <v>929</v>
      </c>
      <c r="P534" s="65"/>
      <c r="Q534" s="65">
        <v>1</v>
      </c>
      <c r="R534" s="65">
        <v>1083</v>
      </c>
      <c r="S534" s="65"/>
    </row>
    <row r="535" spans="1:19" x14ac:dyDescent="0.25">
      <c r="A535" s="15">
        <v>30</v>
      </c>
      <c r="B535" s="65"/>
      <c r="C535" s="65">
        <v>2429</v>
      </c>
      <c r="D535" s="65"/>
      <c r="E535" s="65" t="s">
        <v>787</v>
      </c>
      <c r="F535" s="65">
        <v>3</v>
      </c>
      <c r="G535" s="65"/>
      <c r="H535" s="65">
        <v>3</v>
      </c>
      <c r="I535" s="65" t="e">
        <v>#N/A</v>
      </c>
      <c r="J535" s="65" t="s">
        <v>899</v>
      </c>
      <c r="K535" s="65"/>
      <c r="L535" s="65"/>
      <c r="M535" s="65"/>
      <c r="N535" s="65"/>
      <c r="O535" s="65" t="s">
        <v>930</v>
      </c>
      <c r="P535" s="65"/>
      <c r="Q535" s="65">
        <v>1</v>
      </c>
      <c r="R535" s="65">
        <v>1084</v>
      </c>
      <c r="S535" s="65"/>
    </row>
    <row r="536" spans="1:19" x14ac:dyDescent="0.25">
      <c r="A536" s="15">
        <v>30</v>
      </c>
      <c r="B536" s="65"/>
      <c r="C536" s="65">
        <v>2429</v>
      </c>
      <c r="D536" s="65"/>
      <c r="E536" s="65" t="s">
        <v>787</v>
      </c>
      <c r="F536" s="65">
        <v>3</v>
      </c>
      <c r="G536" s="65"/>
      <c r="H536" s="65">
        <v>3</v>
      </c>
      <c r="I536" s="65" t="e">
        <v>#N/A</v>
      </c>
      <c r="J536" s="65" t="s">
        <v>899</v>
      </c>
      <c r="K536" s="65"/>
      <c r="L536" s="65"/>
      <c r="M536" s="65"/>
      <c r="N536" s="65"/>
      <c r="O536" s="65" t="s">
        <v>931</v>
      </c>
      <c r="P536" s="65"/>
      <c r="Q536" s="65">
        <v>1</v>
      </c>
      <c r="R536" s="65">
        <v>1085</v>
      </c>
      <c r="S536" s="65"/>
    </row>
    <row r="537" spans="1:19" x14ac:dyDescent="0.25">
      <c r="A537" s="15">
        <v>30</v>
      </c>
      <c r="B537" s="65"/>
      <c r="C537" s="65">
        <v>2429</v>
      </c>
      <c r="D537" s="65"/>
      <c r="E537" s="65" t="s">
        <v>787</v>
      </c>
      <c r="F537" s="65">
        <v>3</v>
      </c>
      <c r="G537" s="65"/>
      <c r="H537" s="65">
        <v>3</v>
      </c>
      <c r="I537" s="65" t="e">
        <v>#N/A</v>
      </c>
      <c r="J537" s="65" t="s">
        <v>899</v>
      </c>
      <c r="K537" s="65"/>
      <c r="L537" s="65"/>
      <c r="M537" s="65"/>
      <c r="N537" s="65"/>
      <c r="O537" s="65" t="s">
        <v>932</v>
      </c>
      <c r="P537" s="65"/>
      <c r="Q537" s="65">
        <v>1</v>
      </c>
      <c r="R537" s="65">
        <v>1086</v>
      </c>
      <c r="S537" s="65"/>
    </row>
    <row r="538" spans="1:19" x14ac:dyDescent="0.25">
      <c r="A538" s="15">
        <v>30</v>
      </c>
      <c r="B538" s="65"/>
      <c r="C538" s="65">
        <v>2429</v>
      </c>
      <c r="D538" s="65"/>
      <c r="E538" s="65" t="s">
        <v>787</v>
      </c>
      <c r="F538" s="65">
        <v>3</v>
      </c>
      <c r="G538" s="65"/>
      <c r="H538" s="65">
        <v>3</v>
      </c>
      <c r="I538" s="65" t="e">
        <v>#N/A</v>
      </c>
      <c r="J538" s="65" t="s">
        <v>899</v>
      </c>
      <c r="K538" s="65"/>
      <c r="L538" s="65"/>
      <c r="M538" s="65"/>
      <c r="N538" s="65"/>
      <c r="O538" s="65" t="s">
        <v>933</v>
      </c>
      <c r="P538" s="65"/>
      <c r="Q538" s="65">
        <v>1</v>
      </c>
      <c r="R538" s="65">
        <v>1087</v>
      </c>
      <c r="S538" s="65"/>
    </row>
    <row r="539" spans="1:19" x14ac:dyDescent="0.25">
      <c r="A539" s="15">
        <v>30</v>
      </c>
      <c r="B539" s="65"/>
      <c r="C539" s="65">
        <v>2429</v>
      </c>
      <c r="D539" s="65"/>
      <c r="E539" s="65" t="s">
        <v>787</v>
      </c>
      <c r="F539" s="65">
        <v>3</v>
      </c>
      <c r="G539" s="65"/>
      <c r="H539" s="65">
        <v>3</v>
      </c>
      <c r="I539" s="65" t="e">
        <v>#N/A</v>
      </c>
      <c r="J539" s="65" t="s">
        <v>899</v>
      </c>
      <c r="K539" s="65"/>
      <c r="L539" s="65"/>
      <c r="M539" s="65"/>
      <c r="N539" s="65"/>
      <c r="O539" s="65" t="s">
        <v>934</v>
      </c>
      <c r="P539" s="65"/>
      <c r="Q539" s="65">
        <v>1</v>
      </c>
      <c r="R539" s="65">
        <v>1088</v>
      </c>
      <c r="S539" s="65"/>
    </row>
    <row r="540" spans="1:19" x14ac:dyDescent="0.25">
      <c r="A540" s="15">
        <v>30</v>
      </c>
      <c r="B540" s="65"/>
      <c r="C540" s="65">
        <v>2429</v>
      </c>
      <c r="D540" s="65"/>
      <c r="E540" s="65" t="s">
        <v>787</v>
      </c>
      <c r="F540" s="65">
        <v>3</v>
      </c>
      <c r="G540" s="65"/>
      <c r="H540" s="65">
        <v>3</v>
      </c>
      <c r="I540" s="65" t="e">
        <v>#N/A</v>
      </c>
      <c r="J540" s="65" t="s">
        <v>899</v>
      </c>
      <c r="K540" s="65"/>
      <c r="L540" s="65"/>
      <c r="M540" s="65"/>
      <c r="N540" s="65"/>
      <c r="O540" s="65" t="s">
        <v>935</v>
      </c>
      <c r="P540" s="65"/>
      <c r="Q540" s="65">
        <v>1</v>
      </c>
      <c r="R540" s="65">
        <v>1089</v>
      </c>
      <c r="S540" s="65"/>
    </row>
    <row r="541" spans="1:19" x14ac:dyDescent="0.25">
      <c r="A541" s="15">
        <v>30</v>
      </c>
      <c r="B541" s="65"/>
      <c r="C541" s="65">
        <v>2429</v>
      </c>
      <c r="D541" s="65"/>
      <c r="E541" s="65" t="s">
        <v>787</v>
      </c>
      <c r="F541" s="65">
        <v>3</v>
      </c>
      <c r="G541" s="65"/>
      <c r="H541" s="65" t="e">
        <v>#N/A</v>
      </c>
      <c r="I541" s="65"/>
      <c r="J541" s="65" t="s">
        <v>899</v>
      </c>
      <c r="K541" s="65"/>
      <c r="L541" s="65"/>
      <c r="M541" s="65"/>
      <c r="N541" s="65"/>
      <c r="O541" s="65" t="s">
        <v>936</v>
      </c>
      <c r="P541" s="65"/>
      <c r="Q541" s="65">
        <v>1</v>
      </c>
      <c r="R541" s="65">
        <v>1272</v>
      </c>
      <c r="S541" s="65"/>
    </row>
    <row r="542" spans="1:19" x14ac:dyDescent="0.25">
      <c r="A542" s="15">
        <v>30</v>
      </c>
      <c r="B542" s="65"/>
      <c r="C542" s="65">
        <v>2429</v>
      </c>
      <c r="D542" s="65"/>
      <c r="E542" s="65" t="s">
        <v>787</v>
      </c>
      <c r="F542" s="65">
        <v>5</v>
      </c>
      <c r="G542" s="65"/>
      <c r="H542" s="65" t="e">
        <v>#N/A</v>
      </c>
      <c r="I542" s="65"/>
      <c r="J542" s="65" t="s">
        <v>899</v>
      </c>
      <c r="K542" s="65"/>
      <c r="L542" s="65"/>
      <c r="M542" s="65"/>
      <c r="N542" s="65"/>
      <c r="O542" s="65" t="s">
        <v>938</v>
      </c>
      <c r="P542" s="65"/>
      <c r="Q542" s="65">
        <v>1</v>
      </c>
      <c r="R542" s="65">
        <v>1372</v>
      </c>
      <c r="S542" s="65"/>
    </row>
    <row r="543" spans="1:19" x14ac:dyDescent="0.25">
      <c r="A543" s="15">
        <v>30</v>
      </c>
      <c r="B543" s="65"/>
      <c r="C543" s="65">
        <v>2429</v>
      </c>
      <c r="D543" s="65"/>
      <c r="E543" s="65" t="s">
        <v>787</v>
      </c>
      <c r="F543" s="65">
        <v>5</v>
      </c>
      <c r="G543" s="65"/>
      <c r="H543" s="65" t="e">
        <v>#N/A</v>
      </c>
      <c r="I543" s="65"/>
      <c r="J543" s="65" t="s">
        <v>899</v>
      </c>
      <c r="K543" s="65"/>
      <c r="L543" s="65"/>
      <c r="M543" s="65"/>
      <c r="N543" s="65"/>
      <c r="O543" s="65" t="s">
        <v>939</v>
      </c>
      <c r="P543" s="65"/>
      <c r="Q543" s="65">
        <v>1</v>
      </c>
      <c r="R543" s="65">
        <v>1373</v>
      </c>
      <c r="S543" s="65"/>
    </row>
    <row r="544" spans="1:19" x14ac:dyDescent="0.25">
      <c r="A544" s="15">
        <v>30</v>
      </c>
      <c r="B544" s="65"/>
      <c r="C544" s="65">
        <v>2429</v>
      </c>
      <c r="D544" s="65"/>
      <c r="E544" s="65" t="s">
        <v>787</v>
      </c>
      <c r="F544" s="65">
        <v>5</v>
      </c>
      <c r="G544" s="65"/>
      <c r="H544" s="65" t="e">
        <v>#N/A</v>
      </c>
      <c r="I544" s="65"/>
      <c r="J544" s="65" t="s">
        <v>899</v>
      </c>
      <c r="K544" s="65"/>
      <c r="L544" s="65"/>
      <c r="M544" s="65"/>
      <c r="N544" s="65"/>
      <c r="O544" s="65" t="s">
        <v>940</v>
      </c>
      <c r="P544" s="65"/>
      <c r="Q544" s="65">
        <v>1</v>
      </c>
      <c r="R544" s="65">
        <v>1374</v>
      </c>
      <c r="S544" s="65"/>
    </row>
    <row r="545" spans="1:25" x14ac:dyDescent="0.25">
      <c r="A545" s="15">
        <v>30</v>
      </c>
      <c r="B545" s="65"/>
      <c r="C545" s="65">
        <v>2429</v>
      </c>
      <c r="D545" s="65"/>
      <c r="E545" s="65" t="s">
        <v>787</v>
      </c>
      <c r="F545" s="65">
        <v>5</v>
      </c>
      <c r="G545" s="65"/>
      <c r="H545" s="65" t="e">
        <v>#N/A</v>
      </c>
      <c r="I545" s="65"/>
      <c r="J545" s="65" t="s">
        <v>899</v>
      </c>
      <c r="K545" s="65"/>
      <c r="L545" s="65"/>
      <c r="M545" s="65"/>
      <c r="N545" s="65"/>
      <c r="O545" s="65" t="s">
        <v>941</v>
      </c>
      <c r="P545" s="65"/>
      <c r="Q545" s="65">
        <v>1</v>
      </c>
      <c r="R545" s="65">
        <v>1375</v>
      </c>
      <c r="S545" s="65"/>
    </row>
    <row r="546" spans="1:25" x14ac:dyDescent="0.25">
      <c r="A546" s="15">
        <v>30</v>
      </c>
      <c r="B546" s="65"/>
      <c r="C546" s="65">
        <v>2429</v>
      </c>
      <c r="D546" s="65"/>
      <c r="E546" s="65" t="s">
        <v>787</v>
      </c>
      <c r="F546" s="65">
        <v>5</v>
      </c>
      <c r="G546" s="65"/>
      <c r="H546" s="65" t="e">
        <v>#N/A</v>
      </c>
      <c r="I546" s="65"/>
      <c r="J546" s="65" t="s">
        <v>899</v>
      </c>
      <c r="K546" s="65"/>
      <c r="L546" s="65"/>
      <c r="M546" s="65"/>
      <c r="N546" s="65"/>
      <c r="O546" s="65" t="s">
        <v>942</v>
      </c>
      <c r="P546" s="65"/>
      <c r="Q546" s="65">
        <v>1</v>
      </c>
      <c r="R546" s="65">
        <v>1376</v>
      </c>
      <c r="S546" s="65"/>
    </row>
    <row r="547" spans="1:25" x14ac:dyDescent="0.25">
      <c r="A547" s="15">
        <v>30</v>
      </c>
      <c r="B547" s="65"/>
      <c r="C547" s="65">
        <v>2429</v>
      </c>
      <c r="D547" s="65"/>
      <c r="E547" s="65" t="s">
        <v>787</v>
      </c>
      <c r="F547" s="65">
        <v>5</v>
      </c>
      <c r="G547" s="65"/>
      <c r="H547" s="65" t="e">
        <v>#N/A</v>
      </c>
      <c r="I547" s="65"/>
      <c r="J547" s="65" t="s">
        <v>899</v>
      </c>
      <c r="K547" s="65"/>
      <c r="L547" s="65"/>
      <c r="M547" s="65"/>
      <c r="N547" s="65"/>
      <c r="O547" s="65" t="s">
        <v>943</v>
      </c>
      <c r="P547" s="65"/>
      <c r="Q547" s="65">
        <v>1</v>
      </c>
      <c r="R547" s="65">
        <v>1377</v>
      </c>
      <c r="S547" s="65"/>
    </row>
    <row r="548" spans="1:25" x14ac:dyDescent="0.25">
      <c r="A548" s="15">
        <v>30</v>
      </c>
      <c r="B548" s="65"/>
      <c r="C548" s="65">
        <v>2429</v>
      </c>
      <c r="D548" s="65"/>
      <c r="E548" s="65" t="s">
        <v>787</v>
      </c>
      <c r="F548" s="65">
        <v>5</v>
      </c>
      <c r="G548" s="65"/>
      <c r="H548" s="65" t="e">
        <v>#N/A</v>
      </c>
      <c r="I548" s="65"/>
      <c r="J548" s="65" t="s">
        <v>899</v>
      </c>
      <c r="K548" s="65"/>
      <c r="L548" s="65"/>
      <c r="M548" s="65"/>
      <c r="N548" s="65"/>
      <c r="O548" s="65" t="s">
        <v>944</v>
      </c>
      <c r="P548" s="65"/>
      <c r="Q548" s="65">
        <v>1</v>
      </c>
      <c r="R548" s="65">
        <v>1378</v>
      </c>
      <c r="S548" s="65"/>
    </row>
    <row r="549" spans="1:25" x14ac:dyDescent="0.25">
      <c r="A549" s="15">
        <v>30</v>
      </c>
      <c r="B549" s="65"/>
      <c r="C549" s="65">
        <v>2429</v>
      </c>
      <c r="D549" s="65"/>
      <c r="E549" s="65" t="s">
        <v>787</v>
      </c>
      <c r="F549" s="65">
        <v>5</v>
      </c>
      <c r="G549" s="65"/>
      <c r="H549" s="65" t="e">
        <v>#N/A</v>
      </c>
      <c r="I549" s="65"/>
      <c r="J549" s="65" t="s">
        <v>899</v>
      </c>
      <c r="K549" s="65"/>
      <c r="L549" s="65"/>
      <c r="M549" s="65"/>
      <c r="N549" s="65"/>
      <c r="O549" s="65" t="s">
        <v>945</v>
      </c>
      <c r="P549" s="65"/>
      <c r="Q549" s="65">
        <v>1</v>
      </c>
      <c r="R549" s="65">
        <v>1379</v>
      </c>
      <c r="S549" s="65"/>
    </row>
    <row r="550" spans="1:25" x14ac:dyDescent="0.25">
      <c r="A550" s="15">
        <v>30</v>
      </c>
      <c r="B550" s="65"/>
      <c r="C550" s="65">
        <v>2429</v>
      </c>
      <c r="D550" s="65"/>
      <c r="E550" s="65" t="s">
        <v>787</v>
      </c>
      <c r="F550" s="65">
        <v>5</v>
      </c>
      <c r="G550" s="65"/>
      <c r="H550" s="65" t="e">
        <v>#N/A</v>
      </c>
      <c r="I550" s="65"/>
      <c r="J550" s="65" t="s">
        <v>899</v>
      </c>
      <c r="K550" s="65"/>
      <c r="L550" s="65"/>
      <c r="M550" s="65"/>
      <c r="N550" s="65"/>
      <c r="O550" s="65" t="s">
        <v>946</v>
      </c>
      <c r="P550" s="65"/>
      <c r="Q550" s="65">
        <v>1</v>
      </c>
      <c r="R550" s="65">
        <v>1380</v>
      </c>
      <c r="S550" s="65"/>
    </row>
    <row r="551" spans="1:25" x14ac:dyDescent="0.25">
      <c r="A551" s="15">
        <v>30</v>
      </c>
      <c r="B551" s="65"/>
      <c r="C551" s="65">
        <v>2429</v>
      </c>
      <c r="D551" s="65"/>
      <c r="E551" s="65" t="s">
        <v>787</v>
      </c>
      <c r="F551" s="65">
        <v>5</v>
      </c>
      <c r="G551" s="65"/>
      <c r="H551" s="65" t="e">
        <v>#N/A</v>
      </c>
      <c r="I551" s="65"/>
      <c r="J551" s="65" t="s">
        <v>899</v>
      </c>
      <c r="K551" s="65"/>
      <c r="L551" s="65"/>
      <c r="M551" s="65"/>
      <c r="N551" s="65"/>
      <c r="O551" s="65" t="s">
        <v>947</v>
      </c>
      <c r="P551" s="65"/>
      <c r="Q551" s="65">
        <v>1</v>
      </c>
      <c r="R551" s="65">
        <v>1381</v>
      </c>
      <c r="S551" s="65"/>
    </row>
    <row r="552" spans="1:25" x14ac:dyDescent="0.25">
      <c r="A552" s="15">
        <v>30</v>
      </c>
      <c r="B552" s="65"/>
      <c r="C552" s="65">
        <v>2429</v>
      </c>
      <c r="D552" s="65"/>
      <c r="E552" s="65" t="s">
        <v>787</v>
      </c>
      <c r="F552" s="65">
        <v>5</v>
      </c>
      <c r="G552" s="65"/>
      <c r="H552" s="65" t="e">
        <v>#N/A</v>
      </c>
      <c r="I552" s="65"/>
      <c r="J552" s="65" t="s">
        <v>899</v>
      </c>
      <c r="K552" s="65"/>
      <c r="L552" s="65"/>
      <c r="M552" s="65"/>
      <c r="N552" s="65"/>
      <c r="O552" s="65" t="s">
        <v>948</v>
      </c>
      <c r="P552" s="65"/>
      <c r="Q552" s="65">
        <v>1</v>
      </c>
      <c r="R552" s="65">
        <v>1382</v>
      </c>
      <c r="S552" s="65"/>
    </row>
    <row r="553" spans="1:25" x14ac:dyDescent="0.25">
      <c r="A553" s="15">
        <v>30</v>
      </c>
      <c r="B553" s="65"/>
      <c r="C553" s="65">
        <v>2429</v>
      </c>
      <c r="D553" s="65"/>
      <c r="E553" s="65" t="s">
        <v>787</v>
      </c>
      <c r="F553" s="65">
        <v>5</v>
      </c>
      <c r="G553" s="65"/>
      <c r="H553" s="65" t="e">
        <v>#N/A</v>
      </c>
      <c r="I553" s="65"/>
      <c r="J553" s="65" t="s">
        <v>899</v>
      </c>
      <c r="K553" s="65"/>
      <c r="L553" s="65"/>
      <c r="M553" s="65"/>
      <c r="N553" s="65"/>
      <c r="O553" s="65" t="s">
        <v>949</v>
      </c>
      <c r="P553" s="65"/>
      <c r="Q553" s="65">
        <v>1</v>
      </c>
      <c r="R553" s="65">
        <v>1383</v>
      </c>
      <c r="S553" s="65"/>
    </row>
    <row r="554" spans="1:25" x14ac:dyDescent="0.25">
      <c r="A554" s="15">
        <v>31</v>
      </c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</row>
    <row r="555" spans="1:25" x14ac:dyDescent="0.25">
      <c r="A555" s="15">
        <v>31</v>
      </c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 t="s">
        <v>817</v>
      </c>
      <c r="P555" s="65"/>
      <c r="Q555" s="65"/>
      <c r="R555" s="65"/>
      <c r="S555" s="65"/>
    </row>
    <row r="556" spans="1:25" x14ac:dyDescent="0.25">
      <c r="A556" s="15">
        <v>31</v>
      </c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 t="s">
        <v>865</v>
      </c>
      <c r="P556" s="65"/>
      <c r="Q556" s="65"/>
      <c r="R556" s="65"/>
      <c r="S556" s="65"/>
    </row>
    <row r="557" spans="1:25" x14ac:dyDescent="0.25">
      <c r="A557" s="15">
        <v>31</v>
      </c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 t="s">
        <v>875</v>
      </c>
      <c r="P557" s="65"/>
      <c r="Q557" s="65"/>
      <c r="R557" s="65"/>
      <c r="S557" s="65"/>
    </row>
    <row r="558" spans="1:25" x14ac:dyDescent="0.25">
      <c r="A558" s="15">
        <v>31</v>
      </c>
      <c r="B558" s="65"/>
      <c r="C558" s="65" t="s">
        <v>79</v>
      </c>
      <c r="D558" s="65"/>
      <c r="E558" s="65" t="s">
        <v>787</v>
      </c>
      <c r="F558" s="65">
        <v>6</v>
      </c>
      <c r="G558" s="65"/>
      <c r="H558" s="65">
        <v>10</v>
      </c>
      <c r="I558" s="65">
        <v>11.916666666666666</v>
      </c>
      <c r="J558" s="65" t="s">
        <v>879</v>
      </c>
      <c r="K558" s="65"/>
      <c r="L558" s="65"/>
      <c r="M558" s="65"/>
      <c r="N558" s="65"/>
      <c r="O558" s="65" t="s">
        <v>878</v>
      </c>
      <c r="P558" s="65"/>
      <c r="Q558" s="65">
        <v>1</v>
      </c>
      <c r="R558" s="65">
        <v>293</v>
      </c>
      <c r="S558" s="65"/>
      <c r="Y558" s="15"/>
    </row>
    <row r="559" spans="1:25" x14ac:dyDescent="0.25">
      <c r="A559" s="15">
        <v>31</v>
      </c>
      <c r="B559" s="65"/>
      <c r="C559" s="65">
        <v>2429</v>
      </c>
      <c r="D559" s="65"/>
      <c r="E559" s="65" t="s">
        <v>787</v>
      </c>
      <c r="F559" s="65">
        <v>6</v>
      </c>
      <c r="G559" s="65"/>
      <c r="H559" s="65"/>
      <c r="I559" s="65">
        <v>26.666666666666668</v>
      </c>
      <c r="J559" s="65" t="s">
        <v>879</v>
      </c>
      <c r="K559" s="65"/>
      <c r="L559" s="65"/>
      <c r="M559" s="65"/>
      <c r="N559" s="65"/>
      <c r="O559" s="65" t="s">
        <v>881</v>
      </c>
      <c r="P559" s="65"/>
      <c r="Q559" s="65">
        <v>1</v>
      </c>
      <c r="R559" s="65">
        <v>404</v>
      </c>
      <c r="S559" s="65"/>
    </row>
    <row r="560" spans="1:25" x14ac:dyDescent="0.25">
      <c r="A560" s="15">
        <v>31</v>
      </c>
      <c r="B560" s="65"/>
      <c r="C560" s="65">
        <v>2429</v>
      </c>
      <c r="D560" s="65"/>
      <c r="E560" s="65" t="s">
        <v>787</v>
      </c>
      <c r="F560" s="65">
        <v>12</v>
      </c>
      <c r="G560" s="65"/>
      <c r="H560" s="65"/>
      <c r="I560" s="65">
        <v>15.666666666666666</v>
      </c>
      <c r="J560" s="65" t="s">
        <v>879</v>
      </c>
      <c r="K560" s="65"/>
      <c r="L560" s="65"/>
      <c r="M560" s="65"/>
      <c r="N560" s="65"/>
      <c r="O560" s="65" t="s">
        <v>882</v>
      </c>
      <c r="P560" s="65"/>
      <c r="Q560" s="65">
        <v>1</v>
      </c>
      <c r="R560" s="65">
        <v>405</v>
      </c>
      <c r="S560" s="65"/>
    </row>
    <row r="561" spans="1:19" x14ac:dyDescent="0.25">
      <c r="A561" s="15">
        <v>31</v>
      </c>
      <c r="B561" s="65"/>
      <c r="C561" s="65">
        <v>2429</v>
      </c>
      <c r="D561" s="65"/>
      <c r="E561" s="65" t="s">
        <v>787</v>
      </c>
      <c r="F561" s="65">
        <v>12</v>
      </c>
      <c r="G561" s="65"/>
      <c r="H561" s="65"/>
      <c r="I561" s="65">
        <v>15.666666666666666</v>
      </c>
      <c r="J561" s="65" t="s">
        <v>879</v>
      </c>
      <c r="K561" s="65"/>
      <c r="L561" s="65"/>
      <c r="M561" s="65"/>
      <c r="N561" s="65"/>
      <c r="O561" s="65" t="s">
        <v>883</v>
      </c>
      <c r="P561" s="65"/>
      <c r="Q561" s="65">
        <v>1</v>
      </c>
      <c r="R561" s="65">
        <v>406</v>
      </c>
      <c r="S561" s="65"/>
    </row>
    <row r="562" spans="1:19" x14ac:dyDescent="0.25">
      <c r="A562" s="15">
        <v>31</v>
      </c>
      <c r="B562" s="65"/>
      <c r="C562" s="65">
        <v>2429</v>
      </c>
      <c r="D562" s="65"/>
      <c r="E562" s="65" t="s">
        <v>787</v>
      </c>
      <c r="F562" s="65">
        <v>12</v>
      </c>
      <c r="G562" s="65"/>
      <c r="H562" s="65"/>
      <c r="I562" s="65">
        <v>15.666666666666666</v>
      </c>
      <c r="J562" s="65" t="s">
        <v>879</v>
      </c>
      <c r="K562" s="65"/>
      <c r="L562" s="65"/>
      <c r="M562" s="65"/>
      <c r="N562" s="65"/>
      <c r="O562" s="65" t="s">
        <v>884</v>
      </c>
      <c r="P562" s="65"/>
      <c r="Q562" s="65">
        <v>1</v>
      </c>
      <c r="R562" s="65">
        <v>407</v>
      </c>
      <c r="S562" s="65"/>
    </row>
    <row r="563" spans="1:19" x14ac:dyDescent="0.25">
      <c r="A563" s="15">
        <v>31</v>
      </c>
      <c r="B563" s="65"/>
      <c r="C563" s="65">
        <v>2429</v>
      </c>
      <c r="D563" s="65"/>
      <c r="E563" s="65" t="s">
        <v>787</v>
      </c>
      <c r="F563" s="65">
        <v>12</v>
      </c>
      <c r="G563" s="65"/>
      <c r="H563" s="65"/>
      <c r="I563" s="65">
        <v>15.666666666666666</v>
      </c>
      <c r="J563" s="65" t="s">
        <v>879</v>
      </c>
      <c r="K563" s="65"/>
      <c r="L563" s="65"/>
      <c r="M563" s="65"/>
      <c r="N563" s="65"/>
      <c r="O563" s="65" t="s">
        <v>885</v>
      </c>
      <c r="P563" s="65"/>
      <c r="Q563" s="65">
        <v>1</v>
      </c>
      <c r="R563" s="65">
        <v>408</v>
      </c>
      <c r="S563" s="65"/>
    </row>
    <row r="564" spans="1:19" x14ac:dyDescent="0.25">
      <c r="A564" s="15">
        <v>31</v>
      </c>
      <c r="B564" s="65"/>
      <c r="C564" s="65">
        <v>2429</v>
      </c>
      <c r="D564" s="65"/>
      <c r="E564" s="65" t="s">
        <v>787</v>
      </c>
      <c r="F564" s="65">
        <v>12</v>
      </c>
      <c r="G564" s="65"/>
      <c r="H564" s="65"/>
      <c r="I564" s="65">
        <v>15.666666666666666</v>
      </c>
      <c r="J564" s="65" t="s">
        <v>879</v>
      </c>
      <c r="K564" s="65"/>
      <c r="L564" s="65"/>
      <c r="M564" s="65"/>
      <c r="N564" s="65"/>
      <c r="O564" s="65" t="s">
        <v>886</v>
      </c>
      <c r="P564" s="65"/>
      <c r="Q564" s="65">
        <v>1</v>
      </c>
      <c r="R564" s="65">
        <v>409</v>
      </c>
      <c r="S564" s="65"/>
    </row>
    <row r="565" spans="1:19" x14ac:dyDescent="0.25">
      <c r="A565" s="15">
        <v>31</v>
      </c>
      <c r="B565" s="65"/>
      <c r="C565" s="65">
        <v>2429</v>
      </c>
      <c r="D565" s="65"/>
      <c r="E565" s="65" t="s">
        <v>787</v>
      </c>
      <c r="F565" s="65">
        <v>12</v>
      </c>
      <c r="G565" s="65"/>
      <c r="H565" s="65"/>
      <c r="I565" s="65">
        <v>15.666666666666666</v>
      </c>
      <c r="J565" s="65" t="s">
        <v>879</v>
      </c>
      <c r="K565" s="65"/>
      <c r="L565" s="65"/>
      <c r="M565" s="65"/>
      <c r="N565" s="65"/>
      <c r="O565" s="65" t="s">
        <v>887</v>
      </c>
      <c r="P565" s="65"/>
      <c r="Q565" s="65">
        <v>1</v>
      </c>
      <c r="R565" s="65">
        <v>410</v>
      </c>
      <c r="S565" s="65"/>
    </row>
    <row r="566" spans="1:19" x14ac:dyDescent="0.25">
      <c r="A566" s="15">
        <v>31</v>
      </c>
      <c r="B566" s="65"/>
      <c r="C566" s="65">
        <v>2429</v>
      </c>
      <c r="D566" s="65"/>
      <c r="E566" s="65" t="s">
        <v>787</v>
      </c>
      <c r="F566" s="65">
        <v>12</v>
      </c>
      <c r="G566" s="65"/>
      <c r="H566" s="65"/>
      <c r="I566" s="65">
        <v>15.666666666666666</v>
      </c>
      <c r="J566" s="65" t="s">
        <v>879</v>
      </c>
      <c r="K566" s="65"/>
      <c r="L566" s="65"/>
      <c r="M566" s="65"/>
      <c r="N566" s="65"/>
      <c r="O566" s="65" t="s">
        <v>888</v>
      </c>
      <c r="P566" s="65"/>
      <c r="Q566" s="65">
        <v>1</v>
      </c>
      <c r="R566" s="65">
        <v>411</v>
      </c>
      <c r="S566" s="65"/>
    </row>
    <row r="567" spans="1:19" x14ac:dyDescent="0.25">
      <c r="A567" s="15">
        <v>31</v>
      </c>
      <c r="B567" s="65"/>
      <c r="C567" s="65">
        <v>2429</v>
      </c>
      <c r="D567" s="65"/>
      <c r="E567" s="65" t="s">
        <v>787</v>
      </c>
      <c r="F567" s="65">
        <v>12</v>
      </c>
      <c r="G567" s="65"/>
      <c r="H567" s="65"/>
      <c r="I567" s="65">
        <v>15.666666666666666</v>
      </c>
      <c r="J567" s="65" t="s">
        <v>879</v>
      </c>
      <c r="K567" s="65"/>
      <c r="L567" s="65"/>
      <c r="M567" s="65"/>
      <c r="N567" s="65"/>
      <c r="O567" s="65" t="s">
        <v>889</v>
      </c>
      <c r="P567" s="65"/>
      <c r="Q567" s="65">
        <v>1</v>
      </c>
      <c r="R567" s="65">
        <v>412</v>
      </c>
      <c r="S567" s="65"/>
    </row>
    <row r="568" spans="1:19" x14ac:dyDescent="0.25">
      <c r="A568" s="15">
        <v>31</v>
      </c>
      <c r="B568" s="65"/>
      <c r="C568" s="65">
        <v>2429</v>
      </c>
      <c r="D568" s="65"/>
      <c r="E568" s="65" t="s">
        <v>787</v>
      </c>
      <c r="F568" s="65">
        <v>12</v>
      </c>
      <c r="G568" s="65"/>
      <c r="H568" s="65"/>
      <c r="I568" s="65">
        <v>15.666666666666666</v>
      </c>
      <c r="J568" s="65" t="s">
        <v>879</v>
      </c>
      <c r="K568" s="65"/>
      <c r="L568" s="65"/>
      <c r="M568" s="65"/>
      <c r="N568" s="65"/>
      <c r="O568" s="65" t="s">
        <v>890</v>
      </c>
      <c r="P568" s="65"/>
      <c r="Q568" s="65">
        <v>1</v>
      </c>
      <c r="R568" s="65">
        <v>413</v>
      </c>
      <c r="S568" s="65"/>
    </row>
    <row r="569" spans="1:19" x14ac:dyDescent="0.25">
      <c r="A569" s="15">
        <v>31</v>
      </c>
      <c r="B569" s="65"/>
      <c r="C569" s="65">
        <v>2429</v>
      </c>
      <c r="D569" s="65"/>
      <c r="E569" s="65" t="s">
        <v>787</v>
      </c>
      <c r="F569" s="65">
        <v>16</v>
      </c>
      <c r="G569" s="65"/>
      <c r="H569" s="65"/>
      <c r="I569" s="65">
        <v>10.583333333333334</v>
      </c>
      <c r="J569" s="65" t="s">
        <v>879</v>
      </c>
      <c r="K569" s="65"/>
      <c r="L569" s="65"/>
      <c r="M569" s="65"/>
      <c r="N569" s="65"/>
      <c r="O569" s="65" t="s">
        <v>891</v>
      </c>
      <c r="P569" s="65"/>
      <c r="Q569" s="65">
        <v>1</v>
      </c>
      <c r="R569" s="65">
        <v>414</v>
      </c>
      <c r="S569" s="65"/>
    </row>
    <row r="570" spans="1:19" x14ac:dyDescent="0.25">
      <c r="A570" s="15">
        <v>31</v>
      </c>
      <c r="B570" s="65"/>
      <c r="C570" s="65">
        <v>2429</v>
      </c>
      <c r="D570" s="65"/>
      <c r="E570" s="65" t="s">
        <v>787</v>
      </c>
      <c r="F570" s="65" t="s">
        <v>896</v>
      </c>
      <c r="G570" s="65"/>
      <c r="H570" s="65">
        <v>0</v>
      </c>
      <c r="I570" s="65">
        <v>10.833333333333332</v>
      </c>
      <c r="J570" s="65" t="s">
        <v>895</v>
      </c>
      <c r="K570" s="65"/>
      <c r="L570" s="65"/>
      <c r="M570" s="65"/>
      <c r="N570" s="65"/>
      <c r="O570" s="65" t="s">
        <v>894</v>
      </c>
      <c r="P570" s="65"/>
      <c r="Q570" s="65">
        <v>1</v>
      </c>
      <c r="R570" s="65">
        <v>565</v>
      </c>
      <c r="S570" s="65"/>
    </row>
    <row r="571" spans="1:19" x14ac:dyDescent="0.25">
      <c r="A571" s="15">
        <v>31</v>
      </c>
      <c r="B571" s="65"/>
      <c r="C571" s="65">
        <v>2429</v>
      </c>
      <c r="D571" s="65"/>
      <c r="E571" s="65" t="s">
        <v>787</v>
      </c>
      <c r="F571" s="65">
        <v>1</v>
      </c>
      <c r="G571" s="65"/>
      <c r="H571" s="65" t="e">
        <v>#N/A</v>
      </c>
      <c r="I571" s="65"/>
      <c r="J571" s="65" t="s">
        <v>899</v>
      </c>
      <c r="K571" s="65" t="s">
        <v>900</v>
      </c>
      <c r="L571" s="65" t="s">
        <v>900</v>
      </c>
      <c r="M571" s="65" t="s">
        <v>900</v>
      </c>
      <c r="N571" s="65" t="s">
        <v>900</v>
      </c>
      <c r="O571" s="65" t="s">
        <v>898</v>
      </c>
      <c r="P571" s="65"/>
      <c r="Q571" s="65">
        <v>1</v>
      </c>
      <c r="R571" s="65">
        <v>636</v>
      </c>
      <c r="S571" s="65"/>
    </row>
    <row r="572" spans="1:19" x14ac:dyDescent="0.25">
      <c r="A572" s="15">
        <v>31</v>
      </c>
      <c r="B572" s="65"/>
      <c r="C572" s="65">
        <v>2429</v>
      </c>
      <c r="D572" s="65"/>
      <c r="E572" s="65" t="s">
        <v>787</v>
      </c>
      <c r="F572" s="65">
        <v>1</v>
      </c>
      <c r="G572" s="65"/>
      <c r="H572" s="65" t="e">
        <v>#N/A</v>
      </c>
      <c r="I572" s="65"/>
      <c r="J572" s="65" t="s">
        <v>899</v>
      </c>
      <c r="K572" s="65" t="s">
        <v>900</v>
      </c>
      <c r="L572" s="65" t="s">
        <v>900</v>
      </c>
      <c r="M572" s="65" t="s">
        <v>900</v>
      </c>
      <c r="N572" s="65" t="s">
        <v>900</v>
      </c>
      <c r="O572" s="65" t="s">
        <v>901</v>
      </c>
      <c r="P572" s="65"/>
      <c r="Q572" s="65">
        <v>1</v>
      </c>
      <c r="R572" s="65">
        <v>637</v>
      </c>
      <c r="S572" s="65"/>
    </row>
    <row r="573" spans="1:19" x14ac:dyDescent="0.25">
      <c r="A573" s="15">
        <v>31</v>
      </c>
      <c r="B573" s="65"/>
      <c r="C573" s="65">
        <v>2429</v>
      </c>
      <c r="D573" s="65"/>
      <c r="E573" s="65" t="s">
        <v>787</v>
      </c>
      <c r="F573" s="65">
        <v>1</v>
      </c>
      <c r="G573" s="65"/>
      <c r="H573" s="65" t="e">
        <v>#N/A</v>
      </c>
      <c r="I573" s="65"/>
      <c r="J573" s="65" t="s">
        <v>899</v>
      </c>
      <c r="K573" s="65" t="s">
        <v>900</v>
      </c>
      <c r="L573" s="65" t="s">
        <v>900</v>
      </c>
      <c r="M573" s="65" t="s">
        <v>900</v>
      </c>
      <c r="N573" s="65" t="s">
        <v>900</v>
      </c>
      <c r="O573" s="65" t="s">
        <v>902</v>
      </c>
      <c r="P573" s="65"/>
      <c r="Q573" s="65">
        <v>1</v>
      </c>
      <c r="R573" s="65">
        <v>638</v>
      </c>
      <c r="S573" s="65"/>
    </row>
    <row r="574" spans="1:19" x14ac:dyDescent="0.25">
      <c r="A574" s="15">
        <v>31</v>
      </c>
      <c r="B574" s="65"/>
      <c r="C574" s="65">
        <v>2429</v>
      </c>
      <c r="D574" s="65"/>
      <c r="E574" s="65" t="s">
        <v>787</v>
      </c>
      <c r="F574" s="65">
        <v>1</v>
      </c>
      <c r="G574" s="65"/>
      <c r="H574" s="65" t="e">
        <v>#N/A</v>
      </c>
      <c r="I574" s="65"/>
      <c r="J574" s="65" t="s">
        <v>899</v>
      </c>
      <c r="K574" s="65" t="s">
        <v>900</v>
      </c>
      <c r="L574" s="65" t="s">
        <v>900</v>
      </c>
      <c r="M574" s="65" t="s">
        <v>900</v>
      </c>
      <c r="N574" s="65" t="s">
        <v>900</v>
      </c>
      <c r="O574" s="65" t="s">
        <v>903</v>
      </c>
      <c r="P574" s="65"/>
      <c r="Q574" s="65">
        <v>1</v>
      </c>
      <c r="R574" s="65">
        <v>639</v>
      </c>
      <c r="S574" s="65"/>
    </row>
    <row r="575" spans="1:19" x14ac:dyDescent="0.25">
      <c r="A575" s="15">
        <v>31</v>
      </c>
      <c r="B575" s="65"/>
      <c r="C575" s="65">
        <v>2429</v>
      </c>
      <c r="D575" s="65"/>
      <c r="E575" s="65" t="s">
        <v>787</v>
      </c>
      <c r="F575" s="65">
        <v>1</v>
      </c>
      <c r="G575" s="65"/>
      <c r="H575" s="65" t="e">
        <v>#N/A</v>
      </c>
      <c r="I575" s="65"/>
      <c r="J575" s="65" t="s">
        <v>899</v>
      </c>
      <c r="K575" s="65" t="s">
        <v>900</v>
      </c>
      <c r="L575" s="65" t="s">
        <v>900</v>
      </c>
      <c r="M575" s="65" t="s">
        <v>900</v>
      </c>
      <c r="N575" s="65" t="s">
        <v>900</v>
      </c>
      <c r="O575" s="65" t="s">
        <v>904</v>
      </c>
      <c r="P575" s="65"/>
      <c r="Q575" s="65">
        <v>1</v>
      </c>
      <c r="R575" s="65">
        <v>640</v>
      </c>
      <c r="S575" s="65"/>
    </row>
    <row r="576" spans="1:19" x14ac:dyDescent="0.25">
      <c r="A576" s="15">
        <v>31</v>
      </c>
      <c r="B576" s="65"/>
      <c r="C576" s="65">
        <v>2429</v>
      </c>
      <c r="D576" s="65"/>
      <c r="E576" s="65" t="s">
        <v>787</v>
      </c>
      <c r="F576" s="65">
        <v>1</v>
      </c>
      <c r="G576" s="65"/>
      <c r="H576" s="65" t="e">
        <v>#N/A</v>
      </c>
      <c r="I576" s="65"/>
      <c r="J576" s="65" t="s">
        <v>899</v>
      </c>
      <c r="K576" s="65" t="s">
        <v>900</v>
      </c>
      <c r="L576" s="65" t="s">
        <v>900</v>
      </c>
      <c r="M576" s="65" t="s">
        <v>900</v>
      </c>
      <c r="N576" s="65" t="s">
        <v>900</v>
      </c>
      <c r="O576" s="65" t="s">
        <v>905</v>
      </c>
      <c r="P576" s="65"/>
      <c r="Q576" s="65">
        <v>1</v>
      </c>
      <c r="R576" s="65">
        <v>641</v>
      </c>
      <c r="S576" s="65"/>
    </row>
    <row r="577" spans="1:19" x14ac:dyDescent="0.25">
      <c r="A577" s="15">
        <v>31</v>
      </c>
      <c r="B577" s="65"/>
      <c r="C577" s="65">
        <v>2429</v>
      </c>
      <c r="D577" s="65"/>
      <c r="E577" s="65" t="s">
        <v>787</v>
      </c>
      <c r="F577" s="65">
        <v>1</v>
      </c>
      <c r="G577" s="65"/>
      <c r="H577" s="65" t="e">
        <v>#N/A</v>
      </c>
      <c r="I577" s="65"/>
      <c r="J577" s="65" t="s">
        <v>899</v>
      </c>
      <c r="K577" s="65" t="s">
        <v>900</v>
      </c>
      <c r="L577" s="65" t="s">
        <v>900</v>
      </c>
      <c r="M577" s="65" t="s">
        <v>900</v>
      </c>
      <c r="N577" s="65" t="s">
        <v>900</v>
      </c>
      <c r="O577" s="65" t="s">
        <v>906</v>
      </c>
      <c r="P577" s="65"/>
      <c r="Q577" s="65">
        <v>1</v>
      </c>
      <c r="R577" s="65">
        <v>642</v>
      </c>
      <c r="S577" s="65"/>
    </row>
    <row r="578" spans="1:19" x14ac:dyDescent="0.25">
      <c r="A578" s="15">
        <v>31</v>
      </c>
      <c r="B578" s="65"/>
      <c r="C578" s="65">
        <v>2429</v>
      </c>
      <c r="D578" s="65"/>
      <c r="E578" s="65" t="s">
        <v>787</v>
      </c>
      <c r="F578" s="65">
        <v>1</v>
      </c>
      <c r="G578" s="65"/>
      <c r="H578" s="65" t="e">
        <v>#N/A</v>
      </c>
      <c r="I578" s="65"/>
      <c r="J578" s="65" t="s">
        <v>899</v>
      </c>
      <c r="K578" s="65" t="s">
        <v>900</v>
      </c>
      <c r="L578" s="65" t="s">
        <v>900</v>
      </c>
      <c r="M578" s="65" t="s">
        <v>900</v>
      </c>
      <c r="N578" s="65" t="s">
        <v>900</v>
      </c>
      <c r="O578" s="65" t="s">
        <v>907</v>
      </c>
      <c r="P578" s="65"/>
      <c r="Q578" s="65">
        <v>1</v>
      </c>
      <c r="R578" s="65">
        <v>643</v>
      </c>
      <c r="S578" s="65"/>
    </row>
    <row r="579" spans="1:19" x14ac:dyDescent="0.25">
      <c r="A579" s="15">
        <v>31</v>
      </c>
      <c r="B579" s="65"/>
      <c r="C579" s="65">
        <v>2429</v>
      </c>
      <c r="D579" s="65"/>
      <c r="E579" s="65" t="s">
        <v>787</v>
      </c>
      <c r="F579" s="65">
        <v>1</v>
      </c>
      <c r="G579" s="65"/>
      <c r="H579" s="65" t="e">
        <v>#N/A</v>
      </c>
      <c r="I579" s="65"/>
      <c r="J579" s="65" t="s">
        <v>899</v>
      </c>
      <c r="K579" s="65" t="s">
        <v>900</v>
      </c>
      <c r="L579" s="65" t="s">
        <v>900</v>
      </c>
      <c r="M579" s="65" t="s">
        <v>900</v>
      </c>
      <c r="N579" s="65" t="s">
        <v>900</v>
      </c>
      <c r="O579" s="65" t="s">
        <v>908</v>
      </c>
      <c r="P579" s="65"/>
      <c r="Q579" s="65">
        <v>1</v>
      </c>
      <c r="R579" s="65">
        <v>644</v>
      </c>
      <c r="S579" s="65"/>
    </row>
    <row r="580" spans="1:19" x14ac:dyDescent="0.25">
      <c r="A580" s="15">
        <v>31</v>
      </c>
      <c r="B580" s="65"/>
      <c r="C580" s="65">
        <v>2429</v>
      </c>
      <c r="D580" s="65"/>
      <c r="E580" s="65" t="s">
        <v>787</v>
      </c>
      <c r="F580" s="65">
        <v>1</v>
      </c>
      <c r="G580" s="65"/>
      <c r="H580" s="65" t="e">
        <v>#N/A</v>
      </c>
      <c r="I580" s="65"/>
      <c r="J580" s="65" t="s">
        <v>899</v>
      </c>
      <c r="K580" s="65" t="s">
        <v>900</v>
      </c>
      <c r="L580" s="65" t="s">
        <v>900</v>
      </c>
      <c r="M580" s="65" t="s">
        <v>900</v>
      </c>
      <c r="N580" s="65" t="s">
        <v>900</v>
      </c>
      <c r="O580" s="65" t="s">
        <v>909</v>
      </c>
      <c r="P580" s="65"/>
      <c r="Q580" s="65">
        <v>1</v>
      </c>
      <c r="R580" s="65">
        <v>645</v>
      </c>
      <c r="S580" s="65"/>
    </row>
    <row r="581" spans="1:19" x14ac:dyDescent="0.25">
      <c r="A581" s="15">
        <v>31</v>
      </c>
      <c r="B581" s="65"/>
      <c r="C581" s="65">
        <v>2429</v>
      </c>
      <c r="D581" s="65"/>
      <c r="E581" s="65" t="s">
        <v>787</v>
      </c>
      <c r="F581" s="65">
        <v>1</v>
      </c>
      <c r="G581" s="65"/>
      <c r="H581" s="65" t="e">
        <v>#N/A</v>
      </c>
      <c r="I581" s="65"/>
      <c r="J581" s="65" t="s">
        <v>899</v>
      </c>
      <c r="K581" s="65" t="s">
        <v>900</v>
      </c>
      <c r="L581" s="65" t="s">
        <v>900</v>
      </c>
      <c r="M581" s="65" t="s">
        <v>900</v>
      </c>
      <c r="N581" s="65" t="s">
        <v>900</v>
      </c>
      <c r="O581" s="65" t="s">
        <v>910</v>
      </c>
      <c r="P581" s="65"/>
      <c r="Q581" s="65">
        <v>1</v>
      </c>
      <c r="R581" s="65">
        <v>646</v>
      </c>
      <c r="S581" s="65"/>
    </row>
    <row r="582" spans="1:19" x14ac:dyDescent="0.25">
      <c r="A582" s="15">
        <v>31</v>
      </c>
      <c r="B582" s="65"/>
      <c r="C582" s="65">
        <v>2429</v>
      </c>
      <c r="D582" s="65"/>
      <c r="E582" s="65" t="s">
        <v>787</v>
      </c>
      <c r="F582" s="65">
        <v>0</v>
      </c>
      <c r="G582" s="65"/>
      <c r="H582" s="65">
        <v>3</v>
      </c>
      <c r="I582" s="65" t="e">
        <v>#N/A</v>
      </c>
      <c r="J582" s="65" t="s">
        <v>899</v>
      </c>
      <c r="K582" s="65"/>
      <c r="L582" s="65"/>
      <c r="M582" s="65"/>
      <c r="N582" s="65"/>
      <c r="O582" s="65" t="s">
        <v>912</v>
      </c>
      <c r="P582" s="65"/>
      <c r="Q582" s="65">
        <v>1</v>
      </c>
      <c r="R582" s="65">
        <v>863</v>
      </c>
      <c r="S582" s="65"/>
    </row>
    <row r="583" spans="1:19" x14ac:dyDescent="0.25">
      <c r="A583" s="15">
        <v>31</v>
      </c>
      <c r="B583" s="65"/>
      <c r="C583" s="65">
        <v>2429</v>
      </c>
      <c r="D583" s="65"/>
      <c r="E583" s="65" t="s">
        <v>787</v>
      </c>
      <c r="F583" s="65">
        <v>0</v>
      </c>
      <c r="G583" s="65"/>
      <c r="H583" s="65">
        <v>3</v>
      </c>
      <c r="I583" s="65" t="e">
        <v>#N/A</v>
      </c>
      <c r="J583" s="65" t="s">
        <v>899</v>
      </c>
      <c r="K583" s="65"/>
      <c r="L583" s="65"/>
      <c r="M583" s="65"/>
      <c r="N583" s="65"/>
      <c r="O583" s="65" t="s">
        <v>913</v>
      </c>
      <c r="P583" s="65"/>
      <c r="Q583" s="65">
        <v>1</v>
      </c>
      <c r="R583" s="65">
        <v>864</v>
      </c>
      <c r="S583" s="65"/>
    </row>
    <row r="584" spans="1:19" x14ac:dyDescent="0.25">
      <c r="A584" s="15">
        <v>31</v>
      </c>
      <c r="B584" s="65"/>
      <c r="C584" s="65">
        <v>2429</v>
      </c>
      <c r="D584" s="65"/>
      <c r="E584" s="65" t="s">
        <v>787</v>
      </c>
      <c r="F584" s="65">
        <v>0</v>
      </c>
      <c r="G584" s="65"/>
      <c r="H584" s="65">
        <v>3</v>
      </c>
      <c r="I584" s="65" t="e">
        <v>#N/A</v>
      </c>
      <c r="J584" s="65" t="s">
        <v>899</v>
      </c>
      <c r="K584" s="65"/>
      <c r="L584" s="65"/>
      <c r="M584" s="65"/>
      <c r="N584" s="65"/>
      <c r="O584" s="65" t="s">
        <v>914</v>
      </c>
      <c r="P584" s="65"/>
      <c r="Q584" s="65">
        <v>1</v>
      </c>
      <c r="R584" s="65">
        <v>865</v>
      </c>
      <c r="S584" s="65"/>
    </row>
    <row r="585" spans="1:19" x14ac:dyDescent="0.25">
      <c r="A585" s="15">
        <v>31</v>
      </c>
      <c r="B585" s="65"/>
      <c r="C585" s="65">
        <v>2429</v>
      </c>
      <c r="D585" s="65"/>
      <c r="E585" s="65" t="s">
        <v>787</v>
      </c>
      <c r="F585" s="65">
        <v>0</v>
      </c>
      <c r="G585" s="65"/>
      <c r="H585" s="65">
        <v>3</v>
      </c>
      <c r="I585" s="65" t="e">
        <v>#N/A</v>
      </c>
      <c r="J585" s="65" t="s">
        <v>899</v>
      </c>
      <c r="K585" s="65"/>
      <c r="L585" s="65"/>
      <c r="M585" s="65"/>
      <c r="N585" s="65"/>
      <c r="O585" s="65" t="s">
        <v>915</v>
      </c>
      <c r="P585" s="65"/>
      <c r="Q585" s="65">
        <v>1</v>
      </c>
      <c r="R585" s="65">
        <v>866</v>
      </c>
      <c r="S585" s="65"/>
    </row>
    <row r="586" spans="1:19" x14ac:dyDescent="0.25">
      <c r="A586" s="15">
        <v>31</v>
      </c>
      <c r="B586" s="65"/>
      <c r="C586" s="65">
        <v>2429</v>
      </c>
      <c r="D586" s="65"/>
      <c r="E586" s="65" t="s">
        <v>787</v>
      </c>
      <c r="F586" s="65">
        <v>0</v>
      </c>
      <c r="G586" s="65"/>
      <c r="H586" s="65">
        <v>3</v>
      </c>
      <c r="I586" s="65" t="e">
        <v>#N/A</v>
      </c>
      <c r="J586" s="65" t="s">
        <v>899</v>
      </c>
      <c r="K586" s="65"/>
      <c r="L586" s="65"/>
      <c r="M586" s="65"/>
      <c r="N586" s="65"/>
      <c r="O586" s="65" t="s">
        <v>916</v>
      </c>
      <c r="P586" s="65"/>
      <c r="Q586" s="65">
        <v>1</v>
      </c>
      <c r="R586" s="65">
        <v>867</v>
      </c>
      <c r="S586" s="65"/>
    </row>
    <row r="587" spans="1:19" x14ac:dyDescent="0.25">
      <c r="A587" s="15">
        <v>31</v>
      </c>
      <c r="B587" s="65"/>
      <c r="C587" s="65">
        <v>2429</v>
      </c>
      <c r="D587" s="65"/>
      <c r="E587" s="65" t="s">
        <v>787</v>
      </c>
      <c r="F587" s="65">
        <v>0</v>
      </c>
      <c r="G587" s="65"/>
      <c r="H587" s="65">
        <v>3</v>
      </c>
      <c r="I587" s="65" t="e">
        <v>#N/A</v>
      </c>
      <c r="J587" s="65" t="s">
        <v>899</v>
      </c>
      <c r="K587" s="65"/>
      <c r="L587" s="65"/>
      <c r="M587" s="65"/>
      <c r="N587" s="65"/>
      <c r="O587" s="65" t="s">
        <v>917</v>
      </c>
      <c r="P587" s="65"/>
      <c r="Q587" s="65">
        <v>1</v>
      </c>
      <c r="R587" s="65">
        <v>868</v>
      </c>
      <c r="S587" s="65"/>
    </row>
    <row r="588" spans="1:19" x14ac:dyDescent="0.25">
      <c r="A588" s="15">
        <v>31</v>
      </c>
      <c r="B588" s="65"/>
      <c r="C588" s="65">
        <v>2429</v>
      </c>
      <c r="D588" s="65"/>
      <c r="E588" s="65" t="s">
        <v>787</v>
      </c>
      <c r="F588" s="65">
        <v>0</v>
      </c>
      <c r="G588" s="65"/>
      <c r="H588" s="65">
        <v>3</v>
      </c>
      <c r="I588" s="65" t="e">
        <v>#N/A</v>
      </c>
      <c r="J588" s="65" t="s">
        <v>899</v>
      </c>
      <c r="K588" s="65"/>
      <c r="L588" s="65"/>
      <c r="M588" s="65"/>
      <c r="N588" s="65"/>
      <c r="O588" s="65" t="s">
        <v>918</v>
      </c>
      <c r="P588" s="65"/>
      <c r="Q588" s="65">
        <v>1</v>
      </c>
      <c r="R588" s="65">
        <v>869</v>
      </c>
      <c r="S588" s="65"/>
    </row>
    <row r="589" spans="1:19" x14ac:dyDescent="0.25">
      <c r="A589" s="15">
        <v>31</v>
      </c>
      <c r="B589" s="65"/>
      <c r="C589" s="65">
        <v>2429</v>
      </c>
      <c r="D589" s="65"/>
      <c r="E589" s="65" t="s">
        <v>787</v>
      </c>
      <c r="F589" s="65">
        <v>0</v>
      </c>
      <c r="G589" s="65"/>
      <c r="H589" s="65">
        <v>3</v>
      </c>
      <c r="I589" s="65" t="e">
        <v>#N/A</v>
      </c>
      <c r="J589" s="65" t="s">
        <v>899</v>
      </c>
      <c r="K589" s="65"/>
      <c r="L589" s="65"/>
      <c r="M589" s="65"/>
      <c r="N589" s="65"/>
      <c r="O589" s="65" t="s">
        <v>919</v>
      </c>
      <c r="P589" s="65"/>
      <c r="Q589" s="65">
        <v>1</v>
      </c>
      <c r="R589" s="65">
        <v>870</v>
      </c>
      <c r="S589" s="65"/>
    </row>
    <row r="590" spans="1:19" x14ac:dyDescent="0.25">
      <c r="A590" s="15">
        <v>31</v>
      </c>
      <c r="B590" s="65"/>
      <c r="C590" s="65">
        <v>2429</v>
      </c>
      <c r="D590" s="65"/>
      <c r="E590" s="65" t="s">
        <v>787</v>
      </c>
      <c r="F590" s="65">
        <v>0</v>
      </c>
      <c r="G590" s="65"/>
      <c r="H590" s="65">
        <v>3</v>
      </c>
      <c r="I590" s="65" t="e">
        <v>#N/A</v>
      </c>
      <c r="J590" s="65" t="s">
        <v>899</v>
      </c>
      <c r="K590" s="65"/>
      <c r="L590" s="65"/>
      <c r="M590" s="65"/>
      <c r="N590" s="65"/>
      <c r="O590" s="65" t="s">
        <v>920</v>
      </c>
      <c r="P590" s="65"/>
      <c r="Q590" s="65">
        <v>1</v>
      </c>
      <c r="R590" s="65">
        <v>871</v>
      </c>
      <c r="S590" s="65"/>
    </row>
    <row r="591" spans="1:19" x14ac:dyDescent="0.25">
      <c r="A591" s="15">
        <v>31</v>
      </c>
      <c r="B591" s="65"/>
      <c r="C591" s="65">
        <v>2429</v>
      </c>
      <c r="D591" s="65"/>
      <c r="E591" s="65" t="s">
        <v>787</v>
      </c>
      <c r="F591" s="65">
        <v>0</v>
      </c>
      <c r="G591" s="65"/>
      <c r="H591" s="65">
        <v>3</v>
      </c>
      <c r="I591" s="65" t="e">
        <v>#N/A</v>
      </c>
      <c r="J591" s="65" t="s">
        <v>899</v>
      </c>
      <c r="K591" s="65"/>
      <c r="L591" s="65"/>
      <c r="M591" s="65"/>
      <c r="N591" s="65"/>
      <c r="O591" s="65" t="s">
        <v>921</v>
      </c>
      <c r="P591" s="65"/>
      <c r="Q591" s="65">
        <v>1</v>
      </c>
      <c r="R591" s="65">
        <v>872</v>
      </c>
      <c r="S591" s="65"/>
    </row>
    <row r="592" spans="1:19" x14ac:dyDescent="0.25">
      <c r="A592" s="15">
        <v>31</v>
      </c>
      <c r="B592" s="65"/>
      <c r="C592" s="65">
        <v>2429</v>
      </c>
      <c r="D592" s="65"/>
      <c r="E592" s="65" t="s">
        <v>787</v>
      </c>
      <c r="F592" s="65">
        <v>0</v>
      </c>
      <c r="G592" s="65"/>
      <c r="H592" s="65">
        <v>3</v>
      </c>
      <c r="I592" s="65" t="e">
        <v>#N/A</v>
      </c>
      <c r="J592" s="65" t="s">
        <v>899</v>
      </c>
      <c r="K592" s="65"/>
      <c r="L592" s="65"/>
      <c r="M592" s="65"/>
      <c r="N592" s="65"/>
      <c r="O592" s="65" t="s">
        <v>922</v>
      </c>
      <c r="P592" s="65"/>
      <c r="Q592" s="65">
        <v>1</v>
      </c>
      <c r="R592" s="65">
        <v>873</v>
      </c>
      <c r="S592" s="65"/>
    </row>
    <row r="593" spans="1:19" x14ac:dyDescent="0.25">
      <c r="A593" s="15">
        <v>31</v>
      </c>
      <c r="B593" s="65"/>
      <c r="C593" s="65">
        <v>2429</v>
      </c>
      <c r="D593" s="65"/>
      <c r="E593" s="65" t="s">
        <v>787</v>
      </c>
      <c r="F593" s="65">
        <v>3</v>
      </c>
      <c r="G593" s="65"/>
      <c r="H593" s="65">
        <v>3</v>
      </c>
      <c r="I593" s="65" t="e">
        <v>#N/A</v>
      </c>
      <c r="J593" s="65" t="s">
        <v>899</v>
      </c>
      <c r="K593" s="65"/>
      <c r="L593" s="65"/>
      <c r="M593" s="65"/>
      <c r="N593" s="65"/>
      <c r="O593" s="65" t="s">
        <v>924</v>
      </c>
      <c r="P593" s="65"/>
      <c r="Q593" s="65">
        <v>1</v>
      </c>
      <c r="R593" s="65">
        <v>1090</v>
      </c>
      <c r="S593" s="65"/>
    </row>
    <row r="594" spans="1:19" x14ac:dyDescent="0.25">
      <c r="A594" s="15">
        <v>31</v>
      </c>
      <c r="B594" s="65"/>
      <c r="C594" s="65">
        <v>2429</v>
      </c>
      <c r="D594" s="65"/>
      <c r="E594" s="65" t="s">
        <v>787</v>
      </c>
      <c r="F594" s="65">
        <v>3</v>
      </c>
      <c r="G594" s="65"/>
      <c r="H594" s="65">
        <v>3</v>
      </c>
      <c r="I594" s="65" t="e">
        <v>#N/A</v>
      </c>
      <c r="J594" s="65" t="s">
        <v>899</v>
      </c>
      <c r="K594" s="65"/>
      <c r="L594" s="65"/>
      <c r="M594" s="65"/>
      <c r="N594" s="65"/>
      <c r="O594" s="65" t="s">
        <v>925</v>
      </c>
      <c r="P594" s="65"/>
      <c r="Q594" s="65">
        <v>1</v>
      </c>
      <c r="R594" s="65">
        <v>1091</v>
      </c>
      <c r="S594" s="65"/>
    </row>
    <row r="595" spans="1:19" x14ac:dyDescent="0.25">
      <c r="A595" s="15">
        <v>31</v>
      </c>
      <c r="B595" s="65"/>
      <c r="C595" s="65">
        <v>2429</v>
      </c>
      <c r="D595" s="65"/>
      <c r="E595" s="65" t="s">
        <v>787</v>
      </c>
      <c r="F595" s="65">
        <v>3</v>
      </c>
      <c r="G595" s="65"/>
      <c r="H595" s="65">
        <v>3</v>
      </c>
      <c r="I595" s="65" t="e">
        <v>#N/A</v>
      </c>
      <c r="J595" s="65" t="s">
        <v>899</v>
      </c>
      <c r="K595" s="65"/>
      <c r="L595" s="65"/>
      <c r="M595" s="65"/>
      <c r="N595" s="65"/>
      <c r="O595" s="65" t="s">
        <v>926</v>
      </c>
      <c r="P595" s="65"/>
      <c r="Q595" s="65">
        <v>1</v>
      </c>
      <c r="R595" s="65">
        <v>1092</v>
      </c>
      <c r="S595" s="65"/>
    </row>
    <row r="596" spans="1:19" x14ac:dyDescent="0.25">
      <c r="A596" s="15">
        <v>31</v>
      </c>
      <c r="B596" s="65"/>
      <c r="C596" s="65">
        <v>2429</v>
      </c>
      <c r="D596" s="65"/>
      <c r="E596" s="65" t="s">
        <v>787</v>
      </c>
      <c r="F596" s="65">
        <v>3</v>
      </c>
      <c r="G596" s="65"/>
      <c r="H596" s="65">
        <v>3</v>
      </c>
      <c r="I596" s="65" t="e">
        <v>#N/A</v>
      </c>
      <c r="J596" s="65" t="s">
        <v>899</v>
      </c>
      <c r="K596" s="65"/>
      <c r="L596" s="65"/>
      <c r="M596" s="65"/>
      <c r="N596" s="65"/>
      <c r="O596" s="65" t="s">
        <v>927</v>
      </c>
      <c r="P596" s="65"/>
      <c r="Q596" s="65">
        <v>1</v>
      </c>
      <c r="R596" s="65">
        <v>1093</v>
      </c>
      <c r="S596" s="65"/>
    </row>
    <row r="597" spans="1:19" x14ac:dyDescent="0.25">
      <c r="A597" s="15">
        <v>31</v>
      </c>
      <c r="B597" s="65"/>
      <c r="C597" s="65">
        <v>2429</v>
      </c>
      <c r="D597" s="65"/>
      <c r="E597" s="65" t="s">
        <v>787</v>
      </c>
      <c r="F597" s="65">
        <v>3</v>
      </c>
      <c r="G597" s="65"/>
      <c r="H597" s="65">
        <v>3</v>
      </c>
      <c r="I597" s="65" t="e">
        <v>#N/A</v>
      </c>
      <c r="J597" s="65" t="s">
        <v>899</v>
      </c>
      <c r="K597" s="65"/>
      <c r="L597" s="65"/>
      <c r="M597" s="65"/>
      <c r="N597" s="65"/>
      <c r="O597" s="65" t="s">
        <v>928</v>
      </c>
      <c r="P597" s="65"/>
      <c r="Q597" s="65">
        <v>1</v>
      </c>
      <c r="R597" s="65">
        <v>1094</v>
      </c>
      <c r="S597" s="65"/>
    </row>
    <row r="598" spans="1:19" x14ac:dyDescent="0.25">
      <c r="A598" s="15">
        <v>31</v>
      </c>
      <c r="B598" s="65"/>
      <c r="C598" s="65">
        <v>2429</v>
      </c>
      <c r="D598" s="65"/>
      <c r="E598" s="65" t="s">
        <v>787</v>
      </c>
      <c r="F598" s="65">
        <v>3</v>
      </c>
      <c r="G598" s="65"/>
      <c r="H598" s="65">
        <v>3</v>
      </c>
      <c r="I598" s="65" t="e">
        <v>#N/A</v>
      </c>
      <c r="J598" s="65" t="s">
        <v>899</v>
      </c>
      <c r="K598" s="65"/>
      <c r="L598" s="65"/>
      <c r="M598" s="65"/>
      <c r="N598" s="65"/>
      <c r="O598" s="65" t="s">
        <v>929</v>
      </c>
      <c r="P598" s="65"/>
      <c r="Q598" s="65">
        <v>1</v>
      </c>
      <c r="R598" s="65">
        <v>1095</v>
      </c>
      <c r="S598" s="65"/>
    </row>
    <row r="599" spans="1:19" x14ac:dyDescent="0.25">
      <c r="A599" s="15">
        <v>31</v>
      </c>
      <c r="B599" s="65"/>
      <c r="C599" s="65">
        <v>2429</v>
      </c>
      <c r="D599" s="65"/>
      <c r="E599" s="65" t="s">
        <v>787</v>
      </c>
      <c r="F599" s="65">
        <v>3</v>
      </c>
      <c r="G599" s="65"/>
      <c r="H599" s="65">
        <v>3</v>
      </c>
      <c r="I599" s="65" t="e">
        <v>#N/A</v>
      </c>
      <c r="J599" s="65" t="s">
        <v>899</v>
      </c>
      <c r="K599" s="65"/>
      <c r="L599" s="65"/>
      <c r="M599" s="65"/>
      <c r="N599" s="65"/>
      <c r="O599" s="65" t="s">
        <v>930</v>
      </c>
      <c r="P599" s="65"/>
      <c r="Q599" s="65">
        <v>1</v>
      </c>
      <c r="R599" s="65">
        <v>1096</v>
      </c>
      <c r="S599" s="65"/>
    </row>
    <row r="600" spans="1:19" x14ac:dyDescent="0.25">
      <c r="A600" s="15">
        <v>31</v>
      </c>
      <c r="B600" s="65"/>
      <c r="C600" s="65">
        <v>2429</v>
      </c>
      <c r="D600" s="65"/>
      <c r="E600" s="65" t="s">
        <v>787</v>
      </c>
      <c r="F600" s="65">
        <v>3</v>
      </c>
      <c r="G600" s="65"/>
      <c r="H600" s="65">
        <v>3</v>
      </c>
      <c r="I600" s="65" t="e">
        <v>#N/A</v>
      </c>
      <c r="J600" s="65" t="s">
        <v>899</v>
      </c>
      <c r="K600" s="65"/>
      <c r="L600" s="65"/>
      <c r="M600" s="65"/>
      <c r="N600" s="65"/>
      <c r="O600" s="65" t="s">
        <v>931</v>
      </c>
      <c r="P600" s="65"/>
      <c r="Q600" s="65">
        <v>1</v>
      </c>
      <c r="R600" s="65">
        <v>1097</v>
      </c>
      <c r="S600" s="65"/>
    </row>
    <row r="601" spans="1:19" x14ac:dyDescent="0.25">
      <c r="A601" s="15">
        <v>31</v>
      </c>
      <c r="B601" s="65"/>
      <c r="C601" s="65">
        <v>2429</v>
      </c>
      <c r="D601" s="65"/>
      <c r="E601" s="65" t="s">
        <v>787</v>
      </c>
      <c r="F601" s="65">
        <v>3</v>
      </c>
      <c r="G601" s="65"/>
      <c r="H601" s="65">
        <v>3</v>
      </c>
      <c r="I601" s="65" t="e">
        <v>#N/A</v>
      </c>
      <c r="J601" s="65" t="s">
        <v>899</v>
      </c>
      <c r="K601" s="65"/>
      <c r="L601" s="65"/>
      <c r="M601" s="65"/>
      <c r="N601" s="65"/>
      <c r="O601" s="65" t="s">
        <v>932</v>
      </c>
      <c r="P601" s="65"/>
      <c r="Q601" s="65">
        <v>1</v>
      </c>
      <c r="R601" s="65">
        <v>1098</v>
      </c>
      <c r="S601" s="65"/>
    </row>
    <row r="602" spans="1:19" x14ac:dyDescent="0.25">
      <c r="A602" s="15">
        <v>31</v>
      </c>
      <c r="B602" s="65"/>
      <c r="C602" s="65">
        <v>2429</v>
      </c>
      <c r="D602" s="65"/>
      <c r="E602" s="65" t="s">
        <v>787</v>
      </c>
      <c r="F602" s="65">
        <v>3</v>
      </c>
      <c r="G602" s="65"/>
      <c r="H602" s="65">
        <v>3</v>
      </c>
      <c r="I602" s="65" t="e">
        <v>#N/A</v>
      </c>
      <c r="J602" s="65" t="s">
        <v>899</v>
      </c>
      <c r="K602" s="65"/>
      <c r="L602" s="65"/>
      <c r="M602" s="65"/>
      <c r="N602" s="65"/>
      <c r="O602" s="65" t="s">
        <v>933</v>
      </c>
      <c r="P602" s="65"/>
      <c r="Q602" s="65">
        <v>1</v>
      </c>
      <c r="R602" s="65">
        <v>1099</v>
      </c>
      <c r="S602" s="65"/>
    </row>
    <row r="603" spans="1:19" x14ac:dyDescent="0.25">
      <c r="A603" s="15">
        <v>31</v>
      </c>
      <c r="B603" s="65"/>
      <c r="C603" s="65">
        <v>2429</v>
      </c>
      <c r="D603" s="65"/>
      <c r="E603" s="65" t="s">
        <v>787</v>
      </c>
      <c r="F603" s="65">
        <v>3</v>
      </c>
      <c r="G603" s="65"/>
      <c r="H603" s="65">
        <v>3</v>
      </c>
      <c r="I603" s="65" t="e">
        <v>#N/A</v>
      </c>
      <c r="J603" s="65" t="s">
        <v>899</v>
      </c>
      <c r="K603" s="65"/>
      <c r="L603" s="65"/>
      <c r="M603" s="65"/>
      <c r="N603" s="65"/>
      <c r="O603" s="65" t="s">
        <v>934</v>
      </c>
      <c r="P603" s="65"/>
      <c r="Q603" s="65">
        <v>1</v>
      </c>
      <c r="R603" s="65">
        <v>1100</v>
      </c>
      <c r="S603" s="65"/>
    </row>
    <row r="604" spans="1:19" x14ac:dyDescent="0.25">
      <c r="A604" s="15">
        <v>31</v>
      </c>
      <c r="B604" s="65"/>
      <c r="C604" s="65">
        <v>2429</v>
      </c>
      <c r="D604" s="65"/>
      <c r="E604" s="65" t="s">
        <v>787</v>
      </c>
      <c r="F604" s="65">
        <v>3</v>
      </c>
      <c r="G604" s="65"/>
      <c r="H604" s="65" t="e">
        <v>#N/A</v>
      </c>
      <c r="I604" s="65"/>
      <c r="J604" s="65" t="s">
        <v>899</v>
      </c>
      <c r="K604" s="65"/>
      <c r="L604" s="65"/>
      <c r="M604" s="65"/>
      <c r="N604" s="65"/>
      <c r="O604" s="65" t="s">
        <v>936</v>
      </c>
      <c r="P604" s="65"/>
      <c r="Q604" s="65">
        <v>1</v>
      </c>
      <c r="R604" s="65">
        <v>1273</v>
      </c>
      <c r="S604" s="65"/>
    </row>
    <row r="605" spans="1:19" x14ac:dyDescent="0.25">
      <c r="A605" s="15">
        <v>31</v>
      </c>
      <c r="B605" s="65"/>
      <c r="C605" s="65">
        <v>2429</v>
      </c>
      <c r="D605" s="65"/>
      <c r="E605" s="65" t="s">
        <v>787</v>
      </c>
      <c r="F605" s="65">
        <v>5</v>
      </c>
      <c r="G605" s="65"/>
      <c r="H605" s="65" t="e">
        <v>#N/A</v>
      </c>
      <c r="I605" s="65"/>
      <c r="J605" s="65" t="s">
        <v>899</v>
      </c>
      <c r="K605" s="65"/>
      <c r="L605" s="65"/>
      <c r="M605" s="65"/>
      <c r="N605" s="65"/>
      <c r="O605" s="65" t="s">
        <v>938</v>
      </c>
      <c r="P605" s="65"/>
      <c r="Q605" s="65">
        <v>1</v>
      </c>
      <c r="R605" s="65">
        <v>1384</v>
      </c>
      <c r="S605" s="65"/>
    </row>
    <row r="606" spans="1:19" x14ac:dyDescent="0.25">
      <c r="A606" s="15">
        <v>31</v>
      </c>
      <c r="B606" s="65"/>
      <c r="C606" s="65">
        <v>2429</v>
      </c>
      <c r="D606" s="65"/>
      <c r="E606" s="65" t="s">
        <v>787</v>
      </c>
      <c r="F606" s="65">
        <v>5</v>
      </c>
      <c r="G606" s="65"/>
      <c r="H606" s="65" t="e">
        <v>#N/A</v>
      </c>
      <c r="I606" s="65"/>
      <c r="J606" s="65" t="s">
        <v>899</v>
      </c>
      <c r="K606" s="65"/>
      <c r="L606" s="65"/>
      <c r="M606" s="65"/>
      <c r="N606" s="65"/>
      <c r="O606" s="65" t="s">
        <v>939</v>
      </c>
      <c r="P606" s="65"/>
      <c r="Q606" s="65">
        <v>1</v>
      </c>
      <c r="R606" s="65">
        <v>1385</v>
      </c>
      <c r="S606" s="65"/>
    </row>
    <row r="607" spans="1:19" x14ac:dyDescent="0.25">
      <c r="A607" s="15">
        <v>31</v>
      </c>
      <c r="B607" s="65"/>
      <c r="C607" s="65">
        <v>2429</v>
      </c>
      <c r="D607" s="65"/>
      <c r="E607" s="65" t="s">
        <v>787</v>
      </c>
      <c r="F607" s="65">
        <v>5</v>
      </c>
      <c r="G607" s="65"/>
      <c r="H607" s="65" t="e">
        <v>#N/A</v>
      </c>
      <c r="I607" s="65"/>
      <c r="J607" s="65" t="s">
        <v>899</v>
      </c>
      <c r="K607" s="65"/>
      <c r="L607" s="65"/>
      <c r="M607" s="65"/>
      <c r="N607" s="65"/>
      <c r="O607" s="65" t="s">
        <v>940</v>
      </c>
      <c r="P607" s="65"/>
      <c r="Q607" s="65">
        <v>1</v>
      </c>
      <c r="R607" s="65">
        <v>1386</v>
      </c>
      <c r="S607" s="65"/>
    </row>
    <row r="608" spans="1:19" x14ac:dyDescent="0.25">
      <c r="A608" s="15">
        <v>31</v>
      </c>
      <c r="B608" s="65"/>
      <c r="C608" s="65">
        <v>2429</v>
      </c>
      <c r="D608" s="65"/>
      <c r="E608" s="65" t="s">
        <v>787</v>
      </c>
      <c r="F608" s="65">
        <v>5</v>
      </c>
      <c r="G608" s="65"/>
      <c r="H608" s="65" t="e">
        <v>#N/A</v>
      </c>
      <c r="I608" s="65"/>
      <c r="J608" s="65" t="s">
        <v>899</v>
      </c>
      <c r="K608" s="65"/>
      <c r="L608" s="65"/>
      <c r="M608" s="65"/>
      <c r="N608" s="65"/>
      <c r="O608" s="65" t="s">
        <v>941</v>
      </c>
      <c r="P608" s="65"/>
      <c r="Q608" s="65">
        <v>1</v>
      </c>
      <c r="R608" s="65">
        <v>1387</v>
      </c>
      <c r="S608" s="65"/>
    </row>
    <row r="609" spans="1:19" x14ac:dyDescent="0.25">
      <c r="A609" s="15">
        <v>31</v>
      </c>
      <c r="B609" s="65"/>
      <c r="C609" s="65">
        <v>2429</v>
      </c>
      <c r="D609" s="65"/>
      <c r="E609" s="65" t="s">
        <v>787</v>
      </c>
      <c r="F609" s="65">
        <v>5</v>
      </c>
      <c r="G609" s="65"/>
      <c r="H609" s="65" t="e">
        <v>#N/A</v>
      </c>
      <c r="I609" s="65"/>
      <c r="J609" s="65" t="s">
        <v>899</v>
      </c>
      <c r="K609" s="65"/>
      <c r="L609" s="65"/>
      <c r="M609" s="65"/>
      <c r="N609" s="65"/>
      <c r="O609" s="65" t="s">
        <v>942</v>
      </c>
      <c r="P609" s="65"/>
      <c r="Q609" s="65">
        <v>1</v>
      </c>
      <c r="R609" s="65">
        <v>1388</v>
      </c>
      <c r="S609" s="65"/>
    </row>
    <row r="610" spans="1:19" x14ac:dyDescent="0.25">
      <c r="A610" s="15">
        <v>31</v>
      </c>
      <c r="B610" s="65"/>
      <c r="C610" s="65">
        <v>2429</v>
      </c>
      <c r="D610" s="65"/>
      <c r="E610" s="65" t="s">
        <v>787</v>
      </c>
      <c r="F610" s="65">
        <v>5</v>
      </c>
      <c r="G610" s="65"/>
      <c r="H610" s="65" t="e">
        <v>#N/A</v>
      </c>
      <c r="I610" s="65"/>
      <c r="J610" s="65" t="s">
        <v>899</v>
      </c>
      <c r="K610" s="65"/>
      <c r="L610" s="65"/>
      <c r="M610" s="65"/>
      <c r="N610" s="65"/>
      <c r="O610" s="65" t="s">
        <v>943</v>
      </c>
      <c r="P610" s="65"/>
      <c r="Q610" s="65">
        <v>1</v>
      </c>
      <c r="R610" s="65">
        <v>1389</v>
      </c>
      <c r="S610" s="65"/>
    </row>
    <row r="611" spans="1:19" x14ac:dyDescent="0.25">
      <c r="A611" s="15">
        <v>31</v>
      </c>
      <c r="B611" s="65"/>
      <c r="C611" s="65">
        <v>2429</v>
      </c>
      <c r="D611" s="65"/>
      <c r="E611" s="65" t="s">
        <v>787</v>
      </c>
      <c r="F611" s="65">
        <v>5</v>
      </c>
      <c r="G611" s="65"/>
      <c r="H611" s="65" t="e">
        <v>#N/A</v>
      </c>
      <c r="I611" s="65"/>
      <c r="J611" s="65" t="s">
        <v>899</v>
      </c>
      <c r="K611" s="65"/>
      <c r="L611" s="65"/>
      <c r="M611" s="65"/>
      <c r="N611" s="65"/>
      <c r="O611" s="65" t="s">
        <v>944</v>
      </c>
      <c r="P611" s="65"/>
      <c r="Q611" s="65">
        <v>1</v>
      </c>
      <c r="R611" s="65">
        <v>1390</v>
      </c>
      <c r="S611" s="65"/>
    </row>
    <row r="612" spans="1:19" x14ac:dyDescent="0.25">
      <c r="A612" s="15">
        <v>31</v>
      </c>
      <c r="B612" s="65"/>
      <c r="C612" s="65">
        <v>2429</v>
      </c>
      <c r="D612" s="65"/>
      <c r="E612" s="65" t="s">
        <v>787</v>
      </c>
      <c r="F612" s="65">
        <v>5</v>
      </c>
      <c r="G612" s="65"/>
      <c r="H612" s="65" t="e">
        <v>#N/A</v>
      </c>
      <c r="I612" s="65"/>
      <c r="J612" s="65" t="s">
        <v>899</v>
      </c>
      <c r="K612" s="65"/>
      <c r="L612" s="65"/>
      <c r="M612" s="65"/>
      <c r="N612" s="65"/>
      <c r="O612" s="65" t="s">
        <v>945</v>
      </c>
      <c r="P612" s="65"/>
      <c r="Q612" s="65">
        <v>1</v>
      </c>
      <c r="R612" s="65">
        <v>1391</v>
      </c>
      <c r="S612" s="65"/>
    </row>
    <row r="613" spans="1:19" x14ac:dyDescent="0.25">
      <c r="A613" s="15">
        <v>31</v>
      </c>
      <c r="B613" s="65"/>
      <c r="C613" s="65">
        <v>2429</v>
      </c>
      <c r="D613" s="65"/>
      <c r="E613" s="65" t="s">
        <v>787</v>
      </c>
      <c r="F613" s="65">
        <v>5</v>
      </c>
      <c r="G613" s="65"/>
      <c r="H613" s="65" t="e">
        <v>#N/A</v>
      </c>
      <c r="I613" s="65"/>
      <c r="J613" s="65" t="s">
        <v>899</v>
      </c>
      <c r="K613" s="65"/>
      <c r="L613" s="65"/>
      <c r="M613" s="65"/>
      <c r="N613" s="65"/>
      <c r="O613" s="65" t="s">
        <v>946</v>
      </c>
      <c r="P613" s="65"/>
      <c r="Q613" s="65">
        <v>1</v>
      </c>
      <c r="R613" s="65">
        <v>1392</v>
      </c>
      <c r="S613" s="65"/>
    </row>
    <row r="614" spans="1:19" x14ac:dyDescent="0.25">
      <c r="A614" s="15">
        <v>31</v>
      </c>
      <c r="B614" s="65"/>
      <c r="C614" s="65">
        <v>2429</v>
      </c>
      <c r="D614" s="65"/>
      <c r="E614" s="65" t="s">
        <v>787</v>
      </c>
      <c r="F614" s="65">
        <v>5</v>
      </c>
      <c r="G614" s="65"/>
      <c r="H614" s="65" t="e">
        <v>#N/A</v>
      </c>
      <c r="I614" s="65"/>
      <c r="J614" s="65" t="s">
        <v>899</v>
      </c>
      <c r="K614" s="65"/>
      <c r="L614" s="65"/>
      <c r="M614" s="65"/>
      <c r="N614" s="65"/>
      <c r="O614" s="65" t="s">
        <v>947</v>
      </c>
      <c r="P614" s="65"/>
      <c r="Q614" s="65">
        <v>1</v>
      </c>
      <c r="R614" s="65">
        <v>1393</v>
      </c>
      <c r="S614" s="65"/>
    </row>
    <row r="615" spans="1:19" x14ac:dyDescent="0.25">
      <c r="A615" s="15">
        <v>31</v>
      </c>
      <c r="B615" s="65"/>
      <c r="C615" s="65">
        <v>2429</v>
      </c>
      <c r="D615" s="65"/>
      <c r="E615" s="65" t="s">
        <v>787</v>
      </c>
      <c r="F615" s="65">
        <v>5</v>
      </c>
      <c r="G615" s="65"/>
      <c r="H615" s="65" t="e">
        <v>#N/A</v>
      </c>
      <c r="I615" s="65"/>
      <c r="J615" s="65" t="s">
        <v>899</v>
      </c>
      <c r="K615" s="65"/>
      <c r="L615" s="65"/>
      <c r="M615" s="65"/>
      <c r="N615" s="65"/>
      <c r="O615" s="65" t="s">
        <v>948</v>
      </c>
      <c r="P615" s="65"/>
      <c r="Q615" s="65">
        <v>1</v>
      </c>
      <c r="R615" s="65">
        <v>1394</v>
      </c>
      <c r="S615" s="65"/>
    </row>
    <row r="616" spans="1:19" x14ac:dyDescent="0.25">
      <c r="A616" s="15">
        <v>32</v>
      </c>
      <c r="B616" s="65"/>
      <c r="C616" s="65"/>
      <c r="D616" s="65"/>
      <c r="E616" s="65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65"/>
      <c r="Q616" s="65"/>
      <c r="R616" s="65"/>
      <c r="S616" s="65"/>
    </row>
    <row r="617" spans="1:19" x14ac:dyDescent="0.25">
      <c r="A617" s="15">
        <v>32</v>
      </c>
      <c r="B617" s="65"/>
      <c r="C617" s="65"/>
      <c r="D617" s="65"/>
      <c r="E617" s="65"/>
      <c r="F617" s="65"/>
      <c r="G617" s="65"/>
      <c r="H617" s="65"/>
      <c r="I617" s="65"/>
      <c r="J617" s="65"/>
      <c r="K617" s="65"/>
      <c r="L617" s="65"/>
      <c r="M617" s="65"/>
      <c r="N617" s="65"/>
      <c r="O617" s="65" t="s">
        <v>818</v>
      </c>
      <c r="P617" s="65"/>
      <c r="Q617" s="65"/>
      <c r="R617" s="65"/>
      <c r="S617" s="65"/>
    </row>
    <row r="618" spans="1:19" x14ac:dyDescent="0.25">
      <c r="A618" s="15">
        <v>32</v>
      </c>
      <c r="B618" s="65"/>
      <c r="C618" s="65"/>
      <c r="D618" s="65"/>
      <c r="E618" s="65"/>
      <c r="F618" s="65"/>
      <c r="G618" s="65"/>
      <c r="H618" s="65"/>
      <c r="I618" s="65"/>
      <c r="J618" s="65"/>
      <c r="K618" s="65"/>
      <c r="L618" s="65"/>
      <c r="M618" s="65"/>
      <c r="N618" s="65"/>
      <c r="O618" s="65" t="s">
        <v>863</v>
      </c>
      <c r="P618" s="65"/>
      <c r="Q618" s="65"/>
      <c r="R618" s="65"/>
      <c r="S618" s="65"/>
    </row>
    <row r="619" spans="1:19" x14ac:dyDescent="0.25">
      <c r="A619" s="15">
        <v>32</v>
      </c>
      <c r="B619" s="65"/>
      <c r="C619" s="65"/>
      <c r="D619" s="65"/>
      <c r="E619" s="65"/>
      <c r="F619" s="65"/>
      <c r="G619" s="65"/>
      <c r="H619" s="65"/>
      <c r="I619" s="65"/>
      <c r="J619" s="65"/>
      <c r="K619" s="65"/>
      <c r="L619" s="65"/>
      <c r="M619" s="65"/>
      <c r="N619" s="65"/>
      <c r="O619" s="65" t="s">
        <v>873</v>
      </c>
      <c r="P619" s="65"/>
      <c r="Q619" s="65"/>
      <c r="R619" s="65"/>
      <c r="S619" s="65"/>
    </row>
    <row r="620" spans="1:19" x14ac:dyDescent="0.25">
      <c r="A620" s="15">
        <v>32</v>
      </c>
      <c r="B620" s="65"/>
      <c r="C620" s="65" t="s">
        <v>79</v>
      </c>
      <c r="D620" s="65"/>
      <c r="E620" s="65" t="s">
        <v>787</v>
      </c>
      <c r="F620" s="65">
        <v>6</v>
      </c>
      <c r="G620" s="65"/>
      <c r="H620" s="65">
        <v>7</v>
      </c>
      <c r="I620" s="65">
        <v>7.666666666666667</v>
      </c>
      <c r="J620" s="65" t="s">
        <v>879</v>
      </c>
      <c r="K620" s="65"/>
      <c r="L620" s="65"/>
      <c r="M620" s="65"/>
      <c r="N620" s="65"/>
      <c r="O620" s="65" t="s">
        <v>878</v>
      </c>
      <c r="P620" s="65"/>
      <c r="Q620" s="65">
        <v>1</v>
      </c>
      <c r="R620" s="65">
        <v>294</v>
      </c>
      <c r="S620" s="65"/>
    </row>
    <row r="621" spans="1:19" x14ac:dyDescent="0.25">
      <c r="A621" s="15">
        <v>32</v>
      </c>
      <c r="B621" s="65"/>
      <c r="C621" s="65">
        <v>2429</v>
      </c>
      <c r="D621" s="65"/>
      <c r="E621" s="65" t="s">
        <v>787</v>
      </c>
      <c r="F621" s="65">
        <v>6</v>
      </c>
      <c r="G621" s="65"/>
      <c r="H621" s="65"/>
      <c r="I621" s="65">
        <v>12.25</v>
      </c>
      <c r="J621" s="65" t="s">
        <v>879</v>
      </c>
      <c r="K621" s="65"/>
      <c r="L621" s="65"/>
      <c r="M621" s="65"/>
      <c r="N621" s="65"/>
      <c r="O621" s="65" t="s">
        <v>881</v>
      </c>
      <c r="P621" s="65"/>
      <c r="Q621" s="65">
        <v>1</v>
      </c>
      <c r="R621" s="65">
        <v>415</v>
      </c>
      <c r="S621" s="65"/>
    </row>
    <row r="622" spans="1:19" x14ac:dyDescent="0.25">
      <c r="A622" s="15">
        <v>32</v>
      </c>
      <c r="B622" s="65"/>
      <c r="C622" s="65">
        <v>2429</v>
      </c>
      <c r="D622" s="65"/>
      <c r="E622" s="65" t="s">
        <v>787</v>
      </c>
      <c r="F622" s="65">
        <v>1</v>
      </c>
      <c r="G622" s="65"/>
      <c r="H622" s="65" t="e">
        <v>#N/A</v>
      </c>
      <c r="I622" s="65"/>
      <c r="J622" s="65" t="s">
        <v>899</v>
      </c>
      <c r="K622" s="65" t="s">
        <v>900</v>
      </c>
      <c r="L622" s="65" t="s">
        <v>900</v>
      </c>
      <c r="M622" s="65" t="s">
        <v>900</v>
      </c>
      <c r="N622" s="65" t="s">
        <v>900</v>
      </c>
      <c r="O622" s="65" t="s">
        <v>898</v>
      </c>
      <c r="P622" s="65"/>
      <c r="Q622" s="65">
        <v>1</v>
      </c>
      <c r="R622" s="65">
        <v>647</v>
      </c>
      <c r="S622" s="65"/>
    </row>
    <row r="623" spans="1:19" x14ac:dyDescent="0.25">
      <c r="A623" s="15">
        <v>32</v>
      </c>
      <c r="B623" s="65"/>
      <c r="C623" s="65">
        <v>2429</v>
      </c>
      <c r="D623" s="65"/>
      <c r="E623" s="65" t="s">
        <v>787</v>
      </c>
      <c r="F623" s="65">
        <v>0</v>
      </c>
      <c r="G623" s="65"/>
      <c r="H623" s="65">
        <v>3</v>
      </c>
      <c r="I623" s="65" t="e">
        <v>#N/A</v>
      </c>
      <c r="J623" s="65" t="s">
        <v>899</v>
      </c>
      <c r="K623" s="65"/>
      <c r="L623" s="65"/>
      <c r="M623" s="65"/>
      <c r="N623" s="65"/>
      <c r="O623" s="65" t="s">
        <v>912</v>
      </c>
      <c r="P623" s="65"/>
      <c r="Q623" s="65">
        <v>1</v>
      </c>
      <c r="R623" s="65">
        <v>874</v>
      </c>
      <c r="S623" s="65"/>
    </row>
    <row r="624" spans="1:19" x14ac:dyDescent="0.25">
      <c r="A624" s="15">
        <v>32</v>
      </c>
      <c r="B624" s="65"/>
      <c r="C624" s="65">
        <v>2429</v>
      </c>
      <c r="D624" s="65"/>
      <c r="E624" s="65" t="s">
        <v>787</v>
      </c>
      <c r="F624" s="65">
        <v>3</v>
      </c>
      <c r="G624" s="65"/>
      <c r="H624" s="65">
        <v>3</v>
      </c>
      <c r="I624" s="65" t="e">
        <v>#N/A</v>
      </c>
      <c r="J624" s="65" t="s">
        <v>899</v>
      </c>
      <c r="K624" s="65"/>
      <c r="L624" s="65"/>
      <c r="M624" s="65"/>
      <c r="N624" s="65"/>
      <c r="O624" s="65" t="s">
        <v>924</v>
      </c>
      <c r="P624" s="65"/>
      <c r="Q624" s="65">
        <v>1</v>
      </c>
      <c r="R624" s="65">
        <v>1101</v>
      </c>
      <c r="S624" s="65"/>
    </row>
    <row r="625" spans="1:19" x14ac:dyDescent="0.25">
      <c r="A625" s="15">
        <v>32</v>
      </c>
      <c r="B625" s="65"/>
      <c r="C625" s="65">
        <v>2429</v>
      </c>
      <c r="D625" s="65"/>
      <c r="E625" s="65" t="s">
        <v>787</v>
      </c>
      <c r="F625" s="65">
        <v>3</v>
      </c>
      <c r="G625" s="65"/>
      <c r="H625" s="65" t="e">
        <v>#N/A</v>
      </c>
      <c r="I625" s="65"/>
      <c r="J625" s="65" t="s">
        <v>899</v>
      </c>
      <c r="K625" s="65"/>
      <c r="L625" s="65"/>
      <c r="M625" s="65"/>
      <c r="N625" s="65"/>
      <c r="O625" s="65" t="s">
        <v>936</v>
      </c>
      <c r="P625" s="65"/>
      <c r="Q625" s="65">
        <v>1</v>
      </c>
      <c r="R625" s="65">
        <v>1274</v>
      </c>
      <c r="S625" s="65"/>
    </row>
    <row r="626" spans="1:19" x14ac:dyDescent="0.25">
      <c r="A626" s="15">
        <v>32</v>
      </c>
      <c r="B626" s="65"/>
      <c r="C626" s="65">
        <v>2429</v>
      </c>
      <c r="D626" s="65"/>
      <c r="E626" s="65" t="s">
        <v>787</v>
      </c>
      <c r="F626" s="65">
        <v>5</v>
      </c>
      <c r="G626" s="65"/>
      <c r="H626" s="65" t="e">
        <v>#N/A</v>
      </c>
      <c r="I626" s="65"/>
      <c r="J626" s="65" t="s">
        <v>899</v>
      </c>
      <c r="K626" s="65"/>
      <c r="L626" s="65"/>
      <c r="M626" s="65"/>
      <c r="N626" s="65"/>
      <c r="O626" s="65" t="s">
        <v>938</v>
      </c>
      <c r="P626" s="65"/>
      <c r="Q626" s="65">
        <v>1</v>
      </c>
      <c r="R626" s="65">
        <v>1395</v>
      </c>
      <c r="S626" s="65"/>
    </row>
    <row r="627" spans="1:19" x14ac:dyDescent="0.25">
      <c r="A627" s="15">
        <v>33</v>
      </c>
      <c r="B627" s="65"/>
      <c r="C627" s="65"/>
      <c r="D627" s="65"/>
      <c r="E627" s="65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</row>
    <row r="628" spans="1:19" x14ac:dyDescent="0.25">
      <c r="A628" s="15">
        <v>33</v>
      </c>
      <c r="B628" s="65"/>
      <c r="C628" s="65"/>
      <c r="D628" s="65"/>
      <c r="E628" s="65"/>
      <c r="F628" s="65"/>
      <c r="G628" s="65"/>
      <c r="H628" s="65"/>
      <c r="I628" s="65"/>
      <c r="J628" s="65"/>
      <c r="K628" s="65"/>
      <c r="L628" s="65"/>
      <c r="M628" s="65"/>
      <c r="N628" s="65"/>
      <c r="O628" s="65" t="s">
        <v>819</v>
      </c>
      <c r="P628" s="65"/>
      <c r="Q628" s="65"/>
      <c r="R628" s="65"/>
      <c r="S628" s="65"/>
    </row>
    <row r="629" spans="1:19" x14ac:dyDescent="0.25">
      <c r="A629" s="15">
        <v>33</v>
      </c>
      <c r="B629" s="65"/>
      <c r="C629" s="65"/>
      <c r="D629" s="65"/>
      <c r="E629" s="65"/>
      <c r="F629" s="65"/>
      <c r="G629" s="65"/>
      <c r="H629" s="65"/>
      <c r="I629" s="65"/>
      <c r="J629" s="65"/>
      <c r="K629" s="65"/>
      <c r="L629" s="65"/>
      <c r="M629" s="65"/>
      <c r="N629" s="65"/>
      <c r="O629" s="65" t="s">
        <v>863</v>
      </c>
      <c r="P629" s="65"/>
      <c r="Q629" s="65"/>
      <c r="R629" s="65"/>
      <c r="S629" s="65"/>
    </row>
    <row r="630" spans="1:19" x14ac:dyDescent="0.25">
      <c r="A630" s="15">
        <v>33</v>
      </c>
      <c r="B630" s="65"/>
      <c r="C630" s="65"/>
      <c r="D630" s="65"/>
      <c r="E630" s="65"/>
      <c r="F630" s="65"/>
      <c r="G630" s="65"/>
      <c r="H630" s="65"/>
      <c r="I630" s="65"/>
      <c r="J630" s="65"/>
      <c r="K630" s="65"/>
      <c r="L630" s="65"/>
      <c r="M630" s="65"/>
      <c r="N630" s="65"/>
      <c r="O630" s="65" t="s">
        <v>871</v>
      </c>
      <c r="P630" s="65"/>
      <c r="Q630" s="65"/>
      <c r="R630" s="65"/>
      <c r="S630" s="65"/>
    </row>
    <row r="631" spans="1:19" x14ac:dyDescent="0.25">
      <c r="A631" s="15">
        <v>33</v>
      </c>
      <c r="B631" s="65"/>
      <c r="C631" s="65" t="s">
        <v>79</v>
      </c>
      <c r="D631" s="65"/>
      <c r="E631" s="65" t="s">
        <v>787</v>
      </c>
      <c r="F631" s="65">
        <v>6</v>
      </c>
      <c r="G631" s="65"/>
      <c r="H631" s="65">
        <v>7</v>
      </c>
      <c r="I631" s="65">
        <v>7.666666666666667</v>
      </c>
      <c r="J631" s="65" t="s">
        <v>879</v>
      </c>
      <c r="K631" s="65"/>
      <c r="L631" s="65"/>
      <c r="M631" s="65"/>
      <c r="N631" s="65"/>
      <c r="O631" s="65" t="s">
        <v>878</v>
      </c>
      <c r="P631" s="65"/>
      <c r="Q631" s="65">
        <v>1</v>
      </c>
      <c r="R631" s="65">
        <v>295</v>
      </c>
      <c r="S631" s="65"/>
    </row>
    <row r="632" spans="1:19" x14ac:dyDescent="0.25">
      <c r="A632" s="15">
        <v>33</v>
      </c>
      <c r="B632" s="65"/>
      <c r="C632" s="65">
        <v>2429</v>
      </c>
      <c r="D632" s="65"/>
      <c r="E632" s="65" t="s">
        <v>787</v>
      </c>
      <c r="F632" s="65">
        <v>6</v>
      </c>
      <c r="G632" s="65"/>
      <c r="H632" s="65"/>
      <c r="I632" s="65">
        <v>19.583333333333332</v>
      </c>
      <c r="J632" s="65" t="s">
        <v>879</v>
      </c>
      <c r="K632" s="65"/>
      <c r="L632" s="65"/>
      <c r="M632" s="65"/>
      <c r="N632" s="65"/>
      <c r="O632" s="65" t="s">
        <v>881</v>
      </c>
      <c r="P632" s="65"/>
      <c r="Q632" s="65">
        <v>1</v>
      </c>
      <c r="R632" s="65">
        <v>416</v>
      </c>
      <c r="S632" s="65"/>
    </row>
    <row r="633" spans="1:19" x14ac:dyDescent="0.25">
      <c r="A633" s="15">
        <v>33</v>
      </c>
      <c r="B633" s="65"/>
      <c r="C633" s="65">
        <v>2429</v>
      </c>
      <c r="D633" s="65"/>
      <c r="E633" s="65" t="s">
        <v>787</v>
      </c>
      <c r="F633" s="65">
        <v>1</v>
      </c>
      <c r="G633" s="65"/>
      <c r="H633" s="65" t="e">
        <v>#N/A</v>
      </c>
      <c r="I633" s="65"/>
      <c r="J633" s="65" t="s">
        <v>899</v>
      </c>
      <c r="K633" s="65" t="s">
        <v>900</v>
      </c>
      <c r="L633" s="65" t="s">
        <v>900</v>
      </c>
      <c r="M633" s="65" t="s">
        <v>900</v>
      </c>
      <c r="N633" s="65" t="s">
        <v>900</v>
      </c>
      <c r="O633" s="65" t="s">
        <v>898</v>
      </c>
      <c r="P633" s="65"/>
      <c r="Q633" s="65">
        <v>1</v>
      </c>
      <c r="R633" s="65">
        <v>648</v>
      </c>
      <c r="S633" s="65"/>
    </row>
    <row r="634" spans="1:19" x14ac:dyDescent="0.25">
      <c r="A634" s="15">
        <v>33</v>
      </c>
      <c r="B634" s="65"/>
      <c r="C634" s="65">
        <v>2429</v>
      </c>
      <c r="D634" s="65"/>
      <c r="E634" s="65" t="s">
        <v>787</v>
      </c>
      <c r="F634" s="65">
        <v>0</v>
      </c>
      <c r="G634" s="65"/>
      <c r="H634" s="65">
        <v>3</v>
      </c>
      <c r="I634" s="65" t="e">
        <v>#N/A</v>
      </c>
      <c r="J634" s="65" t="s">
        <v>899</v>
      </c>
      <c r="K634" s="65"/>
      <c r="L634" s="65"/>
      <c r="M634" s="65"/>
      <c r="N634" s="65"/>
      <c r="O634" s="65" t="s">
        <v>912</v>
      </c>
      <c r="P634" s="65"/>
      <c r="Q634" s="65">
        <v>1</v>
      </c>
      <c r="R634" s="65">
        <v>875</v>
      </c>
      <c r="S634" s="65"/>
    </row>
    <row r="635" spans="1:19" x14ac:dyDescent="0.25">
      <c r="A635" s="15">
        <v>33</v>
      </c>
      <c r="B635" s="65"/>
      <c r="C635" s="65">
        <v>2429</v>
      </c>
      <c r="D635" s="65"/>
      <c r="E635" s="65" t="s">
        <v>787</v>
      </c>
      <c r="F635" s="65">
        <v>3</v>
      </c>
      <c r="G635" s="65"/>
      <c r="H635" s="65">
        <v>3</v>
      </c>
      <c r="I635" s="65" t="e">
        <v>#N/A</v>
      </c>
      <c r="J635" s="65" t="s">
        <v>899</v>
      </c>
      <c r="K635" s="65"/>
      <c r="L635" s="65"/>
      <c r="M635" s="65"/>
      <c r="N635" s="65"/>
      <c r="O635" s="65" t="s">
        <v>924</v>
      </c>
      <c r="P635" s="65"/>
      <c r="Q635" s="65">
        <v>1</v>
      </c>
      <c r="R635" s="65">
        <v>1102</v>
      </c>
      <c r="S635" s="65"/>
    </row>
    <row r="636" spans="1:19" x14ac:dyDescent="0.25">
      <c r="A636" s="15">
        <v>33</v>
      </c>
      <c r="B636" s="65"/>
      <c r="C636" s="65">
        <v>2429</v>
      </c>
      <c r="D636" s="65"/>
      <c r="E636" s="65" t="s">
        <v>787</v>
      </c>
      <c r="F636" s="65">
        <v>3</v>
      </c>
      <c r="G636" s="65"/>
      <c r="H636" s="65" t="e">
        <v>#N/A</v>
      </c>
      <c r="I636" s="65"/>
      <c r="J636" s="65" t="s">
        <v>899</v>
      </c>
      <c r="K636" s="65"/>
      <c r="L636" s="65"/>
      <c r="M636" s="65"/>
      <c r="N636" s="65"/>
      <c r="O636" s="65" t="s">
        <v>936</v>
      </c>
      <c r="P636" s="65"/>
      <c r="Q636" s="65">
        <v>1</v>
      </c>
      <c r="R636" s="65">
        <v>1275</v>
      </c>
      <c r="S636" s="65"/>
    </row>
    <row r="637" spans="1:19" x14ac:dyDescent="0.25">
      <c r="A637" s="15">
        <v>33</v>
      </c>
      <c r="B637" s="65"/>
      <c r="C637" s="65">
        <v>2429</v>
      </c>
      <c r="D637" s="65"/>
      <c r="E637" s="65" t="s">
        <v>787</v>
      </c>
      <c r="F637" s="65">
        <v>5</v>
      </c>
      <c r="G637" s="65"/>
      <c r="H637" s="65" t="e">
        <v>#N/A</v>
      </c>
      <c r="I637" s="65"/>
      <c r="J637" s="65" t="s">
        <v>899</v>
      </c>
      <c r="K637" s="65"/>
      <c r="L637" s="65"/>
      <c r="M637" s="65"/>
      <c r="N637" s="65"/>
      <c r="O637" s="65" t="s">
        <v>938</v>
      </c>
      <c r="P637" s="65"/>
      <c r="Q637" s="65">
        <v>1</v>
      </c>
      <c r="R637" s="65">
        <v>1396</v>
      </c>
      <c r="S637" s="65"/>
    </row>
    <row r="638" spans="1:19" x14ac:dyDescent="0.25">
      <c r="A638" s="15">
        <v>34</v>
      </c>
      <c r="B638" s="65"/>
      <c r="C638" s="65"/>
      <c r="D638" s="65"/>
      <c r="E638" s="65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65"/>
      <c r="Q638" s="65"/>
      <c r="R638" s="65"/>
      <c r="S638" s="65"/>
    </row>
    <row r="639" spans="1:19" x14ac:dyDescent="0.25">
      <c r="A639" s="15">
        <v>34</v>
      </c>
      <c r="B639" s="65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65"/>
      <c r="O639" s="65" t="s">
        <v>820</v>
      </c>
      <c r="P639" s="65"/>
      <c r="Q639" s="65"/>
      <c r="R639" s="65"/>
      <c r="S639" s="65"/>
    </row>
    <row r="640" spans="1:19" x14ac:dyDescent="0.25">
      <c r="A640" s="15">
        <v>34</v>
      </c>
      <c r="B640" s="65"/>
      <c r="C640" s="65"/>
      <c r="D640" s="65"/>
      <c r="E640" s="65"/>
      <c r="F640" s="65"/>
      <c r="G640" s="65"/>
      <c r="H640" s="65"/>
      <c r="I640" s="65"/>
      <c r="J640" s="65"/>
      <c r="K640" s="65"/>
      <c r="L640" s="65"/>
      <c r="M640" s="65"/>
      <c r="N640" s="65"/>
      <c r="O640" s="65" t="s">
        <v>865</v>
      </c>
      <c r="P640" s="65"/>
      <c r="Q640" s="65"/>
      <c r="R640" s="65"/>
      <c r="S640" s="65"/>
    </row>
    <row r="641" spans="1:19" x14ac:dyDescent="0.25">
      <c r="A641" s="15">
        <v>34</v>
      </c>
      <c r="B641" s="65"/>
      <c r="C641" s="65"/>
      <c r="D641" s="65"/>
      <c r="E641" s="65"/>
      <c r="F641" s="65"/>
      <c r="G641" s="65"/>
      <c r="H641" s="65"/>
      <c r="I641" s="65"/>
      <c r="J641" s="65"/>
      <c r="K641" s="65"/>
      <c r="L641" s="65"/>
      <c r="M641" s="65"/>
      <c r="N641" s="65"/>
      <c r="O641" s="65" t="s">
        <v>874</v>
      </c>
      <c r="P641" s="65"/>
      <c r="Q641" s="65"/>
      <c r="R641" s="65"/>
      <c r="S641" s="65"/>
    </row>
    <row r="642" spans="1:19" x14ac:dyDescent="0.25">
      <c r="A642" s="15">
        <v>34</v>
      </c>
      <c r="B642" s="65"/>
      <c r="C642" s="65" t="s">
        <v>79</v>
      </c>
      <c r="D642" s="65"/>
      <c r="E642" s="65" t="s">
        <v>787</v>
      </c>
      <c r="F642" s="65">
        <v>10</v>
      </c>
      <c r="G642" s="65"/>
      <c r="H642" s="65">
        <v>10</v>
      </c>
      <c r="I642" s="65">
        <v>12.75</v>
      </c>
      <c r="J642" s="65" t="s">
        <v>879</v>
      </c>
      <c r="K642" s="65"/>
      <c r="L642" s="65"/>
      <c r="M642" s="65"/>
      <c r="N642" s="65"/>
      <c r="O642" s="65" t="s">
        <v>878</v>
      </c>
      <c r="P642" s="65"/>
      <c r="Q642" s="65">
        <v>1</v>
      </c>
      <c r="R642" s="65">
        <v>296</v>
      </c>
      <c r="S642" s="65"/>
    </row>
    <row r="643" spans="1:19" x14ac:dyDescent="0.25">
      <c r="A643" s="15">
        <v>34</v>
      </c>
      <c r="B643" s="65"/>
      <c r="C643" s="65">
        <v>2429</v>
      </c>
      <c r="D643" s="65"/>
      <c r="E643" s="65" t="s">
        <v>787</v>
      </c>
      <c r="F643" s="65">
        <v>10</v>
      </c>
      <c r="G643" s="65"/>
      <c r="H643" s="65"/>
      <c r="I643" s="65">
        <v>26.666666666666668</v>
      </c>
      <c r="J643" s="65" t="s">
        <v>879</v>
      </c>
      <c r="K643" s="65"/>
      <c r="L643" s="65"/>
      <c r="M643" s="65"/>
      <c r="N643" s="65"/>
      <c r="O643" s="65" t="s">
        <v>881</v>
      </c>
      <c r="P643" s="65"/>
      <c r="Q643" s="65">
        <v>1</v>
      </c>
      <c r="R643" s="65">
        <v>417</v>
      </c>
      <c r="S643" s="65"/>
    </row>
    <row r="644" spans="1:19" x14ac:dyDescent="0.25">
      <c r="A644" s="15">
        <v>34</v>
      </c>
      <c r="B644" s="65"/>
      <c r="C644" s="65">
        <v>2429</v>
      </c>
      <c r="D644" s="65"/>
      <c r="E644" s="65" t="s">
        <v>787</v>
      </c>
      <c r="F644" s="65">
        <v>10</v>
      </c>
      <c r="G644" s="65"/>
      <c r="H644" s="65"/>
      <c r="I644" s="65">
        <v>15.666666666666666</v>
      </c>
      <c r="J644" s="65" t="s">
        <v>879</v>
      </c>
      <c r="K644" s="65"/>
      <c r="L644" s="65"/>
      <c r="M644" s="65"/>
      <c r="N644" s="65"/>
      <c r="O644" s="65" t="s">
        <v>882</v>
      </c>
      <c r="P644" s="65"/>
      <c r="Q644" s="65">
        <v>1</v>
      </c>
      <c r="R644" s="65">
        <v>418</v>
      </c>
      <c r="S644" s="65"/>
    </row>
    <row r="645" spans="1:19" x14ac:dyDescent="0.25">
      <c r="A645" s="15">
        <v>34</v>
      </c>
      <c r="B645" s="65"/>
      <c r="C645" s="65">
        <v>2429</v>
      </c>
      <c r="D645" s="65"/>
      <c r="E645" s="65" t="s">
        <v>787</v>
      </c>
      <c r="F645" s="65">
        <v>6</v>
      </c>
      <c r="G645" s="65"/>
      <c r="H645" s="65"/>
      <c r="I645" s="65">
        <v>15.666666666666666</v>
      </c>
      <c r="J645" s="65" t="s">
        <v>879</v>
      </c>
      <c r="K645" s="65"/>
      <c r="L645" s="65"/>
      <c r="M645" s="65"/>
      <c r="N645" s="65"/>
      <c r="O645" s="65" t="s">
        <v>883</v>
      </c>
      <c r="P645" s="65"/>
      <c r="Q645" s="65">
        <v>1</v>
      </c>
      <c r="R645" s="65">
        <v>419</v>
      </c>
      <c r="S645" s="65"/>
    </row>
    <row r="646" spans="1:19" x14ac:dyDescent="0.25">
      <c r="A646" s="15">
        <v>34</v>
      </c>
      <c r="B646" s="65"/>
      <c r="C646" s="65">
        <v>2429</v>
      </c>
      <c r="D646" s="65"/>
      <c r="E646" s="65" t="s">
        <v>787</v>
      </c>
      <c r="F646" s="65">
        <v>6</v>
      </c>
      <c r="G646" s="65"/>
      <c r="H646" s="65"/>
      <c r="I646" s="65">
        <v>15.666666666666666</v>
      </c>
      <c r="J646" s="65" t="s">
        <v>879</v>
      </c>
      <c r="K646" s="65"/>
      <c r="L646" s="65"/>
      <c r="M646" s="65"/>
      <c r="N646" s="65"/>
      <c r="O646" s="65" t="s">
        <v>884</v>
      </c>
      <c r="P646" s="65"/>
      <c r="Q646" s="65">
        <v>1</v>
      </c>
      <c r="R646" s="65">
        <v>420</v>
      </c>
      <c r="S646" s="65"/>
    </row>
    <row r="647" spans="1:19" x14ac:dyDescent="0.25">
      <c r="A647" s="15">
        <v>34</v>
      </c>
      <c r="B647" s="65"/>
      <c r="C647" s="65">
        <v>2429</v>
      </c>
      <c r="D647" s="65"/>
      <c r="E647" s="65" t="s">
        <v>787</v>
      </c>
      <c r="F647" s="65">
        <v>6</v>
      </c>
      <c r="G647" s="65"/>
      <c r="H647" s="65"/>
      <c r="I647" s="65">
        <v>15.666666666666666</v>
      </c>
      <c r="J647" s="65" t="s">
        <v>879</v>
      </c>
      <c r="K647" s="65"/>
      <c r="L647" s="65"/>
      <c r="M647" s="65"/>
      <c r="N647" s="65"/>
      <c r="O647" s="65" t="s">
        <v>885</v>
      </c>
      <c r="P647" s="65"/>
      <c r="Q647" s="65">
        <v>1</v>
      </c>
      <c r="R647" s="65">
        <v>421</v>
      </c>
      <c r="S647" s="65"/>
    </row>
    <row r="648" spans="1:19" x14ac:dyDescent="0.25">
      <c r="A648" s="15">
        <v>34</v>
      </c>
      <c r="B648" s="65"/>
      <c r="C648" s="65">
        <v>2429</v>
      </c>
      <c r="D648" s="65"/>
      <c r="E648" s="65" t="s">
        <v>787</v>
      </c>
      <c r="F648" s="65">
        <v>6</v>
      </c>
      <c r="G648" s="65"/>
      <c r="H648" s="65"/>
      <c r="I648" s="65">
        <v>15.666666666666666</v>
      </c>
      <c r="J648" s="65" t="s">
        <v>879</v>
      </c>
      <c r="K648" s="65"/>
      <c r="L648" s="65"/>
      <c r="M648" s="65"/>
      <c r="N648" s="65"/>
      <c r="O648" s="65" t="s">
        <v>886</v>
      </c>
      <c r="P648" s="65"/>
      <c r="Q648" s="65">
        <v>1</v>
      </c>
      <c r="R648" s="65">
        <v>422</v>
      </c>
      <c r="S648" s="65"/>
    </row>
    <row r="649" spans="1:19" x14ac:dyDescent="0.25">
      <c r="A649" s="15">
        <v>34</v>
      </c>
      <c r="B649" s="65"/>
      <c r="C649" s="65">
        <v>2429</v>
      </c>
      <c r="D649" s="65"/>
      <c r="E649" s="65" t="s">
        <v>787</v>
      </c>
      <c r="F649" s="65">
        <v>6</v>
      </c>
      <c r="G649" s="65"/>
      <c r="H649" s="65"/>
      <c r="I649" s="65">
        <v>15.666666666666666</v>
      </c>
      <c r="J649" s="65" t="s">
        <v>879</v>
      </c>
      <c r="K649" s="65"/>
      <c r="L649" s="65"/>
      <c r="M649" s="65"/>
      <c r="N649" s="65"/>
      <c r="O649" s="65" t="s">
        <v>887</v>
      </c>
      <c r="P649" s="65"/>
      <c r="Q649" s="65">
        <v>1</v>
      </c>
      <c r="R649" s="65">
        <v>423</v>
      </c>
      <c r="S649" s="65"/>
    </row>
    <row r="650" spans="1:19" x14ac:dyDescent="0.25">
      <c r="A650" s="15">
        <v>34</v>
      </c>
      <c r="B650" s="65"/>
      <c r="C650" s="65">
        <v>2429</v>
      </c>
      <c r="D650" s="65"/>
      <c r="E650" s="65" t="s">
        <v>787</v>
      </c>
      <c r="F650" s="65">
        <v>6</v>
      </c>
      <c r="G650" s="65"/>
      <c r="H650" s="65"/>
      <c r="I650" s="65">
        <v>15.666666666666666</v>
      </c>
      <c r="J650" s="65" t="s">
        <v>879</v>
      </c>
      <c r="K650" s="65"/>
      <c r="L650" s="65"/>
      <c r="M650" s="65"/>
      <c r="N650" s="65"/>
      <c r="O650" s="65" t="s">
        <v>888</v>
      </c>
      <c r="P650" s="65"/>
      <c r="Q650" s="65">
        <v>1</v>
      </c>
      <c r="R650" s="65">
        <v>424</v>
      </c>
      <c r="S650" s="65"/>
    </row>
    <row r="651" spans="1:19" x14ac:dyDescent="0.25">
      <c r="A651" s="15">
        <v>34</v>
      </c>
      <c r="B651" s="65"/>
      <c r="C651" s="65">
        <v>2429</v>
      </c>
      <c r="D651" s="65"/>
      <c r="E651" s="65" t="s">
        <v>787</v>
      </c>
      <c r="F651" s="65">
        <v>6</v>
      </c>
      <c r="G651" s="65"/>
      <c r="H651" s="65"/>
      <c r="I651" s="65">
        <v>15.666666666666666</v>
      </c>
      <c r="J651" s="65" t="s">
        <v>879</v>
      </c>
      <c r="K651" s="65"/>
      <c r="L651" s="65"/>
      <c r="M651" s="65"/>
      <c r="N651" s="65"/>
      <c r="O651" s="65" t="s">
        <v>889</v>
      </c>
      <c r="P651" s="65"/>
      <c r="Q651" s="65">
        <v>1</v>
      </c>
      <c r="R651" s="65">
        <v>425</v>
      </c>
      <c r="S651" s="65"/>
    </row>
    <row r="652" spans="1:19" x14ac:dyDescent="0.25">
      <c r="A652" s="15">
        <v>34</v>
      </c>
      <c r="B652" s="65"/>
      <c r="C652" s="65">
        <v>2429</v>
      </c>
      <c r="D652" s="65"/>
      <c r="E652" s="65" t="s">
        <v>787</v>
      </c>
      <c r="F652" s="65">
        <v>6</v>
      </c>
      <c r="G652" s="65"/>
      <c r="H652" s="65"/>
      <c r="I652" s="65">
        <v>15.666666666666666</v>
      </c>
      <c r="J652" s="65" t="s">
        <v>879</v>
      </c>
      <c r="K652" s="65"/>
      <c r="L652" s="65"/>
      <c r="M652" s="65"/>
      <c r="N652" s="65"/>
      <c r="O652" s="65" t="s">
        <v>890</v>
      </c>
      <c r="P652" s="65"/>
      <c r="Q652" s="65">
        <v>1</v>
      </c>
      <c r="R652" s="65">
        <v>426</v>
      </c>
      <c r="S652" s="65"/>
    </row>
    <row r="653" spans="1:19" x14ac:dyDescent="0.25">
      <c r="A653" s="15">
        <v>34</v>
      </c>
      <c r="B653" s="65"/>
      <c r="C653" s="65">
        <v>2429</v>
      </c>
      <c r="D653" s="65"/>
      <c r="E653" s="65" t="s">
        <v>787</v>
      </c>
      <c r="F653" s="65">
        <v>6</v>
      </c>
      <c r="G653" s="65"/>
      <c r="H653" s="65"/>
      <c r="I653" s="65">
        <v>15.666666666666666</v>
      </c>
      <c r="J653" s="65" t="s">
        <v>879</v>
      </c>
      <c r="K653" s="65"/>
      <c r="L653" s="65"/>
      <c r="M653" s="65"/>
      <c r="N653" s="65"/>
      <c r="O653" s="65" t="s">
        <v>891</v>
      </c>
      <c r="P653" s="65"/>
      <c r="Q653" s="65">
        <v>1</v>
      </c>
      <c r="R653" s="65">
        <v>427</v>
      </c>
      <c r="S653" s="65"/>
    </row>
    <row r="654" spans="1:19" x14ac:dyDescent="0.25">
      <c r="A654" s="15">
        <v>34</v>
      </c>
      <c r="B654" s="65"/>
      <c r="C654" s="65">
        <v>2429</v>
      </c>
      <c r="D654" s="65"/>
      <c r="E654" s="65" t="s">
        <v>787</v>
      </c>
      <c r="F654" s="65">
        <v>10</v>
      </c>
      <c r="G654" s="65"/>
      <c r="H654" s="65"/>
      <c r="I654" s="65">
        <v>10.583333333333334</v>
      </c>
      <c r="J654" s="65" t="s">
        <v>879</v>
      </c>
      <c r="K654" s="65"/>
      <c r="L654" s="65"/>
      <c r="M654" s="65"/>
      <c r="N654" s="65"/>
      <c r="O654" s="65" t="s">
        <v>892</v>
      </c>
      <c r="P654" s="65"/>
      <c r="Q654" s="65">
        <v>1</v>
      </c>
      <c r="R654" s="65">
        <v>428</v>
      </c>
      <c r="S654" s="65"/>
    </row>
    <row r="655" spans="1:19" x14ac:dyDescent="0.25">
      <c r="A655" s="15">
        <v>34</v>
      </c>
      <c r="B655" s="65"/>
      <c r="C655" s="65">
        <v>2429</v>
      </c>
      <c r="D655" s="65"/>
      <c r="E655" s="65" t="s">
        <v>787</v>
      </c>
      <c r="F655" s="65">
        <v>1</v>
      </c>
      <c r="G655" s="65"/>
      <c r="H655" s="65" t="e">
        <v>#N/A</v>
      </c>
      <c r="I655" s="65"/>
      <c r="J655" s="65" t="s">
        <v>899</v>
      </c>
      <c r="K655" s="65" t="s">
        <v>900</v>
      </c>
      <c r="L655" s="65" t="s">
        <v>900</v>
      </c>
      <c r="M655" s="65" t="s">
        <v>900</v>
      </c>
      <c r="N655" s="65" t="s">
        <v>900</v>
      </c>
      <c r="O655" s="65" t="s">
        <v>898</v>
      </c>
      <c r="P655" s="65"/>
      <c r="Q655" s="65">
        <v>1</v>
      </c>
      <c r="R655" s="65">
        <v>649</v>
      </c>
      <c r="S655" s="65"/>
    </row>
    <row r="656" spans="1:19" x14ac:dyDescent="0.25">
      <c r="A656" s="15">
        <v>34</v>
      </c>
      <c r="B656" s="65"/>
      <c r="C656" s="65">
        <v>2429</v>
      </c>
      <c r="D656" s="65"/>
      <c r="E656" s="65" t="s">
        <v>787</v>
      </c>
      <c r="F656" s="65">
        <v>1</v>
      </c>
      <c r="G656" s="65"/>
      <c r="H656" s="65" t="e">
        <v>#N/A</v>
      </c>
      <c r="I656" s="65"/>
      <c r="J656" s="65" t="s">
        <v>899</v>
      </c>
      <c r="K656" s="65" t="s">
        <v>900</v>
      </c>
      <c r="L656" s="65" t="s">
        <v>900</v>
      </c>
      <c r="M656" s="65" t="s">
        <v>900</v>
      </c>
      <c r="N656" s="65" t="s">
        <v>900</v>
      </c>
      <c r="O656" s="65" t="s">
        <v>901</v>
      </c>
      <c r="P656" s="65"/>
      <c r="Q656" s="65">
        <v>1</v>
      </c>
      <c r="R656" s="65">
        <v>650</v>
      </c>
      <c r="S656" s="65"/>
    </row>
    <row r="657" spans="1:19" x14ac:dyDescent="0.25">
      <c r="A657" s="15">
        <v>34</v>
      </c>
      <c r="B657" s="65"/>
      <c r="C657" s="65">
        <v>2429</v>
      </c>
      <c r="D657" s="65"/>
      <c r="E657" s="65" t="s">
        <v>787</v>
      </c>
      <c r="F657" s="65">
        <v>1</v>
      </c>
      <c r="G657" s="65"/>
      <c r="H657" s="65" t="e">
        <v>#N/A</v>
      </c>
      <c r="I657" s="65"/>
      <c r="J657" s="65" t="s">
        <v>899</v>
      </c>
      <c r="K657" s="65" t="s">
        <v>900</v>
      </c>
      <c r="L657" s="65" t="s">
        <v>900</v>
      </c>
      <c r="M657" s="65" t="s">
        <v>900</v>
      </c>
      <c r="N657" s="65" t="s">
        <v>900</v>
      </c>
      <c r="O657" s="65" t="s">
        <v>902</v>
      </c>
      <c r="P657" s="65"/>
      <c r="Q657" s="65">
        <v>1</v>
      </c>
      <c r="R657" s="65">
        <v>651</v>
      </c>
      <c r="S657" s="65"/>
    </row>
    <row r="658" spans="1:19" x14ac:dyDescent="0.25">
      <c r="A658" s="15">
        <v>34</v>
      </c>
      <c r="B658" s="65"/>
      <c r="C658" s="65">
        <v>2429</v>
      </c>
      <c r="D658" s="65"/>
      <c r="E658" s="65" t="s">
        <v>787</v>
      </c>
      <c r="F658" s="65">
        <v>1</v>
      </c>
      <c r="G658" s="65"/>
      <c r="H658" s="65" t="e">
        <v>#N/A</v>
      </c>
      <c r="I658" s="65"/>
      <c r="J658" s="65" t="s">
        <v>899</v>
      </c>
      <c r="K658" s="65" t="s">
        <v>900</v>
      </c>
      <c r="L658" s="65" t="s">
        <v>900</v>
      </c>
      <c r="M658" s="65" t="s">
        <v>900</v>
      </c>
      <c r="N658" s="65" t="s">
        <v>900</v>
      </c>
      <c r="O658" s="65" t="s">
        <v>903</v>
      </c>
      <c r="P658" s="65"/>
      <c r="Q658" s="65">
        <v>1</v>
      </c>
      <c r="R658" s="65">
        <v>652</v>
      </c>
      <c r="S658" s="65"/>
    </row>
    <row r="659" spans="1:19" x14ac:dyDescent="0.25">
      <c r="A659" s="15">
        <v>34</v>
      </c>
      <c r="B659" s="65"/>
      <c r="C659" s="65">
        <v>2429</v>
      </c>
      <c r="D659" s="65"/>
      <c r="E659" s="65" t="s">
        <v>787</v>
      </c>
      <c r="F659" s="65">
        <v>1</v>
      </c>
      <c r="G659" s="65"/>
      <c r="H659" s="65" t="e">
        <v>#N/A</v>
      </c>
      <c r="I659" s="65"/>
      <c r="J659" s="65" t="s">
        <v>899</v>
      </c>
      <c r="K659" s="65" t="s">
        <v>900</v>
      </c>
      <c r="L659" s="65" t="s">
        <v>900</v>
      </c>
      <c r="M659" s="65" t="s">
        <v>900</v>
      </c>
      <c r="N659" s="65" t="s">
        <v>900</v>
      </c>
      <c r="O659" s="65" t="s">
        <v>904</v>
      </c>
      <c r="P659" s="65"/>
      <c r="Q659" s="65">
        <v>1</v>
      </c>
      <c r="R659" s="65">
        <v>653</v>
      </c>
      <c r="S659" s="65"/>
    </row>
    <row r="660" spans="1:19" x14ac:dyDescent="0.25">
      <c r="A660" s="15">
        <v>34</v>
      </c>
      <c r="B660" s="65"/>
      <c r="C660" s="65">
        <v>2429</v>
      </c>
      <c r="D660" s="65"/>
      <c r="E660" s="65" t="s">
        <v>787</v>
      </c>
      <c r="F660" s="65">
        <v>1</v>
      </c>
      <c r="G660" s="65"/>
      <c r="H660" s="65" t="e">
        <v>#N/A</v>
      </c>
      <c r="I660" s="65"/>
      <c r="J660" s="65" t="s">
        <v>899</v>
      </c>
      <c r="K660" s="65" t="s">
        <v>900</v>
      </c>
      <c r="L660" s="65" t="s">
        <v>900</v>
      </c>
      <c r="M660" s="65" t="s">
        <v>900</v>
      </c>
      <c r="N660" s="65" t="s">
        <v>900</v>
      </c>
      <c r="O660" s="65" t="s">
        <v>905</v>
      </c>
      <c r="P660" s="65"/>
      <c r="Q660" s="65">
        <v>1</v>
      </c>
      <c r="R660" s="65">
        <v>654</v>
      </c>
      <c r="S660" s="65"/>
    </row>
    <row r="661" spans="1:19" x14ac:dyDescent="0.25">
      <c r="A661" s="15">
        <v>34</v>
      </c>
      <c r="B661" s="65"/>
      <c r="C661" s="65">
        <v>2429</v>
      </c>
      <c r="D661" s="65"/>
      <c r="E661" s="65" t="s">
        <v>787</v>
      </c>
      <c r="F661" s="65">
        <v>1</v>
      </c>
      <c r="G661" s="65"/>
      <c r="H661" s="65" t="e">
        <v>#N/A</v>
      </c>
      <c r="I661" s="65"/>
      <c r="J661" s="65" t="s">
        <v>899</v>
      </c>
      <c r="K661" s="65" t="s">
        <v>900</v>
      </c>
      <c r="L661" s="65" t="s">
        <v>900</v>
      </c>
      <c r="M661" s="65" t="s">
        <v>900</v>
      </c>
      <c r="N661" s="65" t="s">
        <v>900</v>
      </c>
      <c r="O661" s="65" t="s">
        <v>906</v>
      </c>
      <c r="P661" s="65"/>
      <c r="Q661" s="65">
        <v>1</v>
      </c>
      <c r="R661" s="65">
        <v>655</v>
      </c>
      <c r="S661" s="65"/>
    </row>
    <row r="662" spans="1:19" x14ac:dyDescent="0.25">
      <c r="A662" s="15">
        <v>34</v>
      </c>
      <c r="B662" s="65"/>
      <c r="C662" s="65">
        <v>2429</v>
      </c>
      <c r="D662" s="65"/>
      <c r="E662" s="65" t="s">
        <v>787</v>
      </c>
      <c r="F662" s="65">
        <v>1</v>
      </c>
      <c r="G662" s="65"/>
      <c r="H662" s="65" t="e">
        <v>#N/A</v>
      </c>
      <c r="I662" s="65"/>
      <c r="J662" s="65" t="s">
        <v>899</v>
      </c>
      <c r="K662" s="65" t="s">
        <v>900</v>
      </c>
      <c r="L662" s="65" t="s">
        <v>900</v>
      </c>
      <c r="M662" s="65" t="s">
        <v>900</v>
      </c>
      <c r="N662" s="65" t="s">
        <v>900</v>
      </c>
      <c r="O662" s="65" t="s">
        <v>907</v>
      </c>
      <c r="P662" s="65"/>
      <c r="Q662" s="65">
        <v>1</v>
      </c>
      <c r="R662" s="65">
        <v>656</v>
      </c>
      <c r="S662" s="65"/>
    </row>
    <row r="663" spans="1:19" x14ac:dyDescent="0.25">
      <c r="A663" s="15">
        <v>34</v>
      </c>
      <c r="B663" s="65"/>
      <c r="C663" s="65">
        <v>2429</v>
      </c>
      <c r="D663" s="65"/>
      <c r="E663" s="65" t="s">
        <v>787</v>
      </c>
      <c r="F663" s="65">
        <v>1</v>
      </c>
      <c r="G663" s="65"/>
      <c r="H663" s="65" t="e">
        <v>#N/A</v>
      </c>
      <c r="I663" s="65"/>
      <c r="J663" s="65" t="s">
        <v>899</v>
      </c>
      <c r="K663" s="65" t="s">
        <v>900</v>
      </c>
      <c r="L663" s="65" t="s">
        <v>900</v>
      </c>
      <c r="M663" s="65" t="s">
        <v>900</v>
      </c>
      <c r="N663" s="65" t="s">
        <v>900</v>
      </c>
      <c r="O663" s="65" t="s">
        <v>908</v>
      </c>
      <c r="P663" s="65"/>
      <c r="Q663" s="65">
        <v>1</v>
      </c>
      <c r="R663" s="65">
        <v>657</v>
      </c>
      <c r="S663" s="65"/>
    </row>
    <row r="664" spans="1:19" x14ac:dyDescent="0.25">
      <c r="A664" s="15">
        <v>34</v>
      </c>
      <c r="B664" s="65"/>
      <c r="C664" s="65">
        <v>2429</v>
      </c>
      <c r="D664" s="65"/>
      <c r="E664" s="65" t="s">
        <v>787</v>
      </c>
      <c r="F664" s="65">
        <v>1</v>
      </c>
      <c r="G664" s="65"/>
      <c r="H664" s="65" t="e">
        <v>#N/A</v>
      </c>
      <c r="I664" s="65"/>
      <c r="J664" s="65" t="s">
        <v>899</v>
      </c>
      <c r="K664" s="65" t="s">
        <v>900</v>
      </c>
      <c r="L664" s="65" t="s">
        <v>900</v>
      </c>
      <c r="M664" s="65" t="s">
        <v>900</v>
      </c>
      <c r="N664" s="65" t="s">
        <v>900</v>
      </c>
      <c r="O664" s="65" t="s">
        <v>909</v>
      </c>
      <c r="P664" s="65"/>
      <c r="Q664" s="65">
        <v>1</v>
      </c>
      <c r="R664" s="65">
        <v>658</v>
      </c>
      <c r="S664" s="65"/>
    </row>
    <row r="665" spans="1:19" x14ac:dyDescent="0.25">
      <c r="A665" s="15">
        <v>34</v>
      </c>
      <c r="B665" s="65"/>
      <c r="C665" s="65">
        <v>2429</v>
      </c>
      <c r="D665" s="65"/>
      <c r="E665" s="65" t="s">
        <v>787</v>
      </c>
      <c r="F665" s="65">
        <v>1</v>
      </c>
      <c r="G665" s="65"/>
      <c r="H665" s="65" t="e">
        <v>#N/A</v>
      </c>
      <c r="I665" s="65"/>
      <c r="J665" s="65" t="s">
        <v>899</v>
      </c>
      <c r="K665" s="65" t="s">
        <v>900</v>
      </c>
      <c r="L665" s="65" t="s">
        <v>900</v>
      </c>
      <c r="M665" s="65" t="s">
        <v>900</v>
      </c>
      <c r="N665" s="65" t="s">
        <v>900</v>
      </c>
      <c r="O665" s="65" t="s">
        <v>910</v>
      </c>
      <c r="P665" s="65"/>
      <c r="Q665" s="65">
        <v>1</v>
      </c>
      <c r="R665" s="65">
        <v>659</v>
      </c>
      <c r="S665" s="65"/>
    </row>
    <row r="666" spans="1:19" x14ac:dyDescent="0.25">
      <c r="A666" s="15">
        <v>34</v>
      </c>
      <c r="B666" s="65"/>
      <c r="C666" s="65">
        <v>2429</v>
      </c>
      <c r="D666" s="65"/>
      <c r="E666" s="65" t="s">
        <v>787</v>
      </c>
      <c r="F666" s="65">
        <v>1</v>
      </c>
      <c r="G666" s="65"/>
      <c r="H666" s="65" t="e">
        <v>#N/A</v>
      </c>
      <c r="I666" s="65"/>
      <c r="J666" s="65" t="s">
        <v>899</v>
      </c>
      <c r="K666" s="65" t="s">
        <v>900</v>
      </c>
      <c r="L666" s="65" t="s">
        <v>900</v>
      </c>
      <c r="M666" s="65" t="s">
        <v>900</v>
      </c>
      <c r="N666" s="65" t="s">
        <v>900</v>
      </c>
      <c r="O666" s="65" t="s">
        <v>911</v>
      </c>
      <c r="P666" s="65"/>
      <c r="Q666" s="65">
        <v>1</v>
      </c>
      <c r="R666" s="65">
        <v>660</v>
      </c>
      <c r="S666" s="65"/>
    </row>
    <row r="667" spans="1:19" x14ac:dyDescent="0.25">
      <c r="A667" s="15">
        <v>34</v>
      </c>
      <c r="B667" s="65"/>
      <c r="C667" s="65">
        <v>2429</v>
      </c>
      <c r="D667" s="65"/>
      <c r="E667" s="65" t="s">
        <v>787</v>
      </c>
      <c r="F667" s="65">
        <v>0</v>
      </c>
      <c r="G667" s="65"/>
      <c r="H667" s="65">
        <v>3</v>
      </c>
      <c r="I667" s="65" t="e">
        <v>#N/A</v>
      </c>
      <c r="J667" s="65" t="s">
        <v>899</v>
      </c>
      <c r="K667" s="65"/>
      <c r="L667" s="65"/>
      <c r="M667" s="65"/>
      <c r="N667" s="65"/>
      <c r="O667" s="65" t="s">
        <v>912</v>
      </c>
      <c r="P667" s="65"/>
      <c r="Q667" s="65">
        <v>1</v>
      </c>
      <c r="R667" s="65">
        <v>876</v>
      </c>
      <c r="S667" s="65"/>
    </row>
    <row r="668" spans="1:19" x14ac:dyDescent="0.25">
      <c r="A668" s="15">
        <v>34</v>
      </c>
      <c r="B668" s="65"/>
      <c r="C668" s="65">
        <v>2429</v>
      </c>
      <c r="D668" s="65"/>
      <c r="E668" s="65" t="s">
        <v>787</v>
      </c>
      <c r="F668" s="65">
        <v>0</v>
      </c>
      <c r="G668" s="65"/>
      <c r="H668" s="65">
        <v>3</v>
      </c>
      <c r="I668" s="65" t="e">
        <v>#N/A</v>
      </c>
      <c r="J668" s="65" t="s">
        <v>899</v>
      </c>
      <c r="K668" s="65"/>
      <c r="L668" s="65"/>
      <c r="M668" s="65"/>
      <c r="N668" s="65"/>
      <c r="O668" s="65" t="s">
        <v>913</v>
      </c>
      <c r="P668" s="65"/>
      <c r="Q668" s="65">
        <v>1</v>
      </c>
      <c r="R668" s="65">
        <v>877</v>
      </c>
      <c r="S668" s="65"/>
    </row>
    <row r="669" spans="1:19" x14ac:dyDescent="0.25">
      <c r="A669" s="15">
        <v>34</v>
      </c>
      <c r="B669" s="65"/>
      <c r="C669" s="65">
        <v>2429</v>
      </c>
      <c r="D669" s="65"/>
      <c r="E669" s="65" t="s">
        <v>787</v>
      </c>
      <c r="F669" s="65">
        <v>0</v>
      </c>
      <c r="G669" s="65"/>
      <c r="H669" s="65">
        <v>3</v>
      </c>
      <c r="I669" s="65" t="e">
        <v>#N/A</v>
      </c>
      <c r="J669" s="65" t="s">
        <v>899</v>
      </c>
      <c r="K669" s="65"/>
      <c r="L669" s="65"/>
      <c r="M669" s="65"/>
      <c r="N669" s="65"/>
      <c r="O669" s="65" t="s">
        <v>914</v>
      </c>
      <c r="P669" s="65"/>
      <c r="Q669" s="65">
        <v>1</v>
      </c>
      <c r="R669" s="65">
        <v>878</v>
      </c>
      <c r="S669" s="65"/>
    </row>
    <row r="670" spans="1:19" x14ac:dyDescent="0.25">
      <c r="A670" s="15">
        <v>34</v>
      </c>
      <c r="B670" s="65"/>
      <c r="C670" s="65">
        <v>2429</v>
      </c>
      <c r="D670" s="65"/>
      <c r="E670" s="65" t="s">
        <v>787</v>
      </c>
      <c r="F670" s="65">
        <v>0</v>
      </c>
      <c r="G670" s="65"/>
      <c r="H670" s="65">
        <v>3</v>
      </c>
      <c r="I670" s="65" t="e">
        <v>#N/A</v>
      </c>
      <c r="J670" s="65" t="s">
        <v>899</v>
      </c>
      <c r="K670" s="65"/>
      <c r="L670" s="65"/>
      <c r="M670" s="65"/>
      <c r="N670" s="65"/>
      <c r="O670" s="65" t="s">
        <v>915</v>
      </c>
      <c r="P670" s="65"/>
      <c r="Q670" s="65">
        <v>1</v>
      </c>
      <c r="R670" s="65">
        <v>879</v>
      </c>
      <c r="S670" s="65"/>
    </row>
    <row r="671" spans="1:19" x14ac:dyDescent="0.25">
      <c r="A671" s="15">
        <v>34</v>
      </c>
      <c r="B671" s="65"/>
      <c r="C671" s="65">
        <v>2429</v>
      </c>
      <c r="D671" s="65"/>
      <c r="E671" s="65" t="s">
        <v>787</v>
      </c>
      <c r="F671" s="65">
        <v>0</v>
      </c>
      <c r="G671" s="65"/>
      <c r="H671" s="65">
        <v>3</v>
      </c>
      <c r="I671" s="65" t="e">
        <v>#N/A</v>
      </c>
      <c r="J671" s="65" t="s">
        <v>899</v>
      </c>
      <c r="K671" s="65"/>
      <c r="L671" s="65"/>
      <c r="M671" s="65"/>
      <c r="N671" s="65"/>
      <c r="O671" s="65" t="s">
        <v>916</v>
      </c>
      <c r="P671" s="65"/>
      <c r="Q671" s="65">
        <v>1</v>
      </c>
      <c r="R671" s="65">
        <v>880</v>
      </c>
      <c r="S671" s="65"/>
    </row>
    <row r="672" spans="1:19" x14ac:dyDescent="0.25">
      <c r="A672" s="15">
        <v>34</v>
      </c>
      <c r="B672" s="65"/>
      <c r="C672" s="65">
        <v>2429</v>
      </c>
      <c r="D672" s="65"/>
      <c r="E672" s="65" t="s">
        <v>787</v>
      </c>
      <c r="F672" s="65">
        <v>0</v>
      </c>
      <c r="G672" s="65"/>
      <c r="H672" s="65">
        <v>3</v>
      </c>
      <c r="I672" s="65" t="e">
        <v>#N/A</v>
      </c>
      <c r="J672" s="65" t="s">
        <v>899</v>
      </c>
      <c r="K672" s="65"/>
      <c r="L672" s="65"/>
      <c r="M672" s="65"/>
      <c r="N672" s="65"/>
      <c r="O672" s="65" t="s">
        <v>917</v>
      </c>
      <c r="P672" s="65"/>
      <c r="Q672" s="65">
        <v>1</v>
      </c>
      <c r="R672" s="65">
        <v>881</v>
      </c>
      <c r="S672" s="65"/>
    </row>
    <row r="673" spans="1:19" x14ac:dyDescent="0.25">
      <c r="A673" s="15">
        <v>34</v>
      </c>
      <c r="B673" s="65"/>
      <c r="C673" s="65">
        <v>2429</v>
      </c>
      <c r="D673" s="65"/>
      <c r="E673" s="65" t="s">
        <v>787</v>
      </c>
      <c r="F673" s="65">
        <v>0</v>
      </c>
      <c r="G673" s="65"/>
      <c r="H673" s="65">
        <v>3</v>
      </c>
      <c r="I673" s="65" t="e">
        <v>#N/A</v>
      </c>
      <c r="J673" s="65" t="s">
        <v>899</v>
      </c>
      <c r="K673" s="65"/>
      <c r="L673" s="65"/>
      <c r="M673" s="65"/>
      <c r="N673" s="65"/>
      <c r="O673" s="65" t="s">
        <v>918</v>
      </c>
      <c r="P673" s="65"/>
      <c r="Q673" s="65">
        <v>1</v>
      </c>
      <c r="R673" s="65">
        <v>882</v>
      </c>
      <c r="S673" s="65"/>
    </row>
    <row r="674" spans="1:19" x14ac:dyDescent="0.25">
      <c r="A674" s="15">
        <v>34</v>
      </c>
      <c r="B674" s="65"/>
      <c r="C674" s="65">
        <v>2429</v>
      </c>
      <c r="D674" s="65"/>
      <c r="E674" s="65" t="s">
        <v>787</v>
      </c>
      <c r="F674" s="65">
        <v>0</v>
      </c>
      <c r="G674" s="65"/>
      <c r="H674" s="65">
        <v>3</v>
      </c>
      <c r="I674" s="65" t="e">
        <v>#N/A</v>
      </c>
      <c r="J674" s="65" t="s">
        <v>899</v>
      </c>
      <c r="K674" s="65"/>
      <c r="L674" s="65"/>
      <c r="M674" s="65"/>
      <c r="N674" s="65"/>
      <c r="O674" s="65" t="s">
        <v>919</v>
      </c>
      <c r="P674" s="65"/>
      <c r="Q674" s="65">
        <v>1</v>
      </c>
      <c r="R674" s="65">
        <v>883</v>
      </c>
      <c r="S674" s="65"/>
    </row>
    <row r="675" spans="1:19" x14ac:dyDescent="0.25">
      <c r="A675" s="15">
        <v>34</v>
      </c>
      <c r="B675" s="65"/>
      <c r="C675" s="65">
        <v>2429</v>
      </c>
      <c r="D675" s="65"/>
      <c r="E675" s="65" t="s">
        <v>787</v>
      </c>
      <c r="F675" s="65">
        <v>0</v>
      </c>
      <c r="G675" s="65"/>
      <c r="H675" s="65">
        <v>3</v>
      </c>
      <c r="I675" s="65" t="e">
        <v>#N/A</v>
      </c>
      <c r="J675" s="65" t="s">
        <v>899</v>
      </c>
      <c r="K675" s="65"/>
      <c r="L675" s="65"/>
      <c r="M675" s="65"/>
      <c r="N675" s="65"/>
      <c r="O675" s="65" t="s">
        <v>920</v>
      </c>
      <c r="P675" s="65"/>
      <c r="Q675" s="65">
        <v>1</v>
      </c>
      <c r="R675" s="65">
        <v>884</v>
      </c>
      <c r="S675" s="65"/>
    </row>
    <row r="676" spans="1:19" x14ac:dyDescent="0.25">
      <c r="A676" s="15">
        <v>34</v>
      </c>
      <c r="B676" s="65"/>
      <c r="C676" s="65">
        <v>2429</v>
      </c>
      <c r="D676" s="65"/>
      <c r="E676" s="65" t="s">
        <v>787</v>
      </c>
      <c r="F676" s="65">
        <v>0</v>
      </c>
      <c r="G676" s="65"/>
      <c r="H676" s="65">
        <v>3</v>
      </c>
      <c r="I676" s="65" t="e">
        <v>#N/A</v>
      </c>
      <c r="J676" s="65" t="s">
        <v>899</v>
      </c>
      <c r="K676" s="65"/>
      <c r="L676" s="65"/>
      <c r="M676" s="65"/>
      <c r="N676" s="65"/>
      <c r="O676" s="65" t="s">
        <v>921</v>
      </c>
      <c r="P676" s="65"/>
      <c r="Q676" s="65">
        <v>1</v>
      </c>
      <c r="R676" s="65">
        <v>885</v>
      </c>
      <c r="S676" s="65"/>
    </row>
    <row r="677" spans="1:19" x14ac:dyDescent="0.25">
      <c r="A677" s="15">
        <v>34</v>
      </c>
      <c r="B677" s="65"/>
      <c r="C677" s="65">
        <v>2429</v>
      </c>
      <c r="D677" s="65"/>
      <c r="E677" s="65" t="s">
        <v>787</v>
      </c>
      <c r="F677" s="65">
        <v>0</v>
      </c>
      <c r="G677" s="65"/>
      <c r="H677" s="65">
        <v>3</v>
      </c>
      <c r="I677" s="65" t="e">
        <v>#N/A</v>
      </c>
      <c r="J677" s="65" t="s">
        <v>899</v>
      </c>
      <c r="K677" s="65"/>
      <c r="L677" s="65"/>
      <c r="M677" s="65"/>
      <c r="N677" s="65"/>
      <c r="O677" s="65" t="s">
        <v>922</v>
      </c>
      <c r="P677" s="65"/>
      <c r="Q677" s="65">
        <v>1</v>
      </c>
      <c r="R677" s="65">
        <v>886</v>
      </c>
      <c r="S677" s="65"/>
    </row>
    <row r="678" spans="1:19" x14ac:dyDescent="0.25">
      <c r="A678" s="15">
        <v>34</v>
      </c>
      <c r="B678" s="65"/>
      <c r="C678" s="65">
        <v>2429</v>
      </c>
      <c r="D678" s="65"/>
      <c r="E678" s="65" t="s">
        <v>787</v>
      </c>
      <c r="F678" s="65">
        <v>0</v>
      </c>
      <c r="G678" s="65"/>
      <c r="H678" s="65">
        <v>3</v>
      </c>
      <c r="I678" s="65" t="e">
        <v>#N/A</v>
      </c>
      <c r="J678" s="65" t="s">
        <v>899</v>
      </c>
      <c r="K678" s="65"/>
      <c r="L678" s="65"/>
      <c r="M678" s="65"/>
      <c r="N678" s="65"/>
      <c r="O678" s="65" t="s">
        <v>923</v>
      </c>
      <c r="P678" s="65"/>
      <c r="Q678" s="65">
        <v>1</v>
      </c>
      <c r="R678" s="65">
        <v>887</v>
      </c>
      <c r="S678" s="65"/>
    </row>
    <row r="679" spans="1:19" x14ac:dyDescent="0.25">
      <c r="A679" s="15">
        <v>34</v>
      </c>
      <c r="B679" s="65"/>
      <c r="C679" s="65">
        <v>2429</v>
      </c>
      <c r="D679" s="65"/>
      <c r="E679" s="65" t="s">
        <v>787</v>
      </c>
      <c r="F679" s="65">
        <v>3</v>
      </c>
      <c r="G679" s="65"/>
      <c r="H679" s="65">
        <v>3</v>
      </c>
      <c r="I679" s="65" t="e">
        <v>#N/A</v>
      </c>
      <c r="J679" s="65" t="s">
        <v>899</v>
      </c>
      <c r="K679" s="65"/>
      <c r="L679" s="65"/>
      <c r="M679" s="65"/>
      <c r="N679" s="65"/>
      <c r="O679" s="65" t="s">
        <v>924</v>
      </c>
      <c r="P679" s="65"/>
      <c r="Q679" s="65">
        <v>1</v>
      </c>
      <c r="R679" s="65">
        <v>1103</v>
      </c>
      <c r="S679" s="65"/>
    </row>
    <row r="680" spans="1:19" x14ac:dyDescent="0.25">
      <c r="A680" s="15">
        <v>34</v>
      </c>
      <c r="B680" s="65"/>
      <c r="C680" s="65">
        <v>2429</v>
      </c>
      <c r="D680" s="65"/>
      <c r="E680" s="65" t="s">
        <v>787</v>
      </c>
      <c r="F680" s="65">
        <v>3</v>
      </c>
      <c r="G680" s="65"/>
      <c r="H680" s="65">
        <v>3</v>
      </c>
      <c r="I680" s="65" t="e">
        <v>#N/A</v>
      </c>
      <c r="J680" s="65" t="s">
        <v>899</v>
      </c>
      <c r="K680" s="65"/>
      <c r="L680" s="65"/>
      <c r="M680" s="65"/>
      <c r="N680" s="65"/>
      <c r="O680" s="65" t="s">
        <v>925</v>
      </c>
      <c r="P680" s="65"/>
      <c r="Q680" s="65">
        <v>1</v>
      </c>
      <c r="R680" s="65">
        <v>1104</v>
      </c>
      <c r="S680" s="65"/>
    </row>
    <row r="681" spans="1:19" x14ac:dyDescent="0.25">
      <c r="A681" s="15">
        <v>34</v>
      </c>
      <c r="B681" s="65"/>
      <c r="C681" s="65">
        <v>2429</v>
      </c>
      <c r="D681" s="65"/>
      <c r="E681" s="65" t="s">
        <v>787</v>
      </c>
      <c r="F681" s="65">
        <v>3</v>
      </c>
      <c r="G681" s="65"/>
      <c r="H681" s="65">
        <v>3</v>
      </c>
      <c r="I681" s="65" t="e">
        <v>#N/A</v>
      </c>
      <c r="J681" s="65" t="s">
        <v>899</v>
      </c>
      <c r="K681" s="65"/>
      <c r="L681" s="65"/>
      <c r="M681" s="65"/>
      <c r="N681" s="65"/>
      <c r="O681" s="65" t="s">
        <v>926</v>
      </c>
      <c r="P681" s="65"/>
      <c r="Q681" s="65">
        <v>1</v>
      </c>
      <c r="R681" s="65">
        <v>1105</v>
      </c>
      <c r="S681" s="65"/>
    </row>
    <row r="682" spans="1:19" x14ac:dyDescent="0.25">
      <c r="A682" s="15">
        <v>34</v>
      </c>
      <c r="B682" s="65"/>
      <c r="C682" s="65">
        <v>2429</v>
      </c>
      <c r="D682" s="65"/>
      <c r="E682" s="65" t="s">
        <v>787</v>
      </c>
      <c r="F682" s="65">
        <v>3</v>
      </c>
      <c r="G682" s="65"/>
      <c r="H682" s="65">
        <v>3</v>
      </c>
      <c r="I682" s="65" t="e">
        <v>#N/A</v>
      </c>
      <c r="J682" s="65" t="s">
        <v>899</v>
      </c>
      <c r="K682" s="65"/>
      <c r="L682" s="65"/>
      <c r="M682" s="65"/>
      <c r="N682" s="65"/>
      <c r="O682" s="65" t="s">
        <v>927</v>
      </c>
      <c r="P682" s="65"/>
      <c r="Q682" s="65">
        <v>1</v>
      </c>
      <c r="R682" s="65">
        <v>1106</v>
      </c>
      <c r="S682" s="65"/>
    </row>
    <row r="683" spans="1:19" x14ac:dyDescent="0.25">
      <c r="A683" s="15">
        <v>34</v>
      </c>
      <c r="B683" s="65"/>
      <c r="C683" s="65">
        <v>2429</v>
      </c>
      <c r="D683" s="65"/>
      <c r="E683" s="65" t="s">
        <v>787</v>
      </c>
      <c r="F683" s="65">
        <v>3</v>
      </c>
      <c r="G683" s="65"/>
      <c r="H683" s="65">
        <v>3</v>
      </c>
      <c r="I683" s="65" t="e">
        <v>#N/A</v>
      </c>
      <c r="J683" s="65" t="s">
        <v>899</v>
      </c>
      <c r="K683" s="65"/>
      <c r="L683" s="65"/>
      <c r="M683" s="65"/>
      <c r="N683" s="65"/>
      <c r="O683" s="65" t="s">
        <v>928</v>
      </c>
      <c r="P683" s="65"/>
      <c r="Q683" s="65">
        <v>1</v>
      </c>
      <c r="R683" s="65">
        <v>1107</v>
      </c>
      <c r="S683" s="65"/>
    </row>
    <row r="684" spans="1:19" x14ac:dyDescent="0.25">
      <c r="A684" s="15">
        <v>34</v>
      </c>
      <c r="B684" s="65"/>
      <c r="C684" s="65">
        <v>2429</v>
      </c>
      <c r="D684" s="65"/>
      <c r="E684" s="65" t="s">
        <v>787</v>
      </c>
      <c r="F684" s="65">
        <v>3</v>
      </c>
      <c r="G684" s="65"/>
      <c r="H684" s="65">
        <v>3</v>
      </c>
      <c r="I684" s="65" t="e">
        <v>#N/A</v>
      </c>
      <c r="J684" s="65" t="s">
        <v>899</v>
      </c>
      <c r="K684" s="65"/>
      <c r="L684" s="65"/>
      <c r="M684" s="65"/>
      <c r="N684" s="65"/>
      <c r="O684" s="65" t="s">
        <v>929</v>
      </c>
      <c r="P684" s="65"/>
      <c r="Q684" s="65">
        <v>1</v>
      </c>
      <c r="R684" s="65">
        <v>1108</v>
      </c>
      <c r="S684" s="65"/>
    </row>
    <row r="685" spans="1:19" x14ac:dyDescent="0.25">
      <c r="A685" s="15">
        <v>34</v>
      </c>
      <c r="B685" s="65"/>
      <c r="C685" s="65">
        <v>2429</v>
      </c>
      <c r="D685" s="65"/>
      <c r="E685" s="65" t="s">
        <v>787</v>
      </c>
      <c r="F685" s="65">
        <v>3</v>
      </c>
      <c r="G685" s="65"/>
      <c r="H685" s="65">
        <v>3</v>
      </c>
      <c r="I685" s="65" t="e">
        <v>#N/A</v>
      </c>
      <c r="J685" s="65" t="s">
        <v>899</v>
      </c>
      <c r="K685" s="65"/>
      <c r="L685" s="65"/>
      <c r="M685" s="65"/>
      <c r="N685" s="65"/>
      <c r="O685" s="65" t="s">
        <v>930</v>
      </c>
      <c r="P685" s="65"/>
      <c r="Q685" s="65">
        <v>1</v>
      </c>
      <c r="R685" s="65">
        <v>1109</v>
      </c>
      <c r="S685" s="65"/>
    </row>
    <row r="686" spans="1:19" x14ac:dyDescent="0.25">
      <c r="A686" s="15">
        <v>34</v>
      </c>
      <c r="B686" s="65"/>
      <c r="C686" s="65">
        <v>2429</v>
      </c>
      <c r="D686" s="65"/>
      <c r="E686" s="65" t="s">
        <v>787</v>
      </c>
      <c r="F686" s="65">
        <v>3</v>
      </c>
      <c r="G686" s="65"/>
      <c r="H686" s="65">
        <v>3</v>
      </c>
      <c r="I686" s="65" t="e">
        <v>#N/A</v>
      </c>
      <c r="J686" s="65" t="s">
        <v>899</v>
      </c>
      <c r="K686" s="65"/>
      <c r="L686" s="65"/>
      <c r="M686" s="65"/>
      <c r="N686" s="65"/>
      <c r="O686" s="65" t="s">
        <v>931</v>
      </c>
      <c r="P686" s="65"/>
      <c r="Q686" s="65">
        <v>1</v>
      </c>
      <c r="R686" s="65">
        <v>1110</v>
      </c>
      <c r="S686" s="65"/>
    </row>
    <row r="687" spans="1:19" x14ac:dyDescent="0.25">
      <c r="A687" s="15">
        <v>34</v>
      </c>
      <c r="B687" s="65"/>
      <c r="C687" s="65">
        <v>2429</v>
      </c>
      <c r="D687" s="65"/>
      <c r="E687" s="65" t="s">
        <v>787</v>
      </c>
      <c r="F687" s="65">
        <v>3</v>
      </c>
      <c r="G687" s="65"/>
      <c r="H687" s="65">
        <v>3</v>
      </c>
      <c r="I687" s="65" t="e">
        <v>#N/A</v>
      </c>
      <c r="J687" s="65" t="s">
        <v>899</v>
      </c>
      <c r="K687" s="65"/>
      <c r="L687" s="65"/>
      <c r="M687" s="65"/>
      <c r="N687" s="65"/>
      <c r="O687" s="65" t="s">
        <v>932</v>
      </c>
      <c r="P687" s="65"/>
      <c r="Q687" s="65">
        <v>1</v>
      </c>
      <c r="R687" s="65">
        <v>1111</v>
      </c>
      <c r="S687" s="65"/>
    </row>
    <row r="688" spans="1:19" x14ac:dyDescent="0.25">
      <c r="A688" s="15">
        <v>34</v>
      </c>
      <c r="B688" s="65"/>
      <c r="C688" s="65">
        <v>2429</v>
      </c>
      <c r="D688" s="65"/>
      <c r="E688" s="65" t="s">
        <v>787</v>
      </c>
      <c r="F688" s="65">
        <v>3</v>
      </c>
      <c r="G688" s="65"/>
      <c r="H688" s="65">
        <v>3</v>
      </c>
      <c r="I688" s="65" t="e">
        <v>#N/A</v>
      </c>
      <c r="J688" s="65" t="s">
        <v>899</v>
      </c>
      <c r="K688" s="65"/>
      <c r="L688" s="65"/>
      <c r="M688" s="65"/>
      <c r="N688" s="65"/>
      <c r="O688" s="65" t="s">
        <v>933</v>
      </c>
      <c r="P688" s="65"/>
      <c r="Q688" s="65">
        <v>1</v>
      </c>
      <c r="R688" s="65">
        <v>1112</v>
      </c>
      <c r="S688" s="65"/>
    </row>
    <row r="689" spans="1:19" x14ac:dyDescent="0.25">
      <c r="A689" s="15">
        <v>34</v>
      </c>
      <c r="B689" s="65"/>
      <c r="C689" s="65">
        <v>2429</v>
      </c>
      <c r="D689" s="65"/>
      <c r="E689" s="65" t="s">
        <v>787</v>
      </c>
      <c r="F689" s="65">
        <v>3</v>
      </c>
      <c r="G689" s="65"/>
      <c r="H689" s="65">
        <v>3</v>
      </c>
      <c r="I689" s="65" t="e">
        <v>#N/A</v>
      </c>
      <c r="J689" s="65" t="s">
        <v>899</v>
      </c>
      <c r="K689" s="65"/>
      <c r="L689" s="65"/>
      <c r="M689" s="65"/>
      <c r="N689" s="65"/>
      <c r="O689" s="65" t="s">
        <v>934</v>
      </c>
      <c r="P689" s="65"/>
      <c r="Q689" s="65">
        <v>1</v>
      </c>
      <c r="R689" s="65">
        <v>1113</v>
      </c>
      <c r="S689" s="65"/>
    </row>
    <row r="690" spans="1:19" x14ac:dyDescent="0.25">
      <c r="A690" s="15">
        <v>34</v>
      </c>
      <c r="B690" s="65"/>
      <c r="C690" s="65">
        <v>2429</v>
      </c>
      <c r="D690" s="65"/>
      <c r="E690" s="65" t="s">
        <v>787</v>
      </c>
      <c r="F690" s="65">
        <v>3</v>
      </c>
      <c r="G690" s="65"/>
      <c r="H690" s="65">
        <v>3</v>
      </c>
      <c r="I690" s="65" t="e">
        <v>#N/A</v>
      </c>
      <c r="J690" s="65" t="s">
        <v>899</v>
      </c>
      <c r="K690" s="65"/>
      <c r="L690" s="65"/>
      <c r="M690" s="65"/>
      <c r="N690" s="65"/>
      <c r="O690" s="65" t="s">
        <v>935</v>
      </c>
      <c r="P690" s="65"/>
      <c r="Q690" s="65">
        <v>1</v>
      </c>
      <c r="R690" s="65">
        <v>1114</v>
      </c>
      <c r="S690" s="65"/>
    </row>
    <row r="691" spans="1:19" x14ac:dyDescent="0.25">
      <c r="A691" s="15">
        <v>34</v>
      </c>
      <c r="B691" s="65"/>
      <c r="C691" s="65">
        <v>2429</v>
      </c>
      <c r="D691" s="65"/>
      <c r="E691" s="65" t="s">
        <v>787</v>
      </c>
      <c r="F691" s="65">
        <v>3</v>
      </c>
      <c r="G691" s="65"/>
      <c r="H691" s="65" t="e">
        <v>#N/A</v>
      </c>
      <c r="I691" s="65"/>
      <c r="J691" s="65" t="s">
        <v>899</v>
      </c>
      <c r="K691" s="65"/>
      <c r="L691" s="65"/>
      <c r="M691" s="65"/>
      <c r="N691" s="65"/>
      <c r="O691" s="65" t="s">
        <v>936</v>
      </c>
      <c r="P691" s="65"/>
      <c r="Q691" s="65">
        <v>1</v>
      </c>
      <c r="R691" s="65">
        <v>1276</v>
      </c>
      <c r="S691" s="65"/>
    </row>
    <row r="692" spans="1:19" x14ac:dyDescent="0.25">
      <c r="A692" s="15">
        <v>34</v>
      </c>
      <c r="B692" s="65"/>
      <c r="C692" s="65">
        <v>2429</v>
      </c>
      <c r="D692" s="65"/>
      <c r="E692" s="65" t="s">
        <v>787</v>
      </c>
      <c r="F692" s="65">
        <v>5</v>
      </c>
      <c r="G692" s="65"/>
      <c r="H692" s="65" t="e">
        <v>#N/A</v>
      </c>
      <c r="I692" s="65"/>
      <c r="J692" s="65" t="s">
        <v>899</v>
      </c>
      <c r="K692" s="65"/>
      <c r="L692" s="65"/>
      <c r="M692" s="65"/>
      <c r="N692" s="65"/>
      <c r="O692" s="65" t="s">
        <v>938</v>
      </c>
      <c r="P692" s="65"/>
      <c r="Q692" s="65">
        <v>1</v>
      </c>
      <c r="R692" s="65">
        <v>1397</v>
      </c>
      <c r="S692" s="65"/>
    </row>
    <row r="693" spans="1:19" x14ac:dyDescent="0.25">
      <c r="A693" s="15">
        <v>34</v>
      </c>
      <c r="B693" s="65"/>
      <c r="C693" s="65">
        <v>2429</v>
      </c>
      <c r="D693" s="65"/>
      <c r="E693" s="65" t="s">
        <v>787</v>
      </c>
      <c r="F693" s="65">
        <v>5</v>
      </c>
      <c r="G693" s="65"/>
      <c r="H693" s="65" t="e">
        <v>#N/A</v>
      </c>
      <c r="I693" s="65"/>
      <c r="J693" s="65" t="s">
        <v>899</v>
      </c>
      <c r="K693" s="65"/>
      <c r="L693" s="65"/>
      <c r="M693" s="65"/>
      <c r="N693" s="65"/>
      <c r="O693" s="65" t="s">
        <v>939</v>
      </c>
      <c r="P693" s="65"/>
      <c r="Q693" s="65">
        <v>1</v>
      </c>
      <c r="R693" s="65">
        <v>1398</v>
      </c>
      <c r="S693" s="65"/>
    </row>
    <row r="694" spans="1:19" x14ac:dyDescent="0.25">
      <c r="A694" s="15">
        <v>34</v>
      </c>
      <c r="B694" s="65"/>
      <c r="C694" s="65">
        <v>2429</v>
      </c>
      <c r="D694" s="65"/>
      <c r="E694" s="65" t="s">
        <v>787</v>
      </c>
      <c r="F694" s="65">
        <v>5</v>
      </c>
      <c r="G694" s="65"/>
      <c r="H694" s="65" t="e">
        <v>#N/A</v>
      </c>
      <c r="I694" s="65"/>
      <c r="J694" s="65" t="s">
        <v>899</v>
      </c>
      <c r="K694" s="65"/>
      <c r="L694" s="65"/>
      <c r="M694" s="65"/>
      <c r="N694" s="65"/>
      <c r="O694" s="65" t="s">
        <v>940</v>
      </c>
      <c r="P694" s="65"/>
      <c r="Q694" s="65">
        <v>1</v>
      </c>
      <c r="R694" s="65">
        <v>1399</v>
      </c>
      <c r="S694" s="65"/>
    </row>
    <row r="695" spans="1:19" x14ac:dyDescent="0.25">
      <c r="A695" s="15">
        <v>34</v>
      </c>
      <c r="B695" s="65"/>
      <c r="C695" s="65">
        <v>2429</v>
      </c>
      <c r="D695" s="65"/>
      <c r="E695" s="65" t="s">
        <v>787</v>
      </c>
      <c r="F695" s="65">
        <v>5</v>
      </c>
      <c r="G695" s="65"/>
      <c r="H695" s="65" t="e">
        <v>#N/A</v>
      </c>
      <c r="I695" s="65"/>
      <c r="J695" s="65" t="s">
        <v>899</v>
      </c>
      <c r="K695" s="65"/>
      <c r="L695" s="65"/>
      <c r="M695" s="65"/>
      <c r="N695" s="65"/>
      <c r="O695" s="65" t="s">
        <v>941</v>
      </c>
      <c r="P695" s="65"/>
      <c r="Q695" s="65">
        <v>1</v>
      </c>
      <c r="R695" s="65">
        <v>1400</v>
      </c>
      <c r="S695" s="65"/>
    </row>
    <row r="696" spans="1:19" x14ac:dyDescent="0.25">
      <c r="A696" s="15">
        <v>34</v>
      </c>
      <c r="B696" s="65"/>
      <c r="C696" s="65">
        <v>2429</v>
      </c>
      <c r="D696" s="65"/>
      <c r="E696" s="65" t="s">
        <v>787</v>
      </c>
      <c r="F696" s="65">
        <v>5</v>
      </c>
      <c r="G696" s="65"/>
      <c r="H696" s="65" t="e">
        <v>#N/A</v>
      </c>
      <c r="I696" s="65"/>
      <c r="J696" s="65" t="s">
        <v>899</v>
      </c>
      <c r="K696" s="65"/>
      <c r="L696" s="65"/>
      <c r="M696" s="65"/>
      <c r="N696" s="65"/>
      <c r="O696" s="65" t="s">
        <v>942</v>
      </c>
      <c r="P696" s="65"/>
      <c r="Q696" s="65">
        <v>1</v>
      </c>
      <c r="R696" s="65">
        <v>1401</v>
      </c>
      <c r="S696" s="65"/>
    </row>
    <row r="697" spans="1:19" x14ac:dyDescent="0.25">
      <c r="A697" s="15">
        <v>34</v>
      </c>
      <c r="B697" s="65"/>
      <c r="C697" s="65">
        <v>2429</v>
      </c>
      <c r="D697" s="65"/>
      <c r="E697" s="65" t="s">
        <v>787</v>
      </c>
      <c r="F697" s="65">
        <v>5</v>
      </c>
      <c r="G697" s="65"/>
      <c r="H697" s="65" t="e">
        <v>#N/A</v>
      </c>
      <c r="I697" s="65"/>
      <c r="J697" s="65" t="s">
        <v>899</v>
      </c>
      <c r="K697" s="65"/>
      <c r="L697" s="65"/>
      <c r="M697" s="65"/>
      <c r="N697" s="65"/>
      <c r="O697" s="65" t="s">
        <v>943</v>
      </c>
      <c r="P697" s="65"/>
      <c r="Q697" s="65">
        <v>1</v>
      </c>
      <c r="R697" s="65">
        <v>1402</v>
      </c>
      <c r="S697" s="65"/>
    </row>
    <row r="698" spans="1:19" x14ac:dyDescent="0.25">
      <c r="A698" s="15">
        <v>34</v>
      </c>
      <c r="B698" s="65"/>
      <c r="C698" s="65">
        <v>2429</v>
      </c>
      <c r="D698" s="65"/>
      <c r="E698" s="65" t="s">
        <v>787</v>
      </c>
      <c r="F698" s="65">
        <v>5</v>
      </c>
      <c r="G698" s="65"/>
      <c r="H698" s="65" t="e">
        <v>#N/A</v>
      </c>
      <c r="I698" s="65"/>
      <c r="J698" s="65" t="s">
        <v>899</v>
      </c>
      <c r="K698" s="65"/>
      <c r="L698" s="65"/>
      <c r="M698" s="65"/>
      <c r="N698" s="65"/>
      <c r="O698" s="65" t="s">
        <v>944</v>
      </c>
      <c r="P698" s="65"/>
      <c r="Q698" s="65">
        <v>1</v>
      </c>
      <c r="R698" s="65">
        <v>1403</v>
      </c>
      <c r="S698" s="65"/>
    </row>
    <row r="699" spans="1:19" x14ac:dyDescent="0.25">
      <c r="A699" s="15">
        <v>34</v>
      </c>
      <c r="B699" s="65"/>
      <c r="C699" s="65">
        <v>2429</v>
      </c>
      <c r="D699" s="65"/>
      <c r="E699" s="65" t="s">
        <v>787</v>
      </c>
      <c r="F699" s="65">
        <v>5</v>
      </c>
      <c r="G699" s="65"/>
      <c r="H699" s="65" t="e">
        <v>#N/A</v>
      </c>
      <c r="I699" s="65"/>
      <c r="J699" s="65" t="s">
        <v>899</v>
      </c>
      <c r="K699" s="65"/>
      <c r="L699" s="65"/>
      <c r="M699" s="65"/>
      <c r="N699" s="65"/>
      <c r="O699" s="65" t="s">
        <v>945</v>
      </c>
      <c r="P699" s="65"/>
      <c r="Q699" s="65">
        <v>1</v>
      </c>
      <c r="R699" s="65">
        <v>1404</v>
      </c>
      <c r="S699" s="65"/>
    </row>
    <row r="700" spans="1:19" x14ac:dyDescent="0.25">
      <c r="A700" s="15">
        <v>34</v>
      </c>
      <c r="B700" s="65"/>
      <c r="C700" s="65">
        <v>2429</v>
      </c>
      <c r="D700" s="65"/>
      <c r="E700" s="65" t="s">
        <v>787</v>
      </c>
      <c r="F700" s="65">
        <v>5</v>
      </c>
      <c r="G700" s="65"/>
      <c r="H700" s="65" t="e">
        <v>#N/A</v>
      </c>
      <c r="I700" s="65"/>
      <c r="J700" s="65" t="s">
        <v>899</v>
      </c>
      <c r="K700" s="65"/>
      <c r="L700" s="65"/>
      <c r="M700" s="65"/>
      <c r="N700" s="65"/>
      <c r="O700" s="65" t="s">
        <v>946</v>
      </c>
      <c r="P700" s="65"/>
      <c r="Q700" s="65">
        <v>1</v>
      </c>
      <c r="R700" s="65">
        <v>1405</v>
      </c>
      <c r="S700" s="65"/>
    </row>
    <row r="701" spans="1:19" x14ac:dyDescent="0.25">
      <c r="A701" s="15">
        <v>34</v>
      </c>
      <c r="B701" s="65"/>
      <c r="C701" s="65">
        <v>2429</v>
      </c>
      <c r="D701" s="65"/>
      <c r="E701" s="65" t="s">
        <v>787</v>
      </c>
      <c r="F701" s="65">
        <v>5</v>
      </c>
      <c r="G701" s="65"/>
      <c r="H701" s="65" t="e">
        <v>#N/A</v>
      </c>
      <c r="I701" s="65"/>
      <c r="J701" s="65" t="s">
        <v>899</v>
      </c>
      <c r="K701" s="65"/>
      <c r="L701" s="65"/>
      <c r="M701" s="65"/>
      <c r="N701" s="65"/>
      <c r="O701" s="65" t="s">
        <v>947</v>
      </c>
      <c r="P701" s="65"/>
      <c r="Q701" s="65">
        <v>1</v>
      </c>
      <c r="R701" s="65">
        <v>1406</v>
      </c>
      <c r="S701" s="65"/>
    </row>
    <row r="702" spans="1:19" x14ac:dyDescent="0.25">
      <c r="A702" s="15">
        <v>34</v>
      </c>
      <c r="B702" s="65"/>
      <c r="C702" s="65">
        <v>2429</v>
      </c>
      <c r="D702" s="65"/>
      <c r="E702" s="65" t="s">
        <v>787</v>
      </c>
      <c r="F702" s="65">
        <v>5</v>
      </c>
      <c r="G702" s="65"/>
      <c r="H702" s="65" t="e">
        <v>#N/A</v>
      </c>
      <c r="I702" s="65"/>
      <c r="J702" s="65" t="s">
        <v>899</v>
      </c>
      <c r="K702" s="65"/>
      <c r="L702" s="65"/>
      <c r="M702" s="65"/>
      <c r="N702" s="65"/>
      <c r="O702" s="65" t="s">
        <v>948</v>
      </c>
      <c r="P702" s="65"/>
      <c r="Q702" s="65">
        <v>1</v>
      </c>
      <c r="R702" s="65">
        <v>1407</v>
      </c>
      <c r="S702" s="65"/>
    </row>
    <row r="703" spans="1:19" x14ac:dyDescent="0.25">
      <c r="A703" s="15">
        <v>34</v>
      </c>
      <c r="B703" s="65"/>
      <c r="C703" s="65">
        <v>2429</v>
      </c>
      <c r="D703" s="65"/>
      <c r="E703" s="65" t="s">
        <v>787</v>
      </c>
      <c r="F703" s="65">
        <v>5</v>
      </c>
      <c r="G703" s="65"/>
      <c r="H703" s="65" t="e">
        <v>#N/A</v>
      </c>
      <c r="I703" s="65"/>
      <c r="J703" s="65" t="s">
        <v>899</v>
      </c>
      <c r="K703" s="65"/>
      <c r="L703" s="65"/>
      <c r="M703" s="65"/>
      <c r="N703" s="65"/>
      <c r="O703" s="65" t="s">
        <v>949</v>
      </c>
      <c r="P703" s="65"/>
      <c r="Q703" s="65">
        <v>1</v>
      </c>
      <c r="R703" s="65">
        <v>1408</v>
      </c>
      <c r="S703" s="65"/>
    </row>
    <row r="704" spans="1:19" x14ac:dyDescent="0.25">
      <c r="A704" s="15">
        <v>35</v>
      </c>
      <c r="B704" s="65"/>
      <c r="C704" s="65"/>
      <c r="D704" s="65"/>
      <c r="E704" s="65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65"/>
      <c r="Q704" s="65"/>
      <c r="R704" s="65"/>
      <c r="S704" s="65"/>
    </row>
    <row r="705" spans="1:19" x14ac:dyDescent="0.25">
      <c r="A705" s="15">
        <v>35</v>
      </c>
      <c r="B705" s="65"/>
      <c r="C705" s="65"/>
      <c r="D705" s="65"/>
      <c r="E705" s="65"/>
      <c r="F705" s="65"/>
      <c r="G705" s="65"/>
      <c r="H705" s="65"/>
      <c r="I705" s="65"/>
      <c r="J705" s="65"/>
      <c r="K705" s="65"/>
      <c r="L705" s="65"/>
      <c r="M705" s="65"/>
      <c r="N705" s="65"/>
      <c r="O705" s="65" t="s">
        <v>821</v>
      </c>
      <c r="P705" s="65"/>
      <c r="Q705" s="65"/>
      <c r="R705" s="65"/>
      <c r="S705" s="65"/>
    </row>
    <row r="706" spans="1:19" x14ac:dyDescent="0.25">
      <c r="A706" s="15">
        <v>35</v>
      </c>
      <c r="B706" s="65"/>
      <c r="C706" s="65"/>
      <c r="D706" s="65"/>
      <c r="E706" s="65"/>
      <c r="F706" s="65"/>
      <c r="G706" s="65"/>
      <c r="H706" s="65"/>
      <c r="I706" s="65"/>
      <c r="J706" s="65"/>
      <c r="K706" s="65"/>
      <c r="L706" s="65"/>
      <c r="M706" s="65"/>
      <c r="N706" s="65"/>
      <c r="O706" s="65" t="s">
        <v>863</v>
      </c>
      <c r="P706" s="65"/>
      <c r="Q706" s="65"/>
      <c r="R706" s="65"/>
      <c r="S706" s="65"/>
    </row>
    <row r="707" spans="1:19" x14ac:dyDescent="0.25">
      <c r="A707" s="15">
        <v>35</v>
      </c>
      <c r="B707" s="65"/>
      <c r="C707" s="65"/>
      <c r="D707" s="65"/>
      <c r="E707" s="65"/>
      <c r="F707" s="65"/>
      <c r="G707" s="65"/>
      <c r="H707" s="65"/>
      <c r="I707" s="65"/>
      <c r="J707" s="65"/>
      <c r="K707" s="65"/>
      <c r="L707" s="65"/>
      <c r="M707" s="65"/>
      <c r="N707" s="65"/>
      <c r="O707" s="65" t="s">
        <v>872</v>
      </c>
      <c r="P707" s="65"/>
      <c r="Q707" s="65"/>
      <c r="R707" s="65"/>
      <c r="S707" s="65"/>
    </row>
    <row r="708" spans="1:19" x14ac:dyDescent="0.25">
      <c r="A708" s="15">
        <v>35</v>
      </c>
      <c r="B708" s="65"/>
      <c r="C708" s="65" t="s">
        <v>79</v>
      </c>
      <c r="D708" s="65"/>
      <c r="E708" s="65" t="s">
        <v>787</v>
      </c>
      <c r="F708" s="65">
        <v>6</v>
      </c>
      <c r="G708" s="65"/>
      <c r="H708" s="65">
        <v>7</v>
      </c>
      <c r="I708" s="65">
        <v>10.5</v>
      </c>
      <c r="J708" s="65" t="s">
        <v>879</v>
      </c>
      <c r="K708" s="65"/>
      <c r="L708" s="65"/>
      <c r="M708" s="65"/>
      <c r="N708" s="65"/>
      <c r="O708" s="65" t="s">
        <v>878</v>
      </c>
      <c r="P708" s="65"/>
      <c r="Q708" s="65">
        <v>1</v>
      </c>
      <c r="R708" s="65">
        <v>297</v>
      </c>
      <c r="S708" s="65"/>
    </row>
    <row r="709" spans="1:19" x14ac:dyDescent="0.25">
      <c r="A709" s="15">
        <v>35</v>
      </c>
      <c r="B709" s="65"/>
      <c r="C709" s="65">
        <v>2429</v>
      </c>
      <c r="D709" s="65"/>
      <c r="E709" s="65" t="s">
        <v>787</v>
      </c>
      <c r="F709" s="65">
        <v>6</v>
      </c>
      <c r="G709" s="65"/>
      <c r="H709" s="65"/>
      <c r="I709" s="65">
        <v>21.583333333333332</v>
      </c>
      <c r="J709" s="65" t="s">
        <v>879</v>
      </c>
      <c r="K709" s="65"/>
      <c r="L709" s="65"/>
      <c r="M709" s="65"/>
      <c r="N709" s="65"/>
      <c r="O709" s="65" t="s">
        <v>881</v>
      </c>
      <c r="P709" s="65"/>
      <c r="Q709" s="65">
        <v>1</v>
      </c>
      <c r="R709" s="65">
        <v>429</v>
      </c>
      <c r="S709" s="65"/>
    </row>
    <row r="710" spans="1:19" x14ac:dyDescent="0.25">
      <c r="A710" s="15">
        <v>35</v>
      </c>
      <c r="B710" s="65"/>
      <c r="C710" s="65">
        <v>2429</v>
      </c>
      <c r="D710" s="65"/>
      <c r="E710" s="65" t="s">
        <v>787</v>
      </c>
      <c r="F710" s="65">
        <v>1</v>
      </c>
      <c r="G710" s="65"/>
      <c r="H710" s="65" t="e">
        <v>#N/A</v>
      </c>
      <c r="I710" s="65"/>
      <c r="J710" s="65" t="s">
        <v>899</v>
      </c>
      <c r="K710" s="65" t="s">
        <v>900</v>
      </c>
      <c r="L710" s="65" t="s">
        <v>900</v>
      </c>
      <c r="M710" s="65" t="s">
        <v>900</v>
      </c>
      <c r="N710" s="65" t="s">
        <v>900</v>
      </c>
      <c r="O710" s="65" t="s">
        <v>898</v>
      </c>
      <c r="P710" s="65"/>
      <c r="Q710" s="65">
        <v>1</v>
      </c>
      <c r="R710" s="65">
        <v>661</v>
      </c>
      <c r="S710" s="65"/>
    </row>
    <row r="711" spans="1:19" x14ac:dyDescent="0.25">
      <c r="A711" s="15">
        <v>35</v>
      </c>
      <c r="B711" s="65"/>
      <c r="C711" s="65">
        <v>2429</v>
      </c>
      <c r="D711" s="65"/>
      <c r="E711" s="65" t="s">
        <v>787</v>
      </c>
      <c r="F711" s="65">
        <v>0</v>
      </c>
      <c r="G711" s="65"/>
      <c r="H711" s="65">
        <v>3</v>
      </c>
      <c r="I711" s="65" t="e">
        <v>#N/A</v>
      </c>
      <c r="J711" s="65" t="s">
        <v>899</v>
      </c>
      <c r="K711" s="65"/>
      <c r="L711" s="65"/>
      <c r="M711" s="65"/>
      <c r="N711" s="65"/>
      <c r="O711" s="65" t="s">
        <v>912</v>
      </c>
      <c r="P711" s="65"/>
      <c r="Q711" s="65">
        <v>1</v>
      </c>
      <c r="R711" s="65">
        <v>888</v>
      </c>
      <c r="S711" s="65"/>
    </row>
    <row r="712" spans="1:19" x14ac:dyDescent="0.25">
      <c r="A712" s="15">
        <v>35</v>
      </c>
      <c r="B712" s="65"/>
      <c r="C712" s="65">
        <v>2429</v>
      </c>
      <c r="D712" s="65"/>
      <c r="E712" s="65" t="s">
        <v>787</v>
      </c>
      <c r="F712" s="65">
        <v>3</v>
      </c>
      <c r="G712" s="65"/>
      <c r="H712" s="65">
        <v>3</v>
      </c>
      <c r="I712" s="65" t="e">
        <v>#N/A</v>
      </c>
      <c r="J712" s="65" t="s">
        <v>899</v>
      </c>
      <c r="K712" s="65"/>
      <c r="L712" s="65"/>
      <c r="M712" s="65"/>
      <c r="N712" s="65"/>
      <c r="O712" s="65" t="s">
        <v>924</v>
      </c>
      <c r="P712" s="65"/>
      <c r="Q712" s="65">
        <v>1</v>
      </c>
      <c r="R712" s="65">
        <v>1115</v>
      </c>
      <c r="S712" s="65"/>
    </row>
    <row r="713" spans="1:19" x14ac:dyDescent="0.25">
      <c r="A713" s="15">
        <v>35</v>
      </c>
      <c r="B713" s="65"/>
      <c r="C713" s="65">
        <v>2429</v>
      </c>
      <c r="D713" s="65"/>
      <c r="E713" s="65" t="s">
        <v>787</v>
      </c>
      <c r="F713" s="65">
        <v>3</v>
      </c>
      <c r="G713" s="65"/>
      <c r="H713" s="65" t="e">
        <v>#N/A</v>
      </c>
      <c r="I713" s="65"/>
      <c r="J713" s="65" t="s">
        <v>899</v>
      </c>
      <c r="K713" s="65"/>
      <c r="L713" s="65"/>
      <c r="M713" s="65"/>
      <c r="N713" s="65"/>
      <c r="O713" s="65" t="s">
        <v>936</v>
      </c>
      <c r="P713" s="65"/>
      <c r="Q713" s="65">
        <v>1</v>
      </c>
      <c r="R713" s="65">
        <v>1277</v>
      </c>
      <c r="S713" s="65"/>
    </row>
    <row r="714" spans="1:19" x14ac:dyDescent="0.25">
      <c r="A714" s="15">
        <v>35</v>
      </c>
      <c r="B714" s="65"/>
      <c r="C714" s="65">
        <v>2429</v>
      </c>
      <c r="D714" s="65"/>
      <c r="E714" s="65" t="s">
        <v>787</v>
      </c>
      <c r="F714" s="65">
        <v>5</v>
      </c>
      <c r="G714" s="65"/>
      <c r="H714" s="65" t="e">
        <v>#N/A</v>
      </c>
      <c r="I714" s="65"/>
      <c r="J714" s="65" t="s">
        <v>899</v>
      </c>
      <c r="K714" s="65"/>
      <c r="L714" s="65"/>
      <c r="M714" s="65"/>
      <c r="N714" s="65"/>
      <c r="O714" s="65" t="s">
        <v>938</v>
      </c>
      <c r="P714" s="65"/>
      <c r="Q714" s="65">
        <v>1</v>
      </c>
      <c r="R714" s="65">
        <v>1409</v>
      </c>
      <c r="S714" s="65"/>
    </row>
    <row r="715" spans="1:19" x14ac:dyDescent="0.25">
      <c r="A715" s="15">
        <v>36</v>
      </c>
      <c r="B715" s="65"/>
      <c r="C715" s="65"/>
      <c r="D715" s="65"/>
      <c r="E715" s="65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65"/>
      <c r="Q715" s="65"/>
      <c r="R715" s="65"/>
      <c r="S715" s="65"/>
    </row>
    <row r="716" spans="1:19" x14ac:dyDescent="0.25">
      <c r="A716" s="15">
        <v>36</v>
      </c>
      <c r="B716" s="65"/>
      <c r="C716" s="65"/>
      <c r="D716" s="65"/>
      <c r="E716" s="65"/>
      <c r="F716" s="65"/>
      <c r="G716" s="65"/>
      <c r="H716" s="65"/>
      <c r="I716" s="65"/>
      <c r="J716" s="65"/>
      <c r="K716" s="65"/>
      <c r="L716" s="65"/>
      <c r="M716" s="65"/>
      <c r="N716" s="65"/>
      <c r="O716" s="65" t="s">
        <v>822</v>
      </c>
      <c r="P716" s="65"/>
      <c r="Q716" s="65"/>
      <c r="R716" s="65"/>
      <c r="S716" s="65"/>
    </row>
    <row r="717" spans="1:19" x14ac:dyDescent="0.25">
      <c r="A717" s="15">
        <v>36</v>
      </c>
      <c r="B717" s="65"/>
      <c r="C717" s="65"/>
      <c r="D717" s="65"/>
      <c r="E717" s="65"/>
      <c r="F717" s="65"/>
      <c r="G717" s="65"/>
      <c r="H717" s="65"/>
      <c r="I717" s="65"/>
      <c r="J717" s="65"/>
      <c r="K717" s="65"/>
      <c r="L717" s="65"/>
      <c r="M717" s="65"/>
      <c r="N717" s="65"/>
      <c r="O717" s="65" t="s">
        <v>864</v>
      </c>
      <c r="P717" s="65"/>
      <c r="Q717" s="65"/>
      <c r="R717" s="65"/>
      <c r="S717" s="65"/>
    </row>
    <row r="718" spans="1:19" x14ac:dyDescent="0.25">
      <c r="A718" s="15">
        <v>36</v>
      </c>
      <c r="B718" s="65"/>
      <c r="C718" s="65"/>
      <c r="D718" s="65"/>
      <c r="E718" s="65"/>
      <c r="F718" s="65"/>
      <c r="G718" s="65"/>
      <c r="H718" s="65"/>
      <c r="I718" s="65"/>
      <c r="J718" s="65"/>
      <c r="K718" s="65"/>
      <c r="L718" s="65"/>
      <c r="M718" s="65"/>
      <c r="N718" s="65"/>
      <c r="O718" s="65" t="s">
        <v>871</v>
      </c>
      <c r="P718" s="65"/>
      <c r="Q718" s="65"/>
      <c r="R718" s="65"/>
      <c r="S718" s="65"/>
    </row>
    <row r="719" spans="1:19" x14ac:dyDescent="0.25">
      <c r="A719" s="15">
        <v>36</v>
      </c>
      <c r="B719" s="65"/>
      <c r="C719" s="65" t="s">
        <v>79</v>
      </c>
      <c r="D719" s="65"/>
      <c r="E719" s="65" t="s">
        <v>787</v>
      </c>
      <c r="F719" s="65">
        <v>8</v>
      </c>
      <c r="G719" s="65"/>
      <c r="H719" s="65">
        <v>7</v>
      </c>
      <c r="I719" s="65">
        <v>7.666666666666667</v>
      </c>
      <c r="J719" s="65" t="s">
        <v>879</v>
      </c>
      <c r="K719" s="65"/>
      <c r="L719" s="65"/>
      <c r="M719" s="65"/>
      <c r="N719" s="65"/>
      <c r="O719" s="65" t="s">
        <v>878</v>
      </c>
      <c r="P719" s="65"/>
      <c r="Q719" s="65">
        <v>1</v>
      </c>
      <c r="R719" s="65">
        <v>298</v>
      </c>
      <c r="S719" s="65"/>
    </row>
    <row r="720" spans="1:19" x14ac:dyDescent="0.25">
      <c r="A720" s="15">
        <v>36</v>
      </c>
      <c r="B720" s="65"/>
      <c r="C720" s="65">
        <v>2429</v>
      </c>
      <c r="D720" s="65"/>
      <c r="E720" s="65" t="s">
        <v>787</v>
      </c>
      <c r="F720" s="65">
        <v>8</v>
      </c>
      <c r="G720" s="65"/>
      <c r="H720" s="65"/>
      <c r="I720" s="65">
        <v>19.583333333333332</v>
      </c>
      <c r="J720" s="65" t="s">
        <v>879</v>
      </c>
      <c r="K720" s="65"/>
      <c r="L720" s="65"/>
      <c r="M720" s="65"/>
      <c r="N720" s="65"/>
      <c r="O720" s="65" t="s">
        <v>881</v>
      </c>
      <c r="P720" s="65"/>
      <c r="Q720" s="65">
        <v>1</v>
      </c>
      <c r="R720" s="65">
        <v>430</v>
      </c>
      <c r="S720" s="65"/>
    </row>
    <row r="721" spans="1:19" x14ac:dyDescent="0.25">
      <c r="A721" s="15">
        <v>36</v>
      </c>
      <c r="B721" s="65"/>
      <c r="C721" s="65">
        <v>2429</v>
      </c>
      <c r="D721" s="65"/>
      <c r="E721" s="65" t="s">
        <v>787</v>
      </c>
      <c r="F721" s="65">
        <v>1</v>
      </c>
      <c r="G721" s="65"/>
      <c r="H721" s="65" t="e">
        <v>#N/A</v>
      </c>
      <c r="I721" s="65"/>
      <c r="J721" s="65" t="s">
        <v>899</v>
      </c>
      <c r="K721" s="65" t="s">
        <v>900</v>
      </c>
      <c r="L721" s="65" t="s">
        <v>900</v>
      </c>
      <c r="M721" s="65" t="s">
        <v>900</v>
      </c>
      <c r="N721" s="65" t="s">
        <v>900</v>
      </c>
      <c r="O721" s="65" t="s">
        <v>898</v>
      </c>
      <c r="P721" s="65"/>
      <c r="Q721" s="65">
        <v>1</v>
      </c>
      <c r="R721" s="65">
        <v>662</v>
      </c>
      <c r="S721" s="65"/>
    </row>
    <row r="722" spans="1:19" x14ac:dyDescent="0.25">
      <c r="A722" s="15">
        <v>36</v>
      </c>
      <c r="B722" s="65"/>
      <c r="C722" s="65">
        <v>2429</v>
      </c>
      <c r="D722" s="65"/>
      <c r="E722" s="65" t="s">
        <v>787</v>
      </c>
      <c r="F722" s="65">
        <v>0</v>
      </c>
      <c r="G722" s="65"/>
      <c r="H722" s="65">
        <v>3</v>
      </c>
      <c r="I722" s="65" t="e">
        <v>#N/A</v>
      </c>
      <c r="J722" s="65" t="s">
        <v>899</v>
      </c>
      <c r="K722" s="65"/>
      <c r="L722" s="65"/>
      <c r="M722" s="65"/>
      <c r="N722" s="65"/>
      <c r="O722" s="65" t="s">
        <v>912</v>
      </c>
      <c r="P722" s="65"/>
      <c r="Q722" s="65">
        <v>1</v>
      </c>
      <c r="R722" s="65">
        <v>889</v>
      </c>
      <c r="S722" s="65"/>
    </row>
    <row r="723" spans="1:19" x14ac:dyDescent="0.25">
      <c r="A723" s="15">
        <v>36</v>
      </c>
      <c r="B723" s="65"/>
      <c r="C723" s="65">
        <v>2429</v>
      </c>
      <c r="D723" s="65"/>
      <c r="E723" s="65" t="s">
        <v>787</v>
      </c>
      <c r="F723" s="65">
        <v>3</v>
      </c>
      <c r="G723" s="65"/>
      <c r="H723" s="65">
        <v>3</v>
      </c>
      <c r="I723" s="65" t="e">
        <v>#N/A</v>
      </c>
      <c r="J723" s="65" t="s">
        <v>899</v>
      </c>
      <c r="K723" s="65"/>
      <c r="L723" s="65"/>
      <c r="M723" s="65"/>
      <c r="N723" s="65"/>
      <c r="O723" s="65" t="s">
        <v>924</v>
      </c>
      <c r="P723" s="65"/>
      <c r="Q723" s="65">
        <v>1</v>
      </c>
      <c r="R723" s="65">
        <v>1116</v>
      </c>
      <c r="S723" s="65"/>
    </row>
    <row r="724" spans="1:19" x14ac:dyDescent="0.25">
      <c r="A724" s="15">
        <v>36</v>
      </c>
      <c r="B724" s="65"/>
      <c r="C724" s="65">
        <v>2429</v>
      </c>
      <c r="D724" s="65"/>
      <c r="E724" s="65" t="s">
        <v>787</v>
      </c>
      <c r="F724" s="65">
        <v>3</v>
      </c>
      <c r="G724" s="65"/>
      <c r="H724" s="65" t="e">
        <v>#N/A</v>
      </c>
      <c r="I724" s="65"/>
      <c r="J724" s="65" t="s">
        <v>899</v>
      </c>
      <c r="K724" s="65"/>
      <c r="L724" s="65"/>
      <c r="M724" s="65"/>
      <c r="N724" s="65"/>
      <c r="O724" s="65" t="s">
        <v>936</v>
      </c>
      <c r="P724" s="65"/>
      <c r="Q724" s="65">
        <v>1</v>
      </c>
      <c r="R724" s="65">
        <v>1278</v>
      </c>
      <c r="S724" s="65"/>
    </row>
    <row r="725" spans="1:19" x14ac:dyDescent="0.25">
      <c r="A725" s="15">
        <v>36</v>
      </c>
      <c r="B725" s="65"/>
      <c r="C725" s="65">
        <v>2429</v>
      </c>
      <c r="D725" s="65"/>
      <c r="E725" s="65" t="s">
        <v>787</v>
      </c>
      <c r="F725" s="65">
        <v>5</v>
      </c>
      <c r="G725" s="65"/>
      <c r="H725" s="65" t="e">
        <v>#N/A</v>
      </c>
      <c r="I725" s="65"/>
      <c r="J725" s="65" t="s">
        <v>899</v>
      </c>
      <c r="K725" s="65"/>
      <c r="L725" s="65"/>
      <c r="M725" s="65"/>
      <c r="N725" s="65"/>
      <c r="O725" s="65" t="s">
        <v>938</v>
      </c>
      <c r="P725" s="65"/>
      <c r="Q725" s="65">
        <v>1</v>
      </c>
      <c r="R725" s="65">
        <v>1410</v>
      </c>
      <c r="S725" s="65"/>
    </row>
    <row r="726" spans="1:19" x14ac:dyDescent="0.25">
      <c r="A726" s="15">
        <v>37</v>
      </c>
      <c r="B726" s="65"/>
      <c r="C726" s="65"/>
      <c r="D726" s="65"/>
      <c r="E726" s="65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65"/>
      <c r="Q726" s="65"/>
      <c r="R726" s="65"/>
      <c r="S726" s="65"/>
    </row>
    <row r="727" spans="1:19" x14ac:dyDescent="0.25">
      <c r="A727" s="15">
        <v>37</v>
      </c>
      <c r="B727" s="65"/>
      <c r="C727" s="65"/>
      <c r="D727" s="65"/>
      <c r="E727" s="65"/>
      <c r="F727" s="65"/>
      <c r="G727" s="65"/>
      <c r="H727" s="65"/>
      <c r="I727" s="65"/>
      <c r="J727" s="65"/>
      <c r="K727" s="65"/>
      <c r="L727" s="65"/>
      <c r="M727" s="65"/>
      <c r="N727" s="65"/>
      <c r="O727" s="65" t="s">
        <v>823</v>
      </c>
      <c r="P727" s="65"/>
      <c r="Q727" s="65"/>
      <c r="R727" s="65"/>
      <c r="S727" s="65"/>
    </row>
    <row r="728" spans="1:19" x14ac:dyDescent="0.25">
      <c r="A728" s="15">
        <v>37</v>
      </c>
      <c r="B728" s="65"/>
      <c r="C728" s="65"/>
      <c r="D728" s="65"/>
      <c r="E728" s="65"/>
      <c r="F728" s="65"/>
      <c r="G728" s="65"/>
      <c r="H728" s="65"/>
      <c r="I728" s="65"/>
      <c r="J728" s="65"/>
      <c r="K728" s="65"/>
      <c r="L728" s="65"/>
      <c r="M728" s="65"/>
      <c r="N728" s="65"/>
      <c r="O728" s="65" t="s">
        <v>865</v>
      </c>
      <c r="P728" s="65"/>
      <c r="Q728" s="65"/>
      <c r="R728" s="65"/>
      <c r="S728" s="65"/>
    </row>
    <row r="729" spans="1:19" x14ac:dyDescent="0.25">
      <c r="A729" s="15">
        <v>37</v>
      </c>
      <c r="B729" s="65"/>
      <c r="C729" s="65"/>
      <c r="D729" s="65"/>
      <c r="E729" s="65"/>
      <c r="F729" s="65"/>
      <c r="G729" s="65"/>
      <c r="H729" s="65"/>
      <c r="I729" s="65"/>
      <c r="J729" s="65"/>
      <c r="K729" s="65"/>
      <c r="L729" s="65"/>
      <c r="M729" s="65"/>
      <c r="N729" s="65"/>
      <c r="O729" s="65" t="s">
        <v>876</v>
      </c>
      <c r="P729" s="65"/>
      <c r="Q729" s="65"/>
      <c r="R729" s="65"/>
      <c r="S729" s="65"/>
    </row>
    <row r="730" spans="1:19" x14ac:dyDescent="0.25">
      <c r="A730" s="15">
        <v>37</v>
      </c>
      <c r="B730" s="65"/>
      <c r="C730" s="65" t="s">
        <v>79</v>
      </c>
      <c r="D730" s="65"/>
      <c r="E730" s="65" t="s">
        <v>787</v>
      </c>
      <c r="F730" s="65">
        <v>8</v>
      </c>
      <c r="G730" s="65"/>
      <c r="H730" s="65">
        <v>10</v>
      </c>
      <c r="I730" s="65">
        <v>12.583333333333332</v>
      </c>
      <c r="J730" s="65" t="s">
        <v>879</v>
      </c>
      <c r="K730" s="65"/>
      <c r="L730" s="65"/>
      <c r="M730" s="65"/>
      <c r="N730" s="65"/>
      <c r="O730" s="65" t="s">
        <v>878</v>
      </c>
      <c r="P730" s="65"/>
      <c r="Q730" s="65">
        <v>1</v>
      </c>
      <c r="R730" s="65">
        <v>299</v>
      </c>
      <c r="S730" s="65"/>
    </row>
    <row r="731" spans="1:19" x14ac:dyDescent="0.25">
      <c r="A731" s="15">
        <v>37</v>
      </c>
      <c r="B731" s="65"/>
      <c r="C731" s="65">
        <v>2429</v>
      </c>
      <c r="D731" s="65"/>
      <c r="E731" s="65" t="s">
        <v>787</v>
      </c>
      <c r="F731" s="65">
        <v>8</v>
      </c>
      <c r="G731" s="65"/>
      <c r="H731" s="65"/>
      <c r="I731" s="65">
        <v>24.666666666666668</v>
      </c>
      <c r="J731" s="65" t="s">
        <v>879</v>
      </c>
      <c r="K731" s="65"/>
      <c r="L731" s="65"/>
      <c r="M731" s="65"/>
      <c r="N731" s="65"/>
      <c r="O731" s="65" t="s">
        <v>881</v>
      </c>
      <c r="P731" s="65"/>
      <c r="Q731" s="65">
        <v>1</v>
      </c>
      <c r="R731" s="65">
        <v>431</v>
      </c>
      <c r="S731" s="65"/>
    </row>
    <row r="732" spans="1:19" x14ac:dyDescent="0.25">
      <c r="A732" s="15">
        <v>37</v>
      </c>
      <c r="B732" s="65"/>
      <c r="C732" s="65">
        <v>2429</v>
      </c>
      <c r="D732" s="65"/>
      <c r="E732" s="65" t="s">
        <v>787</v>
      </c>
      <c r="F732" s="65">
        <v>10</v>
      </c>
      <c r="G732" s="65"/>
      <c r="H732" s="65"/>
      <c r="I732" s="65">
        <v>15.666666666666666</v>
      </c>
      <c r="J732" s="65" t="s">
        <v>879</v>
      </c>
      <c r="K732" s="65"/>
      <c r="L732" s="65"/>
      <c r="M732" s="65"/>
      <c r="N732" s="65"/>
      <c r="O732" s="65" t="s">
        <v>882</v>
      </c>
      <c r="P732" s="65"/>
      <c r="Q732" s="65">
        <v>1</v>
      </c>
      <c r="R732" s="65">
        <v>432</v>
      </c>
      <c r="S732" s="65"/>
    </row>
    <row r="733" spans="1:19" x14ac:dyDescent="0.25">
      <c r="A733" s="15">
        <v>37</v>
      </c>
      <c r="B733" s="65"/>
      <c r="C733" s="65">
        <v>2429</v>
      </c>
      <c r="D733" s="65"/>
      <c r="E733" s="65" t="s">
        <v>787</v>
      </c>
      <c r="F733" s="65">
        <v>6</v>
      </c>
      <c r="G733" s="65"/>
      <c r="H733" s="65"/>
      <c r="I733" s="65">
        <v>15.666666666666666</v>
      </c>
      <c r="J733" s="65" t="s">
        <v>879</v>
      </c>
      <c r="K733" s="65"/>
      <c r="L733" s="65"/>
      <c r="M733" s="65"/>
      <c r="N733" s="65"/>
      <c r="O733" s="65" t="s">
        <v>883</v>
      </c>
      <c r="P733" s="65"/>
      <c r="Q733" s="65">
        <v>1</v>
      </c>
      <c r="R733" s="65">
        <v>433</v>
      </c>
      <c r="S733" s="65"/>
    </row>
    <row r="734" spans="1:19" x14ac:dyDescent="0.25">
      <c r="A734" s="15">
        <v>37</v>
      </c>
      <c r="B734" s="65"/>
      <c r="C734" s="65">
        <v>2429</v>
      </c>
      <c r="D734" s="65"/>
      <c r="E734" s="65" t="s">
        <v>787</v>
      </c>
      <c r="F734" s="65">
        <v>6</v>
      </c>
      <c r="G734" s="65"/>
      <c r="H734" s="65"/>
      <c r="I734" s="65">
        <v>15.666666666666666</v>
      </c>
      <c r="J734" s="65" t="s">
        <v>879</v>
      </c>
      <c r="K734" s="65"/>
      <c r="L734" s="65"/>
      <c r="M734" s="65"/>
      <c r="N734" s="65"/>
      <c r="O734" s="65" t="s">
        <v>884</v>
      </c>
      <c r="P734" s="65"/>
      <c r="Q734" s="65">
        <v>1</v>
      </c>
      <c r="R734" s="65">
        <v>434</v>
      </c>
      <c r="S734" s="65"/>
    </row>
    <row r="735" spans="1:19" x14ac:dyDescent="0.25">
      <c r="A735" s="15">
        <v>37</v>
      </c>
      <c r="B735" s="65"/>
      <c r="C735" s="65">
        <v>2429</v>
      </c>
      <c r="D735" s="65"/>
      <c r="E735" s="65" t="s">
        <v>787</v>
      </c>
      <c r="F735" s="65">
        <v>6</v>
      </c>
      <c r="G735" s="65"/>
      <c r="H735" s="65"/>
      <c r="I735" s="65">
        <v>15.666666666666666</v>
      </c>
      <c r="J735" s="65" t="s">
        <v>879</v>
      </c>
      <c r="K735" s="65"/>
      <c r="L735" s="65"/>
      <c r="M735" s="65"/>
      <c r="N735" s="65"/>
      <c r="O735" s="65" t="s">
        <v>885</v>
      </c>
      <c r="P735" s="65"/>
      <c r="Q735" s="65">
        <v>1</v>
      </c>
      <c r="R735" s="65">
        <v>435</v>
      </c>
      <c r="S735" s="65"/>
    </row>
    <row r="736" spans="1:19" x14ac:dyDescent="0.25">
      <c r="A736" s="15">
        <v>37</v>
      </c>
      <c r="B736" s="65"/>
      <c r="C736" s="65">
        <v>2429</v>
      </c>
      <c r="D736" s="65"/>
      <c r="E736" s="65" t="s">
        <v>787</v>
      </c>
      <c r="F736" s="65">
        <v>6</v>
      </c>
      <c r="G736" s="65"/>
      <c r="H736" s="65"/>
      <c r="I736" s="65">
        <v>15.666666666666666</v>
      </c>
      <c r="J736" s="65" t="s">
        <v>879</v>
      </c>
      <c r="K736" s="65"/>
      <c r="L736" s="65"/>
      <c r="M736" s="65"/>
      <c r="N736" s="65"/>
      <c r="O736" s="65" t="s">
        <v>886</v>
      </c>
      <c r="P736" s="65"/>
      <c r="Q736" s="65">
        <v>1</v>
      </c>
      <c r="R736" s="65">
        <v>436</v>
      </c>
      <c r="S736" s="65"/>
    </row>
    <row r="737" spans="1:19" x14ac:dyDescent="0.25">
      <c r="A737" s="15">
        <v>37</v>
      </c>
      <c r="B737" s="65"/>
      <c r="C737" s="65">
        <v>2429</v>
      </c>
      <c r="D737" s="65"/>
      <c r="E737" s="65" t="s">
        <v>787</v>
      </c>
      <c r="F737" s="65">
        <v>6</v>
      </c>
      <c r="G737" s="65"/>
      <c r="H737" s="65"/>
      <c r="I737" s="65">
        <v>15.666666666666666</v>
      </c>
      <c r="J737" s="65" t="s">
        <v>879</v>
      </c>
      <c r="K737" s="65"/>
      <c r="L737" s="65"/>
      <c r="M737" s="65"/>
      <c r="N737" s="65"/>
      <c r="O737" s="65" t="s">
        <v>887</v>
      </c>
      <c r="P737" s="65"/>
      <c r="Q737" s="65">
        <v>1</v>
      </c>
      <c r="R737" s="65">
        <v>437</v>
      </c>
      <c r="S737" s="65"/>
    </row>
    <row r="738" spans="1:19" x14ac:dyDescent="0.25">
      <c r="A738" s="15">
        <v>37</v>
      </c>
      <c r="B738" s="65"/>
      <c r="C738" s="65">
        <v>2429</v>
      </c>
      <c r="D738" s="65"/>
      <c r="E738" s="65" t="s">
        <v>787</v>
      </c>
      <c r="F738" s="65">
        <v>6</v>
      </c>
      <c r="G738" s="65"/>
      <c r="H738" s="65"/>
      <c r="I738" s="65">
        <v>15.666666666666666</v>
      </c>
      <c r="J738" s="65" t="s">
        <v>879</v>
      </c>
      <c r="K738" s="65"/>
      <c r="L738" s="65"/>
      <c r="M738" s="65"/>
      <c r="N738" s="65"/>
      <c r="O738" s="65" t="s">
        <v>888</v>
      </c>
      <c r="P738" s="65"/>
      <c r="Q738" s="65">
        <v>1</v>
      </c>
      <c r="R738" s="65">
        <v>438</v>
      </c>
      <c r="S738" s="65"/>
    </row>
    <row r="739" spans="1:19" x14ac:dyDescent="0.25">
      <c r="A739" s="15">
        <v>37</v>
      </c>
      <c r="B739" s="65"/>
      <c r="C739" s="65">
        <v>2429</v>
      </c>
      <c r="D739" s="65"/>
      <c r="E739" s="65" t="s">
        <v>787</v>
      </c>
      <c r="F739" s="65">
        <v>6</v>
      </c>
      <c r="G739" s="65"/>
      <c r="H739" s="65"/>
      <c r="I739" s="65">
        <v>15.666666666666666</v>
      </c>
      <c r="J739" s="65" t="s">
        <v>879</v>
      </c>
      <c r="K739" s="65"/>
      <c r="L739" s="65"/>
      <c r="M739" s="65"/>
      <c r="N739" s="65"/>
      <c r="O739" s="65" t="s">
        <v>889</v>
      </c>
      <c r="P739" s="65"/>
      <c r="Q739" s="65">
        <v>1</v>
      </c>
      <c r="R739" s="65">
        <v>439</v>
      </c>
      <c r="S739" s="65"/>
    </row>
    <row r="740" spans="1:19" x14ac:dyDescent="0.25">
      <c r="A740" s="15">
        <v>37</v>
      </c>
      <c r="B740" s="65"/>
      <c r="C740" s="65">
        <v>2429</v>
      </c>
      <c r="D740" s="65"/>
      <c r="E740" s="65" t="s">
        <v>787</v>
      </c>
      <c r="F740" s="65">
        <v>6</v>
      </c>
      <c r="G740" s="65"/>
      <c r="H740" s="65"/>
      <c r="I740" s="65">
        <v>15.666666666666666</v>
      </c>
      <c r="J740" s="65" t="s">
        <v>879</v>
      </c>
      <c r="K740" s="65"/>
      <c r="L740" s="65"/>
      <c r="M740" s="65"/>
      <c r="N740" s="65"/>
      <c r="O740" s="65" t="s">
        <v>890</v>
      </c>
      <c r="P740" s="65"/>
      <c r="Q740" s="65">
        <v>1</v>
      </c>
      <c r="R740" s="65">
        <v>440</v>
      </c>
      <c r="S740" s="65"/>
    </row>
    <row r="741" spans="1:19" x14ac:dyDescent="0.25">
      <c r="A741" s="15">
        <v>37</v>
      </c>
      <c r="B741" s="65"/>
      <c r="C741" s="65">
        <v>2429</v>
      </c>
      <c r="D741" s="65"/>
      <c r="E741" s="65" t="s">
        <v>787</v>
      </c>
      <c r="F741" s="65">
        <v>6</v>
      </c>
      <c r="G741" s="65"/>
      <c r="H741" s="65"/>
      <c r="I741" s="65">
        <v>15.666666666666666</v>
      </c>
      <c r="J741" s="65" t="s">
        <v>879</v>
      </c>
      <c r="K741" s="65"/>
      <c r="L741" s="65"/>
      <c r="M741" s="65"/>
      <c r="N741" s="65"/>
      <c r="O741" s="65" t="s">
        <v>891</v>
      </c>
      <c r="P741" s="65"/>
      <c r="Q741" s="65">
        <v>1</v>
      </c>
      <c r="R741" s="65">
        <v>441</v>
      </c>
      <c r="S741" s="65"/>
    </row>
    <row r="742" spans="1:19" x14ac:dyDescent="0.25">
      <c r="A742" s="15">
        <v>37</v>
      </c>
      <c r="B742" s="65"/>
      <c r="C742" s="65">
        <v>2429</v>
      </c>
      <c r="D742" s="65"/>
      <c r="E742" s="65" t="s">
        <v>787</v>
      </c>
      <c r="F742" s="65">
        <v>10</v>
      </c>
      <c r="G742" s="65"/>
      <c r="H742" s="65"/>
      <c r="I742" s="65">
        <v>10.583333333333334</v>
      </c>
      <c r="J742" s="65" t="s">
        <v>879</v>
      </c>
      <c r="K742" s="65"/>
      <c r="L742" s="65"/>
      <c r="M742" s="65"/>
      <c r="N742" s="65"/>
      <c r="O742" s="65" t="s">
        <v>892</v>
      </c>
      <c r="P742" s="65"/>
      <c r="Q742" s="65">
        <v>1</v>
      </c>
      <c r="R742" s="65">
        <v>442</v>
      </c>
      <c r="S742" s="65"/>
    </row>
    <row r="743" spans="1:19" x14ac:dyDescent="0.25">
      <c r="A743" s="15">
        <v>37</v>
      </c>
      <c r="B743" s="65"/>
      <c r="C743" s="65">
        <v>2429</v>
      </c>
      <c r="D743" s="65"/>
      <c r="E743" s="65" t="s">
        <v>787</v>
      </c>
      <c r="F743" s="65" t="s">
        <v>893</v>
      </c>
      <c r="G743" s="65"/>
      <c r="H743" s="65">
        <v>0</v>
      </c>
      <c r="I743" s="65">
        <v>10.833333333333332</v>
      </c>
      <c r="J743" s="65" t="s">
        <v>895</v>
      </c>
      <c r="K743" s="65"/>
      <c r="L743" s="65"/>
      <c r="M743" s="65"/>
      <c r="N743" s="65"/>
      <c r="O743" s="65" t="s">
        <v>894</v>
      </c>
      <c r="P743" s="65"/>
      <c r="Q743" s="65">
        <v>1</v>
      </c>
      <c r="R743" s="65">
        <v>566</v>
      </c>
      <c r="S743" s="65"/>
    </row>
    <row r="744" spans="1:19" x14ac:dyDescent="0.25">
      <c r="A744" s="15">
        <v>37</v>
      </c>
      <c r="B744" s="65"/>
      <c r="C744" s="65">
        <v>2429</v>
      </c>
      <c r="D744" s="65"/>
      <c r="E744" s="65" t="s">
        <v>787</v>
      </c>
      <c r="F744" s="65">
        <v>1</v>
      </c>
      <c r="G744" s="65"/>
      <c r="H744" s="65" t="e">
        <v>#N/A</v>
      </c>
      <c r="I744" s="65"/>
      <c r="J744" s="65" t="s">
        <v>899</v>
      </c>
      <c r="K744" s="65" t="s">
        <v>900</v>
      </c>
      <c r="L744" s="65" t="s">
        <v>900</v>
      </c>
      <c r="M744" s="65" t="s">
        <v>900</v>
      </c>
      <c r="N744" s="65" t="s">
        <v>900</v>
      </c>
      <c r="O744" s="65" t="s">
        <v>898</v>
      </c>
      <c r="P744" s="65"/>
      <c r="Q744" s="65">
        <v>1</v>
      </c>
      <c r="R744" s="65">
        <v>663</v>
      </c>
      <c r="S744" s="65"/>
    </row>
    <row r="745" spans="1:19" x14ac:dyDescent="0.25">
      <c r="A745" s="15">
        <v>37</v>
      </c>
      <c r="B745" s="65"/>
      <c r="C745" s="65">
        <v>2429</v>
      </c>
      <c r="D745" s="65"/>
      <c r="E745" s="65" t="s">
        <v>787</v>
      </c>
      <c r="F745" s="65">
        <v>1</v>
      </c>
      <c r="G745" s="65"/>
      <c r="H745" s="65" t="e">
        <v>#N/A</v>
      </c>
      <c r="I745" s="65"/>
      <c r="J745" s="65" t="s">
        <v>899</v>
      </c>
      <c r="K745" s="65" t="s">
        <v>900</v>
      </c>
      <c r="L745" s="65" t="s">
        <v>900</v>
      </c>
      <c r="M745" s="65" t="s">
        <v>900</v>
      </c>
      <c r="N745" s="65" t="s">
        <v>900</v>
      </c>
      <c r="O745" s="65" t="s">
        <v>901</v>
      </c>
      <c r="P745" s="65"/>
      <c r="Q745" s="65">
        <v>1</v>
      </c>
      <c r="R745" s="65">
        <v>664</v>
      </c>
      <c r="S745" s="65"/>
    </row>
    <row r="746" spans="1:19" x14ac:dyDescent="0.25">
      <c r="A746" s="15">
        <v>37</v>
      </c>
      <c r="B746" s="65"/>
      <c r="C746" s="65">
        <v>2429</v>
      </c>
      <c r="D746" s="65"/>
      <c r="E746" s="65" t="s">
        <v>787</v>
      </c>
      <c r="F746" s="65">
        <v>1</v>
      </c>
      <c r="G746" s="65"/>
      <c r="H746" s="65" t="e">
        <v>#N/A</v>
      </c>
      <c r="I746" s="65"/>
      <c r="J746" s="65" t="s">
        <v>899</v>
      </c>
      <c r="K746" s="65" t="s">
        <v>900</v>
      </c>
      <c r="L746" s="65" t="s">
        <v>900</v>
      </c>
      <c r="M746" s="65" t="s">
        <v>900</v>
      </c>
      <c r="N746" s="65" t="s">
        <v>900</v>
      </c>
      <c r="O746" s="65" t="s">
        <v>902</v>
      </c>
      <c r="P746" s="65"/>
      <c r="Q746" s="65">
        <v>1</v>
      </c>
      <c r="R746" s="65">
        <v>665</v>
      </c>
      <c r="S746" s="65"/>
    </row>
    <row r="747" spans="1:19" x14ac:dyDescent="0.25">
      <c r="A747" s="15">
        <v>37</v>
      </c>
      <c r="B747" s="65"/>
      <c r="C747" s="65">
        <v>2429</v>
      </c>
      <c r="D747" s="65"/>
      <c r="E747" s="65" t="s">
        <v>787</v>
      </c>
      <c r="F747" s="65">
        <v>1</v>
      </c>
      <c r="G747" s="65"/>
      <c r="H747" s="65" t="e">
        <v>#N/A</v>
      </c>
      <c r="I747" s="65"/>
      <c r="J747" s="65" t="s">
        <v>899</v>
      </c>
      <c r="K747" s="65" t="s">
        <v>900</v>
      </c>
      <c r="L747" s="65" t="s">
        <v>900</v>
      </c>
      <c r="M747" s="65" t="s">
        <v>900</v>
      </c>
      <c r="N747" s="65" t="s">
        <v>900</v>
      </c>
      <c r="O747" s="65" t="s">
        <v>903</v>
      </c>
      <c r="P747" s="65"/>
      <c r="Q747" s="65">
        <v>1</v>
      </c>
      <c r="R747" s="65">
        <v>666</v>
      </c>
      <c r="S747" s="65"/>
    </row>
    <row r="748" spans="1:19" x14ac:dyDescent="0.25">
      <c r="A748" s="15">
        <v>37</v>
      </c>
      <c r="B748" s="65"/>
      <c r="C748" s="65">
        <v>2429</v>
      </c>
      <c r="D748" s="65"/>
      <c r="E748" s="65" t="s">
        <v>787</v>
      </c>
      <c r="F748" s="65">
        <v>1</v>
      </c>
      <c r="G748" s="65"/>
      <c r="H748" s="65" t="e">
        <v>#N/A</v>
      </c>
      <c r="I748" s="65"/>
      <c r="J748" s="65" t="s">
        <v>899</v>
      </c>
      <c r="K748" s="65" t="s">
        <v>900</v>
      </c>
      <c r="L748" s="65" t="s">
        <v>900</v>
      </c>
      <c r="M748" s="65" t="s">
        <v>900</v>
      </c>
      <c r="N748" s="65" t="s">
        <v>900</v>
      </c>
      <c r="O748" s="65" t="s">
        <v>904</v>
      </c>
      <c r="P748" s="65"/>
      <c r="Q748" s="65">
        <v>1</v>
      </c>
      <c r="R748" s="65">
        <v>667</v>
      </c>
      <c r="S748" s="65"/>
    </row>
    <row r="749" spans="1:19" x14ac:dyDescent="0.25">
      <c r="A749" s="15">
        <v>37</v>
      </c>
      <c r="B749" s="65"/>
      <c r="C749" s="65">
        <v>2429</v>
      </c>
      <c r="D749" s="65"/>
      <c r="E749" s="65" t="s">
        <v>787</v>
      </c>
      <c r="F749" s="65">
        <v>1</v>
      </c>
      <c r="G749" s="65"/>
      <c r="H749" s="65" t="e">
        <v>#N/A</v>
      </c>
      <c r="I749" s="65"/>
      <c r="J749" s="65" t="s">
        <v>899</v>
      </c>
      <c r="K749" s="65" t="s">
        <v>900</v>
      </c>
      <c r="L749" s="65" t="s">
        <v>900</v>
      </c>
      <c r="M749" s="65" t="s">
        <v>900</v>
      </c>
      <c r="N749" s="65" t="s">
        <v>900</v>
      </c>
      <c r="O749" s="65" t="s">
        <v>905</v>
      </c>
      <c r="P749" s="65"/>
      <c r="Q749" s="65">
        <v>1</v>
      </c>
      <c r="R749" s="65">
        <v>668</v>
      </c>
      <c r="S749" s="65"/>
    </row>
    <row r="750" spans="1:19" x14ac:dyDescent="0.25">
      <c r="A750" s="15">
        <v>37</v>
      </c>
      <c r="B750" s="65"/>
      <c r="C750" s="65">
        <v>2429</v>
      </c>
      <c r="D750" s="65"/>
      <c r="E750" s="65" t="s">
        <v>787</v>
      </c>
      <c r="F750" s="65">
        <v>1</v>
      </c>
      <c r="G750" s="65"/>
      <c r="H750" s="65" t="e">
        <v>#N/A</v>
      </c>
      <c r="I750" s="65"/>
      <c r="J750" s="65" t="s">
        <v>899</v>
      </c>
      <c r="K750" s="65" t="s">
        <v>900</v>
      </c>
      <c r="L750" s="65" t="s">
        <v>900</v>
      </c>
      <c r="M750" s="65" t="s">
        <v>900</v>
      </c>
      <c r="N750" s="65" t="s">
        <v>900</v>
      </c>
      <c r="O750" s="65" t="s">
        <v>906</v>
      </c>
      <c r="P750" s="65"/>
      <c r="Q750" s="65">
        <v>1</v>
      </c>
      <c r="R750" s="65">
        <v>669</v>
      </c>
      <c r="S750" s="65"/>
    </row>
    <row r="751" spans="1:19" x14ac:dyDescent="0.25">
      <c r="A751" s="15">
        <v>37</v>
      </c>
      <c r="B751" s="65"/>
      <c r="C751" s="65">
        <v>2429</v>
      </c>
      <c r="D751" s="65"/>
      <c r="E751" s="65" t="s">
        <v>787</v>
      </c>
      <c r="F751" s="65">
        <v>1</v>
      </c>
      <c r="G751" s="65"/>
      <c r="H751" s="65" t="e">
        <v>#N/A</v>
      </c>
      <c r="I751" s="65"/>
      <c r="J751" s="65" t="s">
        <v>899</v>
      </c>
      <c r="K751" s="65" t="s">
        <v>900</v>
      </c>
      <c r="L751" s="65" t="s">
        <v>900</v>
      </c>
      <c r="M751" s="65" t="s">
        <v>900</v>
      </c>
      <c r="N751" s="65" t="s">
        <v>900</v>
      </c>
      <c r="O751" s="65" t="s">
        <v>907</v>
      </c>
      <c r="P751" s="65"/>
      <c r="Q751" s="65">
        <v>1</v>
      </c>
      <c r="R751" s="65">
        <v>670</v>
      </c>
      <c r="S751" s="65"/>
    </row>
    <row r="752" spans="1:19" x14ac:dyDescent="0.25">
      <c r="A752" s="15">
        <v>37</v>
      </c>
      <c r="B752" s="65"/>
      <c r="C752" s="65">
        <v>2429</v>
      </c>
      <c r="D752" s="65"/>
      <c r="E752" s="65" t="s">
        <v>787</v>
      </c>
      <c r="F752" s="65">
        <v>1</v>
      </c>
      <c r="G752" s="65"/>
      <c r="H752" s="65" t="e">
        <v>#N/A</v>
      </c>
      <c r="I752" s="65"/>
      <c r="J752" s="65" t="s">
        <v>899</v>
      </c>
      <c r="K752" s="65" t="s">
        <v>900</v>
      </c>
      <c r="L752" s="65" t="s">
        <v>900</v>
      </c>
      <c r="M752" s="65" t="s">
        <v>900</v>
      </c>
      <c r="N752" s="65" t="s">
        <v>900</v>
      </c>
      <c r="O752" s="65" t="s">
        <v>908</v>
      </c>
      <c r="P752" s="65"/>
      <c r="Q752" s="65">
        <v>1</v>
      </c>
      <c r="R752" s="65">
        <v>671</v>
      </c>
      <c r="S752" s="65"/>
    </row>
    <row r="753" spans="1:19" x14ac:dyDescent="0.25">
      <c r="A753" s="15">
        <v>37</v>
      </c>
      <c r="B753" s="65"/>
      <c r="C753" s="65">
        <v>2429</v>
      </c>
      <c r="D753" s="65"/>
      <c r="E753" s="65" t="s">
        <v>787</v>
      </c>
      <c r="F753" s="65">
        <v>1</v>
      </c>
      <c r="G753" s="65"/>
      <c r="H753" s="65" t="e">
        <v>#N/A</v>
      </c>
      <c r="I753" s="65"/>
      <c r="J753" s="65" t="s">
        <v>899</v>
      </c>
      <c r="K753" s="65" t="s">
        <v>900</v>
      </c>
      <c r="L753" s="65" t="s">
        <v>900</v>
      </c>
      <c r="M753" s="65" t="s">
        <v>900</v>
      </c>
      <c r="N753" s="65" t="s">
        <v>900</v>
      </c>
      <c r="O753" s="65" t="s">
        <v>909</v>
      </c>
      <c r="P753" s="65"/>
      <c r="Q753" s="65">
        <v>1</v>
      </c>
      <c r="R753" s="65">
        <v>672</v>
      </c>
      <c r="S753" s="65"/>
    </row>
    <row r="754" spans="1:19" x14ac:dyDescent="0.25">
      <c r="A754" s="15">
        <v>37</v>
      </c>
      <c r="B754" s="65"/>
      <c r="C754" s="65">
        <v>2429</v>
      </c>
      <c r="D754" s="65"/>
      <c r="E754" s="65" t="s">
        <v>787</v>
      </c>
      <c r="F754" s="65">
        <v>1</v>
      </c>
      <c r="G754" s="65"/>
      <c r="H754" s="65" t="e">
        <v>#N/A</v>
      </c>
      <c r="I754" s="65"/>
      <c r="J754" s="65" t="s">
        <v>899</v>
      </c>
      <c r="K754" s="65" t="s">
        <v>900</v>
      </c>
      <c r="L754" s="65" t="s">
        <v>900</v>
      </c>
      <c r="M754" s="65" t="s">
        <v>900</v>
      </c>
      <c r="N754" s="65" t="s">
        <v>900</v>
      </c>
      <c r="O754" s="65" t="s">
        <v>910</v>
      </c>
      <c r="P754" s="65"/>
      <c r="Q754" s="65">
        <v>1</v>
      </c>
      <c r="R754" s="65">
        <v>673</v>
      </c>
      <c r="S754" s="65"/>
    </row>
    <row r="755" spans="1:19" x14ac:dyDescent="0.25">
      <c r="A755" s="15">
        <v>37</v>
      </c>
      <c r="B755" s="65"/>
      <c r="C755" s="65">
        <v>2429</v>
      </c>
      <c r="D755" s="65"/>
      <c r="E755" s="65" t="s">
        <v>787</v>
      </c>
      <c r="F755" s="65">
        <v>1</v>
      </c>
      <c r="G755" s="65"/>
      <c r="H755" s="65" t="e">
        <v>#N/A</v>
      </c>
      <c r="I755" s="65"/>
      <c r="J755" s="65" t="s">
        <v>899</v>
      </c>
      <c r="K755" s="65" t="s">
        <v>900</v>
      </c>
      <c r="L755" s="65" t="s">
        <v>900</v>
      </c>
      <c r="M755" s="65" t="s">
        <v>900</v>
      </c>
      <c r="N755" s="65" t="s">
        <v>900</v>
      </c>
      <c r="O755" s="65" t="s">
        <v>911</v>
      </c>
      <c r="P755" s="65"/>
      <c r="Q755" s="65">
        <v>1</v>
      </c>
      <c r="R755" s="65">
        <v>674</v>
      </c>
      <c r="S755" s="65"/>
    </row>
    <row r="756" spans="1:19" x14ac:dyDescent="0.25">
      <c r="A756" s="15">
        <v>37</v>
      </c>
      <c r="B756" s="65"/>
      <c r="C756" s="65">
        <v>2429</v>
      </c>
      <c r="D756" s="65"/>
      <c r="E756" s="65" t="s">
        <v>787</v>
      </c>
      <c r="F756" s="65">
        <v>0</v>
      </c>
      <c r="G756" s="65"/>
      <c r="H756" s="65">
        <v>3</v>
      </c>
      <c r="I756" s="65" t="e">
        <v>#N/A</v>
      </c>
      <c r="J756" s="65" t="s">
        <v>899</v>
      </c>
      <c r="K756" s="65"/>
      <c r="L756" s="65"/>
      <c r="M756" s="65"/>
      <c r="N756" s="65"/>
      <c r="O756" s="65" t="s">
        <v>912</v>
      </c>
      <c r="P756" s="65"/>
      <c r="Q756" s="65">
        <v>1</v>
      </c>
      <c r="R756" s="65">
        <v>890</v>
      </c>
      <c r="S756" s="65"/>
    </row>
    <row r="757" spans="1:19" x14ac:dyDescent="0.25">
      <c r="A757" s="15">
        <v>37</v>
      </c>
      <c r="B757" s="65"/>
      <c r="C757" s="65">
        <v>2429</v>
      </c>
      <c r="D757" s="65"/>
      <c r="E757" s="65" t="s">
        <v>787</v>
      </c>
      <c r="F757" s="65">
        <v>0</v>
      </c>
      <c r="G757" s="65"/>
      <c r="H757" s="65">
        <v>3</v>
      </c>
      <c r="I757" s="65" t="e">
        <v>#N/A</v>
      </c>
      <c r="J757" s="65" t="s">
        <v>899</v>
      </c>
      <c r="K757" s="65"/>
      <c r="L757" s="65"/>
      <c r="M757" s="65"/>
      <c r="N757" s="65"/>
      <c r="O757" s="65" t="s">
        <v>913</v>
      </c>
      <c r="P757" s="65"/>
      <c r="Q757" s="65">
        <v>1</v>
      </c>
      <c r="R757" s="65">
        <v>891</v>
      </c>
      <c r="S757" s="65"/>
    </row>
    <row r="758" spans="1:19" x14ac:dyDescent="0.25">
      <c r="A758" s="15">
        <v>37</v>
      </c>
      <c r="B758" s="65"/>
      <c r="C758" s="65">
        <v>2429</v>
      </c>
      <c r="D758" s="65"/>
      <c r="E758" s="65" t="s">
        <v>787</v>
      </c>
      <c r="F758" s="65">
        <v>0</v>
      </c>
      <c r="G758" s="65"/>
      <c r="H758" s="65">
        <v>3</v>
      </c>
      <c r="I758" s="65" t="e">
        <v>#N/A</v>
      </c>
      <c r="J758" s="65" t="s">
        <v>899</v>
      </c>
      <c r="K758" s="65"/>
      <c r="L758" s="65"/>
      <c r="M758" s="65"/>
      <c r="N758" s="65"/>
      <c r="O758" s="65" t="s">
        <v>914</v>
      </c>
      <c r="P758" s="65"/>
      <c r="Q758" s="65">
        <v>1</v>
      </c>
      <c r="R758" s="65">
        <v>892</v>
      </c>
      <c r="S758" s="65"/>
    </row>
    <row r="759" spans="1:19" x14ac:dyDescent="0.25">
      <c r="A759" s="15">
        <v>37</v>
      </c>
      <c r="B759" s="65"/>
      <c r="C759" s="65">
        <v>2429</v>
      </c>
      <c r="D759" s="65"/>
      <c r="E759" s="65" t="s">
        <v>787</v>
      </c>
      <c r="F759" s="65">
        <v>0</v>
      </c>
      <c r="G759" s="65"/>
      <c r="H759" s="65">
        <v>3</v>
      </c>
      <c r="I759" s="65" t="e">
        <v>#N/A</v>
      </c>
      <c r="J759" s="65" t="s">
        <v>899</v>
      </c>
      <c r="K759" s="65"/>
      <c r="L759" s="65"/>
      <c r="M759" s="65"/>
      <c r="N759" s="65"/>
      <c r="O759" s="65" t="s">
        <v>915</v>
      </c>
      <c r="P759" s="65"/>
      <c r="Q759" s="65">
        <v>1</v>
      </c>
      <c r="R759" s="65">
        <v>893</v>
      </c>
      <c r="S759" s="65"/>
    </row>
    <row r="760" spans="1:19" x14ac:dyDescent="0.25">
      <c r="A760" s="15">
        <v>37</v>
      </c>
      <c r="B760" s="65"/>
      <c r="C760" s="65">
        <v>2429</v>
      </c>
      <c r="D760" s="65"/>
      <c r="E760" s="65" t="s">
        <v>787</v>
      </c>
      <c r="F760" s="65">
        <v>0</v>
      </c>
      <c r="G760" s="65"/>
      <c r="H760" s="65">
        <v>3</v>
      </c>
      <c r="I760" s="65" t="e">
        <v>#N/A</v>
      </c>
      <c r="J760" s="65" t="s">
        <v>899</v>
      </c>
      <c r="K760" s="65"/>
      <c r="L760" s="65"/>
      <c r="M760" s="65"/>
      <c r="N760" s="65"/>
      <c r="O760" s="65" t="s">
        <v>916</v>
      </c>
      <c r="P760" s="65"/>
      <c r="Q760" s="65">
        <v>1</v>
      </c>
      <c r="R760" s="65">
        <v>894</v>
      </c>
      <c r="S760" s="65"/>
    </row>
    <row r="761" spans="1:19" x14ac:dyDescent="0.25">
      <c r="A761" s="15">
        <v>37</v>
      </c>
      <c r="B761" s="65"/>
      <c r="C761" s="65">
        <v>2429</v>
      </c>
      <c r="D761" s="65"/>
      <c r="E761" s="65" t="s">
        <v>787</v>
      </c>
      <c r="F761" s="65">
        <v>0</v>
      </c>
      <c r="G761" s="65"/>
      <c r="H761" s="65">
        <v>3</v>
      </c>
      <c r="I761" s="65" t="e">
        <v>#N/A</v>
      </c>
      <c r="J761" s="65" t="s">
        <v>899</v>
      </c>
      <c r="K761" s="65"/>
      <c r="L761" s="65"/>
      <c r="M761" s="65"/>
      <c r="N761" s="65"/>
      <c r="O761" s="65" t="s">
        <v>917</v>
      </c>
      <c r="P761" s="65"/>
      <c r="Q761" s="65">
        <v>1</v>
      </c>
      <c r="R761" s="65">
        <v>895</v>
      </c>
      <c r="S761" s="65"/>
    </row>
    <row r="762" spans="1:19" x14ac:dyDescent="0.25">
      <c r="A762" s="15">
        <v>37</v>
      </c>
      <c r="B762" s="65"/>
      <c r="C762" s="65">
        <v>2429</v>
      </c>
      <c r="D762" s="65"/>
      <c r="E762" s="65" t="s">
        <v>787</v>
      </c>
      <c r="F762" s="65">
        <v>0</v>
      </c>
      <c r="G762" s="65"/>
      <c r="H762" s="65">
        <v>3</v>
      </c>
      <c r="I762" s="65" t="e">
        <v>#N/A</v>
      </c>
      <c r="J762" s="65" t="s">
        <v>899</v>
      </c>
      <c r="K762" s="65"/>
      <c r="L762" s="65"/>
      <c r="M762" s="65"/>
      <c r="N762" s="65"/>
      <c r="O762" s="65" t="s">
        <v>918</v>
      </c>
      <c r="P762" s="65"/>
      <c r="Q762" s="65">
        <v>1</v>
      </c>
      <c r="R762" s="65">
        <v>896</v>
      </c>
      <c r="S762" s="65"/>
    </row>
    <row r="763" spans="1:19" x14ac:dyDescent="0.25">
      <c r="A763" s="15">
        <v>37</v>
      </c>
      <c r="B763" s="65"/>
      <c r="C763" s="65">
        <v>2429</v>
      </c>
      <c r="D763" s="65"/>
      <c r="E763" s="65" t="s">
        <v>787</v>
      </c>
      <c r="F763" s="65">
        <v>0</v>
      </c>
      <c r="G763" s="65"/>
      <c r="H763" s="65">
        <v>3</v>
      </c>
      <c r="I763" s="65" t="e">
        <v>#N/A</v>
      </c>
      <c r="J763" s="65" t="s">
        <v>899</v>
      </c>
      <c r="K763" s="65"/>
      <c r="L763" s="65"/>
      <c r="M763" s="65"/>
      <c r="N763" s="65"/>
      <c r="O763" s="65" t="s">
        <v>919</v>
      </c>
      <c r="P763" s="65"/>
      <c r="Q763" s="65">
        <v>1</v>
      </c>
      <c r="R763" s="65">
        <v>897</v>
      </c>
      <c r="S763" s="65"/>
    </row>
    <row r="764" spans="1:19" x14ac:dyDescent="0.25">
      <c r="A764" s="15">
        <v>37</v>
      </c>
      <c r="B764" s="65"/>
      <c r="C764" s="65">
        <v>2429</v>
      </c>
      <c r="D764" s="65"/>
      <c r="E764" s="65" t="s">
        <v>787</v>
      </c>
      <c r="F764" s="65">
        <v>0</v>
      </c>
      <c r="G764" s="65"/>
      <c r="H764" s="65">
        <v>3</v>
      </c>
      <c r="I764" s="65" t="e">
        <v>#N/A</v>
      </c>
      <c r="J764" s="65" t="s">
        <v>899</v>
      </c>
      <c r="K764" s="65"/>
      <c r="L764" s="65"/>
      <c r="M764" s="65"/>
      <c r="N764" s="65"/>
      <c r="O764" s="65" t="s">
        <v>920</v>
      </c>
      <c r="P764" s="65"/>
      <c r="Q764" s="65">
        <v>1</v>
      </c>
      <c r="R764" s="65">
        <v>898</v>
      </c>
      <c r="S764" s="65"/>
    </row>
    <row r="765" spans="1:19" x14ac:dyDescent="0.25">
      <c r="A765" s="15">
        <v>37</v>
      </c>
      <c r="B765" s="65"/>
      <c r="C765" s="65">
        <v>2429</v>
      </c>
      <c r="D765" s="65"/>
      <c r="E765" s="65" t="s">
        <v>787</v>
      </c>
      <c r="F765" s="65">
        <v>0</v>
      </c>
      <c r="G765" s="65"/>
      <c r="H765" s="65">
        <v>3</v>
      </c>
      <c r="I765" s="65" t="e">
        <v>#N/A</v>
      </c>
      <c r="J765" s="65" t="s">
        <v>899</v>
      </c>
      <c r="K765" s="65"/>
      <c r="L765" s="65"/>
      <c r="M765" s="65"/>
      <c r="N765" s="65"/>
      <c r="O765" s="65" t="s">
        <v>921</v>
      </c>
      <c r="P765" s="65"/>
      <c r="Q765" s="65">
        <v>1</v>
      </c>
      <c r="R765" s="65">
        <v>899</v>
      </c>
      <c r="S765" s="65"/>
    </row>
    <row r="766" spans="1:19" x14ac:dyDescent="0.25">
      <c r="A766" s="15">
        <v>37</v>
      </c>
      <c r="B766" s="65"/>
      <c r="C766" s="65">
        <v>2429</v>
      </c>
      <c r="D766" s="65"/>
      <c r="E766" s="65" t="s">
        <v>787</v>
      </c>
      <c r="F766" s="65">
        <v>0</v>
      </c>
      <c r="G766" s="65"/>
      <c r="H766" s="65">
        <v>3</v>
      </c>
      <c r="I766" s="65" t="e">
        <v>#N/A</v>
      </c>
      <c r="J766" s="65" t="s">
        <v>899</v>
      </c>
      <c r="K766" s="65"/>
      <c r="L766" s="65"/>
      <c r="M766" s="65"/>
      <c r="N766" s="65"/>
      <c r="O766" s="65" t="s">
        <v>922</v>
      </c>
      <c r="P766" s="65"/>
      <c r="Q766" s="65">
        <v>1</v>
      </c>
      <c r="R766" s="65">
        <v>900</v>
      </c>
      <c r="S766" s="65"/>
    </row>
    <row r="767" spans="1:19" x14ac:dyDescent="0.25">
      <c r="A767" s="15">
        <v>37</v>
      </c>
      <c r="B767" s="65"/>
      <c r="C767" s="65">
        <v>2429</v>
      </c>
      <c r="D767" s="65"/>
      <c r="E767" s="65" t="s">
        <v>787</v>
      </c>
      <c r="F767" s="65">
        <v>0</v>
      </c>
      <c r="G767" s="65"/>
      <c r="H767" s="65">
        <v>3</v>
      </c>
      <c r="I767" s="65" t="e">
        <v>#N/A</v>
      </c>
      <c r="J767" s="65" t="s">
        <v>899</v>
      </c>
      <c r="K767" s="65"/>
      <c r="L767" s="65"/>
      <c r="M767" s="65"/>
      <c r="N767" s="65"/>
      <c r="O767" s="65" t="s">
        <v>923</v>
      </c>
      <c r="P767" s="65"/>
      <c r="Q767" s="65">
        <v>1</v>
      </c>
      <c r="R767" s="65">
        <v>901</v>
      </c>
      <c r="S767" s="65"/>
    </row>
    <row r="768" spans="1:19" x14ac:dyDescent="0.25">
      <c r="A768" s="15">
        <v>37</v>
      </c>
      <c r="B768" s="65"/>
      <c r="C768" s="65">
        <v>2429</v>
      </c>
      <c r="D768" s="65"/>
      <c r="E768" s="65" t="s">
        <v>787</v>
      </c>
      <c r="F768" s="65">
        <v>3</v>
      </c>
      <c r="G768" s="65"/>
      <c r="H768" s="65">
        <v>3</v>
      </c>
      <c r="I768" s="65" t="e">
        <v>#N/A</v>
      </c>
      <c r="J768" s="65" t="s">
        <v>899</v>
      </c>
      <c r="K768" s="65"/>
      <c r="L768" s="65"/>
      <c r="M768" s="65"/>
      <c r="N768" s="65"/>
      <c r="O768" s="65" t="s">
        <v>924</v>
      </c>
      <c r="P768" s="65"/>
      <c r="Q768" s="65">
        <v>1</v>
      </c>
      <c r="R768" s="65">
        <v>1117</v>
      </c>
      <c r="S768" s="65"/>
    </row>
    <row r="769" spans="1:19" x14ac:dyDescent="0.25">
      <c r="A769" s="15">
        <v>37</v>
      </c>
      <c r="B769" s="65"/>
      <c r="C769" s="65">
        <v>2429</v>
      </c>
      <c r="D769" s="65"/>
      <c r="E769" s="65" t="s">
        <v>787</v>
      </c>
      <c r="F769" s="65">
        <v>3</v>
      </c>
      <c r="G769" s="65"/>
      <c r="H769" s="65">
        <v>3</v>
      </c>
      <c r="I769" s="65" t="e">
        <v>#N/A</v>
      </c>
      <c r="J769" s="65" t="s">
        <v>899</v>
      </c>
      <c r="K769" s="65"/>
      <c r="L769" s="65"/>
      <c r="M769" s="65"/>
      <c r="N769" s="65"/>
      <c r="O769" s="65" t="s">
        <v>925</v>
      </c>
      <c r="P769" s="65"/>
      <c r="Q769" s="65">
        <v>1</v>
      </c>
      <c r="R769" s="65">
        <v>1118</v>
      </c>
      <c r="S769" s="65"/>
    </row>
    <row r="770" spans="1:19" x14ac:dyDescent="0.25">
      <c r="A770" s="15">
        <v>37</v>
      </c>
      <c r="B770" s="65"/>
      <c r="C770" s="65">
        <v>2429</v>
      </c>
      <c r="D770" s="65"/>
      <c r="E770" s="65" t="s">
        <v>787</v>
      </c>
      <c r="F770" s="65">
        <v>3</v>
      </c>
      <c r="G770" s="65"/>
      <c r="H770" s="65">
        <v>3</v>
      </c>
      <c r="I770" s="65" t="e">
        <v>#N/A</v>
      </c>
      <c r="J770" s="65" t="s">
        <v>899</v>
      </c>
      <c r="K770" s="65"/>
      <c r="L770" s="65"/>
      <c r="M770" s="65"/>
      <c r="N770" s="65"/>
      <c r="O770" s="65" t="s">
        <v>926</v>
      </c>
      <c r="P770" s="65"/>
      <c r="Q770" s="65">
        <v>1</v>
      </c>
      <c r="R770" s="65">
        <v>1119</v>
      </c>
      <c r="S770" s="65"/>
    </row>
    <row r="771" spans="1:19" x14ac:dyDescent="0.25">
      <c r="A771" s="15">
        <v>37</v>
      </c>
      <c r="B771" s="65"/>
      <c r="C771" s="65">
        <v>2429</v>
      </c>
      <c r="D771" s="65"/>
      <c r="E771" s="65" t="s">
        <v>787</v>
      </c>
      <c r="F771" s="65">
        <v>3</v>
      </c>
      <c r="G771" s="65"/>
      <c r="H771" s="65">
        <v>3</v>
      </c>
      <c r="I771" s="65" t="e">
        <v>#N/A</v>
      </c>
      <c r="J771" s="65" t="s">
        <v>899</v>
      </c>
      <c r="K771" s="65"/>
      <c r="L771" s="65"/>
      <c r="M771" s="65"/>
      <c r="N771" s="65"/>
      <c r="O771" s="65" t="s">
        <v>927</v>
      </c>
      <c r="P771" s="65"/>
      <c r="Q771" s="65">
        <v>1</v>
      </c>
      <c r="R771" s="65">
        <v>1120</v>
      </c>
      <c r="S771" s="65"/>
    </row>
    <row r="772" spans="1:19" x14ac:dyDescent="0.25">
      <c r="A772" s="15">
        <v>37</v>
      </c>
      <c r="B772" s="65"/>
      <c r="C772" s="65">
        <v>2429</v>
      </c>
      <c r="D772" s="65"/>
      <c r="E772" s="65" t="s">
        <v>787</v>
      </c>
      <c r="F772" s="65">
        <v>3</v>
      </c>
      <c r="G772" s="65"/>
      <c r="H772" s="65">
        <v>3</v>
      </c>
      <c r="I772" s="65" t="e">
        <v>#N/A</v>
      </c>
      <c r="J772" s="65" t="s">
        <v>899</v>
      </c>
      <c r="K772" s="65"/>
      <c r="L772" s="65"/>
      <c r="M772" s="65"/>
      <c r="N772" s="65"/>
      <c r="O772" s="65" t="s">
        <v>928</v>
      </c>
      <c r="P772" s="65"/>
      <c r="Q772" s="65">
        <v>1</v>
      </c>
      <c r="R772" s="65">
        <v>1121</v>
      </c>
      <c r="S772" s="65"/>
    </row>
    <row r="773" spans="1:19" x14ac:dyDescent="0.25">
      <c r="A773" s="15">
        <v>37</v>
      </c>
      <c r="B773" s="65"/>
      <c r="C773" s="65">
        <v>2429</v>
      </c>
      <c r="D773" s="65"/>
      <c r="E773" s="65" t="s">
        <v>787</v>
      </c>
      <c r="F773" s="65">
        <v>3</v>
      </c>
      <c r="G773" s="65"/>
      <c r="H773" s="65">
        <v>3</v>
      </c>
      <c r="I773" s="65" t="e">
        <v>#N/A</v>
      </c>
      <c r="J773" s="65" t="s">
        <v>899</v>
      </c>
      <c r="K773" s="65"/>
      <c r="L773" s="65"/>
      <c r="M773" s="65"/>
      <c r="N773" s="65"/>
      <c r="O773" s="65" t="s">
        <v>929</v>
      </c>
      <c r="P773" s="65"/>
      <c r="Q773" s="65">
        <v>1</v>
      </c>
      <c r="R773" s="65">
        <v>1122</v>
      </c>
      <c r="S773" s="65"/>
    </row>
    <row r="774" spans="1:19" x14ac:dyDescent="0.25">
      <c r="A774" s="15">
        <v>37</v>
      </c>
      <c r="B774" s="65"/>
      <c r="C774" s="65">
        <v>2429</v>
      </c>
      <c r="D774" s="65"/>
      <c r="E774" s="65" t="s">
        <v>787</v>
      </c>
      <c r="F774" s="65">
        <v>3</v>
      </c>
      <c r="G774" s="65"/>
      <c r="H774" s="65">
        <v>3</v>
      </c>
      <c r="I774" s="65" t="e">
        <v>#N/A</v>
      </c>
      <c r="J774" s="65" t="s">
        <v>899</v>
      </c>
      <c r="K774" s="65"/>
      <c r="L774" s="65"/>
      <c r="M774" s="65"/>
      <c r="N774" s="65"/>
      <c r="O774" s="65" t="s">
        <v>930</v>
      </c>
      <c r="P774" s="65"/>
      <c r="Q774" s="65">
        <v>1</v>
      </c>
      <c r="R774" s="65">
        <v>1123</v>
      </c>
      <c r="S774" s="65"/>
    </row>
    <row r="775" spans="1:19" x14ac:dyDescent="0.25">
      <c r="A775" s="15">
        <v>37</v>
      </c>
      <c r="B775" s="65"/>
      <c r="C775" s="65">
        <v>2429</v>
      </c>
      <c r="D775" s="65"/>
      <c r="E775" s="65" t="s">
        <v>787</v>
      </c>
      <c r="F775" s="65">
        <v>3</v>
      </c>
      <c r="G775" s="65"/>
      <c r="H775" s="65">
        <v>3</v>
      </c>
      <c r="I775" s="65" t="e">
        <v>#N/A</v>
      </c>
      <c r="J775" s="65" t="s">
        <v>899</v>
      </c>
      <c r="K775" s="65"/>
      <c r="L775" s="65"/>
      <c r="M775" s="65"/>
      <c r="N775" s="65"/>
      <c r="O775" s="65" t="s">
        <v>931</v>
      </c>
      <c r="P775" s="65"/>
      <c r="Q775" s="65">
        <v>1</v>
      </c>
      <c r="R775" s="65">
        <v>1124</v>
      </c>
      <c r="S775" s="65"/>
    </row>
    <row r="776" spans="1:19" x14ac:dyDescent="0.25">
      <c r="A776" s="15">
        <v>37</v>
      </c>
      <c r="B776" s="65"/>
      <c r="C776" s="65">
        <v>2429</v>
      </c>
      <c r="D776" s="65"/>
      <c r="E776" s="65" t="s">
        <v>787</v>
      </c>
      <c r="F776" s="65">
        <v>3</v>
      </c>
      <c r="G776" s="65"/>
      <c r="H776" s="65">
        <v>3</v>
      </c>
      <c r="I776" s="65" t="e">
        <v>#N/A</v>
      </c>
      <c r="J776" s="65" t="s">
        <v>899</v>
      </c>
      <c r="K776" s="65"/>
      <c r="L776" s="65"/>
      <c r="M776" s="65"/>
      <c r="N776" s="65"/>
      <c r="O776" s="65" t="s">
        <v>932</v>
      </c>
      <c r="P776" s="65"/>
      <c r="Q776" s="65">
        <v>1</v>
      </c>
      <c r="R776" s="65">
        <v>1125</v>
      </c>
      <c r="S776" s="65"/>
    </row>
    <row r="777" spans="1:19" x14ac:dyDescent="0.25">
      <c r="A777" s="15">
        <v>37</v>
      </c>
      <c r="B777" s="65"/>
      <c r="C777" s="65">
        <v>2429</v>
      </c>
      <c r="D777" s="65"/>
      <c r="E777" s="65" t="s">
        <v>787</v>
      </c>
      <c r="F777" s="65">
        <v>3</v>
      </c>
      <c r="G777" s="65"/>
      <c r="H777" s="65">
        <v>3</v>
      </c>
      <c r="I777" s="65" t="e">
        <v>#N/A</v>
      </c>
      <c r="J777" s="65" t="s">
        <v>899</v>
      </c>
      <c r="K777" s="65"/>
      <c r="L777" s="65"/>
      <c r="M777" s="65"/>
      <c r="N777" s="65"/>
      <c r="O777" s="65" t="s">
        <v>933</v>
      </c>
      <c r="P777" s="65"/>
      <c r="Q777" s="65">
        <v>1</v>
      </c>
      <c r="R777" s="65">
        <v>1126</v>
      </c>
      <c r="S777" s="65"/>
    </row>
    <row r="778" spans="1:19" x14ac:dyDescent="0.25">
      <c r="A778" s="15">
        <v>37</v>
      </c>
      <c r="B778" s="65"/>
      <c r="C778" s="65">
        <v>2429</v>
      </c>
      <c r="D778" s="65"/>
      <c r="E778" s="65" t="s">
        <v>787</v>
      </c>
      <c r="F778" s="65">
        <v>3</v>
      </c>
      <c r="G778" s="65"/>
      <c r="H778" s="65">
        <v>3</v>
      </c>
      <c r="I778" s="65" t="e">
        <v>#N/A</v>
      </c>
      <c r="J778" s="65" t="s">
        <v>899</v>
      </c>
      <c r="K778" s="65"/>
      <c r="L778" s="65"/>
      <c r="M778" s="65"/>
      <c r="N778" s="65"/>
      <c r="O778" s="65" t="s">
        <v>934</v>
      </c>
      <c r="P778" s="65"/>
      <c r="Q778" s="65">
        <v>1</v>
      </c>
      <c r="R778" s="65">
        <v>1127</v>
      </c>
      <c r="S778" s="65"/>
    </row>
    <row r="779" spans="1:19" x14ac:dyDescent="0.25">
      <c r="A779" s="15">
        <v>37</v>
      </c>
      <c r="B779" s="65"/>
      <c r="C779" s="65">
        <v>2429</v>
      </c>
      <c r="D779" s="65"/>
      <c r="E779" s="65" t="s">
        <v>787</v>
      </c>
      <c r="F779" s="65">
        <v>3</v>
      </c>
      <c r="G779" s="65"/>
      <c r="H779" s="65">
        <v>3</v>
      </c>
      <c r="I779" s="65" t="e">
        <v>#N/A</v>
      </c>
      <c r="J779" s="65" t="s">
        <v>899</v>
      </c>
      <c r="K779" s="65"/>
      <c r="L779" s="65"/>
      <c r="M779" s="65"/>
      <c r="N779" s="65"/>
      <c r="O779" s="65" t="s">
        <v>935</v>
      </c>
      <c r="P779" s="65"/>
      <c r="Q779" s="65">
        <v>1</v>
      </c>
      <c r="R779" s="65">
        <v>1128</v>
      </c>
      <c r="S779" s="65"/>
    </row>
    <row r="780" spans="1:19" x14ac:dyDescent="0.25">
      <c r="A780" s="15">
        <v>37</v>
      </c>
      <c r="B780" s="65"/>
      <c r="C780" s="65">
        <v>2429</v>
      </c>
      <c r="D780" s="65"/>
      <c r="E780" s="65" t="s">
        <v>787</v>
      </c>
      <c r="F780" s="65">
        <v>3</v>
      </c>
      <c r="G780" s="65"/>
      <c r="H780" s="65" t="e">
        <v>#N/A</v>
      </c>
      <c r="I780" s="65"/>
      <c r="J780" s="65" t="s">
        <v>899</v>
      </c>
      <c r="K780" s="65"/>
      <c r="L780" s="65"/>
      <c r="M780" s="65"/>
      <c r="N780" s="65"/>
      <c r="O780" s="65" t="s">
        <v>936</v>
      </c>
      <c r="P780" s="65"/>
      <c r="Q780" s="65">
        <v>1</v>
      </c>
      <c r="R780" s="65">
        <v>1279</v>
      </c>
      <c r="S780" s="65"/>
    </row>
    <row r="781" spans="1:19" x14ac:dyDescent="0.25">
      <c r="A781" s="15">
        <v>37</v>
      </c>
      <c r="B781" s="65"/>
      <c r="C781" s="65">
        <v>2429</v>
      </c>
      <c r="D781" s="65"/>
      <c r="E781" s="65" t="s">
        <v>787</v>
      </c>
      <c r="F781" s="65">
        <v>5</v>
      </c>
      <c r="G781" s="65"/>
      <c r="H781" s="65" t="e">
        <v>#N/A</v>
      </c>
      <c r="I781" s="65"/>
      <c r="J781" s="65" t="s">
        <v>899</v>
      </c>
      <c r="K781" s="65"/>
      <c r="L781" s="65"/>
      <c r="M781" s="65"/>
      <c r="N781" s="65"/>
      <c r="O781" s="65" t="s">
        <v>938</v>
      </c>
      <c r="P781" s="65"/>
      <c r="Q781" s="65">
        <v>1</v>
      </c>
      <c r="R781" s="65">
        <v>1411</v>
      </c>
      <c r="S781" s="65"/>
    </row>
    <row r="782" spans="1:19" x14ac:dyDescent="0.25">
      <c r="A782" s="15">
        <v>37</v>
      </c>
      <c r="B782" s="65"/>
      <c r="C782" s="65">
        <v>2429</v>
      </c>
      <c r="D782" s="65"/>
      <c r="E782" s="65" t="s">
        <v>787</v>
      </c>
      <c r="F782" s="65">
        <v>5</v>
      </c>
      <c r="G782" s="65"/>
      <c r="H782" s="65" t="e">
        <v>#N/A</v>
      </c>
      <c r="I782" s="65"/>
      <c r="J782" s="65" t="s">
        <v>899</v>
      </c>
      <c r="K782" s="65"/>
      <c r="L782" s="65"/>
      <c r="M782" s="65"/>
      <c r="N782" s="65"/>
      <c r="O782" s="65" t="s">
        <v>939</v>
      </c>
      <c r="P782" s="65"/>
      <c r="Q782" s="65">
        <v>1</v>
      </c>
      <c r="R782" s="65">
        <v>1412</v>
      </c>
      <c r="S782" s="65"/>
    </row>
    <row r="783" spans="1:19" x14ac:dyDescent="0.25">
      <c r="A783" s="15">
        <v>37</v>
      </c>
      <c r="B783" s="65"/>
      <c r="C783" s="65">
        <v>2429</v>
      </c>
      <c r="D783" s="65"/>
      <c r="E783" s="65" t="s">
        <v>787</v>
      </c>
      <c r="F783" s="65">
        <v>5</v>
      </c>
      <c r="G783" s="65"/>
      <c r="H783" s="65" t="e">
        <v>#N/A</v>
      </c>
      <c r="I783" s="65"/>
      <c r="J783" s="65" t="s">
        <v>899</v>
      </c>
      <c r="K783" s="65"/>
      <c r="L783" s="65"/>
      <c r="M783" s="65"/>
      <c r="N783" s="65"/>
      <c r="O783" s="65" t="s">
        <v>940</v>
      </c>
      <c r="P783" s="65"/>
      <c r="Q783" s="65">
        <v>1</v>
      </c>
      <c r="R783" s="65">
        <v>1413</v>
      </c>
      <c r="S783" s="65"/>
    </row>
    <row r="784" spans="1:19" x14ac:dyDescent="0.25">
      <c r="A784" s="15">
        <v>37</v>
      </c>
      <c r="B784" s="65"/>
      <c r="C784" s="65">
        <v>2429</v>
      </c>
      <c r="D784" s="65"/>
      <c r="E784" s="65" t="s">
        <v>787</v>
      </c>
      <c r="F784" s="65">
        <v>5</v>
      </c>
      <c r="G784" s="65"/>
      <c r="H784" s="65" t="e">
        <v>#N/A</v>
      </c>
      <c r="I784" s="65"/>
      <c r="J784" s="65" t="s">
        <v>899</v>
      </c>
      <c r="K784" s="65"/>
      <c r="L784" s="65"/>
      <c r="M784" s="65"/>
      <c r="N784" s="65"/>
      <c r="O784" s="65" t="s">
        <v>941</v>
      </c>
      <c r="P784" s="65"/>
      <c r="Q784" s="65">
        <v>1</v>
      </c>
      <c r="R784" s="65">
        <v>1414</v>
      </c>
      <c r="S784" s="65"/>
    </row>
    <row r="785" spans="1:19" x14ac:dyDescent="0.25">
      <c r="A785" s="15">
        <v>37</v>
      </c>
      <c r="B785" s="65"/>
      <c r="C785" s="65">
        <v>2429</v>
      </c>
      <c r="D785" s="65"/>
      <c r="E785" s="65" t="s">
        <v>787</v>
      </c>
      <c r="F785" s="65">
        <v>5</v>
      </c>
      <c r="G785" s="65"/>
      <c r="H785" s="65" t="e">
        <v>#N/A</v>
      </c>
      <c r="I785" s="65"/>
      <c r="J785" s="65" t="s">
        <v>899</v>
      </c>
      <c r="K785" s="65"/>
      <c r="L785" s="65"/>
      <c r="M785" s="65"/>
      <c r="N785" s="65"/>
      <c r="O785" s="65" t="s">
        <v>942</v>
      </c>
      <c r="P785" s="65"/>
      <c r="Q785" s="65">
        <v>1</v>
      </c>
      <c r="R785" s="65">
        <v>1415</v>
      </c>
      <c r="S785" s="65"/>
    </row>
    <row r="786" spans="1:19" x14ac:dyDescent="0.25">
      <c r="A786" s="15">
        <v>37</v>
      </c>
      <c r="B786" s="65"/>
      <c r="C786" s="65">
        <v>2429</v>
      </c>
      <c r="D786" s="65"/>
      <c r="E786" s="65" t="s">
        <v>787</v>
      </c>
      <c r="F786" s="65">
        <v>5</v>
      </c>
      <c r="G786" s="65"/>
      <c r="H786" s="65" t="e">
        <v>#N/A</v>
      </c>
      <c r="I786" s="65"/>
      <c r="J786" s="65" t="s">
        <v>899</v>
      </c>
      <c r="K786" s="65"/>
      <c r="L786" s="65"/>
      <c r="M786" s="65"/>
      <c r="N786" s="65"/>
      <c r="O786" s="65" t="s">
        <v>943</v>
      </c>
      <c r="P786" s="65"/>
      <c r="Q786" s="65">
        <v>1</v>
      </c>
      <c r="R786" s="65">
        <v>1416</v>
      </c>
      <c r="S786" s="65"/>
    </row>
    <row r="787" spans="1:19" x14ac:dyDescent="0.25">
      <c r="A787" s="15">
        <v>37</v>
      </c>
      <c r="B787" s="65"/>
      <c r="C787" s="65">
        <v>2429</v>
      </c>
      <c r="D787" s="65"/>
      <c r="E787" s="65" t="s">
        <v>787</v>
      </c>
      <c r="F787" s="65">
        <v>5</v>
      </c>
      <c r="G787" s="65"/>
      <c r="H787" s="65" t="e">
        <v>#N/A</v>
      </c>
      <c r="I787" s="65"/>
      <c r="J787" s="65" t="s">
        <v>899</v>
      </c>
      <c r="K787" s="65"/>
      <c r="L787" s="65"/>
      <c r="M787" s="65"/>
      <c r="N787" s="65"/>
      <c r="O787" s="65" t="s">
        <v>944</v>
      </c>
      <c r="P787" s="65"/>
      <c r="Q787" s="65">
        <v>1</v>
      </c>
      <c r="R787" s="65">
        <v>1417</v>
      </c>
      <c r="S787" s="65"/>
    </row>
    <row r="788" spans="1:19" x14ac:dyDescent="0.25">
      <c r="A788" s="15">
        <v>37</v>
      </c>
      <c r="B788" s="65"/>
      <c r="C788" s="65">
        <v>2429</v>
      </c>
      <c r="D788" s="65"/>
      <c r="E788" s="65" t="s">
        <v>787</v>
      </c>
      <c r="F788" s="65">
        <v>5</v>
      </c>
      <c r="G788" s="65"/>
      <c r="H788" s="65" t="e">
        <v>#N/A</v>
      </c>
      <c r="I788" s="65"/>
      <c r="J788" s="65" t="s">
        <v>899</v>
      </c>
      <c r="K788" s="65"/>
      <c r="L788" s="65"/>
      <c r="M788" s="65"/>
      <c r="N788" s="65"/>
      <c r="O788" s="65" t="s">
        <v>945</v>
      </c>
      <c r="P788" s="65"/>
      <c r="Q788" s="65">
        <v>1</v>
      </c>
      <c r="R788" s="65">
        <v>1418</v>
      </c>
      <c r="S788" s="65"/>
    </row>
    <row r="789" spans="1:19" x14ac:dyDescent="0.25">
      <c r="A789" s="15">
        <v>37</v>
      </c>
      <c r="B789" s="65"/>
      <c r="C789" s="65">
        <v>2429</v>
      </c>
      <c r="D789" s="65"/>
      <c r="E789" s="65" t="s">
        <v>787</v>
      </c>
      <c r="F789" s="65">
        <v>5</v>
      </c>
      <c r="G789" s="65"/>
      <c r="H789" s="65" t="e">
        <v>#N/A</v>
      </c>
      <c r="I789" s="65"/>
      <c r="J789" s="65" t="s">
        <v>899</v>
      </c>
      <c r="K789" s="65"/>
      <c r="L789" s="65"/>
      <c r="M789" s="65"/>
      <c r="N789" s="65"/>
      <c r="O789" s="65" t="s">
        <v>946</v>
      </c>
      <c r="P789" s="65"/>
      <c r="Q789" s="65">
        <v>1</v>
      </c>
      <c r="R789" s="65">
        <v>1419</v>
      </c>
      <c r="S789" s="65"/>
    </row>
    <row r="790" spans="1:19" x14ac:dyDescent="0.25">
      <c r="A790" s="15">
        <v>37</v>
      </c>
      <c r="B790" s="65"/>
      <c r="C790" s="65">
        <v>2429</v>
      </c>
      <c r="D790" s="65"/>
      <c r="E790" s="65" t="s">
        <v>787</v>
      </c>
      <c r="F790" s="65">
        <v>5</v>
      </c>
      <c r="G790" s="65"/>
      <c r="H790" s="65" t="e">
        <v>#N/A</v>
      </c>
      <c r="I790" s="65"/>
      <c r="J790" s="65" t="s">
        <v>899</v>
      </c>
      <c r="K790" s="65"/>
      <c r="L790" s="65"/>
      <c r="M790" s="65"/>
      <c r="N790" s="65"/>
      <c r="O790" s="65" t="s">
        <v>947</v>
      </c>
      <c r="P790" s="65"/>
      <c r="Q790" s="65">
        <v>1</v>
      </c>
      <c r="R790" s="65">
        <v>1420</v>
      </c>
      <c r="S790" s="65"/>
    </row>
    <row r="791" spans="1:19" x14ac:dyDescent="0.25">
      <c r="A791" s="15">
        <v>37</v>
      </c>
      <c r="B791" s="65"/>
      <c r="C791" s="65">
        <v>2429</v>
      </c>
      <c r="D791" s="65"/>
      <c r="E791" s="65" t="s">
        <v>787</v>
      </c>
      <c r="F791" s="65">
        <v>5</v>
      </c>
      <c r="G791" s="65"/>
      <c r="H791" s="65" t="e">
        <v>#N/A</v>
      </c>
      <c r="I791" s="65"/>
      <c r="J791" s="65" t="s">
        <v>899</v>
      </c>
      <c r="K791" s="65"/>
      <c r="L791" s="65"/>
      <c r="M791" s="65"/>
      <c r="N791" s="65"/>
      <c r="O791" s="65" t="s">
        <v>948</v>
      </c>
      <c r="P791" s="65"/>
      <c r="Q791" s="65">
        <v>1</v>
      </c>
      <c r="R791" s="65">
        <v>1421</v>
      </c>
      <c r="S791" s="65"/>
    </row>
    <row r="792" spans="1:19" x14ac:dyDescent="0.25">
      <c r="A792" s="15">
        <v>37</v>
      </c>
      <c r="B792" s="65"/>
      <c r="C792" s="65">
        <v>2429</v>
      </c>
      <c r="D792" s="65"/>
      <c r="E792" s="65" t="s">
        <v>787</v>
      </c>
      <c r="F792" s="65">
        <v>5</v>
      </c>
      <c r="G792" s="65"/>
      <c r="H792" s="65" t="e">
        <v>#N/A</v>
      </c>
      <c r="I792" s="65"/>
      <c r="J792" s="65" t="s">
        <v>899</v>
      </c>
      <c r="K792" s="65"/>
      <c r="L792" s="65"/>
      <c r="M792" s="65"/>
      <c r="N792" s="65"/>
      <c r="O792" s="65" t="s">
        <v>949</v>
      </c>
      <c r="P792" s="65"/>
      <c r="Q792" s="65">
        <v>1</v>
      </c>
      <c r="R792" s="65">
        <v>1422</v>
      </c>
      <c r="S792" s="65"/>
    </row>
    <row r="793" spans="1:19" x14ac:dyDescent="0.25">
      <c r="A793" s="15">
        <v>38</v>
      </c>
      <c r="B793" s="65"/>
      <c r="C793" s="65"/>
      <c r="D793" s="65"/>
      <c r="E793" s="65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65"/>
      <c r="Q793" s="65"/>
      <c r="R793" s="65"/>
      <c r="S793" s="65"/>
    </row>
    <row r="794" spans="1:19" x14ac:dyDescent="0.25">
      <c r="A794" s="15">
        <v>38</v>
      </c>
      <c r="B794" s="65"/>
      <c r="C794" s="65"/>
      <c r="D794" s="65"/>
      <c r="E794" s="65"/>
      <c r="F794" s="65"/>
      <c r="G794" s="65"/>
      <c r="H794" s="65"/>
      <c r="I794" s="65"/>
      <c r="J794" s="65"/>
      <c r="K794" s="65"/>
      <c r="L794" s="65"/>
      <c r="M794" s="65"/>
      <c r="N794" s="65"/>
      <c r="O794" s="65" t="s">
        <v>824</v>
      </c>
      <c r="P794" s="65"/>
      <c r="Q794" s="65"/>
      <c r="R794" s="65"/>
      <c r="S794" s="65"/>
    </row>
    <row r="795" spans="1:19" x14ac:dyDescent="0.25">
      <c r="A795" s="15">
        <v>38</v>
      </c>
      <c r="B795" s="65"/>
      <c r="C795" s="65"/>
      <c r="D795" s="65"/>
      <c r="E795" s="65"/>
      <c r="F795" s="65"/>
      <c r="G795" s="65"/>
      <c r="H795" s="65"/>
      <c r="I795" s="65"/>
      <c r="J795" s="65"/>
      <c r="K795" s="65"/>
      <c r="L795" s="65"/>
      <c r="M795" s="65"/>
      <c r="N795" s="65"/>
      <c r="O795" s="65" t="s">
        <v>863</v>
      </c>
      <c r="P795" s="65"/>
      <c r="Q795" s="65"/>
      <c r="R795" s="65"/>
      <c r="S795" s="65"/>
    </row>
    <row r="796" spans="1:19" x14ac:dyDescent="0.25">
      <c r="A796" s="15">
        <v>38</v>
      </c>
      <c r="B796" s="65"/>
      <c r="C796" s="65"/>
      <c r="D796" s="65"/>
      <c r="E796" s="65"/>
      <c r="F796" s="65"/>
      <c r="G796" s="65"/>
      <c r="H796" s="65"/>
      <c r="I796" s="65"/>
      <c r="J796" s="65"/>
      <c r="K796" s="65"/>
      <c r="L796" s="65"/>
      <c r="M796" s="65"/>
      <c r="N796" s="65"/>
      <c r="O796" s="65" t="s">
        <v>871</v>
      </c>
      <c r="P796" s="65"/>
      <c r="Q796" s="65"/>
      <c r="R796" s="65"/>
      <c r="S796" s="65"/>
    </row>
    <row r="797" spans="1:19" x14ac:dyDescent="0.25">
      <c r="A797" s="15">
        <v>38</v>
      </c>
      <c r="B797" s="65"/>
      <c r="C797" s="65" t="s">
        <v>79</v>
      </c>
      <c r="D797" s="65"/>
      <c r="E797" s="65" t="s">
        <v>787</v>
      </c>
      <c r="F797" s="65">
        <v>6</v>
      </c>
      <c r="G797" s="65"/>
      <c r="H797" s="65">
        <v>7</v>
      </c>
      <c r="I797" s="65">
        <v>8.6666666666666679</v>
      </c>
      <c r="J797" s="65" t="s">
        <v>879</v>
      </c>
      <c r="K797" s="65"/>
      <c r="L797" s="65"/>
      <c r="M797" s="65"/>
      <c r="N797" s="65"/>
      <c r="O797" s="65" t="s">
        <v>878</v>
      </c>
      <c r="P797" s="65"/>
      <c r="Q797" s="65">
        <v>1</v>
      </c>
      <c r="R797" s="65">
        <v>300</v>
      </c>
      <c r="S797" s="65"/>
    </row>
    <row r="798" spans="1:19" x14ac:dyDescent="0.25">
      <c r="A798" s="15">
        <v>38</v>
      </c>
      <c r="B798" s="65"/>
      <c r="C798" s="65">
        <v>2429</v>
      </c>
      <c r="D798" s="65"/>
      <c r="E798" s="65" t="s">
        <v>787</v>
      </c>
      <c r="F798" s="65">
        <v>6</v>
      </c>
      <c r="G798" s="65"/>
      <c r="H798" s="65"/>
      <c r="I798" s="65">
        <v>19.583333333333332</v>
      </c>
      <c r="J798" s="65" t="s">
        <v>879</v>
      </c>
      <c r="K798" s="65"/>
      <c r="L798" s="65"/>
      <c r="M798" s="65"/>
      <c r="N798" s="65"/>
      <c r="O798" s="65" t="s">
        <v>881</v>
      </c>
      <c r="P798" s="65"/>
      <c r="Q798" s="65">
        <v>1</v>
      </c>
      <c r="R798" s="65">
        <v>443</v>
      </c>
      <c r="S798" s="65"/>
    </row>
    <row r="799" spans="1:19" x14ac:dyDescent="0.25">
      <c r="A799" s="15">
        <v>38</v>
      </c>
      <c r="B799" s="65"/>
      <c r="C799" s="65">
        <v>2429</v>
      </c>
      <c r="D799" s="65"/>
      <c r="E799" s="65" t="s">
        <v>787</v>
      </c>
      <c r="F799" s="65">
        <v>1</v>
      </c>
      <c r="G799" s="65"/>
      <c r="H799" s="65" t="e">
        <v>#N/A</v>
      </c>
      <c r="I799" s="65"/>
      <c r="J799" s="65" t="s">
        <v>899</v>
      </c>
      <c r="K799" s="65" t="s">
        <v>900</v>
      </c>
      <c r="L799" s="65" t="s">
        <v>900</v>
      </c>
      <c r="M799" s="65" t="s">
        <v>900</v>
      </c>
      <c r="N799" s="65" t="s">
        <v>900</v>
      </c>
      <c r="O799" s="65" t="s">
        <v>898</v>
      </c>
      <c r="P799" s="65"/>
      <c r="Q799" s="65">
        <v>1</v>
      </c>
      <c r="R799" s="65">
        <v>675</v>
      </c>
      <c r="S799" s="65"/>
    </row>
    <row r="800" spans="1:19" x14ac:dyDescent="0.25">
      <c r="A800" s="15">
        <v>38</v>
      </c>
      <c r="B800" s="65"/>
      <c r="C800" s="65">
        <v>2429</v>
      </c>
      <c r="D800" s="65"/>
      <c r="E800" s="65" t="s">
        <v>787</v>
      </c>
      <c r="F800" s="65">
        <v>0</v>
      </c>
      <c r="G800" s="65"/>
      <c r="H800" s="65">
        <v>3</v>
      </c>
      <c r="I800" s="65" t="e">
        <v>#N/A</v>
      </c>
      <c r="J800" s="65" t="s">
        <v>899</v>
      </c>
      <c r="K800" s="65"/>
      <c r="L800" s="65"/>
      <c r="M800" s="65"/>
      <c r="N800" s="65"/>
      <c r="O800" s="65" t="s">
        <v>912</v>
      </c>
      <c r="P800" s="65"/>
      <c r="Q800" s="65">
        <v>1</v>
      </c>
      <c r="R800" s="65">
        <v>902</v>
      </c>
      <c r="S800" s="65"/>
    </row>
    <row r="801" spans="1:19" x14ac:dyDescent="0.25">
      <c r="A801" s="15">
        <v>38</v>
      </c>
      <c r="B801" s="65"/>
      <c r="C801" s="65">
        <v>2429</v>
      </c>
      <c r="D801" s="65"/>
      <c r="E801" s="65" t="s">
        <v>787</v>
      </c>
      <c r="F801" s="65">
        <v>3</v>
      </c>
      <c r="G801" s="65"/>
      <c r="H801" s="65">
        <v>3</v>
      </c>
      <c r="I801" s="65" t="e">
        <v>#N/A</v>
      </c>
      <c r="J801" s="65" t="s">
        <v>899</v>
      </c>
      <c r="K801" s="65"/>
      <c r="L801" s="65"/>
      <c r="M801" s="65"/>
      <c r="N801" s="65"/>
      <c r="O801" s="65" t="s">
        <v>924</v>
      </c>
      <c r="P801" s="65"/>
      <c r="Q801" s="65">
        <v>1</v>
      </c>
      <c r="R801" s="65">
        <v>1129</v>
      </c>
      <c r="S801" s="65"/>
    </row>
    <row r="802" spans="1:19" x14ac:dyDescent="0.25">
      <c r="A802" s="15">
        <v>38</v>
      </c>
      <c r="B802" s="65"/>
      <c r="C802" s="65">
        <v>2429</v>
      </c>
      <c r="D802" s="65"/>
      <c r="E802" s="65" t="s">
        <v>787</v>
      </c>
      <c r="F802" s="65">
        <v>3</v>
      </c>
      <c r="G802" s="65"/>
      <c r="H802" s="65" t="e">
        <v>#N/A</v>
      </c>
      <c r="I802" s="65"/>
      <c r="J802" s="65" t="s">
        <v>899</v>
      </c>
      <c r="K802" s="65"/>
      <c r="L802" s="65"/>
      <c r="M802" s="65"/>
      <c r="N802" s="65"/>
      <c r="O802" s="65" t="s">
        <v>936</v>
      </c>
      <c r="P802" s="65"/>
      <c r="Q802" s="65">
        <v>1</v>
      </c>
      <c r="R802" s="65">
        <v>1280</v>
      </c>
      <c r="S802" s="65"/>
    </row>
    <row r="803" spans="1:19" x14ac:dyDescent="0.25">
      <c r="A803" s="15">
        <v>38</v>
      </c>
      <c r="B803" s="65"/>
      <c r="C803" s="65">
        <v>2429</v>
      </c>
      <c r="D803" s="65"/>
      <c r="E803" s="65" t="s">
        <v>787</v>
      </c>
      <c r="F803" s="65">
        <v>5</v>
      </c>
      <c r="G803" s="65"/>
      <c r="H803" s="65" t="e">
        <v>#N/A</v>
      </c>
      <c r="I803" s="65"/>
      <c r="J803" s="65" t="s">
        <v>899</v>
      </c>
      <c r="K803" s="65"/>
      <c r="L803" s="65"/>
      <c r="M803" s="65"/>
      <c r="N803" s="65"/>
      <c r="O803" s="65" t="s">
        <v>938</v>
      </c>
      <c r="P803" s="65"/>
      <c r="Q803" s="65">
        <v>1</v>
      </c>
      <c r="R803" s="65">
        <v>1423</v>
      </c>
      <c r="S803" s="65"/>
    </row>
    <row r="804" spans="1:19" x14ac:dyDescent="0.25">
      <c r="A804" s="15">
        <v>39</v>
      </c>
      <c r="B804" s="65"/>
      <c r="C804" s="65"/>
      <c r="D804" s="65"/>
      <c r="E804" s="65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65"/>
      <c r="Q804" s="65"/>
      <c r="R804" s="65"/>
      <c r="S804" s="65"/>
    </row>
    <row r="805" spans="1:19" x14ac:dyDescent="0.25">
      <c r="A805" s="15">
        <v>39</v>
      </c>
      <c r="B805" s="65"/>
      <c r="C805" s="65"/>
      <c r="D805" s="65"/>
      <c r="E805" s="65"/>
      <c r="F805" s="65"/>
      <c r="G805" s="65"/>
      <c r="H805" s="65"/>
      <c r="I805" s="65"/>
      <c r="J805" s="65"/>
      <c r="K805" s="65"/>
      <c r="L805" s="65"/>
      <c r="M805" s="65"/>
      <c r="N805" s="65"/>
      <c r="O805" s="65" t="s">
        <v>825</v>
      </c>
      <c r="P805" s="65"/>
      <c r="Q805" s="65"/>
      <c r="R805" s="65"/>
      <c r="S805" s="65"/>
    </row>
    <row r="806" spans="1:19" x14ac:dyDescent="0.25">
      <c r="A806" s="15">
        <v>39</v>
      </c>
      <c r="B806" s="65"/>
      <c r="C806" s="65"/>
      <c r="D806" s="65"/>
      <c r="E806" s="65"/>
      <c r="F806" s="65"/>
      <c r="G806" s="65"/>
      <c r="H806" s="65"/>
      <c r="I806" s="65"/>
      <c r="J806" s="65"/>
      <c r="K806" s="65"/>
      <c r="L806" s="65"/>
      <c r="M806" s="65"/>
      <c r="N806" s="65"/>
      <c r="O806" s="65" t="s">
        <v>863</v>
      </c>
      <c r="P806" s="65"/>
      <c r="Q806" s="65"/>
      <c r="R806" s="65"/>
      <c r="S806" s="65"/>
    </row>
    <row r="807" spans="1:19" x14ac:dyDescent="0.25">
      <c r="A807" s="15">
        <v>39</v>
      </c>
      <c r="B807" s="65"/>
      <c r="C807" s="65"/>
      <c r="D807" s="65"/>
      <c r="E807" s="65"/>
      <c r="F807" s="65"/>
      <c r="G807" s="65"/>
      <c r="H807" s="65"/>
      <c r="I807" s="65"/>
      <c r="J807" s="65"/>
      <c r="K807" s="65"/>
      <c r="L807" s="65"/>
      <c r="M807" s="65"/>
      <c r="N807" s="65"/>
      <c r="O807" s="65" t="s">
        <v>873</v>
      </c>
      <c r="P807" s="65"/>
      <c r="Q807" s="65"/>
      <c r="R807" s="65"/>
      <c r="S807" s="65"/>
    </row>
    <row r="808" spans="1:19" x14ac:dyDescent="0.25">
      <c r="A808" s="15">
        <v>39</v>
      </c>
      <c r="B808" s="65"/>
      <c r="C808" s="65" t="s">
        <v>79</v>
      </c>
      <c r="D808" s="65"/>
      <c r="E808" s="65" t="s">
        <v>787</v>
      </c>
      <c r="F808" s="65">
        <v>6</v>
      </c>
      <c r="G808" s="65"/>
      <c r="H808" s="65">
        <v>7</v>
      </c>
      <c r="I808" s="65">
        <v>8.1666666666666679</v>
      </c>
      <c r="J808" s="65" t="s">
        <v>879</v>
      </c>
      <c r="K808" s="65"/>
      <c r="L808" s="65"/>
      <c r="M808" s="65"/>
      <c r="N808" s="65"/>
      <c r="O808" s="65" t="s">
        <v>878</v>
      </c>
      <c r="P808" s="65"/>
      <c r="Q808" s="65">
        <v>1</v>
      </c>
      <c r="R808" s="65">
        <v>301</v>
      </c>
      <c r="S808" s="65"/>
    </row>
    <row r="809" spans="1:19" x14ac:dyDescent="0.25">
      <c r="A809" s="15">
        <v>39</v>
      </c>
      <c r="B809" s="65"/>
      <c r="C809" s="65">
        <v>2429</v>
      </c>
      <c r="D809" s="65"/>
      <c r="E809" s="65" t="s">
        <v>787</v>
      </c>
      <c r="F809" s="65">
        <v>6</v>
      </c>
      <c r="G809" s="65"/>
      <c r="H809" s="65"/>
      <c r="I809" s="65">
        <v>12.25</v>
      </c>
      <c r="J809" s="65" t="s">
        <v>879</v>
      </c>
      <c r="K809" s="65"/>
      <c r="L809" s="65"/>
      <c r="M809" s="65"/>
      <c r="N809" s="65"/>
      <c r="O809" s="65" t="s">
        <v>881</v>
      </c>
      <c r="P809" s="65"/>
      <c r="Q809" s="65">
        <v>1</v>
      </c>
      <c r="R809" s="65">
        <v>444</v>
      </c>
      <c r="S809" s="65"/>
    </row>
    <row r="810" spans="1:19" x14ac:dyDescent="0.25">
      <c r="A810" s="15">
        <v>39</v>
      </c>
      <c r="B810" s="65"/>
      <c r="C810" s="65">
        <v>2429</v>
      </c>
      <c r="D810" s="65"/>
      <c r="E810" s="65" t="s">
        <v>787</v>
      </c>
      <c r="F810" s="65">
        <v>1</v>
      </c>
      <c r="G810" s="65"/>
      <c r="H810" s="65" t="e">
        <v>#N/A</v>
      </c>
      <c r="I810" s="65"/>
      <c r="J810" s="65" t="s">
        <v>899</v>
      </c>
      <c r="K810" s="65" t="s">
        <v>900</v>
      </c>
      <c r="L810" s="65" t="s">
        <v>900</v>
      </c>
      <c r="M810" s="65" t="s">
        <v>900</v>
      </c>
      <c r="N810" s="65" t="s">
        <v>900</v>
      </c>
      <c r="O810" s="65" t="s">
        <v>898</v>
      </c>
      <c r="P810" s="65"/>
      <c r="Q810" s="65">
        <v>1</v>
      </c>
      <c r="R810" s="65">
        <v>676</v>
      </c>
      <c r="S810" s="65"/>
    </row>
    <row r="811" spans="1:19" x14ac:dyDescent="0.25">
      <c r="A811" s="15">
        <v>39</v>
      </c>
      <c r="B811" s="65"/>
      <c r="C811" s="65">
        <v>2429</v>
      </c>
      <c r="D811" s="65"/>
      <c r="E811" s="65" t="s">
        <v>787</v>
      </c>
      <c r="F811" s="65">
        <v>0</v>
      </c>
      <c r="G811" s="65"/>
      <c r="H811" s="65">
        <v>3</v>
      </c>
      <c r="I811" s="65" t="e">
        <v>#N/A</v>
      </c>
      <c r="J811" s="65" t="s">
        <v>899</v>
      </c>
      <c r="K811" s="65"/>
      <c r="L811" s="65"/>
      <c r="M811" s="65"/>
      <c r="N811" s="65"/>
      <c r="O811" s="65" t="s">
        <v>912</v>
      </c>
      <c r="P811" s="65"/>
      <c r="Q811" s="65">
        <v>1</v>
      </c>
      <c r="R811" s="65">
        <v>903</v>
      </c>
      <c r="S811" s="65"/>
    </row>
    <row r="812" spans="1:19" x14ac:dyDescent="0.25">
      <c r="A812" s="15">
        <v>39</v>
      </c>
      <c r="B812" s="65"/>
      <c r="C812" s="65">
        <v>2429</v>
      </c>
      <c r="D812" s="65"/>
      <c r="E812" s="65" t="s">
        <v>787</v>
      </c>
      <c r="F812" s="65">
        <v>3</v>
      </c>
      <c r="G812" s="65"/>
      <c r="H812" s="65">
        <v>3</v>
      </c>
      <c r="I812" s="65" t="e">
        <v>#N/A</v>
      </c>
      <c r="J812" s="65" t="s">
        <v>899</v>
      </c>
      <c r="K812" s="65"/>
      <c r="L812" s="65"/>
      <c r="M812" s="65"/>
      <c r="N812" s="65"/>
      <c r="O812" s="65" t="s">
        <v>924</v>
      </c>
      <c r="P812" s="65"/>
      <c r="Q812" s="65">
        <v>1</v>
      </c>
      <c r="R812" s="65">
        <v>1130</v>
      </c>
      <c r="S812" s="65"/>
    </row>
    <row r="813" spans="1:19" x14ac:dyDescent="0.25">
      <c r="A813" s="15">
        <v>39</v>
      </c>
      <c r="B813" s="65"/>
      <c r="C813" s="65">
        <v>2429</v>
      </c>
      <c r="D813" s="65"/>
      <c r="E813" s="65" t="s">
        <v>787</v>
      </c>
      <c r="F813" s="65">
        <v>3</v>
      </c>
      <c r="G813" s="65"/>
      <c r="H813" s="65" t="e">
        <v>#N/A</v>
      </c>
      <c r="I813" s="65"/>
      <c r="J813" s="65" t="s">
        <v>899</v>
      </c>
      <c r="K813" s="65"/>
      <c r="L813" s="65"/>
      <c r="M813" s="65"/>
      <c r="N813" s="65"/>
      <c r="O813" s="65" t="s">
        <v>936</v>
      </c>
      <c r="P813" s="65"/>
      <c r="Q813" s="65">
        <v>1</v>
      </c>
      <c r="R813" s="65">
        <v>1281</v>
      </c>
      <c r="S813" s="65"/>
    </row>
    <row r="814" spans="1:19" x14ac:dyDescent="0.25">
      <c r="A814" s="15">
        <v>39</v>
      </c>
      <c r="B814" s="65"/>
      <c r="C814" s="65">
        <v>2429</v>
      </c>
      <c r="D814" s="65"/>
      <c r="E814" s="65" t="s">
        <v>787</v>
      </c>
      <c r="F814" s="65">
        <v>5</v>
      </c>
      <c r="G814" s="65"/>
      <c r="H814" s="65" t="e">
        <v>#N/A</v>
      </c>
      <c r="I814" s="65"/>
      <c r="J814" s="65" t="s">
        <v>899</v>
      </c>
      <c r="K814" s="65"/>
      <c r="L814" s="65"/>
      <c r="M814" s="65"/>
      <c r="N814" s="65"/>
      <c r="O814" s="65" t="s">
        <v>938</v>
      </c>
      <c r="P814" s="65"/>
      <c r="Q814" s="65">
        <v>1</v>
      </c>
      <c r="R814" s="65">
        <v>1424</v>
      </c>
      <c r="S814" s="65"/>
    </row>
    <row r="815" spans="1:19" x14ac:dyDescent="0.25">
      <c r="A815" s="15">
        <v>40</v>
      </c>
      <c r="B815" s="65"/>
      <c r="C815" s="65"/>
      <c r="D815" s="65"/>
      <c r="E815" s="65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65"/>
      <c r="Q815" s="65"/>
      <c r="R815" s="65"/>
      <c r="S815" s="65"/>
    </row>
    <row r="816" spans="1:19" x14ac:dyDescent="0.25">
      <c r="A816" s="15">
        <v>40</v>
      </c>
      <c r="B816" s="65"/>
      <c r="C816" s="65"/>
      <c r="D816" s="65"/>
      <c r="E816" s="65"/>
      <c r="F816" s="65"/>
      <c r="G816" s="65"/>
      <c r="H816" s="65"/>
      <c r="I816" s="65"/>
      <c r="J816" s="65"/>
      <c r="K816" s="65"/>
      <c r="L816" s="65"/>
      <c r="M816" s="65"/>
      <c r="N816" s="65"/>
      <c r="O816" s="65" t="s">
        <v>827</v>
      </c>
      <c r="P816" s="65"/>
      <c r="Q816" s="65"/>
      <c r="R816" s="65"/>
      <c r="S816" s="65"/>
    </row>
    <row r="817" spans="1:19" x14ac:dyDescent="0.25">
      <c r="A817" s="15">
        <v>40</v>
      </c>
      <c r="B817" s="65"/>
      <c r="C817" s="65"/>
      <c r="D817" s="65"/>
      <c r="E817" s="65"/>
      <c r="F817" s="65"/>
      <c r="G817" s="65"/>
      <c r="H817" s="65"/>
      <c r="I817" s="65"/>
      <c r="J817" s="65"/>
      <c r="K817" s="65"/>
      <c r="L817" s="65"/>
      <c r="M817" s="65"/>
      <c r="N817" s="65"/>
      <c r="O817" s="65" t="s">
        <v>863</v>
      </c>
      <c r="P817" s="65"/>
      <c r="Q817" s="65"/>
      <c r="R817" s="65"/>
      <c r="S817" s="65"/>
    </row>
    <row r="818" spans="1:19" x14ac:dyDescent="0.25">
      <c r="A818" s="15">
        <v>40</v>
      </c>
      <c r="B818" s="65"/>
      <c r="C818" s="65"/>
      <c r="D818" s="65"/>
      <c r="E818" s="65"/>
      <c r="F818" s="65"/>
      <c r="G818" s="65"/>
      <c r="H818" s="65"/>
      <c r="I818" s="65"/>
      <c r="J818" s="65"/>
      <c r="K818" s="65"/>
      <c r="L818" s="65"/>
      <c r="M818" s="65"/>
      <c r="N818" s="65"/>
      <c r="O818" s="65" t="s">
        <v>871</v>
      </c>
      <c r="P818" s="65"/>
      <c r="Q818" s="65"/>
      <c r="R818" s="65"/>
      <c r="S818" s="65"/>
    </row>
    <row r="819" spans="1:19" x14ac:dyDescent="0.25">
      <c r="A819" s="15">
        <v>40</v>
      </c>
      <c r="B819" s="65"/>
      <c r="C819" s="65" t="s">
        <v>79</v>
      </c>
      <c r="D819" s="65"/>
      <c r="E819" s="65" t="s">
        <v>787</v>
      </c>
      <c r="F819" s="65">
        <v>12</v>
      </c>
      <c r="G819" s="65"/>
      <c r="H819" s="65">
        <v>9</v>
      </c>
      <c r="I819" s="65">
        <v>9.0833333333333339</v>
      </c>
      <c r="J819" s="65" t="s">
        <v>879</v>
      </c>
      <c r="K819" s="65"/>
      <c r="L819" s="65"/>
      <c r="M819" s="65"/>
      <c r="N819" s="65"/>
      <c r="O819" s="65" t="s">
        <v>878</v>
      </c>
      <c r="P819" s="65"/>
      <c r="Q819" s="65">
        <v>1</v>
      </c>
      <c r="R819" s="65">
        <v>303</v>
      </c>
      <c r="S819" s="65"/>
    </row>
    <row r="820" spans="1:19" x14ac:dyDescent="0.25">
      <c r="A820" s="15">
        <v>40</v>
      </c>
      <c r="B820" s="65"/>
      <c r="C820" s="65">
        <v>2429</v>
      </c>
      <c r="D820" s="65"/>
      <c r="E820" s="65" t="s">
        <v>787</v>
      </c>
      <c r="F820" s="65">
        <v>12</v>
      </c>
      <c r="G820" s="65"/>
      <c r="H820" s="65"/>
      <c r="I820" s="65">
        <v>19.583333333333332</v>
      </c>
      <c r="J820" s="65" t="s">
        <v>879</v>
      </c>
      <c r="K820" s="65"/>
      <c r="L820" s="65"/>
      <c r="M820" s="65"/>
      <c r="N820" s="65"/>
      <c r="O820" s="65" t="s">
        <v>881</v>
      </c>
      <c r="P820" s="65"/>
      <c r="Q820" s="65">
        <v>1</v>
      </c>
      <c r="R820" s="65">
        <v>446</v>
      </c>
      <c r="S820" s="65"/>
    </row>
    <row r="821" spans="1:19" x14ac:dyDescent="0.25">
      <c r="A821" s="15">
        <v>40</v>
      </c>
      <c r="B821" s="65"/>
      <c r="C821" s="65">
        <v>2429</v>
      </c>
      <c r="D821" s="65"/>
      <c r="E821" s="65" t="s">
        <v>787</v>
      </c>
      <c r="F821" s="65">
        <v>1</v>
      </c>
      <c r="G821" s="65"/>
      <c r="H821" s="65" t="e">
        <v>#N/A</v>
      </c>
      <c r="I821" s="65"/>
      <c r="J821" s="65" t="s">
        <v>899</v>
      </c>
      <c r="K821" s="65" t="s">
        <v>900</v>
      </c>
      <c r="L821" s="65" t="s">
        <v>900</v>
      </c>
      <c r="M821" s="65" t="s">
        <v>900</v>
      </c>
      <c r="N821" s="65" t="s">
        <v>900</v>
      </c>
      <c r="O821" s="65" t="s">
        <v>898</v>
      </c>
      <c r="P821" s="65"/>
      <c r="Q821" s="65">
        <v>1</v>
      </c>
      <c r="R821" s="65">
        <v>678</v>
      </c>
      <c r="S821" s="65"/>
    </row>
    <row r="822" spans="1:19" x14ac:dyDescent="0.25">
      <c r="A822" s="15">
        <v>40</v>
      </c>
      <c r="B822" s="65"/>
      <c r="C822" s="65">
        <v>2429</v>
      </c>
      <c r="D822" s="65"/>
      <c r="E822" s="65" t="s">
        <v>787</v>
      </c>
      <c r="F822" s="65">
        <v>0</v>
      </c>
      <c r="G822" s="65"/>
      <c r="H822" s="65">
        <v>3</v>
      </c>
      <c r="I822" s="65" t="e">
        <v>#N/A</v>
      </c>
      <c r="J822" s="65" t="s">
        <v>899</v>
      </c>
      <c r="K822" s="65"/>
      <c r="L822" s="65"/>
      <c r="M822" s="65"/>
      <c r="N822" s="65"/>
      <c r="O822" s="65" t="s">
        <v>912</v>
      </c>
      <c r="P822" s="65"/>
      <c r="Q822" s="65">
        <v>1</v>
      </c>
      <c r="R822" s="65">
        <v>905</v>
      </c>
      <c r="S822" s="65"/>
    </row>
    <row r="823" spans="1:19" x14ac:dyDescent="0.25">
      <c r="A823" s="15">
        <v>40</v>
      </c>
      <c r="B823" s="65"/>
      <c r="C823" s="65">
        <v>2429</v>
      </c>
      <c r="D823" s="65"/>
      <c r="E823" s="65" t="s">
        <v>787</v>
      </c>
      <c r="F823" s="65">
        <v>3</v>
      </c>
      <c r="G823" s="65"/>
      <c r="H823" s="65">
        <v>3</v>
      </c>
      <c r="I823" s="65" t="e">
        <v>#N/A</v>
      </c>
      <c r="J823" s="65" t="s">
        <v>899</v>
      </c>
      <c r="K823" s="65"/>
      <c r="L823" s="65"/>
      <c r="M823" s="65"/>
      <c r="N823" s="65"/>
      <c r="O823" s="65" t="s">
        <v>924</v>
      </c>
      <c r="P823" s="65"/>
      <c r="Q823" s="65">
        <v>1</v>
      </c>
      <c r="R823" s="65">
        <v>1132</v>
      </c>
      <c r="S823" s="65"/>
    </row>
    <row r="824" spans="1:19" x14ac:dyDescent="0.25">
      <c r="A824" s="15">
        <v>40</v>
      </c>
      <c r="B824" s="65"/>
      <c r="C824" s="65">
        <v>2429</v>
      </c>
      <c r="D824" s="65"/>
      <c r="E824" s="65" t="s">
        <v>787</v>
      </c>
      <c r="F824" s="65">
        <v>3</v>
      </c>
      <c r="G824" s="65"/>
      <c r="H824" s="65" t="e">
        <v>#N/A</v>
      </c>
      <c r="I824" s="65"/>
      <c r="J824" s="65" t="s">
        <v>899</v>
      </c>
      <c r="K824" s="65"/>
      <c r="L824" s="65"/>
      <c r="M824" s="65"/>
      <c r="N824" s="65"/>
      <c r="O824" s="65" t="s">
        <v>936</v>
      </c>
      <c r="P824" s="65"/>
      <c r="Q824" s="65">
        <v>1</v>
      </c>
      <c r="R824" s="65">
        <v>1283</v>
      </c>
      <c r="S824" s="65"/>
    </row>
    <row r="825" spans="1:19" x14ac:dyDescent="0.25">
      <c r="A825" s="15">
        <v>40</v>
      </c>
      <c r="B825" s="65"/>
      <c r="C825" s="65">
        <v>2429</v>
      </c>
      <c r="D825" s="65"/>
      <c r="E825" s="65" t="s">
        <v>787</v>
      </c>
      <c r="F825" s="65">
        <v>5</v>
      </c>
      <c r="G825" s="65"/>
      <c r="H825" s="65" t="e">
        <v>#N/A</v>
      </c>
      <c r="I825" s="65"/>
      <c r="J825" s="65" t="s">
        <v>899</v>
      </c>
      <c r="K825" s="65"/>
      <c r="L825" s="65"/>
      <c r="M825" s="65"/>
      <c r="N825" s="65"/>
      <c r="O825" s="65" t="s">
        <v>938</v>
      </c>
      <c r="P825" s="65"/>
      <c r="Q825" s="65">
        <v>1</v>
      </c>
      <c r="R825" s="65">
        <v>1426</v>
      </c>
      <c r="S825" s="65"/>
    </row>
    <row r="826" spans="1:19" x14ac:dyDescent="0.25">
      <c r="A826" s="15">
        <v>41</v>
      </c>
      <c r="B826" s="65"/>
      <c r="C826" s="65"/>
      <c r="D826" s="65"/>
      <c r="E826" s="65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65"/>
      <c r="Q826" s="65"/>
      <c r="R826" s="65"/>
      <c r="S826" s="65"/>
    </row>
    <row r="827" spans="1:19" x14ac:dyDescent="0.25">
      <c r="A827" s="15">
        <v>41</v>
      </c>
      <c r="B827" s="65"/>
      <c r="C827" s="65"/>
      <c r="D827" s="65"/>
      <c r="E827" s="65"/>
      <c r="F827" s="65"/>
      <c r="G827" s="65"/>
      <c r="H827" s="65"/>
      <c r="I827" s="65"/>
      <c r="J827" s="65"/>
      <c r="K827" s="65"/>
      <c r="L827" s="65"/>
      <c r="M827" s="65"/>
      <c r="N827" s="65"/>
      <c r="O827" s="65" t="s">
        <v>828</v>
      </c>
      <c r="P827" s="65"/>
      <c r="Q827" s="65"/>
      <c r="R827" s="65"/>
      <c r="S827" s="65"/>
    </row>
    <row r="828" spans="1:19" x14ac:dyDescent="0.25">
      <c r="A828" s="15">
        <v>41</v>
      </c>
      <c r="B828" s="65"/>
      <c r="C828" s="65"/>
      <c r="D828" s="65"/>
      <c r="E828" s="65"/>
      <c r="F828" s="65"/>
      <c r="G828" s="65"/>
      <c r="H828" s="65"/>
      <c r="I828" s="65"/>
      <c r="J828" s="65"/>
      <c r="K828" s="65"/>
      <c r="L828" s="65"/>
      <c r="M828" s="65"/>
      <c r="N828" s="65"/>
      <c r="O828" s="65" t="s">
        <v>866</v>
      </c>
      <c r="P828" s="65"/>
      <c r="Q828" s="65"/>
      <c r="R828" s="65"/>
      <c r="S828" s="65"/>
    </row>
    <row r="829" spans="1:19" x14ac:dyDescent="0.25">
      <c r="A829" s="15">
        <v>41</v>
      </c>
      <c r="B829" s="65"/>
      <c r="C829" s="65"/>
      <c r="D829" s="65"/>
      <c r="E829" s="65"/>
      <c r="F829" s="65"/>
      <c r="G829" s="65"/>
      <c r="H829" s="65"/>
      <c r="I829" s="65"/>
      <c r="J829" s="65"/>
      <c r="K829" s="65"/>
      <c r="L829" s="65"/>
      <c r="M829" s="65"/>
      <c r="N829" s="65"/>
      <c r="O829" s="65" t="s">
        <v>872</v>
      </c>
      <c r="P829" s="65"/>
      <c r="Q829" s="65"/>
      <c r="R829" s="65"/>
      <c r="S829" s="65"/>
    </row>
    <row r="830" spans="1:19" x14ac:dyDescent="0.25">
      <c r="A830" s="15">
        <v>41</v>
      </c>
      <c r="B830" s="65"/>
      <c r="C830" s="65" t="s">
        <v>79</v>
      </c>
      <c r="D830" s="65"/>
      <c r="E830" s="65" t="s">
        <v>787</v>
      </c>
      <c r="F830" s="65">
        <v>8</v>
      </c>
      <c r="G830" s="65"/>
      <c r="H830" s="65">
        <v>9</v>
      </c>
      <c r="I830" s="65">
        <v>11.916666666666668</v>
      </c>
      <c r="J830" s="65" t="s">
        <v>879</v>
      </c>
      <c r="K830" s="65"/>
      <c r="L830" s="65"/>
      <c r="M830" s="65"/>
      <c r="N830" s="65"/>
      <c r="O830" s="65" t="s">
        <v>878</v>
      </c>
      <c r="P830" s="65"/>
      <c r="Q830" s="65">
        <v>1</v>
      </c>
      <c r="R830" s="65">
        <v>304</v>
      </c>
      <c r="S830" s="65"/>
    </row>
    <row r="831" spans="1:19" x14ac:dyDescent="0.25">
      <c r="A831" s="15">
        <v>41</v>
      </c>
      <c r="B831" s="65"/>
      <c r="C831" s="65">
        <v>2429</v>
      </c>
      <c r="D831" s="65"/>
      <c r="E831" s="65" t="s">
        <v>787</v>
      </c>
      <c r="F831" s="65">
        <v>8</v>
      </c>
      <c r="G831" s="65"/>
      <c r="H831" s="65"/>
      <c r="I831" s="65">
        <v>21.583333333333332</v>
      </c>
      <c r="J831" s="65" t="s">
        <v>879</v>
      </c>
      <c r="K831" s="65"/>
      <c r="L831" s="65"/>
      <c r="M831" s="65"/>
      <c r="N831" s="65"/>
      <c r="O831" s="65" t="s">
        <v>881</v>
      </c>
      <c r="P831" s="65"/>
      <c r="Q831" s="65">
        <v>1</v>
      </c>
      <c r="R831" s="65">
        <v>447</v>
      </c>
      <c r="S831" s="65"/>
    </row>
    <row r="832" spans="1:19" x14ac:dyDescent="0.25">
      <c r="A832" s="15">
        <v>41</v>
      </c>
      <c r="B832" s="65"/>
      <c r="C832" s="65">
        <v>2429</v>
      </c>
      <c r="D832" s="65"/>
      <c r="E832" s="65" t="s">
        <v>787</v>
      </c>
      <c r="F832" s="65">
        <v>1</v>
      </c>
      <c r="G832" s="65"/>
      <c r="H832" s="65" t="e">
        <v>#N/A</v>
      </c>
      <c r="I832" s="65"/>
      <c r="J832" s="65" t="s">
        <v>899</v>
      </c>
      <c r="K832" s="65" t="s">
        <v>900</v>
      </c>
      <c r="L832" s="65" t="s">
        <v>900</v>
      </c>
      <c r="M832" s="65" t="s">
        <v>900</v>
      </c>
      <c r="N832" s="65" t="s">
        <v>900</v>
      </c>
      <c r="O832" s="65" t="s">
        <v>898</v>
      </c>
      <c r="P832" s="65"/>
      <c r="Q832" s="65">
        <v>1</v>
      </c>
      <c r="R832" s="65">
        <v>679</v>
      </c>
      <c r="S832" s="65"/>
    </row>
    <row r="833" spans="1:19" x14ac:dyDescent="0.25">
      <c r="A833" s="15">
        <v>41</v>
      </c>
      <c r="B833" s="65"/>
      <c r="C833" s="65">
        <v>2429</v>
      </c>
      <c r="D833" s="65"/>
      <c r="E833" s="65" t="s">
        <v>787</v>
      </c>
      <c r="F833" s="65">
        <v>0</v>
      </c>
      <c r="G833" s="65"/>
      <c r="H833" s="65">
        <v>3</v>
      </c>
      <c r="I833" s="65" t="e">
        <v>#N/A</v>
      </c>
      <c r="J833" s="65" t="s">
        <v>899</v>
      </c>
      <c r="K833" s="65"/>
      <c r="L833" s="65"/>
      <c r="M833" s="65"/>
      <c r="N833" s="65"/>
      <c r="O833" s="65" t="s">
        <v>912</v>
      </c>
      <c r="P833" s="65"/>
      <c r="Q833" s="65">
        <v>1</v>
      </c>
      <c r="R833" s="65">
        <v>906</v>
      </c>
      <c r="S833" s="65"/>
    </row>
    <row r="834" spans="1:19" x14ac:dyDescent="0.25">
      <c r="A834" s="15">
        <v>41</v>
      </c>
      <c r="B834" s="65"/>
      <c r="C834" s="65">
        <v>2429</v>
      </c>
      <c r="D834" s="65"/>
      <c r="E834" s="65" t="s">
        <v>787</v>
      </c>
      <c r="F834" s="65">
        <v>3</v>
      </c>
      <c r="G834" s="65"/>
      <c r="H834" s="65">
        <v>3</v>
      </c>
      <c r="I834" s="65" t="e">
        <v>#N/A</v>
      </c>
      <c r="J834" s="65" t="s">
        <v>899</v>
      </c>
      <c r="K834" s="65"/>
      <c r="L834" s="65"/>
      <c r="M834" s="65"/>
      <c r="N834" s="65"/>
      <c r="O834" s="65" t="s">
        <v>924</v>
      </c>
      <c r="P834" s="65"/>
      <c r="Q834" s="65">
        <v>1</v>
      </c>
      <c r="R834" s="65">
        <v>1133</v>
      </c>
      <c r="S834" s="65"/>
    </row>
    <row r="835" spans="1:19" x14ac:dyDescent="0.25">
      <c r="A835" s="15">
        <v>41</v>
      </c>
      <c r="B835" s="65"/>
      <c r="C835" s="65">
        <v>2429</v>
      </c>
      <c r="D835" s="65"/>
      <c r="E835" s="65" t="s">
        <v>787</v>
      </c>
      <c r="F835" s="65">
        <v>3</v>
      </c>
      <c r="G835" s="65"/>
      <c r="H835" s="65" t="e">
        <v>#N/A</v>
      </c>
      <c r="I835" s="65"/>
      <c r="J835" s="65" t="s">
        <v>899</v>
      </c>
      <c r="K835" s="65"/>
      <c r="L835" s="65"/>
      <c r="M835" s="65"/>
      <c r="N835" s="65"/>
      <c r="O835" s="65" t="s">
        <v>936</v>
      </c>
      <c r="P835" s="65"/>
      <c r="Q835" s="65">
        <v>1</v>
      </c>
      <c r="R835" s="65">
        <v>1284</v>
      </c>
      <c r="S835" s="65"/>
    </row>
    <row r="836" spans="1:19" x14ac:dyDescent="0.25">
      <c r="A836" s="15">
        <v>41</v>
      </c>
      <c r="B836" s="65"/>
      <c r="C836" s="65">
        <v>2429</v>
      </c>
      <c r="D836" s="65"/>
      <c r="E836" s="65" t="s">
        <v>787</v>
      </c>
      <c r="F836" s="65">
        <v>5</v>
      </c>
      <c r="G836" s="65"/>
      <c r="H836" s="65" t="e">
        <v>#N/A</v>
      </c>
      <c r="I836" s="65"/>
      <c r="J836" s="65" t="s">
        <v>899</v>
      </c>
      <c r="K836" s="65"/>
      <c r="L836" s="65"/>
      <c r="M836" s="65"/>
      <c r="N836" s="65"/>
      <c r="O836" s="65" t="s">
        <v>938</v>
      </c>
      <c r="P836" s="65"/>
      <c r="Q836" s="65">
        <v>1</v>
      </c>
      <c r="R836" s="65">
        <v>1427</v>
      </c>
      <c r="S836" s="65"/>
    </row>
    <row r="837" spans="1:19" x14ac:dyDescent="0.25">
      <c r="A837" s="15">
        <v>42</v>
      </c>
      <c r="B837" s="65"/>
      <c r="C837" s="65"/>
      <c r="D837" s="65"/>
      <c r="E837" s="65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65"/>
      <c r="Q837" s="65"/>
      <c r="R837" s="65"/>
      <c r="S837" s="65"/>
    </row>
    <row r="838" spans="1:19" x14ac:dyDescent="0.25">
      <c r="A838" s="15">
        <v>42</v>
      </c>
      <c r="B838" s="65"/>
      <c r="C838" s="65"/>
      <c r="D838" s="65"/>
      <c r="E838" s="65"/>
      <c r="F838" s="65"/>
      <c r="G838" s="65"/>
      <c r="H838" s="65"/>
      <c r="I838" s="65"/>
      <c r="J838" s="65"/>
      <c r="K838" s="65"/>
      <c r="L838" s="65"/>
      <c r="M838" s="65"/>
      <c r="N838" s="65"/>
      <c r="O838" s="65" t="s">
        <v>829</v>
      </c>
      <c r="P838" s="65"/>
      <c r="Q838" s="65"/>
      <c r="R838" s="65"/>
      <c r="S838" s="65"/>
    </row>
    <row r="839" spans="1:19" x14ac:dyDescent="0.25">
      <c r="A839" s="15">
        <v>42</v>
      </c>
      <c r="B839" s="65"/>
      <c r="C839" s="65"/>
      <c r="D839" s="65"/>
      <c r="E839" s="65"/>
      <c r="F839" s="65"/>
      <c r="G839" s="65"/>
      <c r="H839" s="65"/>
      <c r="I839" s="65"/>
      <c r="J839" s="65"/>
      <c r="K839" s="65"/>
      <c r="L839" s="65"/>
      <c r="M839" s="65"/>
      <c r="N839" s="65"/>
      <c r="O839" s="65" t="s">
        <v>864</v>
      </c>
      <c r="P839" s="65"/>
      <c r="Q839" s="65"/>
      <c r="R839" s="65"/>
      <c r="S839" s="65"/>
    </row>
    <row r="840" spans="1:19" x14ac:dyDescent="0.25">
      <c r="A840" s="15">
        <v>42</v>
      </c>
      <c r="B840" s="65"/>
      <c r="C840" s="65"/>
      <c r="D840" s="65"/>
      <c r="E840" s="65"/>
      <c r="F840" s="65"/>
      <c r="G840" s="65"/>
      <c r="H840" s="65"/>
      <c r="I840" s="65"/>
      <c r="J840" s="65"/>
      <c r="K840" s="65"/>
      <c r="L840" s="65"/>
      <c r="M840" s="65"/>
      <c r="N840" s="65"/>
      <c r="O840" s="65" t="s">
        <v>872</v>
      </c>
      <c r="P840" s="65"/>
      <c r="Q840" s="65"/>
      <c r="R840" s="65"/>
      <c r="S840" s="65"/>
    </row>
    <row r="841" spans="1:19" x14ac:dyDescent="0.25">
      <c r="A841" s="15">
        <v>42</v>
      </c>
      <c r="B841" s="65"/>
      <c r="C841" s="65" t="s">
        <v>79</v>
      </c>
      <c r="D841" s="65"/>
      <c r="E841" s="65" t="s">
        <v>787</v>
      </c>
      <c r="F841" s="65">
        <v>8</v>
      </c>
      <c r="G841" s="65"/>
      <c r="H841" s="65">
        <v>7</v>
      </c>
      <c r="I841" s="65">
        <v>7.666666666666667</v>
      </c>
      <c r="J841" s="65" t="s">
        <v>879</v>
      </c>
      <c r="K841" s="65"/>
      <c r="L841" s="65"/>
      <c r="M841" s="65"/>
      <c r="N841" s="65"/>
      <c r="O841" s="65" t="s">
        <v>878</v>
      </c>
      <c r="P841" s="65"/>
      <c r="Q841" s="65">
        <v>1</v>
      </c>
      <c r="R841" s="65">
        <v>305</v>
      </c>
      <c r="S841" s="65"/>
    </row>
    <row r="842" spans="1:19" x14ac:dyDescent="0.25">
      <c r="A842" s="15">
        <v>42</v>
      </c>
      <c r="B842" s="65"/>
      <c r="C842" s="65">
        <v>2429</v>
      </c>
      <c r="D842" s="65"/>
      <c r="E842" s="65" t="s">
        <v>787</v>
      </c>
      <c r="F842" s="65">
        <v>8</v>
      </c>
      <c r="G842" s="65"/>
      <c r="H842" s="65"/>
      <c r="I842" s="65">
        <v>21.583333333333332</v>
      </c>
      <c r="J842" s="65" t="s">
        <v>879</v>
      </c>
      <c r="K842" s="65"/>
      <c r="L842" s="65"/>
      <c r="M842" s="65"/>
      <c r="N842" s="65"/>
      <c r="O842" s="65" t="s">
        <v>881</v>
      </c>
      <c r="P842" s="65"/>
      <c r="Q842" s="65">
        <v>1</v>
      </c>
      <c r="R842" s="65">
        <v>448</v>
      </c>
      <c r="S842" s="65"/>
    </row>
    <row r="843" spans="1:19" x14ac:dyDescent="0.25">
      <c r="A843" s="15">
        <v>42</v>
      </c>
      <c r="B843" s="65"/>
      <c r="C843" s="65">
        <v>2429</v>
      </c>
      <c r="D843" s="65"/>
      <c r="E843" s="65" t="s">
        <v>787</v>
      </c>
      <c r="F843" s="65">
        <v>1</v>
      </c>
      <c r="G843" s="65"/>
      <c r="H843" s="65" t="e">
        <v>#N/A</v>
      </c>
      <c r="I843" s="65"/>
      <c r="J843" s="65" t="s">
        <v>899</v>
      </c>
      <c r="K843" s="65" t="s">
        <v>900</v>
      </c>
      <c r="L843" s="65" t="s">
        <v>900</v>
      </c>
      <c r="M843" s="65" t="s">
        <v>900</v>
      </c>
      <c r="N843" s="65" t="s">
        <v>900</v>
      </c>
      <c r="O843" s="65" t="s">
        <v>898</v>
      </c>
      <c r="P843" s="65"/>
      <c r="Q843" s="65">
        <v>1</v>
      </c>
      <c r="R843" s="65">
        <v>680</v>
      </c>
      <c r="S843" s="65"/>
    </row>
    <row r="844" spans="1:19" x14ac:dyDescent="0.25">
      <c r="A844" s="15">
        <v>42</v>
      </c>
      <c r="B844" s="65"/>
      <c r="C844" s="65">
        <v>2429</v>
      </c>
      <c r="D844" s="65"/>
      <c r="E844" s="65" t="s">
        <v>787</v>
      </c>
      <c r="F844" s="65">
        <v>0</v>
      </c>
      <c r="G844" s="65"/>
      <c r="H844" s="65">
        <v>3</v>
      </c>
      <c r="I844" s="65" t="e">
        <v>#N/A</v>
      </c>
      <c r="J844" s="65" t="s">
        <v>899</v>
      </c>
      <c r="K844" s="65"/>
      <c r="L844" s="65"/>
      <c r="M844" s="65"/>
      <c r="N844" s="65"/>
      <c r="O844" s="65" t="s">
        <v>912</v>
      </c>
      <c r="P844" s="65"/>
      <c r="Q844" s="65">
        <v>1</v>
      </c>
      <c r="R844" s="65">
        <v>907</v>
      </c>
      <c r="S844" s="65"/>
    </row>
    <row r="845" spans="1:19" x14ac:dyDescent="0.25">
      <c r="A845" s="15">
        <v>42</v>
      </c>
      <c r="B845" s="65"/>
      <c r="C845" s="65">
        <v>2429</v>
      </c>
      <c r="D845" s="65"/>
      <c r="E845" s="65" t="s">
        <v>787</v>
      </c>
      <c r="F845" s="65">
        <v>3</v>
      </c>
      <c r="G845" s="65"/>
      <c r="H845" s="65">
        <v>3</v>
      </c>
      <c r="I845" s="65" t="e">
        <v>#N/A</v>
      </c>
      <c r="J845" s="65" t="s">
        <v>899</v>
      </c>
      <c r="K845" s="65"/>
      <c r="L845" s="65"/>
      <c r="M845" s="65"/>
      <c r="N845" s="65"/>
      <c r="O845" s="65" t="s">
        <v>924</v>
      </c>
      <c r="P845" s="65"/>
      <c r="Q845" s="65">
        <v>1</v>
      </c>
      <c r="R845" s="65">
        <v>1134</v>
      </c>
      <c r="S845" s="65"/>
    </row>
    <row r="846" spans="1:19" x14ac:dyDescent="0.25">
      <c r="A846" s="15">
        <v>42</v>
      </c>
      <c r="B846" s="65"/>
      <c r="C846" s="65">
        <v>2429</v>
      </c>
      <c r="D846" s="65"/>
      <c r="E846" s="65" t="s">
        <v>787</v>
      </c>
      <c r="F846" s="65">
        <v>3</v>
      </c>
      <c r="G846" s="65"/>
      <c r="H846" s="65" t="e">
        <v>#N/A</v>
      </c>
      <c r="I846" s="65"/>
      <c r="J846" s="65" t="s">
        <v>899</v>
      </c>
      <c r="K846" s="65"/>
      <c r="L846" s="65"/>
      <c r="M846" s="65"/>
      <c r="N846" s="65"/>
      <c r="O846" s="65" t="s">
        <v>936</v>
      </c>
      <c r="P846" s="65"/>
      <c r="Q846" s="65">
        <v>1</v>
      </c>
      <c r="R846" s="65">
        <v>1285</v>
      </c>
      <c r="S846" s="65"/>
    </row>
    <row r="847" spans="1:19" x14ac:dyDescent="0.25">
      <c r="A847" s="15">
        <v>42</v>
      </c>
      <c r="B847" s="65"/>
      <c r="C847" s="65">
        <v>2429</v>
      </c>
      <c r="D847" s="65"/>
      <c r="E847" s="65" t="s">
        <v>787</v>
      </c>
      <c r="F847" s="65">
        <v>5</v>
      </c>
      <c r="G847" s="65"/>
      <c r="H847" s="65" t="e">
        <v>#N/A</v>
      </c>
      <c r="I847" s="65"/>
      <c r="J847" s="65" t="s">
        <v>899</v>
      </c>
      <c r="K847" s="65"/>
      <c r="L847" s="65"/>
      <c r="M847" s="65"/>
      <c r="N847" s="65"/>
      <c r="O847" s="65" t="s">
        <v>938</v>
      </c>
      <c r="P847" s="65"/>
      <c r="Q847" s="65">
        <v>1</v>
      </c>
      <c r="R847" s="65">
        <v>1428</v>
      </c>
      <c r="S847" s="65"/>
    </row>
    <row r="848" spans="1:19" x14ac:dyDescent="0.25">
      <c r="A848" s="15">
        <v>43</v>
      </c>
      <c r="B848" s="65"/>
      <c r="C848" s="65"/>
      <c r="D848" s="65"/>
      <c r="E848" s="65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65"/>
      <c r="Q848" s="65"/>
      <c r="R848" s="65"/>
      <c r="S848" s="65"/>
    </row>
    <row r="849" spans="1:19" x14ac:dyDescent="0.25">
      <c r="A849" s="15">
        <v>43</v>
      </c>
      <c r="B849" s="65"/>
      <c r="C849" s="65"/>
      <c r="D849" s="65"/>
      <c r="E849" s="65"/>
      <c r="F849" s="65"/>
      <c r="G849" s="65"/>
      <c r="H849" s="65"/>
      <c r="I849" s="65"/>
      <c r="J849" s="65"/>
      <c r="K849" s="65"/>
      <c r="L849" s="65"/>
      <c r="M849" s="65"/>
      <c r="N849" s="65"/>
      <c r="O849" s="65" t="s">
        <v>830</v>
      </c>
      <c r="P849" s="65"/>
      <c r="Q849" s="65"/>
      <c r="R849" s="65"/>
      <c r="S849" s="65"/>
    </row>
    <row r="850" spans="1:19" x14ac:dyDescent="0.25">
      <c r="A850" s="15">
        <v>43</v>
      </c>
      <c r="B850" s="65"/>
      <c r="C850" s="65"/>
      <c r="D850" s="65"/>
      <c r="E850" s="65"/>
      <c r="F850" s="65"/>
      <c r="G850" s="65"/>
      <c r="H850" s="65"/>
      <c r="I850" s="65"/>
      <c r="J850" s="65"/>
      <c r="K850" s="65"/>
      <c r="L850" s="65"/>
      <c r="M850" s="65"/>
      <c r="N850" s="65"/>
      <c r="O850" s="65" t="s">
        <v>864</v>
      </c>
      <c r="P850" s="65"/>
      <c r="Q850" s="65"/>
      <c r="R850" s="65"/>
      <c r="S850" s="65"/>
    </row>
    <row r="851" spans="1:19" x14ac:dyDescent="0.25">
      <c r="A851" s="15">
        <v>43</v>
      </c>
      <c r="B851" s="65"/>
      <c r="C851" s="65"/>
      <c r="D851" s="65"/>
      <c r="E851" s="65"/>
      <c r="F851" s="65"/>
      <c r="G851" s="65"/>
      <c r="H851" s="65"/>
      <c r="I851" s="65"/>
      <c r="J851" s="65"/>
      <c r="K851" s="65"/>
      <c r="L851" s="65"/>
      <c r="M851" s="65"/>
      <c r="N851" s="65"/>
      <c r="O851" s="65" t="s">
        <v>871</v>
      </c>
      <c r="P851" s="65"/>
      <c r="Q851" s="65"/>
      <c r="R851" s="65"/>
      <c r="S851" s="65"/>
    </row>
    <row r="852" spans="1:19" x14ac:dyDescent="0.25">
      <c r="A852" s="15">
        <v>43</v>
      </c>
      <c r="B852" s="65"/>
      <c r="C852" s="65" t="s">
        <v>79</v>
      </c>
      <c r="D852" s="65"/>
      <c r="E852" s="65" t="s">
        <v>787</v>
      </c>
      <c r="F852" s="65">
        <v>8</v>
      </c>
      <c r="G852" s="65"/>
      <c r="H852" s="65">
        <v>7</v>
      </c>
      <c r="I852" s="65">
        <v>6.666666666666667</v>
      </c>
      <c r="J852" s="65" t="s">
        <v>879</v>
      </c>
      <c r="K852" s="65"/>
      <c r="L852" s="65"/>
      <c r="M852" s="65"/>
      <c r="N852" s="65"/>
      <c r="O852" s="65" t="s">
        <v>878</v>
      </c>
      <c r="P852" s="65"/>
      <c r="Q852" s="65">
        <v>1</v>
      </c>
      <c r="R852" s="65">
        <v>306</v>
      </c>
      <c r="S852" s="65"/>
    </row>
    <row r="853" spans="1:19" x14ac:dyDescent="0.25">
      <c r="A853" s="15">
        <v>43</v>
      </c>
      <c r="B853" s="65"/>
      <c r="C853" s="65">
        <v>2429</v>
      </c>
      <c r="D853" s="65"/>
      <c r="E853" s="65" t="s">
        <v>787</v>
      </c>
      <c r="F853" s="65">
        <v>8</v>
      </c>
      <c r="G853" s="65"/>
      <c r="H853" s="65"/>
      <c r="I853" s="65">
        <v>19.583333333333332</v>
      </c>
      <c r="J853" s="65" t="s">
        <v>879</v>
      </c>
      <c r="K853" s="65"/>
      <c r="L853" s="65"/>
      <c r="M853" s="65"/>
      <c r="N853" s="65"/>
      <c r="O853" s="65" t="s">
        <v>881</v>
      </c>
      <c r="P853" s="65"/>
      <c r="Q853" s="65">
        <v>1</v>
      </c>
      <c r="R853" s="65">
        <v>449</v>
      </c>
      <c r="S853" s="65"/>
    </row>
    <row r="854" spans="1:19" x14ac:dyDescent="0.25">
      <c r="A854" s="15">
        <v>43</v>
      </c>
      <c r="B854" s="65"/>
      <c r="C854" s="65">
        <v>2429</v>
      </c>
      <c r="D854" s="65"/>
      <c r="E854" s="65" t="s">
        <v>787</v>
      </c>
      <c r="F854" s="65">
        <v>1</v>
      </c>
      <c r="G854" s="65"/>
      <c r="H854" s="65" t="e">
        <v>#N/A</v>
      </c>
      <c r="I854" s="65"/>
      <c r="J854" s="65" t="s">
        <v>899</v>
      </c>
      <c r="K854" s="65" t="s">
        <v>900</v>
      </c>
      <c r="L854" s="65" t="s">
        <v>900</v>
      </c>
      <c r="M854" s="65" t="s">
        <v>900</v>
      </c>
      <c r="N854" s="65" t="s">
        <v>900</v>
      </c>
      <c r="O854" s="65" t="s">
        <v>898</v>
      </c>
      <c r="P854" s="65"/>
      <c r="Q854" s="65">
        <v>1</v>
      </c>
      <c r="R854" s="65">
        <v>681</v>
      </c>
      <c r="S854" s="65"/>
    </row>
    <row r="855" spans="1:19" x14ac:dyDescent="0.25">
      <c r="A855" s="15">
        <v>43</v>
      </c>
      <c r="B855" s="65"/>
      <c r="C855" s="65">
        <v>2429</v>
      </c>
      <c r="D855" s="65"/>
      <c r="E855" s="65" t="s">
        <v>787</v>
      </c>
      <c r="F855" s="65">
        <v>0</v>
      </c>
      <c r="G855" s="65"/>
      <c r="H855" s="65">
        <v>3</v>
      </c>
      <c r="I855" s="65" t="e">
        <v>#N/A</v>
      </c>
      <c r="J855" s="65" t="s">
        <v>899</v>
      </c>
      <c r="K855" s="65"/>
      <c r="L855" s="65"/>
      <c r="M855" s="65"/>
      <c r="N855" s="65"/>
      <c r="O855" s="65" t="s">
        <v>912</v>
      </c>
      <c r="P855" s="65"/>
      <c r="Q855" s="65">
        <v>1</v>
      </c>
      <c r="R855" s="65">
        <v>908</v>
      </c>
      <c r="S855" s="65"/>
    </row>
    <row r="856" spans="1:19" x14ac:dyDescent="0.25">
      <c r="A856" s="15">
        <v>43</v>
      </c>
      <c r="B856" s="65"/>
      <c r="C856" s="65">
        <v>2429</v>
      </c>
      <c r="D856" s="65"/>
      <c r="E856" s="65" t="s">
        <v>787</v>
      </c>
      <c r="F856" s="65">
        <v>3</v>
      </c>
      <c r="G856" s="65"/>
      <c r="H856" s="65">
        <v>3</v>
      </c>
      <c r="I856" s="65" t="e">
        <v>#N/A</v>
      </c>
      <c r="J856" s="65" t="s">
        <v>899</v>
      </c>
      <c r="K856" s="65"/>
      <c r="L856" s="65"/>
      <c r="M856" s="65"/>
      <c r="N856" s="65"/>
      <c r="O856" s="65" t="s">
        <v>924</v>
      </c>
      <c r="P856" s="65"/>
      <c r="Q856" s="65">
        <v>1</v>
      </c>
      <c r="R856" s="65">
        <v>1135</v>
      </c>
      <c r="S856" s="65"/>
    </row>
    <row r="857" spans="1:19" x14ac:dyDescent="0.25">
      <c r="A857" s="15">
        <v>43</v>
      </c>
      <c r="B857" s="65"/>
      <c r="C857" s="65">
        <v>2429</v>
      </c>
      <c r="D857" s="65"/>
      <c r="E857" s="65" t="s">
        <v>787</v>
      </c>
      <c r="F857" s="65">
        <v>3</v>
      </c>
      <c r="G857" s="65"/>
      <c r="H857" s="65" t="e">
        <v>#N/A</v>
      </c>
      <c r="I857" s="65"/>
      <c r="J857" s="65" t="s">
        <v>899</v>
      </c>
      <c r="K857" s="65"/>
      <c r="L857" s="65"/>
      <c r="M857" s="65"/>
      <c r="N857" s="65"/>
      <c r="O857" s="65" t="s">
        <v>936</v>
      </c>
      <c r="P857" s="65"/>
      <c r="Q857" s="65">
        <v>1</v>
      </c>
      <c r="R857" s="65">
        <v>1286</v>
      </c>
      <c r="S857" s="65"/>
    </row>
    <row r="858" spans="1:19" x14ac:dyDescent="0.25">
      <c r="A858" s="15">
        <v>43</v>
      </c>
      <c r="B858" s="65"/>
      <c r="C858" s="65">
        <v>2429</v>
      </c>
      <c r="D858" s="65"/>
      <c r="E858" s="65" t="s">
        <v>787</v>
      </c>
      <c r="F858" s="65">
        <v>5</v>
      </c>
      <c r="G858" s="65"/>
      <c r="H858" s="65" t="e">
        <v>#N/A</v>
      </c>
      <c r="I858" s="65"/>
      <c r="J858" s="65" t="s">
        <v>899</v>
      </c>
      <c r="K858" s="65"/>
      <c r="L858" s="65"/>
      <c r="M858" s="65"/>
      <c r="N858" s="65"/>
      <c r="O858" s="65" t="s">
        <v>938</v>
      </c>
      <c r="P858" s="65"/>
      <c r="Q858" s="65">
        <v>1</v>
      </c>
      <c r="R858" s="65">
        <v>1429</v>
      </c>
      <c r="S858" s="65"/>
    </row>
    <row r="859" spans="1:19" x14ac:dyDescent="0.25">
      <c r="A859" s="15">
        <v>44</v>
      </c>
      <c r="B859" s="65"/>
      <c r="C859" s="65"/>
      <c r="D859" s="65"/>
      <c r="E859" s="65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65"/>
      <c r="Q859" s="65"/>
      <c r="R859" s="65"/>
      <c r="S859" s="65"/>
    </row>
    <row r="860" spans="1:19" x14ac:dyDescent="0.25">
      <c r="A860" s="15">
        <v>44</v>
      </c>
      <c r="B860" s="65"/>
      <c r="C860" s="65"/>
      <c r="D860" s="65"/>
      <c r="E860" s="65"/>
      <c r="F860" s="65"/>
      <c r="G860" s="65"/>
      <c r="H860" s="65"/>
      <c r="I860" s="65"/>
      <c r="J860" s="65"/>
      <c r="K860" s="65"/>
      <c r="L860" s="65"/>
      <c r="M860" s="65"/>
      <c r="N860" s="65"/>
      <c r="O860" s="65" t="s">
        <v>831</v>
      </c>
      <c r="P860" s="65"/>
      <c r="Q860" s="65"/>
      <c r="R860" s="65"/>
      <c r="S860" s="65"/>
    </row>
    <row r="861" spans="1:19" x14ac:dyDescent="0.25">
      <c r="A861" s="15">
        <v>44</v>
      </c>
      <c r="B861" s="65"/>
      <c r="C861" s="65"/>
      <c r="D861" s="65"/>
      <c r="E861" s="65"/>
      <c r="F861" s="65"/>
      <c r="G861" s="65"/>
      <c r="H861" s="65"/>
      <c r="I861" s="65"/>
      <c r="J861" s="65"/>
      <c r="K861" s="65"/>
      <c r="L861" s="65"/>
      <c r="M861" s="65"/>
      <c r="N861" s="65"/>
      <c r="O861" s="65" t="s">
        <v>864</v>
      </c>
      <c r="P861" s="65"/>
      <c r="Q861" s="65"/>
      <c r="R861" s="65"/>
      <c r="S861" s="65"/>
    </row>
    <row r="862" spans="1:19" x14ac:dyDescent="0.25">
      <c r="A862" s="15">
        <v>44</v>
      </c>
      <c r="B862" s="65"/>
      <c r="C862" s="65"/>
      <c r="D862" s="65"/>
      <c r="E862" s="65"/>
      <c r="F862" s="65"/>
      <c r="G862" s="65"/>
      <c r="H862" s="65"/>
      <c r="I862" s="65"/>
      <c r="J862" s="65"/>
      <c r="K862" s="65"/>
      <c r="L862" s="65"/>
      <c r="M862" s="65"/>
      <c r="N862" s="65"/>
      <c r="O862" s="65" t="s">
        <v>871</v>
      </c>
      <c r="P862" s="65"/>
      <c r="Q862" s="65"/>
      <c r="R862" s="65"/>
      <c r="S862" s="65"/>
    </row>
    <row r="863" spans="1:19" x14ac:dyDescent="0.25">
      <c r="A863" s="15">
        <v>44</v>
      </c>
      <c r="B863" s="65"/>
      <c r="C863" s="65" t="s">
        <v>79</v>
      </c>
      <c r="D863" s="65"/>
      <c r="E863" s="65" t="s">
        <v>787</v>
      </c>
      <c r="F863" s="65">
        <v>8</v>
      </c>
      <c r="G863" s="65"/>
      <c r="H863" s="65">
        <v>7</v>
      </c>
      <c r="I863" s="65">
        <v>7.666666666666667</v>
      </c>
      <c r="J863" s="65" t="s">
        <v>879</v>
      </c>
      <c r="K863" s="65"/>
      <c r="L863" s="65"/>
      <c r="M863" s="65"/>
      <c r="N863" s="65"/>
      <c r="O863" s="65" t="s">
        <v>878</v>
      </c>
      <c r="P863" s="65"/>
      <c r="Q863" s="65">
        <v>1</v>
      </c>
      <c r="R863" s="65">
        <v>307</v>
      </c>
      <c r="S863" s="65"/>
    </row>
    <row r="864" spans="1:19" x14ac:dyDescent="0.25">
      <c r="A864" s="15">
        <v>44</v>
      </c>
      <c r="B864" s="65"/>
      <c r="C864" s="65">
        <v>2429</v>
      </c>
      <c r="D864" s="65"/>
      <c r="E864" s="65" t="s">
        <v>787</v>
      </c>
      <c r="F864" s="65">
        <v>8</v>
      </c>
      <c r="G864" s="65"/>
      <c r="H864" s="65"/>
      <c r="I864" s="65">
        <v>19.583333333333332</v>
      </c>
      <c r="J864" s="65" t="s">
        <v>879</v>
      </c>
      <c r="K864" s="65"/>
      <c r="L864" s="65"/>
      <c r="M864" s="65"/>
      <c r="N864" s="65"/>
      <c r="O864" s="65" t="s">
        <v>881</v>
      </c>
      <c r="P864" s="65"/>
      <c r="Q864" s="65">
        <v>1</v>
      </c>
      <c r="R864" s="65">
        <v>450</v>
      </c>
      <c r="S864" s="65"/>
    </row>
    <row r="865" spans="1:19" x14ac:dyDescent="0.25">
      <c r="A865" s="15">
        <v>44</v>
      </c>
      <c r="B865" s="65"/>
      <c r="C865" s="65">
        <v>2429</v>
      </c>
      <c r="D865" s="65"/>
      <c r="E865" s="65" t="s">
        <v>787</v>
      </c>
      <c r="F865" s="65">
        <v>1</v>
      </c>
      <c r="G865" s="65"/>
      <c r="H865" s="65" t="e">
        <v>#N/A</v>
      </c>
      <c r="I865" s="65"/>
      <c r="J865" s="65" t="s">
        <v>899</v>
      </c>
      <c r="K865" s="65" t="s">
        <v>900</v>
      </c>
      <c r="L865" s="65" t="s">
        <v>900</v>
      </c>
      <c r="M865" s="65" t="s">
        <v>900</v>
      </c>
      <c r="N865" s="65" t="s">
        <v>900</v>
      </c>
      <c r="O865" s="65" t="s">
        <v>898</v>
      </c>
      <c r="P865" s="65"/>
      <c r="Q865" s="65">
        <v>1</v>
      </c>
      <c r="R865" s="65">
        <v>682</v>
      </c>
      <c r="S865" s="65"/>
    </row>
    <row r="866" spans="1:19" x14ac:dyDescent="0.25">
      <c r="A866" s="15">
        <v>44</v>
      </c>
      <c r="B866" s="65"/>
      <c r="C866" s="65">
        <v>2429</v>
      </c>
      <c r="D866" s="65"/>
      <c r="E866" s="65" t="s">
        <v>787</v>
      </c>
      <c r="F866" s="65">
        <v>0</v>
      </c>
      <c r="G866" s="65"/>
      <c r="H866" s="65">
        <v>3</v>
      </c>
      <c r="I866" s="65" t="e">
        <v>#N/A</v>
      </c>
      <c r="J866" s="65" t="s">
        <v>899</v>
      </c>
      <c r="K866" s="65"/>
      <c r="L866" s="65"/>
      <c r="M866" s="65"/>
      <c r="N866" s="65"/>
      <c r="O866" s="65" t="s">
        <v>912</v>
      </c>
      <c r="P866" s="65"/>
      <c r="Q866" s="65">
        <v>1</v>
      </c>
      <c r="R866" s="65">
        <v>909</v>
      </c>
      <c r="S866" s="65"/>
    </row>
    <row r="867" spans="1:19" x14ac:dyDescent="0.25">
      <c r="A867" s="15">
        <v>44</v>
      </c>
      <c r="B867" s="65"/>
      <c r="C867" s="65">
        <v>2429</v>
      </c>
      <c r="D867" s="65"/>
      <c r="E867" s="65" t="s">
        <v>787</v>
      </c>
      <c r="F867" s="65">
        <v>3</v>
      </c>
      <c r="G867" s="65"/>
      <c r="H867" s="65">
        <v>3</v>
      </c>
      <c r="I867" s="65" t="e">
        <v>#N/A</v>
      </c>
      <c r="J867" s="65" t="s">
        <v>899</v>
      </c>
      <c r="K867" s="65"/>
      <c r="L867" s="65"/>
      <c r="M867" s="65"/>
      <c r="N867" s="65"/>
      <c r="O867" s="65" t="s">
        <v>924</v>
      </c>
      <c r="P867" s="65"/>
      <c r="Q867" s="65">
        <v>1</v>
      </c>
      <c r="R867" s="65">
        <v>1136</v>
      </c>
      <c r="S867" s="65"/>
    </row>
    <row r="868" spans="1:19" x14ac:dyDescent="0.25">
      <c r="A868" s="15">
        <v>44</v>
      </c>
      <c r="B868" s="65"/>
      <c r="C868" s="65">
        <v>2429</v>
      </c>
      <c r="D868" s="65"/>
      <c r="E868" s="65" t="s">
        <v>787</v>
      </c>
      <c r="F868" s="65">
        <v>3</v>
      </c>
      <c r="G868" s="65"/>
      <c r="H868" s="65" t="e">
        <v>#N/A</v>
      </c>
      <c r="I868" s="65"/>
      <c r="J868" s="65" t="s">
        <v>899</v>
      </c>
      <c r="K868" s="65"/>
      <c r="L868" s="65"/>
      <c r="M868" s="65"/>
      <c r="N868" s="65"/>
      <c r="O868" s="65" t="s">
        <v>936</v>
      </c>
      <c r="P868" s="65"/>
      <c r="Q868" s="65">
        <v>1</v>
      </c>
      <c r="R868" s="65">
        <v>1287</v>
      </c>
      <c r="S868" s="65"/>
    </row>
    <row r="869" spans="1:19" x14ac:dyDescent="0.25">
      <c r="A869" s="15">
        <v>44</v>
      </c>
      <c r="B869" s="65"/>
      <c r="C869" s="65">
        <v>2429</v>
      </c>
      <c r="D869" s="65"/>
      <c r="E869" s="65" t="s">
        <v>787</v>
      </c>
      <c r="F869" s="65">
        <v>5</v>
      </c>
      <c r="G869" s="65"/>
      <c r="H869" s="65" t="e">
        <v>#N/A</v>
      </c>
      <c r="I869" s="65"/>
      <c r="J869" s="65" t="s">
        <v>899</v>
      </c>
      <c r="K869" s="65"/>
      <c r="L869" s="65"/>
      <c r="M869" s="65"/>
      <c r="N869" s="65"/>
      <c r="O869" s="65" t="s">
        <v>938</v>
      </c>
      <c r="P869" s="65"/>
      <c r="Q869" s="65">
        <v>1</v>
      </c>
      <c r="R869" s="65">
        <v>1430</v>
      </c>
      <c r="S869" s="65"/>
    </row>
    <row r="870" spans="1:19" x14ac:dyDescent="0.25">
      <c r="A870" s="15">
        <v>45</v>
      </c>
      <c r="B870" s="65"/>
      <c r="C870" s="65"/>
      <c r="D870" s="65"/>
      <c r="E870" s="65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65"/>
      <c r="Q870" s="65"/>
      <c r="R870" s="65"/>
      <c r="S870" s="65"/>
    </row>
    <row r="871" spans="1:19" x14ac:dyDescent="0.25">
      <c r="A871" s="15">
        <v>45</v>
      </c>
      <c r="B871" s="65"/>
      <c r="C871" s="65"/>
      <c r="D871" s="65"/>
      <c r="E871" s="65"/>
      <c r="F871" s="65"/>
      <c r="G871" s="65"/>
      <c r="H871" s="65"/>
      <c r="I871" s="65"/>
      <c r="J871" s="65"/>
      <c r="K871" s="65"/>
      <c r="L871" s="65"/>
      <c r="M871" s="65"/>
      <c r="N871" s="65"/>
      <c r="O871" s="65" t="s">
        <v>832</v>
      </c>
      <c r="P871" s="65"/>
      <c r="Q871" s="65"/>
      <c r="R871" s="65"/>
      <c r="S871" s="65"/>
    </row>
    <row r="872" spans="1:19" x14ac:dyDescent="0.25">
      <c r="A872" s="15">
        <v>45</v>
      </c>
      <c r="B872" s="65"/>
      <c r="C872" s="65"/>
      <c r="D872" s="65"/>
      <c r="E872" s="65"/>
      <c r="F872" s="65"/>
      <c r="G872" s="65"/>
      <c r="H872" s="65"/>
      <c r="I872" s="65"/>
      <c r="J872" s="65"/>
      <c r="K872" s="65"/>
      <c r="L872" s="65"/>
      <c r="M872" s="65"/>
      <c r="N872" s="65"/>
      <c r="O872" s="65" t="s">
        <v>865</v>
      </c>
      <c r="P872" s="65"/>
      <c r="Q872" s="65"/>
      <c r="R872" s="65"/>
      <c r="S872" s="65"/>
    </row>
    <row r="873" spans="1:19" x14ac:dyDescent="0.25">
      <c r="A873" s="15">
        <v>45</v>
      </c>
      <c r="B873" s="65"/>
      <c r="C873" s="65"/>
      <c r="D873" s="65"/>
      <c r="E873" s="65"/>
      <c r="F873" s="65"/>
      <c r="G873" s="65"/>
      <c r="H873" s="65"/>
      <c r="I873" s="65"/>
      <c r="J873" s="65"/>
      <c r="K873" s="65"/>
      <c r="L873" s="65"/>
      <c r="M873" s="65"/>
      <c r="N873" s="65"/>
      <c r="O873" s="65" t="s">
        <v>874</v>
      </c>
      <c r="P873" s="65"/>
      <c r="Q873" s="65"/>
      <c r="R873" s="65"/>
      <c r="S873" s="65"/>
    </row>
    <row r="874" spans="1:19" x14ac:dyDescent="0.25">
      <c r="A874" s="15">
        <v>45</v>
      </c>
      <c r="B874" s="65"/>
      <c r="C874" s="65" t="s">
        <v>79</v>
      </c>
      <c r="D874" s="65"/>
      <c r="E874" s="65" t="s">
        <v>787</v>
      </c>
      <c r="F874" s="65">
        <v>10</v>
      </c>
      <c r="G874" s="65"/>
      <c r="H874" s="65">
        <v>10</v>
      </c>
      <c r="I874" s="65">
        <v>12.583333333333332</v>
      </c>
      <c r="J874" s="65" t="s">
        <v>879</v>
      </c>
      <c r="K874" s="65"/>
      <c r="L874" s="65"/>
      <c r="M874" s="65"/>
      <c r="N874" s="65"/>
      <c r="O874" s="65" t="s">
        <v>878</v>
      </c>
      <c r="P874" s="65"/>
      <c r="Q874" s="65">
        <v>1</v>
      </c>
      <c r="R874" s="65">
        <v>308</v>
      </c>
      <c r="S874" s="65"/>
    </row>
    <row r="875" spans="1:19" x14ac:dyDescent="0.25">
      <c r="A875" s="15">
        <v>45</v>
      </c>
      <c r="B875" s="65"/>
      <c r="C875" s="65">
        <v>2429</v>
      </c>
      <c r="D875" s="65"/>
      <c r="E875" s="65" t="s">
        <v>787</v>
      </c>
      <c r="F875" s="65">
        <v>10</v>
      </c>
      <c r="G875" s="65"/>
      <c r="H875" s="65"/>
      <c r="I875" s="65">
        <v>26.666666666666668</v>
      </c>
      <c r="J875" s="65" t="s">
        <v>879</v>
      </c>
      <c r="K875" s="65"/>
      <c r="L875" s="65"/>
      <c r="M875" s="65"/>
      <c r="N875" s="65"/>
      <c r="O875" s="65" t="s">
        <v>881</v>
      </c>
      <c r="P875" s="65"/>
      <c r="Q875" s="65">
        <v>1</v>
      </c>
      <c r="R875" s="65">
        <v>451</v>
      </c>
      <c r="S875" s="65"/>
    </row>
    <row r="876" spans="1:19" x14ac:dyDescent="0.25">
      <c r="A876" s="15">
        <v>45</v>
      </c>
      <c r="B876" s="65"/>
      <c r="C876" s="65">
        <v>2429</v>
      </c>
      <c r="D876" s="65"/>
      <c r="E876" s="65" t="s">
        <v>787</v>
      </c>
      <c r="F876" s="65">
        <v>10</v>
      </c>
      <c r="G876" s="65"/>
      <c r="H876" s="65"/>
      <c r="I876" s="65">
        <v>15.666666666666666</v>
      </c>
      <c r="J876" s="65" t="s">
        <v>879</v>
      </c>
      <c r="K876" s="65"/>
      <c r="L876" s="65"/>
      <c r="M876" s="65"/>
      <c r="N876" s="65"/>
      <c r="O876" s="65" t="s">
        <v>882</v>
      </c>
      <c r="P876" s="65"/>
      <c r="Q876" s="65">
        <v>1</v>
      </c>
      <c r="R876" s="65">
        <v>452</v>
      </c>
      <c r="S876" s="65"/>
    </row>
    <row r="877" spans="1:19" x14ac:dyDescent="0.25">
      <c r="A877" s="15">
        <v>45</v>
      </c>
      <c r="B877" s="65"/>
      <c r="C877" s="65">
        <v>2429</v>
      </c>
      <c r="D877" s="65"/>
      <c r="E877" s="65" t="s">
        <v>787</v>
      </c>
      <c r="F877" s="65">
        <v>6</v>
      </c>
      <c r="G877" s="65"/>
      <c r="H877" s="65"/>
      <c r="I877" s="65">
        <v>15.666666666666666</v>
      </c>
      <c r="J877" s="65" t="s">
        <v>879</v>
      </c>
      <c r="K877" s="65"/>
      <c r="L877" s="65"/>
      <c r="M877" s="65"/>
      <c r="N877" s="65"/>
      <c r="O877" s="65" t="s">
        <v>883</v>
      </c>
      <c r="P877" s="65"/>
      <c r="Q877" s="65">
        <v>1</v>
      </c>
      <c r="R877" s="65">
        <v>453</v>
      </c>
      <c r="S877" s="65"/>
    </row>
    <row r="878" spans="1:19" x14ac:dyDescent="0.25">
      <c r="A878" s="15">
        <v>45</v>
      </c>
      <c r="B878" s="65"/>
      <c r="C878" s="65">
        <v>2429</v>
      </c>
      <c r="D878" s="65"/>
      <c r="E878" s="65" t="s">
        <v>787</v>
      </c>
      <c r="F878" s="65">
        <v>6</v>
      </c>
      <c r="G878" s="65"/>
      <c r="H878" s="65"/>
      <c r="I878" s="65">
        <v>15.666666666666666</v>
      </c>
      <c r="J878" s="65" t="s">
        <v>879</v>
      </c>
      <c r="K878" s="65"/>
      <c r="L878" s="65"/>
      <c r="M878" s="65"/>
      <c r="N878" s="65"/>
      <c r="O878" s="65" t="s">
        <v>884</v>
      </c>
      <c r="P878" s="65"/>
      <c r="Q878" s="65">
        <v>1</v>
      </c>
      <c r="R878" s="65">
        <v>454</v>
      </c>
      <c r="S878" s="65"/>
    </row>
    <row r="879" spans="1:19" x14ac:dyDescent="0.25">
      <c r="A879" s="15">
        <v>45</v>
      </c>
      <c r="B879" s="65"/>
      <c r="C879" s="65">
        <v>2429</v>
      </c>
      <c r="D879" s="65"/>
      <c r="E879" s="65" t="s">
        <v>787</v>
      </c>
      <c r="F879" s="65">
        <v>6</v>
      </c>
      <c r="G879" s="65"/>
      <c r="H879" s="65"/>
      <c r="I879" s="65">
        <v>15.666666666666666</v>
      </c>
      <c r="J879" s="65" t="s">
        <v>879</v>
      </c>
      <c r="K879" s="65"/>
      <c r="L879" s="65"/>
      <c r="M879" s="65"/>
      <c r="N879" s="65"/>
      <c r="O879" s="65" t="s">
        <v>885</v>
      </c>
      <c r="P879" s="65"/>
      <c r="Q879" s="65">
        <v>1</v>
      </c>
      <c r="R879" s="65">
        <v>455</v>
      </c>
      <c r="S879" s="65"/>
    </row>
    <row r="880" spans="1:19" x14ac:dyDescent="0.25">
      <c r="A880" s="15">
        <v>45</v>
      </c>
      <c r="B880" s="65"/>
      <c r="C880" s="65">
        <v>2429</v>
      </c>
      <c r="D880" s="65"/>
      <c r="E880" s="65" t="s">
        <v>787</v>
      </c>
      <c r="F880" s="65">
        <v>6</v>
      </c>
      <c r="G880" s="65"/>
      <c r="H880" s="65"/>
      <c r="I880" s="65">
        <v>15.666666666666666</v>
      </c>
      <c r="J880" s="65" t="s">
        <v>879</v>
      </c>
      <c r="K880" s="65"/>
      <c r="L880" s="65"/>
      <c r="M880" s="65"/>
      <c r="N880" s="65"/>
      <c r="O880" s="65" t="s">
        <v>886</v>
      </c>
      <c r="P880" s="65"/>
      <c r="Q880" s="65">
        <v>1</v>
      </c>
      <c r="R880" s="65">
        <v>456</v>
      </c>
      <c r="S880" s="65"/>
    </row>
    <row r="881" spans="1:19" x14ac:dyDescent="0.25">
      <c r="A881" s="15">
        <v>45</v>
      </c>
      <c r="B881" s="65"/>
      <c r="C881" s="65">
        <v>2429</v>
      </c>
      <c r="D881" s="65"/>
      <c r="E881" s="65" t="s">
        <v>787</v>
      </c>
      <c r="F881" s="65">
        <v>6</v>
      </c>
      <c r="G881" s="65"/>
      <c r="H881" s="65"/>
      <c r="I881" s="65">
        <v>15.666666666666666</v>
      </c>
      <c r="J881" s="65" t="s">
        <v>879</v>
      </c>
      <c r="K881" s="65"/>
      <c r="L881" s="65"/>
      <c r="M881" s="65"/>
      <c r="N881" s="65"/>
      <c r="O881" s="65" t="s">
        <v>887</v>
      </c>
      <c r="P881" s="65"/>
      <c r="Q881" s="65">
        <v>1</v>
      </c>
      <c r="R881" s="65">
        <v>457</v>
      </c>
      <c r="S881" s="65"/>
    </row>
    <row r="882" spans="1:19" x14ac:dyDescent="0.25">
      <c r="A882" s="15">
        <v>45</v>
      </c>
      <c r="B882" s="65"/>
      <c r="C882" s="65">
        <v>2429</v>
      </c>
      <c r="D882" s="65"/>
      <c r="E882" s="65" t="s">
        <v>787</v>
      </c>
      <c r="F882" s="65">
        <v>6</v>
      </c>
      <c r="G882" s="65"/>
      <c r="H882" s="65"/>
      <c r="I882" s="65">
        <v>15.666666666666666</v>
      </c>
      <c r="J882" s="65" t="s">
        <v>879</v>
      </c>
      <c r="K882" s="65"/>
      <c r="L882" s="65"/>
      <c r="M882" s="65"/>
      <c r="N882" s="65"/>
      <c r="O882" s="65" t="s">
        <v>888</v>
      </c>
      <c r="P882" s="65"/>
      <c r="Q882" s="65">
        <v>1</v>
      </c>
      <c r="R882" s="65">
        <v>458</v>
      </c>
      <c r="S882" s="65"/>
    </row>
    <row r="883" spans="1:19" x14ac:dyDescent="0.25">
      <c r="A883" s="15">
        <v>45</v>
      </c>
      <c r="B883" s="65"/>
      <c r="C883" s="65">
        <v>2429</v>
      </c>
      <c r="D883" s="65"/>
      <c r="E883" s="65" t="s">
        <v>787</v>
      </c>
      <c r="F883" s="65">
        <v>6</v>
      </c>
      <c r="G883" s="65"/>
      <c r="H883" s="65"/>
      <c r="I883" s="65">
        <v>15.666666666666666</v>
      </c>
      <c r="J883" s="65" t="s">
        <v>879</v>
      </c>
      <c r="K883" s="65"/>
      <c r="L883" s="65"/>
      <c r="M883" s="65"/>
      <c r="N883" s="65"/>
      <c r="O883" s="65" t="s">
        <v>889</v>
      </c>
      <c r="P883" s="65"/>
      <c r="Q883" s="65">
        <v>1</v>
      </c>
      <c r="R883" s="65">
        <v>459</v>
      </c>
      <c r="S883" s="65"/>
    </row>
    <row r="884" spans="1:19" x14ac:dyDescent="0.25">
      <c r="A884" s="15">
        <v>45</v>
      </c>
      <c r="B884" s="65"/>
      <c r="C884" s="65">
        <v>2429</v>
      </c>
      <c r="D884" s="65"/>
      <c r="E884" s="65" t="s">
        <v>787</v>
      </c>
      <c r="F884" s="65">
        <v>6</v>
      </c>
      <c r="G884" s="65"/>
      <c r="H884" s="65"/>
      <c r="I884" s="65">
        <v>15.666666666666666</v>
      </c>
      <c r="J884" s="65" t="s">
        <v>879</v>
      </c>
      <c r="K884" s="65"/>
      <c r="L884" s="65"/>
      <c r="M884" s="65"/>
      <c r="N884" s="65"/>
      <c r="O884" s="65" t="s">
        <v>890</v>
      </c>
      <c r="P884" s="65"/>
      <c r="Q884" s="65">
        <v>1</v>
      </c>
      <c r="R884" s="65">
        <v>460</v>
      </c>
      <c r="S884" s="65"/>
    </row>
    <row r="885" spans="1:19" x14ac:dyDescent="0.25">
      <c r="A885" s="15">
        <v>45</v>
      </c>
      <c r="B885" s="65"/>
      <c r="C885" s="65">
        <v>2429</v>
      </c>
      <c r="D885" s="65"/>
      <c r="E885" s="65" t="s">
        <v>787</v>
      </c>
      <c r="F885" s="65">
        <v>6</v>
      </c>
      <c r="G885" s="65"/>
      <c r="H885" s="65"/>
      <c r="I885" s="65">
        <v>15.666666666666666</v>
      </c>
      <c r="J885" s="65" t="s">
        <v>879</v>
      </c>
      <c r="K885" s="65"/>
      <c r="L885" s="65"/>
      <c r="M885" s="65"/>
      <c r="N885" s="65"/>
      <c r="O885" s="65" t="s">
        <v>891</v>
      </c>
      <c r="P885" s="65"/>
      <c r="Q885" s="65">
        <v>1</v>
      </c>
      <c r="R885" s="65">
        <v>461</v>
      </c>
      <c r="S885" s="65"/>
    </row>
    <row r="886" spans="1:19" x14ac:dyDescent="0.25">
      <c r="A886" s="15">
        <v>45</v>
      </c>
      <c r="B886" s="65"/>
      <c r="C886" s="65">
        <v>2429</v>
      </c>
      <c r="D886" s="65"/>
      <c r="E886" s="65" t="s">
        <v>787</v>
      </c>
      <c r="F886" s="65">
        <v>10</v>
      </c>
      <c r="G886" s="65"/>
      <c r="H886" s="65"/>
      <c r="I886" s="65">
        <v>10.583333333333334</v>
      </c>
      <c r="J886" s="65" t="s">
        <v>879</v>
      </c>
      <c r="K886" s="65"/>
      <c r="L886" s="65"/>
      <c r="M886" s="65"/>
      <c r="N886" s="65"/>
      <c r="O886" s="65" t="s">
        <v>892</v>
      </c>
      <c r="P886" s="65"/>
      <c r="Q886" s="65">
        <v>1</v>
      </c>
      <c r="R886" s="65">
        <v>462</v>
      </c>
      <c r="S886" s="65"/>
    </row>
    <row r="887" spans="1:19" x14ac:dyDescent="0.25">
      <c r="A887" s="15">
        <v>45</v>
      </c>
      <c r="B887" s="65"/>
      <c r="C887" s="65">
        <v>2429</v>
      </c>
      <c r="D887" s="65"/>
      <c r="E887" s="65" t="s">
        <v>787</v>
      </c>
      <c r="F887" s="65">
        <v>1</v>
      </c>
      <c r="G887" s="65"/>
      <c r="H887" s="65" t="e">
        <v>#N/A</v>
      </c>
      <c r="I887" s="65"/>
      <c r="J887" s="65" t="s">
        <v>899</v>
      </c>
      <c r="K887" s="65" t="s">
        <v>900</v>
      </c>
      <c r="L887" s="65" t="s">
        <v>900</v>
      </c>
      <c r="M887" s="65" t="s">
        <v>900</v>
      </c>
      <c r="N887" s="65" t="s">
        <v>900</v>
      </c>
      <c r="O887" s="65" t="s">
        <v>898</v>
      </c>
      <c r="P887" s="65"/>
      <c r="Q887" s="65">
        <v>1</v>
      </c>
      <c r="R887" s="65">
        <v>683</v>
      </c>
      <c r="S887" s="65"/>
    </row>
    <row r="888" spans="1:19" x14ac:dyDescent="0.25">
      <c r="A888" s="15">
        <v>45</v>
      </c>
      <c r="B888" s="65"/>
      <c r="C888" s="65">
        <v>2429</v>
      </c>
      <c r="D888" s="65"/>
      <c r="E888" s="65" t="s">
        <v>787</v>
      </c>
      <c r="F888" s="65">
        <v>1</v>
      </c>
      <c r="G888" s="65"/>
      <c r="H888" s="65" t="e">
        <v>#N/A</v>
      </c>
      <c r="I888" s="65"/>
      <c r="J888" s="65" t="s">
        <v>899</v>
      </c>
      <c r="K888" s="65" t="s">
        <v>900</v>
      </c>
      <c r="L888" s="65" t="s">
        <v>900</v>
      </c>
      <c r="M888" s="65" t="s">
        <v>900</v>
      </c>
      <c r="N888" s="65" t="s">
        <v>900</v>
      </c>
      <c r="O888" s="65" t="s">
        <v>901</v>
      </c>
      <c r="P888" s="65"/>
      <c r="Q888" s="65">
        <v>1</v>
      </c>
      <c r="R888" s="65">
        <v>684</v>
      </c>
      <c r="S888" s="65"/>
    </row>
    <row r="889" spans="1:19" x14ac:dyDescent="0.25">
      <c r="A889" s="15">
        <v>45</v>
      </c>
      <c r="B889" s="65"/>
      <c r="C889" s="65">
        <v>2429</v>
      </c>
      <c r="D889" s="65"/>
      <c r="E889" s="65" t="s">
        <v>787</v>
      </c>
      <c r="F889" s="65">
        <v>1</v>
      </c>
      <c r="G889" s="65"/>
      <c r="H889" s="65" t="e">
        <v>#N/A</v>
      </c>
      <c r="I889" s="65"/>
      <c r="J889" s="65" t="s">
        <v>899</v>
      </c>
      <c r="K889" s="65" t="s">
        <v>900</v>
      </c>
      <c r="L889" s="65" t="s">
        <v>900</v>
      </c>
      <c r="M889" s="65" t="s">
        <v>900</v>
      </c>
      <c r="N889" s="65" t="s">
        <v>900</v>
      </c>
      <c r="O889" s="65" t="s">
        <v>902</v>
      </c>
      <c r="P889" s="65"/>
      <c r="Q889" s="65">
        <v>1</v>
      </c>
      <c r="R889" s="65">
        <v>685</v>
      </c>
      <c r="S889" s="65"/>
    </row>
    <row r="890" spans="1:19" x14ac:dyDescent="0.25">
      <c r="A890" s="15">
        <v>45</v>
      </c>
      <c r="B890" s="65"/>
      <c r="C890" s="65">
        <v>2429</v>
      </c>
      <c r="D890" s="65"/>
      <c r="E890" s="65" t="s">
        <v>787</v>
      </c>
      <c r="F890" s="65">
        <v>1</v>
      </c>
      <c r="G890" s="65"/>
      <c r="H890" s="65" t="e">
        <v>#N/A</v>
      </c>
      <c r="I890" s="65"/>
      <c r="J890" s="65" t="s">
        <v>899</v>
      </c>
      <c r="K890" s="65" t="s">
        <v>900</v>
      </c>
      <c r="L890" s="65" t="s">
        <v>900</v>
      </c>
      <c r="M890" s="65" t="s">
        <v>900</v>
      </c>
      <c r="N890" s="65" t="s">
        <v>900</v>
      </c>
      <c r="O890" s="65" t="s">
        <v>903</v>
      </c>
      <c r="P890" s="65"/>
      <c r="Q890" s="65">
        <v>1</v>
      </c>
      <c r="R890" s="65">
        <v>686</v>
      </c>
      <c r="S890" s="65"/>
    </row>
    <row r="891" spans="1:19" x14ac:dyDescent="0.25">
      <c r="A891" s="15">
        <v>45</v>
      </c>
      <c r="B891" s="65"/>
      <c r="C891" s="65">
        <v>2429</v>
      </c>
      <c r="D891" s="65"/>
      <c r="E891" s="65" t="s">
        <v>787</v>
      </c>
      <c r="F891" s="65">
        <v>1</v>
      </c>
      <c r="G891" s="65"/>
      <c r="H891" s="65" t="e">
        <v>#N/A</v>
      </c>
      <c r="I891" s="65"/>
      <c r="J891" s="65" t="s">
        <v>899</v>
      </c>
      <c r="K891" s="65" t="s">
        <v>900</v>
      </c>
      <c r="L891" s="65" t="s">
        <v>900</v>
      </c>
      <c r="M891" s="65" t="s">
        <v>900</v>
      </c>
      <c r="N891" s="65" t="s">
        <v>900</v>
      </c>
      <c r="O891" s="65" t="s">
        <v>904</v>
      </c>
      <c r="P891" s="65"/>
      <c r="Q891" s="65">
        <v>1</v>
      </c>
      <c r="R891" s="65">
        <v>687</v>
      </c>
      <c r="S891" s="65"/>
    </row>
    <row r="892" spans="1:19" x14ac:dyDescent="0.25">
      <c r="A892" s="15">
        <v>45</v>
      </c>
      <c r="B892" s="65"/>
      <c r="C892" s="65">
        <v>2429</v>
      </c>
      <c r="D892" s="65"/>
      <c r="E892" s="65" t="s">
        <v>787</v>
      </c>
      <c r="F892" s="65">
        <v>1</v>
      </c>
      <c r="G892" s="65"/>
      <c r="H892" s="65" t="e">
        <v>#N/A</v>
      </c>
      <c r="I892" s="65"/>
      <c r="J892" s="65" t="s">
        <v>899</v>
      </c>
      <c r="K892" s="65" t="s">
        <v>900</v>
      </c>
      <c r="L892" s="65" t="s">
        <v>900</v>
      </c>
      <c r="M892" s="65" t="s">
        <v>900</v>
      </c>
      <c r="N892" s="65" t="s">
        <v>900</v>
      </c>
      <c r="O892" s="65" t="s">
        <v>905</v>
      </c>
      <c r="P892" s="65"/>
      <c r="Q892" s="65">
        <v>1</v>
      </c>
      <c r="R892" s="65">
        <v>688</v>
      </c>
      <c r="S892" s="65"/>
    </row>
    <row r="893" spans="1:19" x14ac:dyDescent="0.25">
      <c r="A893" s="15">
        <v>45</v>
      </c>
      <c r="B893" s="65"/>
      <c r="C893" s="65">
        <v>2429</v>
      </c>
      <c r="D893" s="65"/>
      <c r="E893" s="65" t="s">
        <v>787</v>
      </c>
      <c r="F893" s="65">
        <v>1</v>
      </c>
      <c r="G893" s="65"/>
      <c r="H893" s="65" t="e">
        <v>#N/A</v>
      </c>
      <c r="I893" s="65"/>
      <c r="J893" s="65" t="s">
        <v>899</v>
      </c>
      <c r="K893" s="65" t="s">
        <v>900</v>
      </c>
      <c r="L893" s="65" t="s">
        <v>900</v>
      </c>
      <c r="M893" s="65" t="s">
        <v>900</v>
      </c>
      <c r="N893" s="65" t="s">
        <v>900</v>
      </c>
      <c r="O893" s="65" t="s">
        <v>906</v>
      </c>
      <c r="P893" s="65"/>
      <c r="Q893" s="65">
        <v>1</v>
      </c>
      <c r="R893" s="65">
        <v>689</v>
      </c>
      <c r="S893" s="65"/>
    </row>
    <row r="894" spans="1:19" x14ac:dyDescent="0.25">
      <c r="A894" s="15">
        <v>45</v>
      </c>
      <c r="B894" s="65"/>
      <c r="C894" s="65">
        <v>2429</v>
      </c>
      <c r="D894" s="65"/>
      <c r="E894" s="65" t="s">
        <v>787</v>
      </c>
      <c r="F894" s="65">
        <v>1</v>
      </c>
      <c r="G894" s="65"/>
      <c r="H894" s="65" t="e">
        <v>#N/A</v>
      </c>
      <c r="I894" s="65"/>
      <c r="J894" s="65" t="s">
        <v>899</v>
      </c>
      <c r="K894" s="65" t="s">
        <v>900</v>
      </c>
      <c r="L894" s="65" t="s">
        <v>900</v>
      </c>
      <c r="M894" s="65" t="s">
        <v>900</v>
      </c>
      <c r="N894" s="65" t="s">
        <v>900</v>
      </c>
      <c r="O894" s="65" t="s">
        <v>907</v>
      </c>
      <c r="P894" s="65"/>
      <c r="Q894" s="65">
        <v>1</v>
      </c>
      <c r="R894" s="65">
        <v>690</v>
      </c>
      <c r="S894" s="65"/>
    </row>
    <row r="895" spans="1:19" x14ac:dyDescent="0.25">
      <c r="A895" s="15">
        <v>45</v>
      </c>
      <c r="B895" s="65"/>
      <c r="C895" s="65">
        <v>2429</v>
      </c>
      <c r="D895" s="65"/>
      <c r="E895" s="65" t="s">
        <v>787</v>
      </c>
      <c r="F895" s="65">
        <v>1</v>
      </c>
      <c r="G895" s="65"/>
      <c r="H895" s="65" t="e">
        <v>#N/A</v>
      </c>
      <c r="I895" s="65"/>
      <c r="J895" s="65" t="s">
        <v>899</v>
      </c>
      <c r="K895" s="65" t="s">
        <v>900</v>
      </c>
      <c r="L895" s="65" t="s">
        <v>900</v>
      </c>
      <c r="M895" s="65" t="s">
        <v>900</v>
      </c>
      <c r="N895" s="65" t="s">
        <v>900</v>
      </c>
      <c r="O895" s="65" t="s">
        <v>908</v>
      </c>
      <c r="P895" s="65"/>
      <c r="Q895" s="65">
        <v>1</v>
      </c>
      <c r="R895" s="65">
        <v>691</v>
      </c>
      <c r="S895" s="65"/>
    </row>
    <row r="896" spans="1:19" x14ac:dyDescent="0.25">
      <c r="A896" s="15">
        <v>45</v>
      </c>
      <c r="B896" s="65"/>
      <c r="C896" s="65">
        <v>2429</v>
      </c>
      <c r="D896" s="65"/>
      <c r="E896" s="65" t="s">
        <v>787</v>
      </c>
      <c r="F896" s="65">
        <v>1</v>
      </c>
      <c r="G896" s="65"/>
      <c r="H896" s="65" t="e">
        <v>#N/A</v>
      </c>
      <c r="I896" s="65"/>
      <c r="J896" s="65" t="s">
        <v>899</v>
      </c>
      <c r="K896" s="65" t="s">
        <v>900</v>
      </c>
      <c r="L896" s="65" t="s">
        <v>900</v>
      </c>
      <c r="M896" s="65" t="s">
        <v>900</v>
      </c>
      <c r="N896" s="65" t="s">
        <v>900</v>
      </c>
      <c r="O896" s="65" t="s">
        <v>909</v>
      </c>
      <c r="P896" s="65"/>
      <c r="Q896" s="65">
        <v>1</v>
      </c>
      <c r="R896" s="65">
        <v>692</v>
      </c>
      <c r="S896" s="65"/>
    </row>
    <row r="897" spans="1:19" x14ac:dyDescent="0.25">
      <c r="A897" s="15">
        <v>45</v>
      </c>
      <c r="B897" s="65"/>
      <c r="C897" s="65">
        <v>2429</v>
      </c>
      <c r="D897" s="65"/>
      <c r="E897" s="65" t="s">
        <v>787</v>
      </c>
      <c r="F897" s="65">
        <v>1</v>
      </c>
      <c r="G897" s="65"/>
      <c r="H897" s="65" t="e">
        <v>#N/A</v>
      </c>
      <c r="I897" s="65"/>
      <c r="J897" s="65" t="s">
        <v>899</v>
      </c>
      <c r="K897" s="65" t="s">
        <v>900</v>
      </c>
      <c r="L897" s="65" t="s">
        <v>900</v>
      </c>
      <c r="M897" s="65" t="s">
        <v>900</v>
      </c>
      <c r="N897" s="65" t="s">
        <v>900</v>
      </c>
      <c r="O897" s="65" t="s">
        <v>910</v>
      </c>
      <c r="P897" s="65"/>
      <c r="Q897" s="65">
        <v>1</v>
      </c>
      <c r="R897" s="65">
        <v>693</v>
      </c>
      <c r="S897" s="65"/>
    </row>
    <row r="898" spans="1:19" x14ac:dyDescent="0.25">
      <c r="A898" s="15">
        <v>45</v>
      </c>
      <c r="B898" s="65"/>
      <c r="C898" s="65">
        <v>2429</v>
      </c>
      <c r="D898" s="65"/>
      <c r="E898" s="65" t="s">
        <v>787</v>
      </c>
      <c r="F898" s="65">
        <v>1</v>
      </c>
      <c r="G898" s="65"/>
      <c r="H898" s="65" t="e">
        <v>#N/A</v>
      </c>
      <c r="I898" s="65"/>
      <c r="J898" s="65" t="s">
        <v>899</v>
      </c>
      <c r="K898" s="65" t="s">
        <v>900</v>
      </c>
      <c r="L898" s="65" t="s">
        <v>900</v>
      </c>
      <c r="M898" s="65" t="s">
        <v>900</v>
      </c>
      <c r="N898" s="65" t="s">
        <v>900</v>
      </c>
      <c r="O898" s="65" t="s">
        <v>911</v>
      </c>
      <c r="P898" s="65"/>
      <c r="Q898" s="65">
        <v>1</v>
      </c>
      <c r="R898" s="65">
        <v>694</v>
      </c>
      <c r="S898" s="65"/>
    </row>
    <row r="899" spans="1:19" x14ac:dyDescent="0.25">
      <c r="A899" s="15">
        <v>45</v>
      </c>
      <c r="B899" s="65"/>
      <c r="C899" s="65">
        <v>2429</v>
      </c>
      <c r="D899" s="65"/>
      <c r="E899" s="65" t="s">
        <v>787</v>
      </c>
      <c r="F899" s="65">
        <v>0</v>
      </c>
      <c r="G899" s="65"/>
      <c r="H899" s="65">
        <v>3</v>
      </c>
      <c r="I899" s="65" t="e">
        <v>#N/A</v>
      </c>
      <c r="J899" s="65" t="s">
        <v>899</v>
      </c>
      <c r="K899" s="65"/>
      <c r="L899" s="65"/>
      <c r="M899" s="65"/>
      <c r="N899" s="65"/>
      <c r="O899" s="65" t="s">
        <v>912</v>
      </c>
      <c r="P899" s="65"/>
      <c r="Q899" s="65">
        <v>1</v>
      </c>
      <c r="R899" s="65">
        <v>910</v>
      </c>
      <c r="S899" s="65"/>
    </row>
    <row r="900" spans="1:19" x14ac:dyDescent="0.25">
      <c r="A900" s="15">
        <v>45</v>
      </c>
      <c r="B900" s="65"/>
      <c r="C900" s="65">
        <v>2429</v>
      </c>
      <c r="D900" s="65"/>
      <c r="E900" s="65" t="s">
        <v>787</v>
      </c>
      <c r="F900" s="65">
        <v>0</v>
      </c>
      <c r="G900" s="65"/>
      <c r="H900" s="65">
        <v>3</v>
      </c>
      <c r="I900" s="65" t="e">
        <v>#N/A</v>
      </c>
      <c r="J900" s="65" t="s">
        <v>899</v>
      </c>
      <c r="K900" s="65"/>
      <c r="L900" s="65"/>
      <c r="M900" s="65"/>
      <c r="N900" s="65"/>
      <c r="O900" s="65" t="s">
        <v>913</v>
      </c>
      <c r="P900" s="65"/>
      <c r="Q900" s="65">
        <v>1</v>
      </c>
      <c r="R900" s="65">
        <v>911</v>
      </c>
      <c r="S900" s="65"/>
    </row>
    <row r="901" spans="1:19" x14ac:dyDescent="0.25">
      <c r="A901" s="15">
        <v>45</v>
      </c>
      <c r="B901" s="65"/>
      <c r="C901" s="65">
        <v>2429</v>
      </c>
      <c r="D901" s="65"/>
      <c r="E901" s="65" t="s">
        <v>787</v>
      </c>
      <c r="F901" s="65">
        <v>0</v>
      </c>
      <c r="G901" s="65"/>
      <c r="H901" s="65">
        <v>3</v>
      </c>
      <c r="I901" s="65" t="e">
        <v>#N/A</v>
      </c>
      <c r="J901" s="65" t="s">
        <v>899</v>
      </c>
      <c r="K901" s="65"/>
      <c r="L901" s="65"/>
      <c r="M901" s="65"/>
      <c r="N901" s="65"/>
      <c r="O901" s="65" t="s">
        <v>914</v>
      </c>
      <c r="P901" s="65"/>
      <c r="Q901" s="65">
        <v>1</v>
      </c>
      <c r="R901" s="65">
        <v>912</v>
      </c>
      <c r="S901" s="65"/>
    </row>
    <row r="902" spans="1:19" x14ac:dyDescent="0.25">
      <c r="A902" s="15">
        <v>45</v>
      </c>
      <c r="B902" s="65"/>
      <c r="C902" s="65">
        <v>2429</v>
      </c>
      <c r="D902" s="65"/>
      <c r="E902" s="65" t="s">
        <v>787</v>
      </c>
      <c r="F902" s="65">
        <v>0</v>
      </c>
      <c r="G902" s="65"/>
      <c r="H902" s="65">
        <v>3</v>
      </c>
      <c r="I902" s="65" t="e">
        <v>#N/A</v>
      </c>
      <c r="J902" s="65" t="s">
        <v>899</v>
      </c>
      <c r="K902" s="65"/>
      <c r="L902" s="65"/>
      <c r="M902" s="65"/>
      <c r="N902" s="65"/>
      <c r="O902" s="65" t="s">
        <v>915</v>
      </c>
      <c r="P902" s="65"/>
      <c r="Q902" s="65">
        <v>1</v>
      </c>
      <c r="R902" s="65">
        <v>913</v>
      </c>
      <c r="S902" s="65"/>
    </row>
    <row r="903" spans="1:19" x14ac:dyDescent="0.25">
      <c r="A903" s="15">
        <v>45</v>
      </c>
      <c r="B903" s="65"/>
      <c r="C903" s="65">
        <v>2429</v>
      </c>
      <c r="D903" s="65"/>
      <c r="E903" s="65" t="s">
        <v>787</v>
      </c>
      <c r="F903" s="65">
        <v>0</v>
      </c>
      <c r="G903" s="65"/>
      <c r="H903" s="65">
        <v>3</v>
      </c>
      <c r="I903" s="65" t="e">
        <v>#N/A</v>
      </c>
      <c r="J903" s="65" t="s">
        <v>899</v>
      </c>
      <c r="K903" s="65"/>
      <c r="L903" s="65"/>
      <c r="M903" s="65"/>
      <c r="N903" s="65"/>
      <c r="O903" s="65" t="s">
        <v>916</v>
      </c>
      <c r="P903" s="65"/>
      <c r="Q903" s="65">
        <v>1</v>
      </c>
      <c r="R903" s="65">
        <v>914</v>
      </c>
      <c r="S903" s="65"/>
    </row>
    <row r="904" spans="1:19" x14ac:dyDescent="0.25">
      <c r="A904" s="15">
        <v>45</v>
      </c>
      <c r="B904" s="65"/>
      <c r="C904" s="65">
        <v>2429</v>
      </c>
      <c r="D904" s="65"/>
      <c r="E904" s="65" t="s">
        <v>787</v>
      </c>
      <c r="F904" s="65">
        <v>0</v>
      </c>
      <c r="G904" s="65"/>
      <c r="H904" s="65">
        <v>3</v>
      </c>
      <c r="I904" s="65" t="e">
        <v>#N/A</v>
      </c>
      <c r="J904" s="65" t="s">
        <v>899</v>
      </c>
      <c r="K904" s="65"/>
      <c r="L904" s="65"/>
      <c r="M904" s="65"/>
      <c r="N904" s="65"/>
      <c r="O904" s="65" t="s">
        <v>917</v>
      </c>
      <c r="P904" s="65"/>
      <c r="Q904" s="65">
        <v>1</v>
      </c>
      <c r="R904" s="65">
        <v>915</v>
      </c>
      <c r="S904" s="65"/>
    </row>
    <row r="905" spans="1:19" x14ac:dyDescent="0.25">
      <c r="A905" s="15">
        <v>45</v>
      </c>
      <c r="B905" s="65"/>
      <c r="C905" s="65">
        <v>2429</v>
      </c>
      <c r="D905" s="65"/>
      <c r="E905" s="65" t="s">
        <v>787</v>
      </c>
      <c r="F905" s="65">
        <v>0</v>
      </c>
      <c r="G905" s="65"/>
      <c r="H905" s="65">
        <v>3</v>
      </c>
      <c r="I905" s="65" t="e">
        <v>#N/A</v>
      </c>
      <c r="J905" s="65" t="s">
        <v>899</v>
      </c>
      <c r="K905" s="65"/>
      <c r="L905" s="65"/>
      <c r="M905" s="65"/>
      <c r="N905" s="65"/>
      <c r="O905" s="65" t="s">
        <v>918</v>
      </c>
      <c r="P905" s="65"/>
      <c r="Q905" s="65">
        <v>1</v>
      </c>
      <c r="R905" s="65">
        <v>916</v>
      </c>
      <c r="S905" s="65"/>
    </row>
    <row r="906" spans="1:19" x14ac:dyDescent="0.25">
      <c r="A906" s="15">
        <v>45</v>
      </c>
      <c r="B906" s="65"/>
      <c r="C906" s="65">
        <v>2429</v>
      </c>
      <c r="D906" s="65"/>
      <c r="E906" s="65" t="s">
        <v>787</v>
      </c>
      <c r="F906" s="65">
        <v>0</v>
      </c>
      <c r="G906" s="65"/>
      <c r="H906" s="65">
        <v>3</v>
      </c>
      <c r="I906" s="65" t="e">
        <v>#N/A</v>
      </c>
      <c r="J906" s="65" t="s">
        <v>899</v>
      </c>
      <c r="K906" s="65"/>
      <c r="L906" s="65"/>
      <c r="M906" s="65"/>
      <c r="N906" s="65"/>
      <c r="O906" s="65" t="s">
        <v>919</v>
      </c>
      <c r="P906" s="65"/>
      <c r="Q906" s="65">
        <v>1</v>
      </c>
      <c r="R906" s="65">
        <v>917</v>
      </c>
      <c r="S906" s="65"/>
    </row>
    <row r="907" spans="1:19" x14ac:dyDescent="0.25">
      <c r="A907" s="15">
        <v>45</v>
      </c>
      <c r="B907" s="65"/>
      <c r="C907" s="65">
        <v>2429</v>
      </c>
      <c r="D907" s="65"/>
      <c r="E907" s="65" t="s">
        <v>787</v>
      </c>
      <c r="F907" s="65">
        <v>0</v>
      </c>
      <c r="G907" s="65"/>
      <c r="H907" s="65">
        <v>3</v>
      </c>
      <c r="I907" s="65" t="e">
        <v>#N/A</v>
      </c>
      <c r="J907" s="65" t="s">
        <v>899</v>
      </c>
      <c r="K907" s="65"/>
      <c r="L907" s="65"/>
      <c r="M907" s="65"/>
      <c r="N907" s="65"/>
      <c r="O907" s="65" t="s">
        <v>920</v>
      </c>
      <c r="P907" s="65"/>
      <c r="Q907" s="65">
        <v>1</v>
      </c>
      <c r="R907" s="65">
        <v>918</v>
      </c>
      <c r="S907" s="65"/>
    </row>
    <row r="908" spans="1:19" x14ac:dyDescent="0.25">
      <c r="A908" s="15">
        <v>45</v>
      </c>
      <c r="B908" s="65"/>
      <c r="C908" s="65">
        <v>2429</v>
      </c>
      <c r="D908" s="65"/>
      <c r="E908" s="65" t="s">
        <v>787</v>
      </c>
      <c r="F908" s="65">
        <v>0</v>
      </c>
      <c r="G908" s="65"/>
      <c r="H908" s="65">
        <v>3</v>
      </c>
      <c r="I908" s="65" t="e">
        <v>#N/A</v>
      </c>
      <c r="J908" s="65" t="s">
        <v>899</v>
      </c>
      <c r="K908" s="65"/>
      <c r="L908" s="65"/>
      <c r="M908" s="65"/>
      <c r="N908" s="65"/>
      <c r="O908" s="65" t="s">
        <v>921</v>
      </c>
      <c r="P908" s="65"/>
      <c r="Q908" s="65">
        <v>1</v>
      </c>
      <c r="R908" s="65">
        <v>919</v>
      </c>
      <c r="S908" s="65"/>
    </row>
    <row r="909" spans="1:19" x14ac:dyDescent="0.25">
      <c r="A909" s="15">
        <v>45</v>
      </c>
      <c r="B909" s="65"/>
      <c r="C909" s="65">
        <v>2429</v>
      </c>
      <c r="D909" s="65"/>
      <c r="E909" s="65" t="s">
        <v>787</v>
      </c>
      <c r="F909" s="65">
        <v>0</v>
      </c>
      <c r="G909" s="65"/>
      <c r="H909" s="65">
        <v>3</v>
      </c>
      <c r="I909" s="65" t="e">
        <v>#N/A</v>
      </c>
      <c r="J909" s="65" t="s">
        <v>899</v>
      </c>
      <c r="K909" s="65"/>
      <c r="L909" s="65"/>
      <c r="M909" s="65"/>
      <c r="N909" s="65"/>
      <c r="O909" s="65" t="s">
        <v>922</v>
      </c>
      <c r="P909" s="65"/>
      <c r="Q909" s="65">
        <v>1</v>
      </c>
      <c r="R909" s="65">
        <v>920</v>
      </c>
      <c r="S909" s="65"/>
    </row>
    <row r="910" spans="1:19" x14ac:dyDescent="0.25">
      <c r="A910" s="15">
        <v>45</v>
      </c>
      <c r="B910" s="65"/>
      <c r="C910" s="65">
        <v>2429</v>
      </c>
      <c r="D910" s="65"/>
      <c r="E910" s="65" t="s">
        <v>787</v>
      </c>
      <c r="F910" s="65">
        <v>0</v>
      </c>
      <c r="G910" s="65"/>
      <c r="H910" s="65">
        <v>3</v>
      </c>
      <c r="I910" s="65" t="e">
        <v>#N/A</v>
      </c>
      <c r="J910" s="65" t="s">
        <v>899</v>
      </c>
      <c r="K910" s="65"/>
      <c r="L910" s="65"/>
      <c r="M910" s="65"/>
      <c r="N910" s="65"/>
      <c r="O910" s="65" t="s">
        <v>923</v>
      </c>
      <c r="P910" s="65"/>
      <c r="Q910" s="65">
        <v>1</v>
      </c>
      <c r="R910" s="65">
        <v>921</v>
      </c>
      <c r="S910" s="65"/>
    </row>
    <row r="911" spans="1:19" x14ac:dyDescent="0.25">
      <c r="A911" s="15">
        <v>45</v>
      </c>
      <c r="B911" s="65"/>
      <c r="C911" s="65">
        <v>2429</v>
      </c>
      <c r="D911" s="65"/>
      <c r="E911" s="65" t="s">
        <v>787</v>
      </c>
      <c r="F911" s="65">
        <v>3</v>
      </c>
      <c r="G911" s="65"/>
      <c r="H911" s="65">
        <v>3</v>
      </c>
      <c r="I911" s="65" t="e">
        <v>#N/A</v>
      </c>
      <c r="J911" s="65" t="s">
        <v>899</v>
      </c>
      <c r="K911" s="65"/>
      <c r="L911" s="65"/>
      <c r="M911" s="65"/>
      <c r="N911" s="65"/>
      <c r="O911" s="65" t="s">
        <v>924</v>
      </c>
      <c r="P911" s="65"/>
      <c r="Q911" s="65">
        <v>1</v>
      </c>
      <c r="R911" s="65">
        <v>1137</v>
      </c>
      <c r="S911" s="65"/>
    </row>
    <row r="912" spans="1:19" x14ac:dyDescent="0.25">
      <c r="A912" s="15">
        <v>45</v>
      </c>
      <c r="B912" s="65"/>
      <c r="C912" s="65">
        <v>2429</v>
      </c>
      <c r="D912" s="65"/>
      <c r="E912" s="65" t="s">
        <v>787</v>
      </c>
      <c r="F912" s="65">
        <v>3</v>
      </c>
      <c r="G912" s="65"/>
      <c r="H912" s="65">
        <v>3</v>
      </c>
      <c r="I912" s="65" t="e">
        <v>#N/A</v>
      </c>
      <c r="J912" s="65" t="s">
        <v>899</v>
      </c>
      <c r="K912" s="65"/>
      <c r="L912" s="65"/>
      <c r="M912" s="65"/>
      <c r="N912" s="65"/>
      <c r="O912" s="65" t="s">
        <v>925</v>
      </c>
      <c r="P912" s="65"/>
      <c r="Q912" s="65">
        <v>1</v>
      </c>
      <c r="R912" s="65">
        <v>1138</v>
      </c>
      <c r="S912" s="65"/>
    </row>
    <row r="913" spans="1:19" x14ac:dyDescent="0.25">
      <c r="A913" s="15">
        <v>45</v>
      </c>
      <c r="B913" s="65"/>
      <c r="C913" s="65">
        <v>2429</v>
      </c>
      <c r="D913" s="65"/>
      <c r="E913" s="65" t="s">
        <v>787</v>
      </c>
      <c r="F913" s="65">
        <v>3</v>
      </c>
      <c r="G913" s="65"/>
      <c r="H913" s="65">
        <v>3</v>
      </c>
      <c r="I913" s="65" t="e">
        <v>#N/A</v>
      </c>
      <c r="J913" s="65" t="s">
        <v>899</v>
      </c>
      <c r="K913" s="65"/>
      <c r="L913" s="65"/>
      <c r="M913" s="65"/>
      <c r="N913" s="65"/>
      <c r="O913" s="65" t="s">
        <v>926</v>
      </c>
      <c r="P913" s="65"/>
      <c r="Q913" s="65">
        <v>1</v>
      </c>
      <c r="R913" s="65">
        <v>1139</v>
      </c>
      <c r="S913" s="65"/>
    </row>
    <row r="914" spans="1:19" x14ac:dyDescent="0.25">
      <c r="A914" s="15">
        <v>45</v>
      </c>
      <c r="B914" s="65"/>
      <c r="C914" s="65">
        <v>2429</v>
      </c>
      <c r="D914" s="65"/>
      <c r="E914" s="65" t="s">
        <v>787</v>
      </c>
      <c r="F914" s="65">
        <v>3</v>
      </c>
      <c r="G914" s="65"/>
      <c r="H914" s="65">
        <v>3</v>
      </c>
      <c r="I914" s="65" t="e">
        <v>#N/A</v>
      </c>
      <c r="J914" s="65" t="s">
        <v>899</v>
      </c>
      <c r="K914" s="65"/>
      <c r="L914" s="65"/>
      <c r="M914" s="65"/>
      <c r="N914" s="65"/>
      <c r="O914" s="65" t="s">
        <v>927</v>
      </c>
      <c r="P914" s="65"/>
      <c r="Q914" s="65">
        <v>1</v>
      </c>
      <c r="R914" s="65">
        <v>1140</v>
      </c>
      <c r="S914" s="65"/>
    </row>
    <row r="915" spans="1:19" x14ac:dyDescent="0.25">
      <c r="A915" s="15">
        <v>45</v>
      </c>
      <c r="B915" s="65"/>
      <c r="C915" s="65">
        <v>2429</v>
      </c>
      <c r="D915" s="65"/>
      <c r="E915" s="65" t="s">
        <v>787</v>
      </c>
      <c r="F915" s="65">
        <v>3</v>
      </c>
      <c r="G915" s="65"/>
      <c r="H915" s="65">
        <v>3</v>
      </c>
      <c r="I915" s="65" t="e">
        <v>#N/A</v>
      </c>
      <c r="J915" s="65" t="s">
        <v>899</v>
      </c>
      <c r="K915" s="65"/>
      <c r="L915" s="65"/>
      <c r="M915" s="65"/>
      <c r="N915" s="65"/>
      <c r="O915" s="65" t="s">
        <v>928</v>
      </c>
      <c r="P915" s="65"/>
      <c r="Q915" s="65">
        <v>1</v>
      </c>
      <c r="R915" s="65">
        <v>1141</v>
      </c>
      <c r="S915" s="65"/>
    </row>
    <row r="916" spans="1:19" x14ac:dyDescent="0.25">
      <c r="A916" s="15">
        <v>45</v>
      </c>
      <c r="B916" s="65"/>
      <c r="C916" s="65">
        <v>2429</v>
      </c>
      <c r="D916" s="65"/>
      <c r="E916" s="65" t="s">
        <v>787</v>
      </c>
      <c r="F916" s="65">
        <v>3</v>
      </c>
      <c r="G916" s="65"/>
      <c r="H916" s="65">
        <v>3</v>
      </c>
      <c r="I916" s="65" t="e">
        <v>#N/A</v>
      </c>
      <c r="J916" s="65" t="s">
        <v>899</v>
      </c>
      <c r="K916" s="65"/>
      <c r="L916" s="65"/>
      <c r="M916" s="65"/>
      <c r="N916" s="65"/>
      <c r="O916" s="65" t="s">
        <v>929</v>
      </c>
      <c r="P916" s="65"/>
      <c r="Q916" s="65">
        <v>1</v>
      </c>
      <c r="R916" s="65">
        <v>1142</v>
      </c>
      <c r="S916" s="65"/>
    </row>
    <row r="917" spans="1:19" x14ac:dyDescent="0.25">
      <c r="A917" s="15">
        <v>45</v>
      </c>
      <c r="B917" s="65"/>
      <c r="C917" s="65">
        <v>2429</v>
      </c>
      <c r="D917" s="65"/>
      <c r="E917" s="65" t="s">
        <v>787</v>
      </c>
      <c r="F917" s="65">
        <v>3</v>
      </c>
      <c r="G917" s="65"/>
      <c r="H917" s="65">
        <v>3</v>
      </c>
      <c r="I917" s="65" t="e">
        <v>#N/A</v>
      </c>
      <c r="J917" s="65" t="s">
        <v>899</v>
      </c>
      <c r="K917" s="65"/>
      <c r="L917" s="65"/>
      <c r="M917" s="65"/>
      <c r="N917" s="65"/>
      <c r="O917" s="65" t="s">
        <v>930</v>
      </c>
      <c r="P917" s="65"/>
      <c r="Q917" s="65">
        <v>1</v>
      </c>
      <c r="R917" s="65">
        <v>1143</v>
      </c>
      <c r="S917" s="65"/>
    </row>
    <row r="918" spans="1:19" x14ac:dyDescent="0.25">
      <c r="A918" s="15">
        <v>45</v>
      </c>
      <c r="B918" s="65"/>
      <c r="C918" s="65">
        <v>2429</v>
      </c>
      <c r="D918" s="65"/>
      <c r="E918" s="65" t="s">
        <v>787</v>
      </c>
      <c r="F918" s="65">
        <v>3</v>
      </c>
      <c r="G918" s="65"/>
      <c r="H918" s="65">
        <v>3</v>
      </c>
      <c r="I918" s="65" t="e">
        <v>#N/A</v>
      </c>
      <c r="J918" s="65" t="s">
        <v>899</v>
      </c>
      <c r="K918" s="65"/>
      <c r="L918" s="65"/>
      <c r="M918" s="65"/>
      <c r="N918" s="65"/>
      <c r="O918" s="65" t="s">
        <v>931</v>
      </c>
      <c r="P918" s="65"/>
      <c r="Q918" s="65">
        <v>1</v>
      </c>
      <c r="R918" s="65">
        <v>1144</v>
      </c>
      <c r="S918" s="65"/>
    </row>
    <row r="919" spans="1:19" x14ac:dyDescent="0.25">
      <c r="A919" s="15">
        <v>45</v>
      </c>
      <c r="B919" s="65"/>
      <c r="C919" s="65">
        <v>2429</v>
      </c>
      <c r="D919" s="65"/>
      <c r="E919" s="65" t="s">
        <v>787</v>
      </c>
      <c r="F919" s="65">
        <v>3</v>
      </c>
      <c r="G919" s="65"/>
      <c r="H919" s="65">
        <v>3</v>
      </c>
      <c r="I919" s="65" t="e">
        <v>#N/A</v>
      </c>
      <c r="J919" s="65" t="s">
        <v>899</v>
      </c>
      <c r="K919" s="65"/>
      <c r="L919" s="65"/>
      <c r="M919" s="65"/>
      <c r="N919" s="65"/>
      <c r="O919" s="65" t="s">
        <v>932</v>
      </c>
      <c r="P919" s="65"/>
      <c r="Q919" s="65">
        <v>1</v>
      </c>
      <c r="R919" s="65">
        <v>1145</v>
      </c>
      <c r="S919" s="65"/>
    </row>
    <row r="920" spans="1:19" x14ac:dyDescent="0.25">
      <c r="A920" s="15">
        <v>45</v>
      </c>
      <c r="B920" s="65"/>
      <c r="C920" s="65">
        <v>2429</v>
      </c>
      <c r="D920" s="65"/>
      <c r="E920" s="65" t="s">
        <v>787</v>
      </c>
      <c r="F920" s="65">
        <v>3</v>
      </c>
      <c r="G920" s="65"/>
      <c r="H920" s="65">
        <v>3</v>
      </c>
      <c r="I920" s="65" t="e">
        <v>#N/A</v>
      </c>
      <c r="J920" s="65" t="s">
        <v>899</v>
      </c>
      <c r="K920" s="65"/>
      <c r="L920" s="65"/>
      <c r="M920" s="65"/>
      <c r="N920" s="65"/>
      <c r="O920" s="65" t="s">
        <v>933</v>
      </c>
      <c r="P920" s="65"/>
      <c r="Q920" s="65">
        <v>1</v>
      </c>
      <c r="R920" s="65">
        <v>1146</v>
      </c>
      <c r="S920" s="65"/>
    </row>
    <row r="921" spans="1:19" x14ac:dyDescent="0.25">
      <c r="A921" s="15">
        <v>45</v>
      </c>
      <c r="B921" s="65"/>
      <c r="C921" s="65">
        <v>2429</v>
      </c>
      <c r="D921" s="65"/>
      <c r="E921" s="65" t="s">
        <v>787</v>
      </c>
      <c r="F921" s="65">
        <v>3</v>
      </c>
      <c r="G921" s="65"/>
      <c r="H921" s="65">
        <v>3</v>
      </c>
      <c r="I921" s="65" t="e">
        <v>#N/A</v>
      </c>
      <c r="J921" s="65" t="s">
        <v>899</v>
      </c>
      <c r="K921" s="65"/>
      <c r="L921" s="65"/>
      <c r="M921" s="65"/>
      <c r="N921" s="65"/>
      <c r="O921" s="65" t="s">
        <v>934</v>
      </c>
      <c r="P921" s="65"/>
      <c r="Q921" s="65">
        <v>1</v>
      </c>
      <c r="R921" s="65">
        <v>1147</v>
      </c>
      <c r="S921" s="65"/>
    </row>
    <row r="922" spans="1:19" x14ac:dyDescent="0.25">
      <c r="A922" s="15">
        <v>45</v>
      </c>
      <c r="B922" s="65"/>
      <c r="C922" s="65">
        <v>2429</v>
      </c>
      <c r="D922" s="65"/>
      <c r="E922" s="65" t="s">
        <v>787</v>
      </c>
      <c r="F922" s="65">
        <v>3</v>
      </c>
      <c r="G922" s="65"/>
      <c r="H922" s="65">
        <v>3</v>
      </c>
      <c r="I922" s="65" t="e">
        <v>#N/A</v>
      </c>
      <c r="J922" s="65" t="s">
        <v>899</v>
      </c>
      <c r="K922" s="65"/>
      <c r="L922" s="65"/>
      <c r="M922" s="65"/>
      <c r="N922" s="65"/>
      <c r="O922" s="65" t="s">
        <v>935</v>
      </c>
      <c r="P922" s="65"/>
      <c r="Q922" s="65">
        <v>1</v>
      </c>
      <c r="R922" s="65">
        <v>1148</v>
      </c>
      <c r="S922" s="65"/>
    </row>
    <row r="923" spans="1:19" x14ac:dyDescent="0.25">
      <c r="A923" s="15">
        <v>45</v>
      </c>
      <c r="B923" s="65"/>
      <c r="C923" s="65">
        <v>2429</v>
      </c>
      <c r="D923" s="65"/>
      <c r="E923" s="65" t="s">
        <v>787</v>
      </c>
      <c r="F923" s="65">
        <v>3</v>
      </c>
      <c r="G923" s="65"/>
      <c r="H923" s="65" t="e">
        <v>#N/A</v>
      </c>
      <c r="I923" s="65"/>
      <c r="J923" s="65" t="s">
        <v>899</v>
      </c>
      <c r="K923" s="65"/>
      <c r="L923" s="65"/>
      <c r="M923" s="65"/>
      <c r="N923" s="65"/>
      <c r="O923" s="65" t="s">
        <v>936</v>
      </c>
      <c r="P923" s="65"/>
      <c r="Q923" s="65">
        <v>1</v>
      </c>
      <c r="R923" s="65">
        <v>1288</v>
      </c>
      <c r="S923" s="65"/>
    </row>
    <row r="924" spans="1:19" x14ac:dyDescent="0.25">
      <c r="A924" s="15">
        <v>45</v>
      </c>
      <c r="B924" s="65"/>
      <c r="C924" s="65">
        <v>2429</v>
      </c>
      <c r="D924" s="65"/>
      <c r="E924" s="65" t="s">
        <v>787</v>
      </c>
      <c r="F924" s="65">
        <v>5</v>
      </c>
      <c r="G924" s="65"/>
      <c r="H924" s="65" t="e">
        <v>#N/A</v>
      </c>
      <c r="I924" s="65"/>
      <c r="J924" s="65" t="s">
        <v>899</v>
      </c>
      <c r="K924" s="65"/>
      <c r="L924" s="65"/>
      <c r="M924" s="65"/>
      <c r="N924" s="65"/>
      <c r="O924" s="65" t="s">
        <v>938</v>
      </c>
      <c r="P924" s="65"/>
      <c r="Q924" s="65">
        <v>1</v>
      </c>
      <c r="R924" s="65">
        <v>1431</v>
      </c>
      <c r="S924" s="65"/>
    </row>
    <row r="925" spans="1:19" x14ac:dyDescent="0.25">
      <c r="A925" s="15">
        <v>45</v>
      </c>
      <c r="B925" s="65"/>
      <c r="C925" s="65">
        <v>2429</v>
      </c>
      <c r="D925" s="65"/>
      <c r="E925" s="65" t="s">
        <v>787</v>
      </c>
      <c r="F925" s="65">
        <v>5</v>
      </c>
      <c r="G925" s="65"/>
      <c r="H925" s="65" t="e">
        <v>#N/A</v>
      </c>
      <c r="I925" s="65"/>
      <c r="J925" s="65" t="s">
        <v>899</v>
      </c>
      <c r="K925" s="65"/>
      <c r="L925" s="65"/>
      <c r="M925" s="65"/>
      <c r="N925" s="65"/>
      <c r="O925" s="65" t="s">
        <v>939</v>
      </c>
      <c r="P925" s="65"/>
      <c r="Q925" s="65">
        <v>1</v>
      </c>
      <c r="R925" s="65">
        <v>1432</v>
      </c>
      <c r="S925" s="65"/>
    </row>
    <row r="926" spans="1:19" x14ac:dyDescent="0.25">
      <c r="A926" s="15">
        <v>45</v>
      </c>
      <c r="B926" s="65"/>
      <c r="C926" s="65">
        <v>2429</v>
      </c>
      <c r="D926" s="65"/>
      <c r="E926" s="65" t="s">
        <v>787</v>
      </c>
      <c r="F926" s="65">
        <v>5</v>
      </c>
      <c r="G926" s="65"/>
      <c r="H926" s="65" t="e">
        <v>#N/A</v>
      </c>
      <c r="I926" s="65"/>
      <c r="J926" s="65" t="s">
        <v>899</v>
      </c>
      <c r="K926" s="65"/>
      <c r="L926" s="65"/>
      <c r="M926" s="65"/>
      <c r="N926" s="65"/>
      <c r="O926" s="65" t="s">
        <v>940</v>
      </c>
      <c r="P926" s="65"/>
      <c r="Q926" s="65">
        <v>1</v>
      </c>
      <c r="R926" s="65">
        <v>1433</v>
      </c>
      <c r="S926" s="65"/>
    </row>
    <row r="927" spans="1:19" x14ac:dyDescent="0.25">
      <c r="A927" s="15">
        <v>45</v>
      </c>
      <c r="B927" s="65"/>
      <c r="C927" s="65">
        <v>2429</v>
      </c>
      <c r="D927" s="65"/>
      <c r="E927" s="65" t="s">
        <v>787</v>
      </c>
      <c r="F927" s="65">
        <v>5</v>
      </c>
      <c r="G927" s="65"/>
      <c r="H927" s="65" t="e">
        <v>#N/A</v>
      </c>
      <c r="I927" s="65"/>
      <c r="J927" s="65" t="s">
        <v>899</v>
      </c>
      <c r="K927" s="65"/>
      <c r="L927" s="65"/>
      <c r="M927" s="65"/>
      <c r="N927" s="65"/>
      <c r="O927" s="65" t="s">
        <v>941</v>
      </c>
      <c r="P927" s="65"/>
      <c r="Q927" s="65">
        <v>1</v>
      </c>
      <c r="R927" s="65">
        <v>1434</v>
      </c>
      <c r="S927" s="65"/>
    </row>
    <row r="928" spans="1:19" x14ac:dyDescent="0.25">
      <c r="A928" s="15">
        <v>45</v>
      </c>
      <c r="B928" s="65"/>
      <c r="C928" s="65">
        <v>2429</v>
      </c>
      <c r="D928" s="65"/>
      <c r="E928" s="65" t="s">
        <v>787</v>
      </c>
      <c r="F928" s="65">
        <v>5</v>
      </c>
      <c r="G928" s="65"/>
      <c r="H928" s="65" t="e">
        <v>#N/A</v>
      </c>
      <c r="I928" s="65"/>
      <c r="J928" s="65" t="s">
        <v>899</v>
      </c>
      <c r="K928" s="65"/>
      <c r="L928" s="65"/>
      <c r="M928" s="65"/>
      <c r="N928" s="65"/>
      <c r="O928" s="65" t="s">
        <v>942</v>
      </c>
      <c r="P928" s="65"/>
      <c r="Q928" s="65">
        <v>1</v>
      </c>
      <c r="R928" s="65">
        <v>1435</v>
      </c>
      <c r="S928" s="65"/>
    </row>
    <row r="929" spans="1:19" x14ac:dyDescent="0.25">
      <c r="A929" s="15">
        <v>45</v>
      </c>
      <c r="B929" s="65"/>
      <c r="C929" s="65">
        <v>2429</v>
      </c>
      <c r="D929" s="65"/>
      <c r="E929" s="65" t="s">
        <v>787</v>
      </c>
      <c r="F929" s="65">
        <v>5</v>
      </c>
      <c r="G929" s="65"/>
      <c r="H929" s="65" t="e">
        <v>#N/A</v>
      </c>
      <c r="I929" s="65"/>
      <c r="J929" s="65" t="s">
        <v>899</v>
      </c>
      <c r="K929" s="65"/>
      <c r="L929" s="65"/>
      <c r="M929" s="65"/>
      <c r="N929" s="65"/>
      <c r="O929" s="65" t="s">
        <v>943</v>
      </c>
      <c r="P929" s="65"/>
      <c r="Q929" s="65">
        <v>1</v>
      </c>
      <c r="R929" s="65">
        <v>1436</v>
      </c>
      <c r="S929" s="65"/>
    </row>
    <row r="930" spans="1:19" x14ac:dyDescent="0.25">
      <c r="A930" s="15">
        <v>45</v>
      </c>
      <c r="B930" s="65"/>
      <c r="C930" s="65">
        <v>2429</v>
      </c>
      <c r="D930" s="65"/>
      <c r="E930" s="65" t="s">
        <v>787</v>
      </c>
      <c r="F930" s="65">
        <v>5</v>
      </c>
      <c r="G930" s="65"/>
      <c r="H930" s="65" t="e">
        <v>#N/A</v>
      </c>
      <c r="I930" s="65"/>
      <c r="J930" s="65" t="s">
        <v>899</v>
      </c>
      <c r="K930" s="65"/>
      <c r="L930" s="65"/>
      <c r="M930" s="65"/>
      <c r="N930" s="65"/>
      <c r="O930" s="65" t="s">
        <v>944</v>
      </c>
      <c r="P930" s="65"/>
      <c r="Q930" s="65">
        <v>1</v>
      </c>
      <c r="R930" s="65">
        <v>1437</v>
      </c>
      <c r="S930" s="65"/>
    </row>
    <row r="931" spans="1:19" x14ac:dyDescent="0.25">
      <c r="A931" s="15">
        <v>45</v>
      </c>
      <c r="B931" s="65"/>
      <c r="C931" s="65">
        <v>2429</v>
      </c>
      <c r="D931" s="65"/>
      <c r="E931" s="65" t="s">
        <v>787</v>
      </c>
      <c r="F931" s="65">
        <v>5</v>
      </c>
      <c r="G931" s="65"/>
      <c r="H931" s="65" t="e">
        <v>#N/A</v>
      </c>
      <c r="I931" s="65"/>
      <c r="J931" s="65" t="s">
        <v>899</v>
      </c>
      <c r="K931" s="65"/>
      <c r="L931" s="65"/>
      <c r="M931" s="65"/>
      <c r="N931" s="65"/>
      <c r="O931" s="65" t="s">
        <v>945</v>
      </c>
      <c r="P931" s="65"/>
      <c r="Q931" s="65">
        <v>1</v>
      </c>
      <c r="R931" s="65">
        <v>1438</v>
      </c>
      <c r="S931" s="65"/>
    </row>
    <row r="932" spans="1:19" x14ac:dyDescent="0.25">
      <c r="A932" s="15">
        <v>45</v>
      </c>
      <c r="B932" s="65"/>
      <c r="C932" s="65">
        <v>2429</v>
      </c>
      <c r="D932" s="65"/>
      <c r="E932" s="65" t="s">
        <v>787</v>
      </c>
      <c r="F932" s="65">
        <v>5</v>
      </c>
      <c r="G932" s="65"/>
      <c r="H932" s="65" t="e">
        <v>#N/A</v>
      </c>
      <c r="I932" s="65"/>
      <c r="J932" s="65" t="s">
        <v>899</v>
      </c>
      <c r="K932" s="65"/>
      <c r="L932" s="65"/>
      <c r="M932" s="65"/>
      <c r="N932" s="65"/>
      <c r="O932" s="65" t="s">
        <v>946</v>
      </c>
      <c r="P932" s="65"/>
      <c r="Q932" s="65">
        <v>1</v>
      </c>
      <c r="R932" s="65">
        <v>1439</v>
      </c>
      <c r="S932" s="65"/>
    </row>
    <row r="933" spans="1:19" x14ac:dyDescent="0.25">
      <c r="A933" s="15">
        <v>45</v>
      </c>
      <c r="B933" s="65"/>
      <c r="C933" s="65">
        <v>2429</v>
      </c>
      <c r="D933" s="65"/>
      <c r="E933" s="65" t="s">
        <v>787</v>
      </c>
      <c r="F933" s="65">
        <v>5</v>
      </c>
      <c r="G933" s="65"/>
      <c r="H933" s="65" t="e">
        <v>#N/A</v>
      </c>
      <c r="I933" s="65"/>
      <c r="J933" s="65" t="s">
        <v>899</v>
      </c>
      <c r="K933" s="65"/>
      <c r="L933" s="65"/>
      <c r="M933" s="65"/>
      <c r="N933" s="65"/>
      <c r="O933" s="65" t="s">
        <v>947</v>
      </c>
      <c r="P933" s="65"/>
      <c r="Q933" s="65">
        <v>1</v>
      </c>
      <c r="R933" s="65">
        <v>1440</v>
      </c>
      <c r="S933" s="65"/>
    </row>
    <row r="934" spans="1:19" x14ac:dyDescent="0.25">
      <c r="A934" s="15">
        <v>45</v>
      </c>
      <c r="B934" s="65"/>
      <c r="C934" s="65">
        <v>2429</v>
      </c>
      <c r="D934" s="65"/>
      <c r="E934" s="65" t="s">
        <v>787</v>
      </c>
      <c r="F934" s="65">
        <v>5</v>
      </c>
      <c r="G934" s="65"/>
      <c r="H934" s="65" t="e">
        <v>#N/A</v>
      </c>
      <c r="I934" s="65"/>
      <c r="J934" s="65" t="s">
        <v>899</v>
      </c>
      <c r="K934" s="65"/>
      <c r="L934" s="65"/>
      <c r="M934" s="65"/>
      <c r="N934" s="65"/>
      <c r="O934" s="65" t="s">
        <v>948</v>
      </c>
      <c r="P934" s="65"/>
      <c r="Q934" s="65">
        <v>1</v>
      </c>
      <c r="R934" s="65">
        <v>1441</v>
      </c>
      <c r="S934" s="65"/>
    </row>
    <row r="935" spans="1:19" x14ac:dyDescent="0.25">
      <c r="A935" s="15">
        <v>45</v>
      </c>
      <c r="B935" s="65"/>
      <c r="C935" s="65">
        <v>2429</v>
      </c>
      <c r="D935" s="65"/>
      <c r="E935" s="65" t="s">
        <v>787</v>
      </c>
      <c r="F935" s="65">
        <v>5</v>
      </c>
      <c r="G935" s="65"/>
      <c r="H935" s="65" t="e">
        <v>#N/A</v>
      </c>
      <c r="I935" s="65"/>
      <c r="J935" s="65" t="s">
        <v>899</v>
      </c>
      <c r="K935" s="65"/>
      <c r="L935" s="65"/>
      <c r="M935" s="65"/>
      <c r="N935" s="65"/>
      <c r="O935" s="65" t="s">
        <v>949</v>
      </c>
      <c r="P935" s="65"/>
      <c r="Q935" s="65">
        <v>1</v>
      </c>
      <c r="R935" s="65">
        <v>1442</v>
      </c>
      <c r="S935" s="65"/>
    </row>
    <row r="936" spans="1:19" x14ac:dyDescent="0.25">
      <c r="A936" s="15">
        <v>46</v>
      </c>
      <c r="B936" s="65"/>
      <c r="C936" s="65"/>
      <c r="D936" s="65"/>
      <c r="E936" s="65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65"/>
      <c r="Q936" s="65"/>
      <c r="R936" s="65"/>
      <c r="S936" s="65"/>
    </row>
    <row r="937" spans="1:19" x14ac:dyDescent="0.25">
      <c r="A937" s="15">
        <v>46</v>
      </c>
      <c r="B937" s="65"/>
      <c r="C937" s="65"/>
      <c r="D937" s="65"/>
      <c r="E937" s="65"/>
      <c r="F937" s="65"/>
      <c r="G937" s="65"/>
      <c r="H937" s="65"/>
      <c r="I937" s="65"/>
      <c r="J937" s="65"/>
      <c r="K937" s="65"/>
      <c r="L937" s="65"/>
      <c r="M937" s="65"/>
      <c r="N937" s="65"/>
      <c r="O937" s="65" t="s">
        <v>833</v>
      </c>
      <c r="P937" s="65"/>
      <c r="Q937" s="65"/>
      <c r="R937" s="65"/>
      <c r="S937" s="65"/>
    </row>
    <row r="938" spans="1:19" x14ac:dyDescent="0.25">
      <c r="A938" s="15">
        <v>46</v>
      </c>
      <c r="B938" s="65"/>
      <c r="C938" s="65"/>
      <c r="D938" s="65"/>
      <c r="E938" s="65"/>
      <c r="F938" s="65"/>
      <c r="G938" s="65"/>
      <c r="H938" s="65"/>
      <c r="I938" s="65"/>
      <c r="J938" s="65"/>
      <c r="K938" s="65"/>
      <c r="L938" s="65"/>
      <c r="M938" s="65"/>
      <c r="N938" s="65"/>
      <c r="O938" s="65" t="s">
        <v>865</v>
      </c>
      <c r="P938" s="65"/>
      <c r="Q938" s="65"/>
      <c r="R938" s="65"/>
      <c r="S938" s="65"/>
    </row>
    <row r="939" spans="1:19" x14ac:dyDescent="0.25">
      <c r="A939" s="15">
        <v>46</v>
      </c>
      <c r="B939" s="65"/>
      <c r="C939" s="65"/>
      <c r="D939" s="65"/>
      <c r="E939" s="65"/>
      <c r="F939" s="65"/>
      <c r="G939" s="65"/>
      <c r="H939" s="65"/>
      <c r="I939" s="65"/>
      <c r="J939" s="65"/>
      <c r="K939" s="65"/>
      <c r="L939" s="65"/>
      <c r="M939" s="65"/>
      <c r="N939" s="65"/>
      <c r="O939" s="65" t="s">
        <v>874</v>
      </c>
      <c r="P939" s="65"/>
      <c r="Q939" s="65"/>
      <c r="R939" s="65"/>
      <c r="S939" s="65"/>
    </row>
    <row r="940" spans="1:19" x14ac:dyDescent="0.25">
      <c r="A940" s="15">
        <v>46</v>
      </c>
      <c r="B940" s="65"/>
      <c r="C940" s="65" t="s">
        <v>79</v>
      </c>
      <c r="D940" s="65"/>
      <c r="E940" s="65" t="s">
        <v>787</v>
      </c>
      <c r="F940" s="65">
        <v>10</v>
      </c>
      <c r="G940" s="65"/>
      <c r="H940" s="65">
        <v>10</v>
      </c>
      <c r="I940" s="65">
        <v>12.583333333333332</v>
      </c>
      <c r="J940" s="65" t="s">
        <v>879</v>
      </c>
      <c r="K940" s="65"/>
      <c r="L940" s="65"/>
      <c r="M940" s="65"/>
      <c r="N940" s="65"/>
      <c r="O940" s="65" t="s">
        <v>878</v>
      </c>
      <c r="P940" s="65"/>
      <c r="Q940" s="65">
        <v>1</v>
      </c>
      <c r="R940" s="65">
        <v>309</v>
      </c>
      <c r="S940" s="65"/>
    </row>
    <row r="941" spans="1:19" x14ac:dyDescent="0.25">
      <c r="A941" s="15">
        <v>46</v>
      </c>
      <c r="B941" s="65"/>
      <c r="C941" s="65">
        <v>2429</v>
      </c>
      <c r="D941" s="65"/>
      <c r="E941" s="65" t="s">
        <v>787</v>
      </c>
      <c r="F941" s="65">
        <v>10</v>
      </c>
      <c r="G941" s="65"/>
      <c r="H941" s="65"/>
      <c r="I941" s="65">
        <v>26.666666666666668</v>
      </c>
      <c r="J941" s="65" t="s">
        <v>879</v>
      </c>
      <c r="K941" s="65"/>
      <c r="L941" s="65"/>
      <c r="M941" s="65"/>
      <c r="N941" s="65"/>
      <c r="O941" s="65" t="s">
        <v>881</v>
      </c>
      <c r="P941" s="65"/>
      <c r="Q941" s="65">
        <v>1</v>
      </c>
      <c r="R941" s="65">
        <v>463</v>
      </c>
      <c r="S941" s="65"/>
    </row>
    <row r="942" spans="1:19" x14ac:dyDescent="0.25">
      <c r="A942" s="15">
        <v>46</v>
      </c>
      <c r="B942" s="65"/>
      <c r="C942" s="65">
        <v>2429</v>
      </c>
      <c r="D942" s="65"/>
      <c r="E942" s="65" t="s">
        <v>787</v>
      </c>
      <c r="F942" s="65">
        <v>10</v>
      </c>
      <c r="G942" s="65"/>
      <c r="H942" s="65"/>
      <c r="I942" s="65">
        <v>15.666666666666666</v>
      </c>
      <c r="J942" s="65" t="s">
        <v>879</v>
      </c>
      <c r="K942" s="65"/>
      <c r="L942" s="65"/>
      <c r="M942" s="65"/>
      <c r="N942" s="65"/>
      <c r="O942" s="65" t="s">
        <v>882</v>
      </c>
      <c r="P942" s="65"/>
      <c r="Q942" s="65">
        <v>1</v>
      </c>
      <c r="R942" s="65">
        <v>464</v>
      </c>
      <c r="S942" s="65"/>
    </row>
    <row r="943" spans="1:19" x14ac:dyDescent="0.25">
      <c r="A943" s="15">
        <v>46</v>
      </c>
      <c r="B943" s="65"/>
      <c r="C943" s="65">
        <v>2429</v>
      </c>
      <c r="D943" s="65"/>
      <c r="E943" s="65" t="s">
        <v>787</v>
      </c>
      <c r="F943" s="65">
        <v>6</v>
      </c>
      <c r="G943" s="65"/>
      <c r="H943" s="65"/>
      <c r="I943" s="65">
        <v>15.666666666666666</v>
      </c>
      <c r="J943" s="65" t="s">
        <v>879</v>
      </c>
      <c r="K943" s="65"/>
      <c r="L943" s="65"/>
      <c r="M943" s="65"/>
      <c r="N943" s="65"/>
      <c r="O943" s="65" t="s">
        <v>883</v>
      </c>
      <c r="P943" s="65"/>
      <c r="Q943" s="65">
        <v>1</v>
      </c>
      <c r="R943" s="65">
        <v>465</v>
      </c>
      <c r="S943" s="65"/>
    </row>
    <row r="944" spans="1:19" x14ac:dyDescent="0.25">
      <c r="A944" s="15">
        <v>46</v>
      </c>
      <c r="B944" s="65"/>
      <c r="C944" s="65">
        <v>2429</v>
      </c>
      <c r="D944" s="65"/>
      <c r="E944" s="65" t="s">
        <v>787</v>
      </c>
      <c r="F944" s="65">
        <v>6</v>
      </c>
      <c r="G944" s="65"/>
      <c r="H944" s="65"/>
      <c r="I944" s="65">
        <v>15.666666666666666</v>
      </c>
      <c r="J944" s="65" t="s">
        <v>879</v>
      </c>
      <c r="K944" s="65"/>
      <c r="L944" s="65"/>
      <c r="M944" s="65"/>
      <c r="N944" s="65"/>
      <c r="O944" s="65" t="s">
        <v>884</v>
      </c>
      <c r="P944" s="65"/>
      <c r="Q944" s="65">
        <v>1</v>
      </c>
      <c r="R944" s="65">
        <v>466</v>
      </c>
      <c r="S944" s="65"/>
    </row>
    <row r="945" spans="1:19" x14ac:dyDescent="0.25">
      <c r="A945" s="15">
        <v>46</v>
      </c>
      <c r="B945" s="65"/>
      <c r="C945" s="65">
        <v>2429</v>
      </c>
      <c r="D945" s="65"/>
      <c r="E945" s="65" t="s">
        <v>787</v>
      </c>
      <c r="F945" s="65">
        <v>6</v>
      </c>
      <c r="G945" s="65"/>
      <c r="H945" s="65"/>
      <c r="I945" s="65">
        <v>15.666666666666666</v>
      </c>
      <c r="J945" s="65" t="s">
        <v>879</v>
      </c>
      <c r="K945" s="65"/>
      <c r="L945" s="65"/>
      <c r="M945" s="65"/>
      <c r="N945" s="65"/>
      <c r="O945" s="65" t="s">
        <v>885</v>
      </c>
      <c r="P945" s="65"/>
      <c r="Q945" s="65">
        <v>1</v>
      </c>
      <c r="R945" s="65">
        <v>467</v>
      </c>
      <c r="S945" s="65"/>
    </row>
    <row r="946" spans="1:19" x14ac:dyDescent="0.25">
      <c r="A946" s="15">
        <v>46</v>
      </c>
      <c r="B946" s="65"/>
      <c r="C946" s="65">
        <v>2429</v>
      </c>
      <c r="D946" s="65"/>
      <c r="E946" s="65" t="s">
        <v>787</v>
      </c>
      <c r="F946" s="65">
        <v>6</v>
      </c>
      <c r="G946" s="65"/>
      <c r="H946" s="65"/>
      <c r="I946" s="65">
        <v>15.666666666666666</v>
      </c>
      <c r="J946" s="65" t="s">
        <v>879</v>
      </c>
      <c r="K946" s="65"/>
      <c r="L946" s="65"/>
      <c r="M946" s="65"/>
      <c r="N946" s="65"/>
      <c r="O946" s="65" t="s">
        <v>886</v>
      </c>
      <c r="P946" s="65"/>
      <c r="Q946" s="65">
        <v>1</v>
      </c>
      <c r="R946" s="65">
        <v>468</v>
      </c>
      <c r="S946" s="65"/>
    </row>
    <row r="947" spans="1:19" x14ac:dyDescent="0.25">
      <c r="A947" s="15">
        <v>46</v>
      </c>
      <c r="B947" s="65"/>
      <c r="C947" s="65">
        <v>2429</v>
      </c>
      <c r="D947" s="65"/>
      <c r="E947" s="65" t="s">
        <v>787</v>
      </c>
      <c r="F947" s="65">
        <v>6</v>
      </c>
      <c r="G947" s="65"/>
      <c r="H947" s="65"/>
      <c r="I947" s="65">
        <v>15.666666666666666</v>
      </c>
      <c r="J947" s="65" t="s">
        <v>879</v>
      </c>
      <c r="K947" s="65"/>
      <c r="L947" s="65"/>
      <c r="M947" s="65"/>
      <c r="N947" s="65"/>
      <c r="O947" s="65" t="s">
        <v>887</v>
      </c>
      <c r="P947" s="65"/>
      <c r="Q947" s="65">
        <v>1</v>
      </c>
      <c r="R947" s="65">
        <v>469</v>
      </c>
      <c r="S947" s="65"/>
    </row>
    <row r="948" spans="1:19" x14ac:dyDescent="0.25">
      <c r="A948" s="15">
        <v>46</v>
      </c>
      <c r="B948" s="65"/>
      <c r="C948" s="65">
        <v>2429</v>
      </c>
      <c r="D948" s="65"/>
      <c r="E948" s="65" t="s">
        <v>787</v>
      </c>
      <c r="F948" s="65">
        <v>6</v>
      </c>
      <c r="G948" s="65"/>
      <c r="H948" s="65"/>
      <c r="I948" s="65">
        <v>15.666666666666666</v>
      </c>
      <c r="J948" s="65" t="s">
        <v>879</v>
      </c>
      <c r="K948" s="65"/>
      <c r="L948" s="65"/>
      <c r="M948" s="65"/>
      <c r="N948" s="65"/>
      <c r="O948" s="65" t="s">
        <v>888</v>
      </c>
      <c r="P948" s="65"/>
      <c r="Q948" s="65">
        <v>1</v>
      </c>
      <c r="R948" s="65">
        <v>470</v>
      </c>
      <c r="S948" s="65"/>
    </row>
    <row r="949" spans="1:19" x14ac:dyDescent="0.25">
      <c r="A949" s="15">
        <v>46</v>
      </c>
      <c r="B949" s="65"/>
      <c r="C949" s="65">
        <v>2429</v>
      </c>
      <c r="D949" s="65"/>
      <c r="E949" s="65" t="s">
        <v>787</v>
      </c>
      <c r="F949" s="65">
        <v>6</v>
      </c>
      <c r="G949" s="65"/>
      <c r="H949" s="65"/>
      <c r="I949" s="65">
        <v>15.666666666666666</v>
      </c>
      <c r="J949" s="65" t="s">
        <v>879</v>
      </c>
      <c r="K949" s="65"/>
      <c r="L949" s="65"/>
      <c r="M949" s="65"/>
      <c r="N949" s="65"/>
      <c r="O949" s="65" t="s">
        <v>889</v>
      </c>
      <c r="P949" s="65"/>
      <c r="Q949" s="65">
        <v>1</v>
      </c>
      <c r="R949" s="65">
        <v>471</v>
      </c>
      <c r="S949" s="65"/>
    </row>
    <row r="950" spans="1:19" x14ac:dyDescent="0.25">
      <c r="A950" s="15">
        <v>46</v>
      </c>
      <c r="B950" s="65"/>
      <c r="C950" s="65">
        <v>2429</v>
      </c>
      <c r="D950" s="65"/>
      <c r="E950" s="65" t="s">
        <v>787</v>
      </c>
      <c r="F950" s="65">
        <v>6</v>
      </c>
      <c r="G950" s="65"/>
      <c r="H950" s="65"/>
      <c r="I950" s="65">
        <v>15.666666666666666</v>
      </c>
      <c r="J950" s="65" t="s">
        <v>879</v>
      </c>
      <c r="K950" s="65"/>
      <c r="L950" s="65"/>
      <c r="M950" s="65"/>
      <c r="N950" s="65"/>
      <c r="O950" s="65" t="s">
        <v>890</v>
      </c>
      <c r="P950" s="65"/>
      <c r="Q950" s="65">
        <v>1</v>
      </c>
      <c r="R950" s="65">
        <v>472</v>
      </c>
      <c r="S950" s="65"/>
    </row>
    <row r="951" spans="1:19" x14ac:dyDescent="0.25">
      <c r="A951" s="15">
        <v>46</v>
      </c>
      <c r="B951" s="65"/>
      <c r="C951" s="65">
        <v>2429</v>
      </c>
      <c r="D951" s="65"/>
      <c r="E951" s="65" t="s">
        <v>787</v>
      </c>
      <c r="F951" s="65">
        <v>6</v>
      </c>
      <c r="G951" s="65"/>
      <c r="H951" s="65"/>
      <c r="I951" s="65">
        <v>15.666666666666666</v>
      </c>
      <c r="J951" s="65" t="s">
        <v>879</v>
      </c>
      <c r="K951" s="65"/>
      <c r="L951" s="65"/>
      <c r="M951" s="65"/>
      <c r="N951" s="65"/>
      <c r="O951" s="65" t="s">
        <v>891</v>
      </c>
      <c r="P951" s="65"/>
      <c r="Q951" s="65">
        <v>1</v>
      </c>
      <c r="R951" s="65">
        <v>473</v>
      </c>
      <c r="S951" s="65"/>
    </row>
    <row r="952" spans="1:19" x14ac:dyDescent="0.25">
      <c r="A952" s="15">
        <v>46</v>
      </c>
      <c r="B952" s="65"/>
      <c r="C952" s="65">
        <v>2429</v>
      </c>
      <c r="D952" s="65"/>
      <c r="E952" s="65" t="s">
        <v>787</v>
      </c>
      <c r="F952" s="65">
        <v>10</v>
      </c>
      <c r="G952" s="65"/>
      <c r="H952" s="65"/>
      <c r="I952" s="65">
        <v>10.583333333333334</v>
      </c>
      <c r="J952" s="65" t="s">
        <v>879</v>
      </c>
      <c r="K952" s="65"/>
      <c r="L952" s="65"/>
      <c r="M952" s="65"/>
      <c r="N952" s="65"/>
      <c r="O952" s="65" t="s">
        <v>892</v>
      </c>
      <c r="P952" s="65"/>
      <c r="Q952" s="65">
        <v>1</v>
      </c>
      <c r="R952" s="65">
        <v>474</v>
      </c>
      <c r="S952" s="65"/>
    </row>
    <row r="953" spans="1:19" x14ac:dyDescent="0.25">
      <c r="A953" s="15">
        <v>46</v>
      </c>
      <c r="B953" s="65"/>
      <c r="C953" s="65">
        <v>2429</v>
      </c>
      <c r="D953" s="65"/>
      <c r="E953" s="65" t="s">
        <v>787</v>
      </c>
      <c r="F953" s="65">
        <v>1</v>
      </c>
      <c r="G953" s="65"/>
      <c r="H953" s="65" t="e">
        <v>#N/A</v>
      </c>
      <c r="I953" s="65"/>
      <c r="J953" s="65" t="s">
        <v>899</v>
      </c>
      <c r="K953" s="65" t="s">
        <v>900</v>
      </c>
      <c r="L953" s="65" t="s">
        <v>900</v>
      </c>
      <c r="M953" s="65" t="s">
        <v>900</v>
      </c>
      <c r="N953" s="65" t="s">
        <v>900</v>
      </c>
      <c r="O953" s="65" t="s">
        <v>898</v>
      </c>
      <c r="P953" s="65"/>
      <c r="Q953" s="65">
        <v>1</v>
      </c>
      <c r="R953" s="65">
        <v>695</v>
      </c>
      <c r="S953" s="65"/>
    </row>
    <row r="954" spans="1:19" x14ac:dyDescent="0.25">
      <c r="A954" s="15">
        <v>46</v>
      </c>
      <c r="B954" s="65"/>
      <c r="C954" s="65">
        <v>2429</v>
      </c>
      <c r="D954" s="65"/>
      <c r="E954" s="65" t="s">
        <v>787</v>
      </c>
      <c r="F954" s="65">
        <v>1</v>
      </c>
      <c r="G954" s="65"/>
      <c r="H954" s="65" t="e">
        <v>#N/A</v>
      </c>
      <c r="I954" s="65"/>
      <c r="J954" s="65" t="s">
        <v>899</v>
      </c>
      <c r="K954" s="65" t="s">
        <v>900</v>
      </c>
      <c r="L954" s="65" t="s">
        <v>900</v>
      </c>
      <c r="M954" s="65" t="s">
        <v>900</v>
      </c>
      <c r="N954" s="65" t="s">
        <v>900</v>
      </c>
      <c r="O954" s="65" t="s">
        <v>901</v>
      </c>
      <c r="P954" s="65"/>
      <c r="Q954" s="65">
        <v>1</v>
      </c>
      <c r="R954" s="65">
        <v>696</v>
      </c>
      <c r="S954" s="65"/>
    </row>
    <row r="955" spans="1:19" x14ac:dyDescent="0.25">
      <c r="A955" s="15">
        <v>46</v>
      </c>
      <c r="B955" s="65"/>
      <c r="C955" s="65">
        <v>2429</v>
      </c>
      <c r="D955" s="65"/>
      <c r="E955" s="65" t="s">
        <v>787</v>
      </c>
      <c r="F955" s="65">
        <v>1</v>
      </c>
      <c r="G955" s="65"/>
      <c r="H955" s="65" t="e">
        <v>#N/A</v>
      </c>
      <c r="I955" s="65"/>
      <c r="J955" s="65" t="s">
        <v>899</v>
      </c>
      <c r="K955" s="65" t="s">
        <v>900</v>
      </c>
      <c r="L955" s="65" t="s">
        <v>900</v>
      </c>
      <c r="M955" s="65" t="s">
        <v>900</v>
      </c>
      <c r="N955" s="65" t="s">
        <v>900</v>
      </c>
      <c r="O955" s="65" t="s">
        <v>902</v>
      </c>
      <c r="P955" s="65"/>
      <c r="Q955" s="65">
        <v>1</v>
      </c>
      <c r="R955" s="65">
        <v>697</v>
      </c>
      <c r="S955" s="65"/>
    </row>
    <row r="956" spans="1:19" x14ac:dyDescent="0.25">
      <c r="A956" s="15">
        <v>46</v>
      </c>
      <c r="B956" s="65"/>
      <c r="C956" s="65">
        <v>2429</v>
      </c>
      <c r="D956" s="65"/>
      <c r="E956" s="65" t="s">
        <v>787</v>
      </c>
      <c r="F956" s="65">
        <v>1</v>
      </c>
      <c r="G956" s="65"/>
      <c r="H956" s="65" t="e">
        <v>#N/A</v>
      </c>
      <c r="I956" s="65"/>
      <c r="J956" s="65" t="s">
        <v>899</v>
      </c>
      <c r="K956" s="65" t="s">
        <v>900</v>
      </c>
      <c r="L956" s="65" t="s">
        <v>900</v>
      </c>
      <c r="M956" s="65" t="s">
        <v>900</v>
      </c>
      <c r="N956" s="65" t="s">
        <v>900</v>
      </c>
      <c r="O956" s="65" t="s">
        <v>903</v>
      </c>
      <c r="P956" s="65"/>
      <c r="Q956" s="65">
        <v>1</v>
      </c>
      <c r="R956" s="65">
        <v>698</v>
      </c>
      <c r="S956" s="65"/>
    </row>
    <row r="957" spans="1:19" x14ac:dyDescent="0.25">
      <c r="A957" s="15">
        <v>46</v>
      </c>
      <c r="B957" s="65"/>
      <c r="C957" s="65">
        <v>2429</v>
      </c>
      <c r="D957" s="65"/>
      <c r="E957" s="65" t="s">
        <v>787</v>
      </c>
      <c r="F957" s="65">
        <v>1</v>
      </c>
      <c r="G957" s="65"/>
      <c r="H957" s="65" t="e">
        <v>#N/A</v>
      </c>
      <c r="I957" s="65"/>
      <c r="J957" s="65" t="s">
        <v>899</v>
      </c>
      <c r="K957" s="65" t="s">
        <v>900</v>
      </c>
      <c r="L957" s="65" t="s">
        <v>900</v>
      </c>
      <c r="M957" s="65" t="s">
        <v>900</v>
      </c>
      <c r="N957" s="65" t="s">
        <v>900</v>
      </c>
      <c r="O957" s="65" t="s">
        <v>904</v>
      </c>
      <c r="P957" s="65"/>
      <c r="Q957" s="65">
        <v>1</v>
      </c>
      <c r="R957" s="65">
        <v>699</v>
      </c>
      <c r="S957" s="65"/>
    </row>
    <row r="958" spans="1:19" x14ac:dyDescent="0.25">
      <c r="A958" s="15">
        <v>46</v>
      </c>
      <c r="B958" s="65"/>
      <c r="C958" s="65">
        <v>2429</v>
      </c>
      <c r="D958" s="65"/>
      <c r="E958" s="65" t="s">
        <v>787</v>
      </c>
      <c r="F958" s="65">
        <v>1</v>
      </c>
      <c r="G958" s="65"/>
      <c r="H958" s="65" t="e">
        <v>#N/A</v>
      </c>
      <c r="I958" s="65"/>
      <c r="J958" s="65" t="s">
        <v>899</v>
      </c>
      <c r="K958" s="65" t="s">
        <v>900</v>
      </c>
      <c r="L958" s="65" t="s">
        <v>900</v>
      </c>
      <c r="M958" s="65" t="s">
        <v>900</v>
      </c>
      <c r="N958" s="65" t="s">
        <v>900</v>
      </c>
      <c r="O958" s="65" t="s">
        <v>905</v>
      </c>
      <c r="P958" s="65"/>
      <c r="Q958" s="65">
        <v>1</v>
      </c>
      <c r="R958" s="65">
        <v>700</v>
      </c>
      <c r="S958" s="65"/>
    </row>
    <row r="959" spans="1:19" x14ac:dyDescent="0.25">
      <c r="A959" s="15">
        <v>46</v>
      </c>
      <c r="B959" s="65"/>
      <c r="C959" s="65">
        <v>2429</v>
      </c>
      <c r="D959" s="65"/>
      <c r="E959" s="65" t="s">
        <v>787</v>
      </c>
      <c r="F959" s="65">
        <v>1</v>
      </c>
      <c r="G959" s="65"/>
      <c r="H959" s="65" t="e">
        <v>#N/A</v>
      </c>
      <c r="I959" s="65"/>
      <c r="J959" s="65" t="s">
        <v>899</v>
      </c>
      <c r="K959" s="65" t="s">
        <v>900</v>
      </c>
      <c r="L959" s="65" t="s">
        <v>900</v>
      </c>
      <c r="M959" s="65" t="s">
        <v>900</v>
      </c>
      <c r="N959" s="65" t="s">
        <v>900</v>
      </c>
      <c r="O959" s="65" t="s">
        <v>906</v>
      </c>
      <c r="P959" s="65"/>
      <c r="Q959" s="65">
        <v>1</v>
      </c>
      <c r="R959" s="65">
        <v>701</v>
      </c>
      <c r="S959" s="65"/>
    </row>
    <row r="960" spans="1:19" x14ac:dyDescent="0.25">
      <c r="A960" s="15">
        <v>46</v>
      </c>
      <c r="B960" s="65"/>
      <c r="C960" s="65">
        <v>2429</v>
      </c>
      <c r="D960" s="65"/>
      <c r="E960" s="65" t="s">
        <v>787</v>
      </c>
      <c r="F960" s="65">
        <v>1</v>
      </c>
      <c r="G960" s="65"/>
      <c r="H960" s="65" t="e">
        <v>#N/A</v>
      </c>
      <c r="I960" s="65"/>
      <c r="J960" s="65" t="s">
        <v>899</v>
      </c>
      <c r="K960" s="65" t="s">
        <v>900</v>
      </c>
      <c r="L960" s="65" t="s">
        <v>900</v>
      </c>
      <c r="M960" s="65" t="s">
        <v>900</v>
      </c>
      <c r="N960" s="65" t="s">
        <v>900</v>
      </c>
      <c r="O960" s="65" t="s">
        <v>907</v>
      </c>
      <c r="P960" s="65"/>
      <c r="Q960" s="65">
        <v>1</v>
      </c>
      <c r="R960" s="65">
        <v>702</v>
      </c>
      <c r="S960" s="65"/>
    </row>
    <row r="961" spans="1:19" x14ac:dyDescent="0.25">
      <c r="A961" s="15">
        <v>46</v>
      </c>
      <c r="B961" s="65"/>
      <c r="C961" s="65">
        <v>2429</v>
      </c>
      <c r="D961" s="65"/>
      <c r="E961" s="65" t="s">
        <v>787</v>
      </c>
      <c r="F961" s="65">
        <v>1</v>
      </c>
      <c r="G961" s="65"/>
      <c r="H961" s="65" t="e">
        <v>#N/A</v>
      </c>
      <c r="I961" s="65"/>
      <c r="J961" s="65" t="s">
        <v>899</v>
      </c>
      <c r="K961" s="65" t="s">
        <v>900</v>
      </c>
      <c r="L961" s="65" t="s">
        <v>900</v>
      </c>
      <c r="M961" s="65" t="s">
        <v>900</v>
      </c>
      <c r="N961" s="65" t="s">
        <v>900</v>
      </c>
      <c r="O961" s="65" t="s">
        <v>908</v>
      </c>
      <c r="P961" s="65"/>
      <c r="Q961" s="65">
        <v>1</v>
      </c>
      <c r="R961" s="65">
        <v>703</v>
      </c>
      <c r="S961" s="65"/>
    </row>
    <row r="962" spans="1:19" x14ac:dyDescent="0.25">
      <c r="A962" s="15">
        <v>46</v>
      </c>
      <c r="B962" s="65"/>
      <c r="C962" s="65">
        <v>2429</v>
      </c>
      <c r="D962" s="65"/>
      <c r="E962" s="65" t="s">
        <v>787</v>
      </c>
      <c r="F962" s="65">
        <v>1</v>
      </c>
      <c r="G962" s="65"/>
      <c r="H962" s="65" t="e">
        <v>#N/A</v>
      </c>
      <c r="I962" s="65"/>
      <c r="J962" s="65" t="s">
        <v>899</v>
      </c>
      <c r="K962" s="65" t="s">
        <v>900</v>
      </c>
      <c r="L962" s="65" t="s">
        <v>900</v>
      </c>
      <c r="M962" s="65" t="s">
        <v>900</v>
      </c>
      <c r="N962" s="65" t="s">
        <v>900</v>
      </c>
      <c r="O962" s="65" t="s">
        <v>909</v>
      </c>
      <c r="P962" s="65"/>
      <c r="Q962" s="65">
        <v>1</v>
      </c>
      <c r="R962" s="65">
        <v>704</v>
      </c>
      <c r="S962" s="65"/>
    </row>
    <row r="963" spans="1:19" x14ac:dyDescent="0.25">
      <c r="A963" s="15">
        <v>46</v>
      </c>
      <c r="B963" s="65"/>
      <c r="C963" s="65">
        <v>2429</v>
      </c>
      <c r="D963" s="65"/>
      <c r="E963" s="65" t="s">
        <v>787</v>
      </c>
      <c r="F963" s="65">
        <v>1</v>
      </c>
      <c r="G963" s="65"/>
      <c r="H963" s="65" t="e">
        <v>#N/A</v>
      </c>
      <c r="I963" s="65"/>
      <c r="J963" s="65" t="s">
        <v>899</v>
      </c>
      <c r="K963" s="65" t="s">
        <v>900</v>
      </c>
      <c r="L963" s="65" t="s">
        <v>900</v>
      </c>
      <c r="M963" s="65" t="s">
        <v>900</v>
      </c>
      <c r="N963" s="65" t="s">
        <v>900</v>
      </c>
      <c r="O963" s="65" t="s">
        <v>910</v>
      </c>
      <c r="P963" s="65"/>
      <c r="Q963" s="65">
        <v>1</v>
      </c>
      <c r="R963" s="65">
        <v>705</v>
      </c>
      <c r="S963" s="65"/>
    </row>
    <row r="964" spans="1:19" x14ac:dyDescent="0.25">
      <c r="A964" s="15">
        <v>46</v>
      </c>
      <c r="B964" s="65"/>
      <c r="C964" s="65">
        <v>2429</v>
      </c>
      <c r="D964" s="65"/>
      <c r="E964" s="65" t="s">
        <v>787</v>
      </c>
      <c r="F964" s="65">
        <v>1</v>
      </c>
      <c r="G964" s="65"/>
      <c r="H964" s="65" t="e">
        <v>#N/A</v>
      </c>
      <c r="I964" s="65"/>
      <c r="J964" s="65" t="s">
        <v>899</v>
      </c>
      <c r="K964" s="65" t="s">
        <v>900</v>
      </c>
      <c r="L964" s="65" t="s">
        <v>900</v>
      </c>
      <c r="M964" s="65" t="s">
        <v>900</v>
      </c>
      <c r="N964" s="65" t="s">
        <v>900</v>
      </c>
      <c r="O964" s="65" t="s">
        <v>911</v>
      </c>
      <c r="P964" s="65"/>
      <c r="Q964" s="65">
        <v>1</v>
      </c>
      <c r="R964" s="65">
        <v>706</v>
      </c>
      <c r="S964" s="65"/>
    </row>
    <row r="965" spans="1:19" x14ac:dyDescent="0.25">
      <c r="A965" s="15">
        <v>46</v>
      </c>
      <c r="B965" s="65"/>
      <c r="C965" s="65">
        <v>2429</v>
      </c>
      <c r="D965" s="65"/>
      <c r="E965" s="65" t="s">
        <v>787</v>
      </c>
      <c r="F965" s="65">
        <v>0</v>
      </c>
      <c r="G965" s="65"/>
      <c r="H965" s="65">
        <v>3</v>
      </c>
      <c r="I965" s="65" t="e">
        <v>#N/A</v>
      </c>
      <c r="J965" s="65" t="s">
        <v>899</v>
      </c>
      <c r="K965" s="65"/>
      <c r="L965" s="65"/>
      <c r="M965" s="65"/>
      <c r="N965" s="65"/>
      <c r="O965" s="65" t="s">
        <v>912</v>
      </c>
      <c r="P965" s="65"/>
      <c r="Q965" s="65">
        <v>1</v>
      </c>
      <c r="R965" s="65">
        <v>922</v>
      </c>
      <c r="S965" s="65"/>
    </row>
    <row r="966" spans="1:19" x14ac:dyDescent="0.25">
      <c r="A966" s="15">
        <v>46</v>
      </c>
      <c r="B966" s="65"/>
      <c r="C966" s="65">
        <v>2429</v>
      </c>
      <c r="D966" s="65"/>
      <c r="E966" s="65" t="s">
        <v>787</v>
      </c>
      <c r="F966" s="65">
        <v>0</v>
      </c>
      <c r="G966" s="65"/>
      <c r="H966" s="65">
        <v>3</v>
      </c>
      <c r="I966" s="65" t="e">
        <v>#N/A</v>
      </c>
      <c r="J966" s="65" t="s">
        <v>899</v>
      </c>
      <c r="K966" s="65"/>
      <c r="L966" s="65"/>
      <c r="M966" s="65"/>
      <c r="N966" s="65"/>
      <c r="O966" s="65" t="s">
        <v>913</v>
      </c>
      <c r="P966" s="65"/>
      <c r="Q966" s="65">
        <v>1</v>
      </c>
      <c r="R966" s="65">
        <v>923</v>
      </c>
      <c r="S966" s="65"/>
    </row>
    <row r="967" spans="1:19" x14ac:dyDescent="0.25">
      <c r="A967" s="15">
        <v>46</v>
      </c>
      <c r="B967" s="65"/>
      <c r="C967" s="65">
        <v>2429</v>
      </c>
      <c r="D967" s="65"/>
      <c r="E967" s="65" t="s">
        <v>787</v>
      </c>
      <c r="F967" s="65">
        <v>0</v>
      </c>
      <c r="G967" s="65"/>
      <c r="H967" s="65">
        <v>3</v>
      </c>
      <c r="I967" s="65" t="e">
        <v>#N/A</v>
      </c>
      <c r="J967" s="65" t="s">
        <v>899</v>
      </c>
      <c r="K967" s="65"/>
      <c r="L967" s="65"/>
      <c r="M967" s="65"/>
      <c r="N967" s="65"/>
      <c r="O967" s="65" t="s">
        <v>914</v>
      </c>
      <c r="P967" s="65"/>
      <c r="Q967" s="65">
        <v>1</v>
      </c>
      <c r="R967" s="65">
        <v>924</v>
      </c>
      <c r="S967" s="65"/>
    </row>
    <row r="968" spans="1:19" x14ac:dyDescent="0.25">
      <c r="A968" s="15">
        <v>46</v>
      </c>
      <c r="B968" s="65"/>
      <c r="C968" s="65">
        <v>2429</v>
      </c>
      <c r="D968" s="65"/>
      <c r="E968" s="65" t="s">
        <v>787</v>
      </c>
      <c r="F968" s="65">
        <v>0</v>
      </c>
      <c r="G968" s="65"/>
      <c r="H968" s="65">
        <v>3</v>
      </c>
      <c r="I968" s="65" t="e">
        <v>#N/A</v>
      </c>
      <c r="J968" s="65" t="s">
        <v>899</v>
      </c>
      <c r="K968" s="65"/>
      <c r="L968" s="65"/>
      <c r="M968" s="65"/>
      <c r="N968" s="65"/>
      <c r="O968" s="65" t="s">
        <v>915</v>
      </c>
      <c r="P968" s="65"/>
      <c r="Q968" s="65">
        <v>1</v>
      </c>
      <c r="R968" s="65">
        <v>925</v>
      </c>
      <c r="S968" s="65"/>
    </row>
    <row r="969" spans="1:19" x14ac:dyDescent="0.25">
      <c r="A969" s="15">
        <v>46</v>
      </c>
      <c r="B969" s="65"/>
      <c r="C969" s="65">
        <v>2429</v>
      </c>
      <c r="D969" s="65"/>
      <c r="E969" s="65" t="s">
        <v>787</v>
      </c>
      <c r="F969" s="65">
        <v>0</v>
      </c>
      <c r="G969" s="65"/>
      <c r="H969" s="65">
        <v>3</v>
      </c>
      <c r="I969" s="65" t="e">
        <v>#N/A</v>
      </c>
      <c r="J969" s="65" t="s">
        <v>899</v>
      </c>
      <c r="K969" s="65"/>
      <c r="L969" s="65"/>
      <c r="M969" s="65"/>
      <c r="N969" s="65"/>
      <c r="O969" s="65" t="s">
        <v>916</v>
      </c>
      <c r="P969" s="65"/>
      <c r="Q969" s="65">
        <v>1</v>
      </c>
      <c r="R969" s="65">
        <v>926</v>
      </c>
      <c r="S969" s="65"/>
    </row>
    <row r="970" spans="1:19" x14ac:dyDescent="0.25">
      <c r="A970" s="15">
        <v>46</v>
      </c>
      <c r="B970" s="65"/>
      <c r="C970" s="65">
        <v>2429</v>
      </c>
      <c r="D970" s="65"/>
      <c r="E970" s="65" t="s">
        <v>787</v>
      </c>
      <c r="F970" s="65">
        <v>0</v>
      </c>
      <c r="G970" s="65"/>
      <c r="H970" s="65">
        <v>3</v>
      </c>
      <c r="I970" s="65" t="e">
        <v>#N/A</v>
      </c>
      <c r="J970" s="65" t="s">
        <v>899</v>
      </c>
      <c r="K970" s="65"/>
      <c r="L970" s="65"/>
      <c r="M970" s="65"/>
      <c r="N970" s="65"/>
      <c r="O970" s="65" t="s">
        <v>917</v>
      </c>
      <c r="P970" s="65"/>
      <c r="Q970" s="65">
        <v>1</v>
      </c>
      <c r="R970" s="65">
        <v>927</v>
      </c>
      <c r="S970" s="65"/>
    </row>
    <row r="971" spans="1:19" x14ac:dyDescent="0.25">
      <c r="A971" s="15">
        <v>46</v>
      </c>
      <c r="B971" s="65"/>
      <c r="C971" s="65">
        <v>2429</v>
      </c>
      <c r="D971" s="65"/>
      <c r="E971" s="65" t="s">
        <v>787</v>
      </c>
      <c r="F971" s="65">
        <v>0</v>
      </c>
      <c r="G971" s="65"/>
      <c r="H971" s="65">
        <v>3</v>
      </c>
      <c r="I971" s="65" t="e">
        <v>#N/A</v>
      </c>
      <c r="J971" s="65" t="s">
        <v>899</v>
      </c>
      <c r="K971" s="65"/>
      <c r="L971" s="65"/>
      <c r="M971" s="65"/>
      <c r="N971" s="65"/>
      <c r="O971" s="65" t="s">
        <v>918</v>
      </c>
      <c r="P971" s="65"/>
      <c r="Q971" s="65">
        <v>1</v>
      </c>
      <c r="R971" s="65">
        <v>928</v>
      </c>
      <c r="S971" s="65"/>
    </row>
    <row r="972" spans="1:19" x14ac:dyDescent="0.25">
      <c r="A972" s="15">
        <v>46</v>
      </c>
      <c r="B972" s="65"/>
      <c r="C972" s="65">
        <v>2429</v>
      </c>
      <c r="D972" s="65"/>
      <c r="E972" s="65" t="s">
        <v>787</v>
      </c>
      <c r="F972" s="65">
        <v>0</v>
      </c>
      <c r="G972" s="65"/>
      <c r="H972" s="65">
        <v>3</v>
      </c>
      <c r="I972" s="65" t="e">
        <v>#N/A</v>
      </c>
      <c r="J972" s="65" t="s">
        <v>899</v>
      </c>
      <c r="K972" s="65"/>
      <c r="L972" s="65"/>
      <c r="M972" s="65"/>
      <c r="N972" s="65"/>
      <c r="O972" s="65" t="s">
        <v>919</v>
      </c>
      <c r="P972" s="65"/>
      <c r="Q972" s="65">
        <v>1</v>
      </c>
      <c r="R972" s="65">
        <v>929</v>
      </c>
      <c r="S972" s="65"/>
    </row>
    <row r="973" spans="1:19" x14ac:dyDescent="0.25">
      <c r="A973" s="15">
        <v>46</v>
      </c>
      <c r="B973" s="65"/>
      <c r="C973" s="65">
        <v>2429</v>
      </c>
      <c r="D973" s="65"/>
      <c r="E973" s="65" t="s">
        <v>787</v>
      </c>
      <c r="F973" s="65">
        <v>0</v>
      </c>
      <c r="G973" s="65"/>
      <c r="H973" s="65">
        <v>3</v>
      </c>
      <c r="I973" s="65" t="e">
        <v>#N/A</v>
      </c>
      <c r="J973" s="65" t="s">
        <v>899</v>
      </c>
      <c r="K973" s="65"/>
      <c r="L973" s="65"/>
      <c r="M973" s="65"/>
      <c r="N973" s="65"/>
      <c r="O973" s="65" t="s">
        <v>920</v>
      </c>
      <c r="P973" s="65"/>
      <c r="Q973" s="65">
        <v>1</v>
      </c>
      <c r="R973" s="65">
        <v>930</v>
      </c>
      <c r="S973" s="65"/>
    </row>
    <row r="974" spans="1:19" x14ac:dyDescent="0.25">
      <c r="A974" s="15">
        <v>46</v>
      </c>
      <c r="B974" s="65"/>
      <c r="C974" s="65">
        <v>2429</v>
      </c>
      <c r="D974" s="65"/>
      <c r="E974" s="65" t="s">
        <v>787</v>
      </c>
      <c r="F974" s="65">
        <v>0</v>
      </c>
      <c r="G974" s="65"/>
      <c r="H974" s="65">
        <v>3</v>
      </c>
      <c r="I974" s="65" t="e">
        <v>#N/A</v>
      </c>
      <c r="J974" s="65" t="s">
        <v>899</v>
      </c>
      <c r="K974" s="65"/>
      <c r="L974" s="65"/>
      <c r="M974" s="65"/>
      <c r="N974" s="65"/>
      <c r="O974" s="65" t="s">
        <v>921</v>
      </c>
      <c r="P974" s="65"/>
      <c r="Q974" s="65">
        <v>1</v>
      </c>
      <c r="R974" s="65">
        <v>931</v>
      </c>
      <c r="S974" s="65"/>
    </row>
    <row r="975" spans="1:19" x14ac:dyDescent="0.25">
      <c r="A975" s="15">
        <v>46</v>
      </c>
      <c r="B975" s="65"/>
      <c r="C975" s="65">
        <v>2429</v>
      </c>
      <c r="D975" s="65"/>
      <c r="E975" s="65" t="s">
        <v>787</v>
      </c>
      <c r="F975" s="65">
        <v>0</v>
      </c>
      <c r="G975" s="65"/>
      <c r="H975" s="65">
        <v>3</v>
      </c>
      <c r="I975" s="65" t="e">
        <v>#N/A</v>
      </c>
      <c r="J975" s="65" t="s">
        <v>899</v>
      </c>
      <c r="K975" s="65"/>
      <c r="L975" s="65"/>
      <c r="M975" s="65"/>
      <c r="N975" s="65"/>
      <c r="O975" s="65" t="s">
        <v>922</v>
      </c>
      <c r="P975" s="65"/>
      <c r="Q975" s="65">
        <v>1</v>
      </c>
      <c r="R975" s="65">
        <v>932</v>
      </c>
      <c r="S975" s="65"/>
    </row>
    <row r="976" spans="1:19" x14ac:dyDescent="0.25">
      <c r="A976" s="15">
        <v>46</v>
      </c>
      <c r="B976" s="65"/>
      <c r="C976" s="65">
        <v>2429</v>
      </c>
      <c r="D976" s="65"/>
      <c r="E976" s="65" t="s">
        <v>787</v>
      </c>
      <c r="F976" s="65">
        <v>0</v>
      </c>
      <c r="G976" s="65"/>
      <c r="H976" s="65">
        <v>3</v>
      </c>
      <c r="I976" s="65" t="e">
        <v>#N/A</v>
      </c>
      <c r="J976" s="65" t="s">
        <v>899</v>
      </c>
      <c r="K976" s="65"/>
      <c r="L976" s="65"/>
      <c r="M976" s="65"/>
      <c r="N976" s="65"/>
      <c r="O976" s="65" t="s">
        <v>923</v>
      </c>
      <c r="P976" s="65"/>
      <c r="Q976" s="65">
        <v>1</v>
      </c>
      <c r="R976" s="65">
        <v>933</v>
      </c>
      <c r="S976" s="65"/>
    </row>
    <row r="977" spans="1:19" x14ac:dyDescent="0.25">
      <c r="A977" s="15">
        <v>46</v>
      </c>
      <c r="B977" s="65"/>
      <c r="C977" s="65">
        <v>2429</v>
      </c>
      <c r="D977" s="65"/>
      <c r="E977" s="65" t="s">
        <v>787</v>
      </c>
      <c r="F977" s="65">
        <v>3</v>
      </c>
      <c r="G977" s="65"/>
      <c r="H977" s="65">
        <v>3</v>
      </c>
      <c r="I977" s="65" t="e">
        <v>#N/A</v>
      </c>
      <c r="J977" s="65" t="s">
        <v>899</v>
      </c>
      <c r="K977" s="65"/>
      <c r="L977" s="65"/>
      <c r="M977" s="65"/>
      <c r="N977" s="65"/>
      <c r="O977" s="65" t="s">
        <v>924</v>
      </c>
      <c r="P977" s="65"/>
      <c r="Q977" s="65">
        <v>1</v>
      </c>
      <c r="R977" s="65">
        <v>1149</v>
      </c>
      <c r="S977" s="65"/>
    </row>
    <row r="978" spans="1:19" x14ac:dyDescent="0.25">
      <c r="A978" s="15">
        <v>46</v>
      </c>
      <c r="B978" s="65"/>
      <c r="C978" s="65">
        <v>2429</v>
      </c>
      <c r="D978" s="65"/>
      <c r="E978" s="65" t="s">
        <v>787</v>
      </c>
      <c r="F978" s="65">
        <v>3</v>
      </c>
      <c r="G978" s="65"/>
      <c r="H978" s="65">
        <v>3</v>
      </c>
      <c r="I978" s="65" t="e">
        <v>#N/A</v>
      </c>
      <c r="J978" s="65" t="s">
        <v>899</v>
      </c>
      <c r="K978" s="65"/>
      <c r="L978" s="65"/>
      <c r="M978" s="65"/>
      <c r="N978" s="65"/>
      <c r="O978" s="65" t="s">
        <v>925</v>
      </c>
      <c r="P978" s="65"/>
      <c r="Q978" s="65">
        <v>1</v>
      </c>
      <c r="R978" s="65">
        <v>1150</v>
      </c>
      <c r="S978" s="65"/>
    </row>
    <row r="979" spans="1:19" x14ac:dyDescent="0.25">
      <c r="A979" s="15">
        <v>46</v>
      </c>
      <c r="B979" s="65"/>
      <c r="C979" s="65">
        <v>2429</v>
      </c>
      <c r="D979" s="65"/>
      <c r="E979" s="65" t="s">
        <v>787</v>
      </c>
      <c r="F979" s="65">
        <v>3</v>
      </c>
      <c r="G979" s="65"/>
      <c r="H979" s="65">
        <v>3</v>
      </c>
      <c r="I979" s="65" t="e">
        <v>#N/A</v>
      </c>
      <c r="J979" s="65" t="s">
        <v>899</v>
      </c>
      <c r="K979" s="65"/>
      <c r="L979" s="65"/>
      <c r="M979" s="65"/>
      <c r="N979" s="65"/>
      <c r="O979" s="65" t="s">
        <v>926</v>
      </c>
      <c r="P979" s="65"/>
      <c r="Q979" s="65">
        <v>1</v>
      </c>
      <c r="R979" s="65">
        <v>1151</v>
      </c>
      <c r="S979" s="65"/>
    </row>
    <row r="980" spans="1:19" x14ac:dyDescent="0.25">
      <c r="A980" s="15">
        <v>46</v>
      </c>
      <c r="B980" s="65"/>
      <c r="C980" s="65">
        <v>2429</v>
      </c>
      <c r="D980" s="65"/>
      <c r="E980" s="65" t="s">
        <v>787</v>
      </c>
      <c r="F980" s="65">
        <v>3</v>
      </c>
      <c r="G980" s="65"/>
      <c r="H980" s="65">
        <v>3</v>
      </c>
      <c r="I980" s="65" t="e">
        <v>#N/A</v>
      </c>
      <c r="J980" s="65" t="s">
        <v>899</v>
      </c>
      <c r="K980" s="65"/>
      <c r="L980" s="65"/>
      <c r="M980" s="65"/>
      <c r="N980" s="65"/>
      <c r="O980" s="65" t="s">
        <v>927</v>
      </c>
      <c r="P980" s="65"/>
      <c r="Q980" s="65">
        <v>1</v>
      </c>
      <c r="R980" s="65">
        <v>1152</v>
      </c>
      <c r="S980" s="65"/>
    </row>
    <row r="981" spans="1:19" x14ac:dyDescent="0.25">
      <c r="A981" s="15">
        <v>46</v>
      </c>
      <c r="B981" s="65"/>
      <c r="C981" s="65">
        <v>2429</v>
      </c>
      <c r="D981" s="65"/>
      <c r="E981" s="65" t="s">
        <v>787</v>
      </c>
      <c r="F981" s="65">
        <v>3</v>
      </c>
      <c r="G981" s="65"/>
      <c r="H981" s="65">
        <v>3</v>
      </c>
      <c r="I981" s="65" t="e">
        <v>#N/A</v>
      </c>
      <c r="J981" s="65" t="s">
        <v>899</v>
      </c>
      <c r="K981" s="65"/>
      <c r="L981" s="65"/>
      <c r="M981" s="65"/>
      <c r="N981" s="65"/>
      <c r="O981" s="65" t="s">
        <v>928</v>
      </c>
      <c r="P981" s="65"/>
      <c r="Q981" s="65">
        <v>1</v>
      </c>
      <c r="R981" s="65">
        <v>1153</v>
      </c>
      <c r="S981" s="65"/>
    </row>
    <row r="982" spans="1:19" x14ac:dyDescent="0.25">
      <c r="A982" s="15">
        <v>46</v>
      </c>
      <c r="B982" s="65"/>
      <c r="C982" s="65">
        <v>2429</v>
      </c>
      <c r="D982" s="65"/>
      <c r="E982" s="65" t="s">
        <v>787</v>
      </c>
      <c r="F982" s="65">
        <v>3</v>
      </c>
      <c r="G982" s="65"/>
      <c r="H982" s="65">
        <v>3</v>
      </c>
      <c r="I982" s="65" t="e">
        <v>#N/A</v>
      </c>
      <c r="J982" s="65" t="s">
        <v>899</v>
      </c>
      <c r="K982" s="65"/>
      <c r="L982" s="65"/>
      <c r="M982" s="65"/>
      <c r="N982" s="65"/>
      <c r="O982" s="65" t="s">
        <v>929</v>
      </c>
      <c r="P982" s="65"/>
      <c r="Q982" s="65">
        <v>1</v>
      </c>
      <c r="R982" s="65">
        <v>1154</v>
      </c>
      <c r="S982" s="65"/>
    </row>
    <row r="983" spans="1:19" x14ac:dyDescent="0.25">
      <c r="A983" s="15">
        <v>46</v>
      </c>
      <c r="B983" s="65"/>
      <c r="C983" s="65">
        <v>2429</v>
      </c>
      <c r="D983" s="65"/>
      <c r="E983" s="65" t="s">
        <v>787</v>
      </c>
      <c r="F983" s="65">
        <v>3</v>
      </c>
      <c r="G983" s="65"/>
      <c r="H983" s="65">
        <v>3</v>
      </c>
      <c r="I983" s="65" t="e">
        <v>#N/A</v>
      </c>
      <c r="J983" s="65" t="s">
        <v>899</v>
      </c>
      <c r="K983" s="65"/>
      <c r="L983" s="65"/>
      <c r="M983" s="65"/>
      <c r="N983" s="65"/>
      <c r="O983" s="65" t="s">
        <v>930</v>
      </c>
      <c r="P983" s="65"/>
      <c r="Q983" s="65">
        <v>1</v>
      </c>
      <c r="R983" s="65">
        <v>1155</v>
      </c>
      <c r="S983" s="65"/>
    </row>
    <row r="984" spans="1:19" x14ac:dyDescent="0.25">
      <c r="A984" s="15">
        <v>46</v>
      </c>
      <c r="B984" s="65"/>
      <c r="C984" s="65">
        <v>2429</v>
      </c>
      <c r="D984" s="65"/>
      <c r="E984" s="65" t="s">
        <v>787</v>
      </c>
      <c r="F984" s="65">
        <v>3</v>
      </c>
      <c r="G984" s="65"/>
      <c r="H984" s="65">
        <v>3</v>
      </c>
      <c r="I984" s="65" t="e">
        <v>#N/A</v>
      </c>
      <c r="J984" s="65" t="s">
        <v>899</v>
      </c>
      <c r="K984" s="65"/>
      <c r="L984" s="65"/>
      <c r="M984" s="65"/>
      <c r="N984" s="65"/>
      <c r="O984" s="65" t="s">
        <v>931</v>
      </c>
      <c r="P984" s="65"/>
      <c r="Q984" s="65">
        <v>1</v>
      </c>
      <c r="R984" s="65">
        <v>1156</v>
      </c>
      <c r="S984" s="65"/>
    </row>
    <row r="985" spans="1:19" x14ac:dyDescent="0.25">
      <c r="A985" s="15">
        <v>46</v>
      </c>
      <c r="B985" s="65"/>
      <c r="C985" s="65">
        <v>2429</v>
      </c>
      <c r="D985" s="65"/>
      <c r="E985" s="65" t="s">
        <v>787</v>
      </c>
      <c r="F985" s="65">
        <v>3</v>
      </c>
      <c r="G985" s="65"/>
      <c r="H985" s="65">
        <v>3</v>
      </c>
      <c r="I985" s="65" t="e">
        <v>#N/A</v>
      </c>
      <c r="J985" s="65" t="s">
        <v>899</v>
      </c>
      <c r="K985" s="65"/>
      <c r="L985" s="65"/>
      <c r="M985" s="65"/>
      <c r="N985" s="65"/>
      <c r="O985" s="65" t="s">
        <v>932</v>
      </c>
      <c r="P985" s="65"/>
      <c r="Q985" s="65">
        <v>1</v>
      </c>
      <c r="R985" s="65">
        <v>1157</v>
      </c>
      <c r="S985" s="65"/>
    </row>
    <row r="986" spans="1:19" x14ac:dyDescent="0.25">
      <c r="A986" s="15">
        <v>46</v>
      </c>
      <c r="B986" s="65"/>
      <c r="C986" s="65">
        <v>2429</v>
      </c>
      <c r="D986" s="65"/>
      <c r="E986" s="65" t="s">
        <v>787</v>
      </c>
      <c r="F986" s="65">
        <v>3</v>
      </c>
      <c r="G986" s="65"/>
      <c r="H986" s="65">
        <v>3</v>
      </c>
      <c r="I986" s="65" t="e">
        <v>#N/A</v>
      </c>
      <c r="J986" s="65" t="s">
        <v>899</v>
      </c>
      <c r="K986" s="65"/>
      <c r="L986" s="65"/>
      <c r="M986" s="65"/>
      <c r="N986" s="65"/>
      <c r="O986" s="65" t="s">
        <v>933</v>
      </c>
      <c r="P986" s="65"/>
      <c r="Q986" s="65">
        <v>1</v>
      </c>
      <c r="R986" s="65">
        <v>1158</v>
      </c>
      <c r="S986" s="65"/>
    </row>
    <row r="987" spans="1:19" x14ac:dyDescent="0.25">
      <c r="A987" s="15">
        <v>46</v>
      </c>
      <c r="B987" s="65"/>
      <c r="C987" s="65">
        <v>2429</v>
      </c>
      <c r="D987" s="65"/>
      <c r="E987" s="65" t="s">
        <v>787</v>
      </c>
      <c r="F987" s="65">
        <v>3</v>
      </c>
      <c r="G987" s="65"/>
      <c r="H987" s="65">
        <v>3</v>
      </c>
      <c r="I987" s="65" t="e">
        <v>#N/A</v>
      </c>
      <c r="J987" s="65" t="s">
        <v>899</v>
      </c>
      <c r="K987" s="65"/>
      <c r="L987" s="65"/>
      <c r="M987" s="65"/>
      <c r="N987" s="65"/>
      <c r="O987" s="65" t="s">
        <v>934</v>
      </c>
      <c r="P987" s="65"/>
      <c r="Q987" s="65">
        <v>1</v>
      </c>
      <c r="R987" s="65">
        <v>1159</v>
      </c>
      <c r="S987" s="65"/>
    </row>
    <row r="988" spans="1:19" x14ac:dyDescent="0.25">
      <c r="A988" s="15">
        <v>46</v>
      </c>
      <c r="B988" s="65"/>
      <c r="C988" s="65">
        <v>2429</v>
      </c>
      <c r="D988" s="65"/>
      <c r="E988" s="65" t="s">
        <v>787</v>
      </c>
      <c r="F988" s="65">
        <v>3</v>
      </c>
      <c r="G988" s="65"/>
      <c r="H988" s="65">
        <v>3</v>
      </c>
      <c r="I988" s="65" t="e">
        <v>#N/A</v>
      </c>
      <c r="J988" s="65" t="s">
        <v>899</v>
      </c>
      <c r="K988" s="65"/>
      <c r="L988" s="65"/>
      <c r="M988" s="65"/>
      <c r="N988" s="65"/>
      <c r="O988" s="65" t="s">
        <v>935</v>
      </c>
      <c r="P988" s="65"/>
      <c r="Q988" s="65">
        <v>1</v>
      </c>
      <c r="R988" s="65">
        <v>1160</v>
      </c>
      <c r="S988" s="65"/>
    </row>
    <row r="989" spans="1:19" x14ac:dyDescent="0.25">
      <c r="A989" s="15">
        <v>46</v>
      </c>
      <c r="B989" s="65"/>
      <c r="C989" s="65">
        <v>2429</v>
      </c>
      <c r="D989" s="65"/>
      <c r="E989" s="65" t="s">
        <v>787</v>
      </c>
      <c r="F989" s="65">
        <v>3</v>
      </c>
      <c r="G989" s="65"/>
      <c r="H989" s="65" t="e">
        <v>#N/A</v>
      </c>
      <c r="I989" s="65"/>
      <c r="J989" s="65" t="s">
        <v>899</v>
      </c>
      <c r="K989" s="65"/>
      <c r="L989" s="65"/>
      <c r="M989" s="65"/>
      <c r="N989" s="65"/>
      <c r="O989" s="65" t="s">
        <v>936</v>
      </c>
      <c r="P989" s="65"/>
      <c r="Q989" s="65">
        <v>1</v>
      </c>
      <c r="R989" s="65">
        <v>1289</v>
      </c>
      <c r="S989" s="65"/>
    </row>
    <row r="990" spans="1:19" x14ac:dyDescent="0.25">
      <c r="A990" s="15">
        <v>46</v>
      </c>
      <c r="B990" s="65"/>
      <c r="C990" s="65">
        <v>2429</v>
      </c>
      <c r="D990" s="65"/>
      <c r="E990" s="65" t="s">
        <v>787</v>
      </c>
      <c r="F990" s="65">
        <v>5</v>
      </c>
      <c r="G990" s="65"/>
      <c r="H990" s="65" t="e">
        <v>#N/A</v>
      </c>
      <c r="I990" s="65"/>
      <c r="J990" s="65" t="s">
        <v>899</v>
      </c>
      <c r="K990" s="65"/>
      <c r="L990" s="65"/>
      <c r="M990" s="65"/>
      <c r="N990" s="65"/>
      <c r="O990" s="65" t="s">
        <v>938</v>
      </c>
      <c r="P990" s="65"/>
      <c r="Q990" s="65">
        <v>1</v>
      </c>
      <c r="R990" s="65">
        <v>1443</v>
      </c>
      <c r="S990" s="65"/>
    </row>
    <row r="991" spans="1:19" x14ac:dyDescent="0.25">
      <c r="A991" s="15">
        <v>46</v>
      </c>
      <c r="B991" s="65"/>
      <c r="C991" s="65">
        <v>2429</v>
      </c>
      <c r="D991" s="65"/>
      <c r="E991" s="65" t="s">
        <v>787</v>
      </c>
      <c r="F991" s="65">
        <v>5</v>
      </c>
      <c r="G991" s="65"/>
      <c r="H991" s="65" t="e">
        <v>#N/A</v>
      </c>
      <c r="I991" s="65"/>
      <c r="J991" s="65" t="s">
        <v>899</v>
      </c>
      <c r="K991" s="65"/>
      <c r="L991" s="65"/>
      <c r="M991" s="65"/>
      <c r="N991" s="65"/>
      <c r="O991" s="65" t="s">
        <v>939</v>
      </c>
      <c r="P991" s="65"/>
      <c r="Q991" s="65">
        <v>1</v>
      </c>
      <c r="R991" s="65">
        <v>1444</v>
      </c>
      <c r="S991" s="65"/>
    </row>
    <row r="992" spans="1:19" x14ac:dyDescent="0.25">
      <c r="A992" s="15">
        <v>46</v>
      </c>
      <c r="B992" s="65"/>
      <c r="C992" s="65">
        <v>2429</v>
      </c>
      <c r="D992" s="65"/>
      <c r="E992" s="65" t="s">
        <v>787</v>
      </c>
      <c r="F992" s="65">
        <v>5</v>
      </c>
      <c r="G992" s="65"/>
      <c r="H992" s="65" t="e">
        <v>#N/A</v>
      </c>
      <c r="I992" s="65"/>
      <c r="J992" s="65" t="s">
        <v>899</v>
      </c>
      <c r="K992" s="65"/>
      <c r="L992" s="65"/>
      <c r="M992" s="65"/>
      <c r="N992" s="65"/>
      <c r="O992" s="65" t="s">
        <v>940</v>
      </c>
      <c r="P992" s="65"/>
      <c r="Q992" s="65">
        <v>1</v>
      </c>
      <c r="R992" s="65">
        <v>1445</v>
      </c>
      <c r="S992" s="65"/>
    </row>
    <row r="993" spans="1:19" x14ac:dyDescent="0.25">
      <c r="A993" s="15">
        <v>46</v>
      </c>
      <c r="B993" s="65"/>
      <c r="C993" s="65">
        <v>2429</v>
      </c>
      <c r="D993" s="65"/>
      <c r="E993" s="65" t="s">
        <v>787</v>
      </c>
      <c r="F993" s="65">
        <v>5</v>
      </c>
      <c r="G993" s="65"/>
      <c r="H993" s="65" t="e">
        <v>#N/A</v>
      </c>
      <c r="I993" s="65"/>
      <c r="J993" s="65" t="s">
        <v>899</v>
      </c>
      <c r="K993" s="65"/>
      <c r="L993" s="65"/>
      <c r="M993" s="65"/>
      <c r="N993" s="65"/>
      <c r="O993" s="65" t="s">
        <v>941</v>
      </c>
      <c r="P993" s="65"/>
      <c r="Q993" s="65">
        <v>1</v>
      </c>
      <c r="R993" s="65">
        <v>1446</v>
      </c>
      <c r="S993" s="65"/>
    </row>
    <row r="994" spans="1:19" x14ac:dyDescent="0.25">
      <c r="A994" s="15">
        <v>46</v>
      </c>
      <c r="B994" s="65"/>
      <c r="C994" s="65">
        <v>2429</v>
      </c>
      <c r="D994" s="65"/>
      <c r="E994" s="65" t="s">
        <v>787</v>
      </c>
      <c r="F994" s="65">
        <v>5</v>
      </c>
      <c r="G994" s="65"/>
      <c r="H994" s="65" t="e">
        <v>#N/A</v>
      </c>
      <c r="I994" s="65"/>
      <c r="J994" s="65" t="s">
        <v>899</v>
      </c>
      <c r="K994" s="65"/>
      <c r="L994" s="65"/>
      <c r="M994" s="65"/>
      <c r="N994" s="65"/>
      <c r="O994" s="65" t="s">
        <v>942</v>
      </c>
      <c r="P994" s="65"/>
      <c r="Q994" s="65">
        <v>1</v>
      </c>
      <c r="R994" s="65">
        <v>1447</v>
      </c>
      <c r="S994" s="65"/>
    </row>
    <row r="995" spans="1:19" x14ac:dyDescent="0.25">
      <c r="A995" s="15">
        <v>46</v>
      </c>
      <c r="B995" s="65"/>
      <c r="C995" s="65">
        <v>2429</v>
      </c>
      <c r="D995" s="65"/>
      <c r="E995" s="65" t="s">
        <v>787</v>
      </c>
      <c r="F995" s="65">
        <v>5</v>
      </c>
      <c r="G995" s="65"/>
      <c r="H995" s="65" t="e">
        <v>#N/A</v>
      </c>
      <c r="I995" s="65"/>
      <c r="J995" s="65" t="s">
        <v>899</v>
      </c>
      <c r="K995" s="65"/>
      <c r="L995" s="65"/>
      <c r="M995" s="65"/>
      <c r="N995" s="65"/>
      <c r="O995" s="65" t="s">
        <v>943</v>
      </c>
      <c r="P995" s="65"/>
      <c r="Q995" s="65">
        <v>1</v>
      </c>
      <c r="R995" s="65">
        <v>1448</v>
      </c>
      <c r="S995" s="65"/>
    </row>
    <row r="996" spans="1:19" x14ac:dyDescent="0.25">
      <c r="A996" s="15">
        <v>46</v>
      </c>
      <c r="B996" s="65"/>
      <c r="C996" s="65">
        <v>2429</v>
      </c>
      <c r="D996" s="65"/>
      <c r="E996" s="65" t="s">
        <v>787</v>
      </c>
      <c r="F996" s="65">
        <v>5</v>
      </c>
      <c r="G996" s="65"/>
      <c r="H996" s="65" t="e">
        <v>#N/A</v>
      </c>
      <c r="I996" s="65"/>
      <c r="J996" s="65" t="s">
        <v>899</v>
      </c>
      <c r="K996" s="65"/>
      <c r="L996" s="65"/>
      <c r="M996" s="65"/>
      <c r="N996" s="65"/>
      <c r="O996" s="65" t="s">
        <v>944</v>
      </c>
      <c r="P996" s="65"/>
      <c r="Q996" s="65">
        <v>1</v>
      </c>
      <c r="R996" s="65">
        <v>1449</v>
      </c>
      <c r="S996" s="65"/>
    </row>
    <row r="997" spans="1:19" x14ac:dyDescent="0.25">
      <c r="A997" s="15">
        <v>46</v>
      </c>
      <c r="B997" s="65"/>
      <c r="C997" s="65">
        <v>2429</v>
      </c>
      <c r="D997" s="65"/>
      <c r="E997" s="65" t="s">
        <v>787</v>
      </c>
      <c r="F997" s="65">
        <v>5</v>
      </c>
      <c r="G997" s="65"/>
      <c r="H997" s="65" t="e">
        <v>#N/A</v>
      </c>
      <c r="I997" s="65"/>
      <c r="J997" s="65" t="s">
        <v>899</v>
      </c>
      <c r="K997" s="65"/>
      <c r="L997" s="65"/>
      <c r="M997" s="65"/>
      <c r="N997" s="65"/>
      <c r="O997" s="65" t="s">
        <v>945</v>
      </c>
      <c r="P997" s="65"/>
      <c r="Q997" s="65">
        <v>1</v>
      </c>
      <c r="R997" s="65">
        <v>1450</v>
      </c>
      <c r="S997" s="65"/>
    </row>
    <row r="998" spans="1:19" x14ac:dyDescent="0.25">
      <c r="A998" s="15">
        <v>46</v>
      </c>
      <c r="B998" s="65"/>
      <c r="C998" s="65">
        <v>2429</v>
      </c>
      <c r="D998" s="65"/>
      <c r="E998" s="65" t="s">
        <v>787</v>
      </c>
      <c r="F998" s="65">
        <v>5</v>
      </c>
      <c r="G998" s="65"/>
      <c r="H998" s="65" t="e">
        <v>#N/A</v>
      </c>
      <c r="I998" s="65"/>
      <c r="J998" s="65" t="s">
        <v>899</v>
      </c>
      <c r="K998" s="65"/>
      <c r="L998" s="65"/>
      <c r="M998" s="65"/>
      <c r="N998" s="65"/>
      <c r="O998" s="65" t="s">
        <v>946</v>
      </c>
      <c r="P998" s="65"/>
      <c r="Q998" s="65">
        <v>1</v>
      </c>
      <c r="R998" s="65">
        <v>1451</v>
      </c>
      <c r="S998" s="65"/>
    </row>
    <row r="999" spans="1:19" x14ac:dyDescent="0.25">
      <c r="A999" s="15">
        <v>46</v>
      </c>
      <c r="B999" s="65"/>
      <c r="C999" s="65">
        <v>2429</v>
      </c>
      <c r="D999" s="65"/>
      <c r="E999" s="65" t="s">
        <v>787</v>
      </c>
      <c r="F999" s="65">
        <v>5</v>
      </c>
      <c r="G999" s="65"/>
      <c r="H999" s="65" t="e">
        <v>#N/A</v>
      </c>
      <c r="I999" s="65"/>
      <c r="J999" s="65" t="s">
        <v>899</v>
      </c>
      <c r="K999" s="65"/>
      <c r="L999" s="65"/>
      <c r="M999" s="65"/>
      <c r="N999" s="65"/>
      <c r="O999" s="65" t="s">
        <v>947</v>
      </c>
      <c r="P999" s="65"/>
      <c r="Q999" s="65">
        <v>1</v>
      </c>
      <c r="R999" s="65">
        <v>1452</v>
      </c>
      <c r="S999" s="65"/>
    </row>
    <row r="1000" spans="1:19" x14ac:dyDescent="0.25">
      <c r="A1000" s="15">
        <v>46</v>
      </c>
      <c r="B1000" s="65"/>
      <c r="C1000" s="65">
        <v>2429</v>
      </c>
      <c r="D1000" s="65"/>
      <c r="E1000" s="65" t="s">
        <v>787</v>
      </c>
      <c r="F1000" s="65">
        <v>5</v>
      </c>
      <c r="G1000" s="65"/>
      <c r="H1000" s="65" t="e">
        <v>#N/A</v>
      </c>
      <c r="I1000" s="65"/>
      <c r="J1000" s="65" t="s">
        <v>899</v>
      </c>
      <c r="K1000" s="65"/>
      <c r="L1000" s="65"/>
      <c r="M1000" s="65"/>
      <c r="N1000" s="65"/>
      <c r="O1000" s="65" t="s">
        <v>948</v>
      </c>
      <c r="P1000" s="65"/>
      <c r="Q1000" s="65">
        <v>1</v>
      </c>
      <c r="R1000" s="65">
        <v>1453</v>
      </c>
      <c r="S1000" s="65"/>
    </row>
    <row r="1001" spans="1:19" x14ac:dyDescent="0.25">
      <c r="A1001" s="15">
        <v>46</v>
      </c>
      <c r="B1001" s="65"/>
      <c r="C1001" s="65">
        <v>2429</v>
      </c>
      <c r="D1001" s="65"/>
      <c r="E1001" s="65" t="s">
        <v>787</v>
      </c>
      <c r="F1001" s="65">
        <v>5</v>
      </c>
      <c r="G1001" s="65"/>
      <c r="H1001" s="65" t="e">
        <v>#N/A</v>
      </c>
      <c r="I1001" s="65"/>
      <c r="J1001" s="65" t="s">
        <v>899</v>
      </c>
      <c r="K1001" s="65"/>
      <c r="L1001" s="65"/>
      <c r="M1001" s="65"/>
      <c r="N1001" s="65"/>
      <c r="O1001" s="65" t="s">
        <v>949</v>
      </c>
      <c r="P1001" s="65"/>
      <c r="Q1001" s="65">
        <v>1</v>
      </c>
      <c r="R1001" s="65">
        <v>1454</v>
      </c>
      <c r="S1001" s="65"/>
    </row>
    <row r="1002" spans="1:19" x14ac:dyDescent="0.25">
      <c r="A1002" s="15">
        <v>47</v>
      </c>
      <c r="B1002" s="65"/>
      <c r="C1002" s="65"/>
      <c r="D1002" s="65"/>
      <c r="E1002" s="65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65"/>
      <c r="Q1002" s="65"/>
      <c r="R1002" s="65"/>
      <c r="S1002" s="65"/>
    </row>
    <row r="1003" spans="1:19" x14ac:dyDescent="0.25">
      <c r="A1003" s="15">
        <v>47</v>
      </c>
      <c r="B1003" s="65"/>
      <c r="C1003" s="65"/>
      <c r="D1003" s="65"/>
      <c r="E1003" s="65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 t="s">
        <v>834</v>
      </c>
      <c r="P1003" s="65"/>
      <c r="Q1003" s="65"/>
      <c r="R1003" s="65"/>
      <c r="S1003" s="65"/>
    </row>
    <row r="1004" spans="1:19" x14ac:dyDescent="0.25">
      <c r="A1004" s="15">
        <v>47</v>
      </c>
      <c r="B1004" s="65"/>
      <c r="C1004" s="65"/>
      <c r="D1004" s="65"/>
      <c r="E1004" s="65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 t="s">
        <v>865</v>
      </c>
      <c r="P1004" s="65"/>
      <c r="Q1004" s="65"/>
      <c r="R1004" s="65"/>
      <c r="S1004" s="65"/>
    </row>
    <row r="1005" spans="1:19" x14ac:dyDescent="0.25">
      <c r="A1005" s="15">
        <v>47</v>
      </c>
      <c r="B1005" s="65"/>
      <c r="C1005" s="65"/>
      <c r="D1005" s="65"/>
      <c r="E1005" s="65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 t="s">
        <v>874</v>
      </c>
      <c r="P1005" s="65"/>
      <c r="Q1005" s="65"/>
      <c r="R1005" s="65"/>
      <c r="S1005" s="65"/>
    </row>
    <row r="1006" spans="1:19" x14ac:dyDescent="0.25">
      <c r="A1006" s="15">
        <v>47</v>
      </c>
      <c r="B1006" s="65"/>
      <c r="C1006" s="65" t="s">
        <v>79</v>
      </c>
      <c r="D1006" s="65"/>
      <c r="E1006" s="65" t="s">
        <v>787</v>
      </c>
      <c r="F1006" s="65">
        <v>10</v>
      </c>
      <c r="G1006" s="65"/>
      <c r="H1006" s="65">
        <v>10</v>
      </c>
      <c r="I1006" s="65">
        <v>12.583333333333332</v>
      </c>
      <c r="J1006" s="65" t="s">
        <v>879</v>
      </c>
      <c r="K1006" s="65"/>
      <c r="L1006" s="65"/>
      <c r="M1006" s="65"/>
      <c r="N1006" s="65"/>
      <c r="O1006" s="65" t="s">
        <v>878</v>
      </c>
      <c r="P1006" s="65"/>
      <c r="Q1006" s="65">
        <v>1</v>
      </c>
      <c r="R1006" s="65">
        <v>310</v>
      </c>
      <c r="S1006" s="65"/>
    </row>
    <row r="1007" spans="1:19" x14ac:dyDescent="0.25">
      <c r="A1007" s="15">
        <v>47</v>
      </c>
      <c r="B1007" s="65"/>
      <c r="C1007" s="65">
        <v>2429</v>
      </c>
      <c r="D1007" s="65"/>
      <c r="E1007" s="65" t="s">
        <v>787</v>
      </c>
      <c r="F1007" s="65">
        <v>10</v>
      </c>
      <c r="G1007" s="65"/>
      <c r="H1007" s="65"/>
      <c r="I1007" s="65">
        <v>26.666666666666668</v>
      </c>
      <c r="J1007" s="65" t="s">
        <v>879</v>
      </c>
      <c r="K1007" s="65"/>
      <c r="L1007" s="65"/>
      <c r="M1007" s="65"/>
      <c r="N1007" s="65"/>
      <c r="O1007" s="65" t="s">
        <v>881</v>
      </c>
      <c r="P1007" s="65"/>
      <c r="Q1007" s="65">
        <v>1</v>
      </c>
      <c r="R1007" s="65">
        <v>475</v>
      </c>
      <c r="S1007" s="65"/>
    </row>
    <row r="1008" spans="1:19" x14ac:dyDescent="0.25">
      <c r="A1008" s="15">
        <v>47</v>
      </c>
      <c r="B1008" s="65"/>
      <c r="C1008" s="65">
        <v>2429</v>
      </c>
      <c r="D1008" s="65"/>
      <c r="E1008" s="65" t="s">
        <v>787</v>
      </c>
      <c r="F1008" s="65">
        <v>10</v>
      </c>
      <c r="G1008" s="65"/>
      <c r="H1008" s="65"/>
      <c r="I1008" s="65">
        <v>15.666666666666666</v>
      </c>
      <c r="J1008" s="65" t="s">
        <v>879</v>
      </c>
      <c r="K1008" s="65"/>
      <c r="L1008" s="65"/>
      <c r="M1008" s="65"/>
      <c r="N1008" s="65"/>
      <c r="O1008" s="65" t="s">
        <v>882</v>
      </c>
      <c r="P1008" s="65"/>
      <c r="Q1008" s="65">
        <v>1</v>
      </c>
      <c r="R1008" s="65">
        <v>476</v>
      </c>
      <c r="S1008" s="65"/>
    </row>
    <row r="1009" spans="1:19" x14ac:dyDescent="0.25">
      <c r="A1009" s="15">
        <v>47</v>
      </c>
      <c r="B1009" s="65"/>
      <c r="C1009" s="65">
        <v>2429</v>
      </c>
      <c r="D1009" s="65"/>
      <c r="E1009" s="65" t="s">
        <v>787</v>
      </c>
      <c r="F1009" s="65">
        <v>6</v>
      </c>
      <c r="G1009" s="65"/>
      <c r="H1009" s="65"/>
      <c r="I1009" s="65">
        <v>15.666666666666666</v>
      </c>
      <c r="J1009" s="65" t="s">
        <v>879</v>
      </c>
      <c r="K1009" s="65"/>
      <c r="L1009" s="65"/>
      <c r="M1009" s="65"/>
      <c r="N1009" s="65"/>
      <c r="O1009" s="65" t="s">
        <v>883</v>
      </c>
      <c r="P1009" s="65"/>
      <c r="Q1009" s="65">
        <v>1</v>
      </c>
      <c r="R1009" s="65">
        <v>477</v>
      </c>
      <c r="S1009" s="65"/>
    </row>
    <row r="1010" spans="1:19" x14ac:dyDescent="0.25">
      <c r="A1010" s="15">
        <v>47</v>
      </c>
      <c r="B1010" s="65"/>
      <c r="C1010" s="65">
        <v>2429</v>
      </c>
      <c r="D1010" s="65"/>
      <c r="E1010" s="65" t="s">
        <v>787</v>
      </c>
      <c r="F1010" s="65">
        <v>6</v>
      </c>
      <c r="G1010" s="65"/>
      <c r="H1010" s="65"/>
      <c r="I1010" s="65">
        <v>15.666666666666666</v>
      </c>
      <c r="J1010" s="65" t="s">
        <v>879</v>
      </c>
      <c r="K1010" s="65"/>
      <c r="L1010" s="65"/>
      <c r="M1010" s="65"/>
      <c r="N1010" s="65"/>
      <c r="O1010" s="65" t="s">
        <v>884</v>
      </c>
      <c r="P1010" s="65"/>
      <c r="Q1010" s="65">
        <v>1</v>
      </c>
      <c r="R1010" s="65">
        <v>478</v>
      </c>
      <c r="S1010" s="65"/>
    </row>
    <row r="1011" spans="1:19" x14ac:dyDescent="0.25">
      <c r="A1011" s="15">
        <v>47</v>
      </c>
      <c r="B1011" s="65"/>
      <c r="C1011" s="65">
        <v>2429</v>
      </c>
      <c r="D1011" s="65"/>
      <c r="E1011" s="65" t="s">
        <v>787</v>
      </c>
      <c r="F1011" s="65">
        <v>6</v>
      </c>
      <c r="G1011" s="65"/>
      <c r="H1011" s="65"/>
      <c r="I1011" s="65">
        <v>15.666666666666666</v>
      </c>
      <c r="J1011" s="65" t="s">
        <v>879</v>
      </c>
      <c r="K1011" s="65"/>
      <c r="L1011" s="65"/>
      <c r="M1011" s="65"/>
      <c r="N1011" s="65"/>
      <c r="O1011" s="65" t="s">
        <v>885</v>
      </c>
      <c r="P1011" s="65"/>
      <c r="Q1011" s="65">
        <v>1</v>
      </c>
      <c r="R1011" s="65">
        <v>479</v>
      </c>
      <c r="S1011" s="65"/>
    </row>
    <row r="1012" spans="1:19" x14ac:dyDescent="0.25">
      <c r="A1012" s="15">
        <v>47</v>
      </c>
      <c r="B1012" s="65"/>
      <c r="C1012" s="65">
        <v>2429</v>
      </c>
      <c r="D1012" s="65"/>
      <c r="E1012" s="65" t="s">
        <v>787</v>
      </c>
      <c r="F1012" s="65">
        <v>6</v>
      </c>
      <c r="G1012" s="65"/>
      <c r="H1012" s="65"/>
      <c r="I1012" s="65">
        <v>15.666666666666666</v>
      </c>
      <c r="J1012" s="65" t="s">
        <v>879</v>
      </c>
      <c r="K1012" s="65"/>
      <c r="L1012" s="65"/>
      <c r="M1012" s="65"/>
      <c r="N1012" s="65"/>
      <c r="O1012" s="65" t="s">
        <v>886</v>
      </c>
      <c r="P1012" s="65"/>
      <c r="Q1012" s="65">
        <v>1</v>
      </c>
      <c r="R1012" s="65">
        <v>480</v>
      </c>
      <c r="S1012" s="65"/>
    </row>
    <row r="1013" spans="1:19" x14ac:dyDescent="0.25">
      <c r="A1013" s="15">
        <v>47</v>
      </c>
      <c r="B1013" s="65"/>
      <c r="C1013" s="65">
        <v>2429</v>
      </c>
      <c r="D1013" s="65"/>
      <c r="E1013" s="65" t="s">
        <v>787</v>
      </c>
      <c r="F1013" s="65">
        <v>6</v>
      </c>
      <c r="G1013" s="65"/>
      <c r="H1013" s="65"/>
      <c r="I1013" s="65">
        <v>15.666666666666666</v>
      </c>
      <c r="J1013" s="65" t="s">
        <v>879</v>
      </c>
      <c r="K1013" s="65"/>
      <c r="L1013" s="65"/>
      <c r="M1013" s="65"/>
      <c r="N1013" s="65"/>
      <c r="O1013" s="65" t="s">
        <v>887</v>
      </c>
      <c r="P1013" s="65"/>
      <c r="Q1013" s="65">
        <v>1</v>
      </c>
      <c r="R1013" s="65">
        <v>481</v>
      </c>
      <c r="S1013" s="65"/>
    </row>
    <row r="1014" spans="1:19" x14ac:dyDescent="0.25">
      <c r="A1014" s="15">
        <v>47</v>
      </c>
      <c r="B1014" s="65"/>
      <c r="C1014" s="65">
        <v>2429</v>
      </c>
      <c r="D1014" s="65"/>
      <c r="E1014" s="65" t="s">
        <v>787</v>
      </c>
      <c r="F1014" s="65">
        <v>6</v>
      </c>
      <c r="G1014" s="65"/>
      <c r="H1014" s="65"/>
      <c r="I1014" s="65">
        <v>15.666666666666666</v>
      </c>
      <c r="J1014" s="65" t="s">
        <v>879</v>
      </c>
      <c r="K1014" s="65"/>
      <c r="L1014" s="65"/>
      <c r="M1014" s="65"/>
      <c r="N1014" s="65"/>
      <c r="O1014" s="65" t="s">
        <v>888</v>
      </c>
      <c r="P1014" s="65"/>
      <c r="Q1014" s="65">
        <v>1</v>
      </c>
      <c r="R1014" s="65">
        <v>482</v>
      </c>
      <c r="S1014" s="65"/>
    </row>
    <row r="1015" spans="1:19" x14ac:dyDescent="0.25">
      <c r="A1015" s="15">
        <v>47</v>
      </c>
      <c r="B1015" s="65"/>
      <c r="C1015" s="65">
        <v>2429</v>
      </c>
      <c r="D1015" s="65"/>
      <c r="E1015" s="65" t="s">
        <v>787</v>
      </c>
      <c r="F1015" s="65">
        <v>6</v>
      </c>
      <c r="G1015" s="65"/>
      <c r="H1015" s="65"/>
      <c r="I1015" s="65">
        <v>15.666666666666666</v>
      </c>
      <c r="J1015" s="65" t="s">
        <v>879</v>
      </c>
      <c r="K1015" s="65"/>
      <c r="L1015" s="65"/>
      <c r="M1015" s="65"/>
      <c r="N1015" s="65"/>
      <c r="O1015" s="65" t="s">
        <v>889</v>
      </c>
      <c r="P1015" s="65"/>
      <c r="Q1015" s="65">
        <v>1</v>
      </c>
      <c r="R1015" s="65">
        <v>483</v>
      </c>
      <c r="S1015" s="65"/>
    </row>
    <row r="1016" spans="1:19" x14ac:dyDescent="0.25">
      <c r="A1016" s="15">
        <v>47</v>
      </c>
      <c r="B1016" s="65"/>
      <c r="C1016" s="65">
        <v>2429</v>
      </c>
      <c r="D1016" s="65"/>
      <c r="E1016" s="65" t="s">
        <v>787</v>
      </c>
      <c r="F1016" s="65">
        <v>6</v>
      </c>
      <c r="G1016" s="65"/>
      <c r="H1016" s="65"/>
      <c r="I1016" s="65">
        <v>15.666666666666666</v>
      </c>
      <c r="J1016" s="65" t="s">
        <v>879</v>
      </c>
      <c r="K1016" s="65"/>
      <c r="L1016" s="65"/>
      <c r="M1016" s="65"/>
      <c r="N1016" s="65"/>
      <c r="O1016" s="65" t="s">
        <v>890</v>
      </c>
      <c r="P1016" s="65"/>
      <c r="Q1016" s="65">
        <v>1</v>
      </c>
      <c r="R1016" s="65">
        <v>484</v>
      </c>
      <c r="S1016" s="65"/>
    </row>
    <row r="1017" spans="1:19" x14ac:dyDescent="0.25">
      <c r="A1017" s="15">
        <v>47</v>
      </c>
      <c r="B1017" s="65"/>
      <c r="C1017" s="65">
        <v>2429</v>
      </c>
      <c r="D1017" s="65"/>
      <c r="E1017" s="65" t="s">
        <v>787</v>
      </c>
      <c r="F1017" s="65">
        <v>6</v>
      </c>
      <c r="G1017" s="65"/>
      <c r="H1017" s="65"/>
      <c r="I1017" s="65">
        <v>15.666666666666666</v>
      </c>
      <c r="J1017" s="65" t="s">
        <v>879</v>
      </c>
      <c r="K1017" s="65"/>
      <c r="L1017" s="65"/>
      <c r="M1017" s="65"/>
      <c r="N1017" s="65"/>
      <c r="O1017" s="65" t="s">
        <v>891</v>
      </c>
      <c r="P1017" s="65"/>
      <c r="Q1017" s="65">
        <v>1</v>
      </c>
      <c r="R1017" s="65">
        <v>485</v>
      </c>
      <c r="S1017" s="65"/>
    </row>
    <row r="1018" spans="1:19" x14ac:dyDescent="0.25">
      <c r="A1018" s="15">
        <v>47</v>
      </c>
      <c r="B1018" s="65"/>
      <c r="C1018" s="65">
        <v>2429</v>
      </c>
      <c r="D1018" s="65"/>
      <c r="E1018" s="65" t="s">
        <v>787</v>
      </c>
      <c r="F1018" s="65">
        <v>10</v>
      </c>
      <c r="G1018" s="65"/>
      <c r="H1018" s="65"/>
      <c r="I1018" s="65">
        <v>10.583333333333334</v>
      </c>
      <c r="J1018" s="65" t="s">
        <v>879</v>
      </c>
      <c r="K1018" s="65"/>
      <c r="L1018" s="65"/>
      <c r="M1018" s="65"/>
      <c r="N1018" s="65"/>
      <c r="O1018" s="65" t="s">
        <v>892</v>
      </c>
      <c r="P1018" s="65"/>
      <c r="Q1018" s="65">
        <v>1</v>
      </c>
      <c r="R1018" s="65">
        <v>486</v>
      </c>
      <c r="S1018" s="65"/>
    </row>
    <row r="1019" spans="1:19" x14ac:dyDescent="0.25">
      <c r="A1019" s="15">
        <v>47</v>
      </c>
      <c r="B1019" s="65"/>
      <c r="C1019" s="65">
        <v>2429</v>
      </c>
      <c r="D1019" s="65"/>
      <c r="E1019" s="65" t="s">
        <v>787</v>
      </c>
      <c r="F1019" s="65">
        <v>1</v>
      </c>
      <c r="G1019" s="65"/>
      <c r="H1019" s="65" t="e">
        <v>#N/A</v>
      </c>
      <c r="I1019" s="65"/>
      <c r="J1019" s="65" t="s">
        <v>899</v>
      </c>
      <c r="K1019" s="65" t="s">
        <v>900</v>
      </c>
      <c r="L1019" s="65" t="s">
        <v>900</v>
      </c>
      <c r="M1019" s="65" t="s">
        <v>900</v>
      </c>
      <c r="N1019" s="65" t="s">
        <v>900</v>
      </c>
      <c r="O1019" s="65" t="s">
        <v>898</v>
      </c>
      <c r="P1019" s="65"/>
      <c r="Q1019" s="65">
        <v>1</v>
      </c>
      <c r="R1019" s="65">
        <v>707</v>
      </c>
      <c r="S1019" s="65"/>
    </row>
    <row r="1020" spans="1:19" x14ac:dyDescent="0.25">
      <c r="A1020" s="15">
        <v>47</v>
      </c>
      <c r="B1020" s="65"/>
      <c r="C1020" s="65">
        <v>2429</v>
      </c>
      <c r="D1020" s="65"/>
      <c r="E1020" s="65" t="s">
        <v>787</v>
      </c>
      <c r="F1020" s="65">
        <v>1</v>
      </c>
      <c r="G1020" s="65"/>
      <c r="H1020" s="65" t="e">
        <v>#N/A</v>
      </c>
      <c r="I1020" s="65"/>
      <c r="J1020" s="65" t="s">
        <v>899</v>
      </c>
      <c r="K1020" s="65" t="s">
        <v>900</v>
      </c>
      <c r="L1020" s="65" t="s">
        <v>900</v>
      </c>
      <c r="M1020" s="65" t="s">
        <v>900</v>
      </c>
      <c r="N1020" s="65" t="s">
        <v>900</v>
      </c>
      <c r="O1020" s="65" t="s">
        <v>901</v>
      </c>
      <c r="P1020" s="65"/>
      <c r="Q1020" s="65">
        <v>1</v>
      </c>
      <c r="R1020" s="65">
        <v>708</v>
      </c>
      <c r="S1020" s="65"/>
    </row>
    <row r="1021" spans="1:19" x14ac:dyDescent="0.25">
      <c r="A1021" s="15">
        <v>47</v>
      </c>
      <c r="B1021" s="65"/>
      <c r="C1021" s="65">
        <v>2429</v>
      </c>
      <c r="D1021" s="65"/>
      <c r="E1021" s="65" t="s">
        <v>787</v>
      </c>
      <c r="F1021" s="65">
        <v>1</v>
      </c>
      <c r="G1021" s="65"/>
      <c r="H1021" s="65" t="e">
        <v>#N/A</v>
      </c>
      <c r="I1021" s="65"/>
      <c r="J1021" s="65" t="s">
        <v>899</v>
      </c>
      <c r="K1021" s="65" t="s">
        <v>900</v>
      </c>
      <c r="L1021" s="65" t="s">
        <v>900</v>
      </c>
      <c r="M1021" s="65" t="s">
        <v>900</v>
      </c>
      <c r="N1021" s="65" t="s">
        <v>900</v>
      </c>
      <c r="O1021" s="65" t="s">
        <v>902</v>
      </c>
      <c r="P1021" s="65"/>
      <c r="Q1021" s="65">
        <v>1</v>
      </c>
      <c r="R1021" s="65">
        <v>709</v>
      </c>
      <c r="S1021" s="65"/>
    </row>
    <row r="1022" spans="1:19" x14ac:dyDescent="0.25">
      <c r="A1022" s="15">
        <v>47</v>
      </c>
      <c r="B1022" s="65"/>
      <c r="C1022" s="65">
        <v>2429</v>
      </c>
      <c r="D1022" s="65"/>
      <c r="E1022" s="65" t="s">
        <v>787</v>
      </c>
      <c r="F1022" s="65">
        <v>1</v>
      </c>
      <c r="G1022" s="65"/>
      <c r="H1022" s="65" t="e">
        <v>#N/A</v>
      </c>
      <c r="I1022" s="65"/>
      <c r="J1022" s="65" t="s">
        <v>899</v>
      </c>
      <c r="K1022" s="65" t="s">
        <v>900</v>
      </c>
      <c r="L1022" s="65" t="s">
        <v>900</v>
      </c>
      <c r="M1022" s="65" t="s">
        <v>900</v>
      </c>
      <c r="N1022" s="65" t="s">
        <v>900</v>
      </c>
      <c r="O1022" s="65" t="s">
        <v>903</v>
      </c>
      <c r="P1022" s="65"/>
      <c r="Q1022" s="65">
        <v>1</v>
      </c>
      <c r="R1022" s="65">
        <v>710</v>
      </c>
      <c r="S1022" s="65"/>
    </row>
    <row r="1023" spans="1:19" x14ac:dyDescent="0.25">
      <c r="A1023" s="15">
        <v>47</v>
      </c>
      <c r="B1023" s="65"/>
      <c r="C1023" s="65">
        <v>2429</v>
      </c>
      <c r="D1023" s="65"/>
      <c r="E1023" s="65" t="s">
        <v>787</v>
      </c>
      <c r="F1023" s="65">
        <v>1</v>
      </c>
      <c r="G1023" s="65"/>
      <c r="H1023" s="65" t="e">
        <v>#N/A</v>
      </c>
      <c r="I1023" s="65"/>
      <c r="J1023" s="65" t="s">
        <v>899</v>
      </c>
      <c r="K1023" s="65" t="s">
        <v>900</v>
      </c>
      <c r="L1023" s="65" t="s">
        <v>900</v>
      </c>
      <c r="M1023" s="65" t="s">
        <v>900</v>
      </c>
      <c r="N1023" s="65" t="s">
        <v>900</v>
      </c>
      <c r="O1023" s="65" t="s">
        <v>904</v>
      </c>
      <c r="P1023" s="65"/>
      <c r="Q1023" s="65">
        <v>1</v>
      </c>
      <c r="R1023" s="65">
        <v>711</v>
      </c>
      <c r="S1023" s="65"/>
    </row>
    <row r="1024" spans="1:19" x14ac:dyDescent="0.25">
      <c r="A1024" s="15">
        <v>47</v>
      </c>
      <c r="B1024" s="65"/>
      <c r="C1024" s="65">
        <v>2429</v>
      </c>
      <c r="D1024" s="65"/>
      <c r="E1024" s="65" t="s">
        <v>787</v>
      </c>
      <c r="F1024" s="65">
        <v>1</v>
      </c>
      <c r="G1024" s="65"/>
      <c r="H1024" s="65" t="e">
        <v>#N/A</v>
      </c>
      <c r="I1024" s="65"/>
      <c r="J1024" s="65" t="s">
        <v>899</v>
      </c>
      <c r="K1024" s="65" t="s">
        <v>900</v>
      </c>
      <c r="L1024" s="65" t="s">
        <v>900</v>
      </c>
      <c r="M1024" s="65" t="s">
        <v>900</v>
      </c>
      <c r="N1024" s="65" t="s">
        <v>900</v>
      </c>
      <c r="O1024" s="65" t="s">
        <v>905</v>
      </c>
      <c r="P1024" s="65"/>
      <c r="Q1024" s="65">
        <v>1</v>
      </c>
      <c r="R1024" s="65">
        <v>712</v>
      </c>
      <c r="S1024" s="65"/>
    </row>
    <row r="1025" spans="1:19" x14ac:dyDescent="0.25">
      <c r="A1025" s="15">
        <v>47</v>
      </c>
      <c r="B1025" s="65"/>
      <c r="C1025" s="65">
        <v>2429</v>
      </c>
      <c r="D1025" s="65"/>
      <c r="E1025" s="65" t="s">
        <v>787</v>
      </c>
      <c r="F1025" s="65">
        <v>1</v>
      </c>
      <c r="G1025" s="65"/>
      <c r="H1025" s="65" t="e">
        <v>#N/A</v>
      </c>
      <c r="I1025" s="65"/>
      <c r="J1025" s="65" t="s">
        <v>899</v>
      </c>
      <c r="K1025" s="65" t="s">
        <v>900</v>
      </c>
      <c r="L1025" s="65" t="s">
        <v>900</v>
      </c>
      <c r="M1025" s="65" t="s">
        <v>900</v>
      </c>
      <c r="N1025" s="65" t="s">
        <v>900</v>
      </c>
      <c r="O1025" s="65" t="s">
        <v>906</v>
      </c>
      <c r="P1025" s="65"/>
      <c r="Q1025" s="65">
        <v>1</v>
      </c>
      <c r="R1025" s="65">
        <v>713</v>
      </c>
      <c r="S1025" s="65"/>
    </row>
    <row r="1026" spans="1:19" x14ac:dyDescent="0.25">
      <c r="A1026" s="15">
        <v>47</v>
      </c>
      <c r="B1026" s="65"/>
      <c r="C1026" s="65">
        <v>2429</v>
      </c>
      <c r="D1026" s="65"/>
      <c r="E1026" s="65" t="s">
        <v>787</v>
      </c>
      <c r="F1026" s="65">
        <v>1</v>
      </c>
      <c r="G1026" s="65"/>
      <c r="H1026" s="65" t="e">
        <v>#N/A</v>
      </c>
      <c r="I1026" s="65"/>
      <c r="J1026" s="65" t="s">
        <v>899</v>
      </c>
      <c r="K1026" s="65" t="s">
        <v>900</v>
      </c>
      <c r="L1026" s="65" t="s">
        <v>900</v>
      </c>
      <c r="M1026" s="65" t="s">
        <v>900</v>
      </c>
      <c r="N1026" s="65" t="s">
        <v>900</v>
      </c>
      <c r="O1026" s="65" t="s">
        <v>907</v>
      </c>
      <c r="P1026" s="65"/>
      <c r="Q1026" s="65">
        <v>1</v>
      </c>
      <c r="R1026" s="65">
        <v>714</v>
      </c>
      <c r="S1026" s="65"/>
    </row>
    <row r="1027" spans="1:19" x14ac:dyDescent="0.25">
      <c r="A1027" s="15">
        <v>47</v>
      </c>
      <c r="B1027" s="65"/>
      <c r="C1027" s="65">
        <v>2429</v>
      </c>
      <c r="D1027" s="65"/>
      <c r="E1027" s="65" t="s">
        <v>787</v>
      </c>
      <c r="F1027" s="65">
        <v>1</v>
      </c>
      <c r="G1027" s="65"/>
      <c r="H1027" s="65" t="e">
        <v>#N/A</v>
      </c>
      <c r="I1027" s="65"/>
      <c r="J1027" s="65" t="s">
        <v>899</v>
      </c>
      <c r="K1027" s="65" t="s">
        <v>900</v>
      </c>
      <c r="L1027" s="65" t="s">
        <v>900</v>
      </c>
      <c r="M1027" s="65" t="s">
        <v>900</v>
      </c>
      <c r="N1027" s="65" t="s">
        <v>900</v>
      </c>
      <c r="O1027" s="65" t="s">
        <v>908</v>
      </c>
      <c r="P1027" s="65"/>
      <c r="Q1027" s="65">
        <v>1</v>
      </c>
      <c r="R1027" s="65">
        <v>715</v>
      </c>
      <c r="S1027" s="65"/>
    </row>
    <row r="1028" spans="1:19" x14ac:dyDescent="0.25">
      <c r="A1028" s="15">
        <v>47</v>
      </c>
      <c r="B1028" s="65"/>
      <c r="C1028" s="65">
        <v>2429</v>
      </c>
      <c r="D1028" s="65"/>
      <c r="E1028" s="65" t="s">
        <v>787</v>
      </c>
      <c r="F1028" s="65">
        <v>1</v>
      </c>
      <c r="G1028" s="65"/>
      <c r="H1028" s="65" t="e">
        <v>#N/A</v>
      </c>
      <c r="I1028" s="65"/>
      <c r="J1028" s="65" t="s">
        <v>899</v>
      </c>
      <c r="K1028" s="65" t="s">
        <v>900</v>
      </c>
      <c r="L1028" s="65" t="s">
        <v>900</v>
      </c>
      <c r="M1028" s="65" t="s">
        <v>900</v>
      </c>
      <c r="N1028" s="65" t="s">
        <v>900</v>
      </c>
      <c r="O1028" s="65" t="s">
        <v>909</v>
      </c>
      <c r="P1028" s="65"/>
      <c r="Q1028" s="65">
        <v>1</v>
      </c>
      <c r="R1028" s="65">
        <v>716</v>
      </c>
      <c r="S1028" s="65"/>
    </row>
    <row r="1029" spans="1:19" x14ac:dyDescent="0.25">
      <c r="A1029" s="15">
        <v>47</v>
      </c>
      <c r="B1029" s="65"/>
      <c r="C1029" s="65">
        <v>2429</v>
      </c>
      <c r="D1029" s="65"/>
      <c r="E1029" s="65" t="s">
        <v>787</v>
      </c>
      <c r="F1029" s="65">
        <v>1</v>
      </c>
      <c r="G1029" s="65"/>
      <c r="H1029" s="65" t="e">
        <v>#N/A</v>
      </c>
      <c r="I1029" s="65"/>
      <c r="J1029" s="65" t="s">
        <v>899</v>
      </c>
      <c r="K1029" s="65" t="s">
        <v>900</v>
      </c>
      <c r="L1029" s="65" t="s">
        <v>900</v>
      </c>
      <c r="M1029" s="65" t="s">
        <v>900</v>
      </c>
      <c r="N1029" s="65" t="s">
        <v>900</v>
      </c>
      <c r="O1029" s="65" t="s">
        <v>910</v>
      </c>
      <c r="P1029" s="65"/>
      <c r="Q1029" s="65">
        <v>1</v>
      </c>
      <c r="R1029" s="65">
        <v>717</v>
      </c>
      <c r="S1029" s="65"/>
    </row>
    <row r="1030" spans="1:19" x14ac:dyDescent="0.25">
      <c r="A1030" s="15">
        <v>47</v>
      </c>
      <c r="B1030" s="65"/>
      <c r="C1030" s="65">
        <v>2429</v>
      </c>
      <c r="D1030" s="65"/>
      <c r="E1030" s="65" t="s">
        <v>787</v>
      </c>
      <c r="F1030" s="65">
        <v>1</v>
      </c>
      <c r="G1030" s="65"/>
      <c r="H1030" s="65" t="e">
        <v>#N/A</v>
      </c>
      <c r="I1030" s="65"/>
      <c r="J1030" s="65" t="s">
        <v>899</v>
      </c>
      <c r="K1030" s="65" t="s">
        <v>900</v>
      </c>
      <c r="L1030" s="65" t="s">
        <v>900</v>
      </c>
      <c r="M1030" s="65" t="s">
        <v>900</v>
      </c>
      <c r="N1030" s="65" t="s">
        <v>900</v>
      </c>
      <c r="O1030" s="65" t="s">
        <v>911</v>
      </c>
      <c r="P1030" s="65"/>
      <c r="Q1030" s="65">
        <v>1</v>
      </c>
      <c r="R1030" s="65">
        <v>718</v>
      </c>
      <c r="S1030" s="65"/>
    </row>
    <row r="1031" spans="1:19" x14ac:dyDescent="0.25">
      <c r="A1031" s="15">
        <v>47</v>
      </c>
      <c r="B1031" s="65"/>
      <c r="C1031" s="65">
        <v>2429</v>
      </c>
      <c r="D1031" s="65"/>
      <c r="E1031" s="65" t="s">
        <v>787</v>
      </c>
      <c r="F1031" s="65">
        <v>0</v>
      </c>
      <c r="G1031" s="65"/>
      <c r="H1031" s="65">
        <v>3</v>
      </c>
      <c r="I1031" s="65" t="e">
        <v>#N/A</v>
      </c>
      <c r="J1031" s="65" t="s">
        <v>899</v>
      </c>
      <c r="K1031" s="65"/>
      <c r="L1031" s="65"/>
      <c r="M1031" s="65"/>
      <c r="N1031" s="65"/>
      <c r="O1031" s="65" t="s">
        <v>912</v>
      </c>
      <c r="P1031" s="65"/>
      <c r="Q1031" s="65">
        <v>1</v>
      </c>
      <c r="R1031" s="65">
        <v>934</v>
      </c>
      <c r="S1031" s="65"/>
    </row>
    <row r="1032" spans="1:19" x14ac:dyDescent="0.25">
      <c r="A1032" s="15">
        <v>47</v>
      </c>
      <c r="B1032" s="65"/>
      <c r="C1032" s="65">
        <v>2429</v>
      </c>
      <c r="D1032" s="65"/>
      <c r="E1032" s="65" t="s">
        <v>787</v>
      </c>
      <c r="F1032" s="65">
        <v>0</v>
      </c>
      <c r="G1032" s="65"/>
      <c r="H1032" s="65">
        <v>3</v>
      </c>
      <c r="I1032" s="65" t="e">
        <v>#N/A</v>
      </c>
      <c r="J1032" s="65" t="s">
        <v>899</v>
      </c>
      <c r="K1032" s="65"/>
      <c r="L1032" s="65"/>
      <c r="M1032" s="65"/>
      <c r="N1032" s="65"/>
      <c r="O1032" s="65" t="s">
        <v>913</v>
      </c>
      <c r="P1032" s="65"/>
      <c r="Q1032" s="65">
        <v>1</v>
      </c>
      <c r="R1032" s="65">
        <v>935</v>
      </c>
      <c r="S1032" s="65"/>
    </row>
    <row r="1033" spans="1:19" x14ac:dyDescent="0.25">
      <c r="A1033" s="15">
        <v>47</v>
      </c>
      <c r="B1033" s="65"/>
      <c r="C1033" s="65">
        <v>2429</v>
      </c>
      <c r="D1033" s="65"/>
      <c r="E1033" s="65" t="s">
        <v>787</v>
      </c>
      <c r="F1033" s="65">
        <v>0</v>
      </c>
      <c r="G1033" s="65"/>
      <c r="H1033" s="65">
        <v>3</v>
      </c>
      <c r="I1033" s="65" t="e">
        <v>#N/A</v>
      </c>
      <c r="J1033" s="65" t="s">
        <v>899</v>
      </c>
      <c r="K1033" s="65"/>
      <c r="L1033" s="65"/>
      <c r="M1033" s="65"/>
      <c r="N1033" s="65"/>
      <c r="O1033" s="65" t="s">
        <v>914</v>
      </c>
      <c r="P1033" s="65"/>
      <c r="Q1033" s="65">
        <v>1</v>
      </c>
      <c r="R1033" s="65">
        <v>936</v>
      </c>
      <c r="S1033" s="65"/>
    </row>
    <row r="1034" spans="1:19" x14ac:dyDescent="0.25">
      <c r="A1034" s="15">
        <v>47</v>
      </c>
      <c r="B1034" s="65"/>
      <c r="C1034" s="65">
        <v>2429</v>
      </c>
      <c r="D1034" s="65"/>
      <c r="E1034" s="65" t="s">
        <v>787</v>
      </c>
      <c r="F1034" s="65">
        <v>0</v>
      </c>
      <c r="G1034" s="65"/>
      <c r="H1034" s="65">
        <v>3</v>
      </c>
      <c r="I1034" s="65" t="e">
        <v>#N/A</v>
      </c>
      <c r="J1034" s="65" t="s">
        <v>899</v>
      </c>
      <c r="K1034" s="65"/>
      <c r="L1034" s="65"/>
      <c r="M1034" s="65"/>
      <c r="N1034" s="65"/>
      <c r="O1034" s="65" t="s">
        <v>915</v>
      </c>
      <c r="P1034" s="65"/>
      <c r="Q1034" s="65">
        <v>1</v>
      </c>
      <c r="R1034" s="65">
        <v>937</v>
      </c>
      <c r="S1034" s="65"/>
    </row>
    <row r="1035" spans="1:19" x14ac:dyDescent="0.25">
      <c r="A1035" s="15">
        <v>47</v>
      </c>
      <c r="B1035" s="65"/>
      <c r="C1035" s="65">
        <v>2429</v>
      </c>
      <c r="D1035" s="65"/>
      <c r="E1035" s="65" t="s">
        <v>787</v>
      </c>
      <c r="F1035" s="65">
        <v>0</v>
      </c>
      <c r="G1035" s="65"/>
      <c r="H1035" s="65">
        <v>3</v>
      </c>
      <c r="I1035" s="65" t="e">
        <v>#N/A</v>
      </c>
      <c r="J1035" s="65" t="s">
        <v>899</v>
      </c>
      <c r="K1035" s="65"/>
      <c r="L1035" s="65"/>
      <c r="M1035" s="65"/>
      <c r="N1035" s="65"/>
      <c r="O1035" s="65" t="s">
        <v>916</v>
      </c>
      <c r="P1035" s="65"/>
      <c r="Q1035" s="65">
        <v>1</v>
      </c>
      <c r="R1035" s="65">
        <v>938</v>
      </c>
      <c r="S1035" s="65"/>
    </row>
    <row r="1036" spans="1:19" x14ac:dyDescent="0.25">
      <c r="A1036" s="15">
        <v>47</v>
      </c>
      <c r="B1036" s="65"/>
      <c r="C1036" s="65">
        <v>2429</v>
      </c>
      <c r="D1036" s="65"/>
      <c r="E1036" s="65" t="s">
        <v>787</v>
      </c>
      <c r="F1036" s="65">
        <v>0</v>
      </c>
      <c r="G1036" s="65"/>
      <c r="H1036" s="65">
        <v>3</v>
      </c>
      <c r="I1036" s="65" t="e">
        <v>#N/A</v>
      </c>
      <c r="J1036" s="65" t="s">
        <v>899</v>
      </c>
      <c r="K1036" s="65"/>
      <c r="L1036" s="65"/>
      <c r="M1036" s="65"/>
      <c r="N1036" s="65"/>
      <c r="O1036" s="65" t="s">
        <v>917</v>
      </c>
      <c r="P1036" s="65"/>
      <c r="Q1036" s="65">
        <v>1</v>
      </c>
      <c r="R1036" s="65">
        <v>939</v>
      </c>
      <c r="S1036" s="65"/>
    </row>
    <row r="1037" spans="1:19" x14ac:dyDescent="0.25">
      <c r="A1037" s="15">
        <v>47</v>
      </c>
      <c r="B1037" s="65"/>
      <c r="C1037" s="65">
        <v>2429</v>
      </c>
      <c r="D1037" s="65"/>
      <c r="E1037" s="65" t="s">
        <v>787</v>
      </c>
      <c r="F1037" s="65">
        <v>0</v>
      </c>
      <c r="G1037" s="65"/>
      <c r="H1037" s="65">
        <v>3</v>
      </c>
      <c r="I1037" s="65" t="e">
        <v>#N/A</v>
      </c>
      <c r="J1037" s="65" t="s">
        <v>899</v>
      </c>
      <c r="K1037" s="65"/>
      <c r="L1037" s="65"/>
      <c r="M1037" s="65"/>
      <c r="N1037" s="65"/>
      <c r="O1037" s="65" t="s">
        <v>918</v>
      </c>
      <c r="P1037" s="65"/>
      <c r="Q1037" s="65">
        <v>1</v>
      </c>
      <c r="R1037" s="65">
        <v>940</v>
      </c>
      <c r="S1037" s="65"/>
    </row>
    <row r="1038" spans="1:19" x14ac:dyDescent="0.25">
      <c r="A1038" s="15">
        <v>47</v>
      </c>
      <c r="B1038" s="65"/>
      <c r="C1038" s="65">
        <v>2429</v>
      </c>
      <c r="D1038" s="65"/>
      <c r="E1038" s="65" t="s">
        <v>787</v>
      </c>
      <c r="F1038" s="65">
        <v>0</v>
      </c>
      <c r="G1038" s="65"/>
      <c r="H1038" s="65">
        <v>3</v>
      </c>
      <c r="I1038" s="65" t="e">
        <v>#N/A</v>
      </c>
      <c r="J1038" s="65" t="s">
        <v>899</v>
      </c>
      <c r="K1038" s="65"/>
      <c r="L1038" s="65"/>
      <c r="M1038" s="65"/>
      <c r="N1038" s="65"/>
      <c r="O1038" s="65" t="s">
        <v>919</v>
      </c>
      <c r="P1038" s="65"/>
      <c r="Q1038" s="65">
        <v>1</v>
      </c>
      <c r="R1038" s="65">
        <v>941</v>
      </c>
      <c r="S1038" s="65"/>
    </row>
    <row r="1039" spans="1:19" x14ac:dyDescent="0.25">
      <c r="A1039" s="15">
        <v>47</v>
      </c>
      <c r="B1039" s="65"/>
      <c r="C1039" s="65">
        <v>2429</v>
      </c>
      <c r="D1039" s="65"/>
      <c r="E1039" s="65" t="s">
        <v>787</v>
      </c>
      <c r="F1039" s="65">
        <v>0</v>
      </c>
      <c r="G1039" s="65"/>
      <c r="H1039" s="65">
        <v>3</v>
      </c>
      <c r="I1039" s="65" t="e">
        <v>#N/A</v>
      </c>
      <c r="J1039" s="65" t="s">
        <v>899</v>
      </c>
      <c r="K1039" s="65"/>
      <c r="L1039" s="65"/>
      <c r="M1039" s="65"/>
      <c r="N1039" s="65"/>
      <c r="O1039" s="65" t="s">
        <v>920</v>
      </c>
      <c r="P1039" s="65"/>
      <c r="Q1039" s="65">
        <v>1</v>
      </c>
      <c r="R1039" s="65">
        <v>942</v>
      </c>
      <c r="S1039" s="65"/>
    </row>
    <row r="1040" spans="1:19" x14ac:dyDescent="0.25">
      <c r="A1040" s="15">
        <v>47</v>
      </c>
      <c r="B1040" s="65"/>
      <c r="C1040" s="65">
        <v>2429</v>
      </c>
      <c r="D1040" s="65"/>
      <c r="E1040" s="65" t="s">
        <v>787</v>
      </c>
      <c r="F1040" s="65">
        <v>0</v>
      </c>
      <c r="G1040" s="65"/>
      <c r="H1040" s="65">
        <v>3</v>
      </c>
      <c r="I1040" s="65" t="e">
        <v>#N/A</v>
      </c>
      <c r="J1040" s="65" t="s">
        <v>899</v>
      </c>
      <c r="K1040" s="65"/>
      <c r="L1040" s="65"/>
      <c r="M1040" s="65"/>
      <c r="N1040" s="65"/>
      <c r="O1040" s="65" t="s">
        <v>921</v>
      </c>
      <c r="P1040" s="65"/>
      <c r="Q1040" s="65">
        <v>1</v>
      </c>
      <c r="R1040" s="65">
        <v>943</v>
      </c>
      <c r="S1040" s="65"/>
    </row>
    <row r="1041" spans="1:19" x14ac:dyDescent="0.25">
      <c r="A1041" s="15">
        <v>47</v>
      </c>
      <c r="B1041" s="65"/>
      <c r="C1041" s="65">
        <v>2429</v>
      </c>
      <c r="D1041" s="65"/>
      <c r="E1041" s="65" t="s">
        <v>787</v>
      </c>
      <c r="F1041" s="65">
        <v>0</v>
      </c>
      <c r="G1041" s="65"/>
      <c r="H1041" s="65">
        <v>3</v>
      </c>
      <c r="I1041" s="65" t="e">
        <v>#N/A</v>
      </c>
      <c r="J1041" s="65" t="s">
        <v>899</v>
      </c>
      <c r="K1041" s="65"/>
      <c r="L1041" s="65"/>
      <c r="M1041" s="65"/>
      <c r="N1041" s="65"/>
      <c r="O1041" s="65" t="s">
        <v>922</v>
      </c>
      <c r="P1041" s="65"/>
      <c r="Q1041" s="65">
        <v>1</v>
      </c>
      <c r="R1041" s="65">
        <v>944</v>
      </c>
      <c r="S1041" s="65"/>
    </row>
    <row r="1042" spans="1:19" x14ac:dyDescent="0.25">
      <c r="A1042" s="15">
        <v>47</v>
      </c>
      <c r="B1042" s="65"/>
      <c r="C1042" s="65">
        <v>2429</v>
      </c>
      <c r="D1042" s="65"/>
      <c r="E1042" s="65" t="s">
        <v>787</v>
      </c>
      <c r="F1042" s="65">
        <v>0</v>
      </c>
      <c r="G1042" s="65"/>
      <c r="H1042" s="65">
        <v>3</v>
      </c>
      <c r="I1042" s="65" t="e">
        <v>#N/A</v>
      </c>
      <c r="J1042" s="65" t="s">
        <v>899</v>
      </c>
      <c r="K1042" s="65"/>
      <c r="L1042" s="65"/>
      <c r="M1042" s="65"/>
      <c r="N1042" s="65"/>
      <c r="O1042" s="65" t="s">
        <v>923</v>
      </c>
      <c r="P1042" s="65"/>
      <c r="Q1042" s="65">
        <v>1</v>
      </c>
      <c r="R1042" s="65">
        <v>945</v>
      </c>
      <c r="S1042" s="65"/>
    </row>
    <row r="1043" spans="1:19" x14ac:dyDescent="0.25">
      <c r="A1043" s="15">
        <v>47</v>
      </c>
      <c r="B1043" s="65"/>
      <c r="C1043" s="65">
        <v>2429</v>
      </c>
      <c r="D1043" s="65"/>
      <c r="E1043" s="65" t="s">
        <v>787</v>
      </c>
      <c r="F1043" s="65">
        <v>3</v>
      </c>
      <c r="G1043" s="65"/>
      <c r="H1043" s="65">
        <v>3</v>
      </c>
      <c r="I1043" s="65" t="e">
        <v>#N/A</v>
      </c>
      <c r="J1043" s="65" t="s">
        <v>899</v>
      </c>
      <c r="K1043" s="65"/>
      <c r="L1043" s="65"/>
      <c r="M1043" s="65"/>
      <c r="N1043" s="65"/>
      <c r="O1043" s="65" t="s">
        <v>924</v>
      </c>
      <c r="P1043" s="65"/>
      <c r="Q1043" s="65">
        <v>1</v>
      </c>
      <c r="R1043" s="65">
        <v>1161</v>
      </c>
      <c r="S1043" s="65"/>
    </row>
    <row r="1044" spans="1:19" x14ac:dyDescent="0.25">
      <c r="A1044" s="15">
        <v>47</v>
      </c>
      <c r="B1044" s="65"/>
      <c r="C1044" s="65">
        <v>2429</v>
      </c>
      <c r="D1044" s="65"/>
      <c r="E1044" s="65" t="s">
        <v>787</v>
      </c>
      <c r="F1044" s="65">
        <v>3</v>
      </c>
      <c r="G1044" s="65"/>
      <c r="H1044" s="65">
        <v>3</v>
      </c>
      <c r="I1044" s="65" t="e">
        <v>#N/A</v>
      </c>
      <c r="J1044" s="65" t="s">
        <v>899</v>
      </c>
      <c r="K1044" s="65"/>
      <c r="L1044" s="65"/>
      <c r="M1044" s="65"/>
      <c r="N1044" s="65"/>
      <c r="O1044" s="65" t="s">
        <v>925</v>
      </c>
      <c r="P1044" s="65"/>
      <c r="Q1044" s="65">
        <v>1</v>
      </c>
      <c r="R1044" s="65">
        <v>1162</v>
      </c>
      <c r="S1044" s="65"/>
    </row>
    <row r="1045" spans="1:19" x14ac:dyDescent="0.25">
      <c r="A1045" s="15">
        <v>47</v>
      </c>
      <c r="B1045" s="65"/>
      <c r="C1045" s="65">
        <v>2429</v>
      </c>
      <c r="D1045" s="65"/>
      <c r="E1045" s="65" t="s">
        <v>787</v>
      </c>
      <c r="F1045" s="65">
        <v>3</v>
      </c>
      <c r="G1045" s="65"/>
      <c r="H1045" s="65">
        <v>3</v>
      </c>
      <c r="I1045" s="65" t="e">
        <v>#N/A</v>
      </c>
      <c r="J1045" s="65" t="s">
        <v>899</v>
      </c>
      <c r="K1045" s="65"/>
      <c r="L1045" s="65"/>
      <c r="M1045" s="65"/>
      <c r="N1045" s="65"/>
      <c r="O1045" s="65" t="s">
        <v>926</v>
      </c>
      <c r="P1045" s="65"/>
      <c r="Q1045" s="65">
        <v>1</v>
      </c>
      <c r="R1045" s="65">
        <v>1163</v>
      </c>
      <c r="S1045" s="65"/>
    </row>
    <row r="1046" spans="1:19" x14ac:dyDescent="0.25">
      <c r="A1046" s="15">
        <v>47</v>
      </c>
      <c r="B1046" s="65"/>
      <c r="C1046" s="65">
        <v>2429</v>
      </c>
      <c r="D1046" s="65"/>
      <c r="E1046" s="65" t="s">
        <v>787</v>
      </c>
      <c r="F1046" s="65">
        <v>3</v>
      </c>
      <c r="G1046" s="65"/>
      <c r="H1046" s="65">
        <v>3</v>
      </c>
      <c r="I1046" s="65" t="e">
        <v>#N/A</v>
      </c>
      <c r="J1046" s="65" t="s">
        <v>899</v>
      </c>
      <c r="K1046" s="65"/>
      <c r="L1046" s="65"/>
      <c r="M1046" s="65"/>
      <c r="N1046" s="65"/>
      <c r="O1046" s="65" t="s">
        <v>927</v>
      </c>
      <c r="P1046" s="65"/>
      <c r="Q1046" s="65">
        <v>1</v>
      </c>
      <c r="R1046" s="65">
        <v>1164</v>
      </c>
      <c r="S1046" s="65"/>
    </row>
    <row r="1047" spans="1:19" x14ac:dyDescent="0.25">
      <c r="A1047" s="15">
        <v>47</v>
      </c>
      <c r="B1047" s="65"/>
      <c r="C1047" s="65">
        <v>2429</v>
      </c>
      <c r="D1047" s="65"/>
      <c r="E1047" s="65" t="s">
        <v>787</v>
      </c>
      <c r="F1047" s="65">
        <v>3</v>
      </c>
      <c r="G1047" s="65"/>
      <c r="H1047" s="65">
        <v>3</v>
      </c>
      <c r="I1047" s="65" t="e">
        <v>#N/A</v>
      </c>
      <c r="J1047" s="65" t="s">
        <v>899</v>
      </c>
      <c r="K1047" s="65"/>
      <c r="L1047" s="65"/>
      <c r="M1047" s="65"/>
      <c r="N1047" s="65"/>
      <c r="O1047" s="65" t="s">
        <v>928</v>
      </c>
      <c r="P1047" s="65"/>
      <c r="Q1047" s="65">
        <v>1</v>
      </c>
      <c r="R1047" s="65">
        <v>1165</v>
      </c>
      <c r="S1047" s="65"/>
    </row>
    <row r="1048" spans="1:19" x14ac:dyDescent="0.25">
      <c r="A1048" s="15">
        <v>47</v>
      </c>
      <c r="B1048" s="65"/>
      <c r="C1048" s="65">
        <v>2429</v>
      </c>
      <c r="D1048" s="65"/>
      <c r="E1048" s="65" t="s">
        <v>787</v>
      </c>
      <c r="F1048" s="65">
        <v>3</v>
      </c>
      <c r="G1048" s="65"/>
      <c r="H1048" s="65">
        <v>3</v>
      </c>
      <c r="I1048" s="65" t="e">
        <v>#N/A</v>
      </c>
      <c r="J1048" s="65" t="s">
        <v>899</v>
      </c>
      <c r="K1048" s="65"/>
      <c r="L1048" s="65"/>
      <c r="M1048" s="65"/>
      <c r="N1048" s="65"/>
      <c r="O1048" s="65" t="s">
        <v>929</v>
      </c>
      <c r="P1048" s="65"/>
      <c r="Q1048" s="65">
        <v>1</v>
      </c>
      <c r="R1048" s="65">
        <v>1166</v>
      </c>
      <c r="S1048" s="65"/>
    </row>
    <row r="1049" spans="1:19" x14ac:dyDescent="0.25">
      <c r="A1049" s="15">
        <v>47</v>
      </c>
      <c r="B1049" s="65"/>
      <c r="C1049" s="65">
        <v>2429</v>
      </c>
      <c r="D1049" s="65"/>
      <c r="E1049" s="65" t="s">
        <v>787</v>
      </c>
      <c r="F1049" s="65">
        <v>3</v>
      </c>
      <c r="G1049" s="65"/>
      <c r="H1049" s="65">
        <v>3</v>
      </c>
      <c r="I1049" s="65" t="e">
        <v>#N/A</v>
      </c>
      <c r="J1049" s="65" t="s">
        <v>899</v>
      </c>
      <c r="K1049" s="65"/>
      <c r="L1049" s="65"/>
      <c r="M1049" s="65"/>
      <c r="N1049" s="65"/>
      <c r="O1049" s="65" t="s">
        <v>930</v>
      </c>
      <c r="P1049" s="65"/>
      <c r="Q1049" s="65">
        <v>1</v>
      </c>
      <c r="R1049" s="65">
        <v>1167</v>
      </c>
      <c r="S1049" s="65"/>
    </row>
    <row r="1050" spans="1:19" x14ac:dyDescent="0.25">
      <c r="A1050" s="15">
        <v>47</v>
      </c>
      <c r="B1050" s="65"/>
      <c r="C1050" s="65">
        <v>2429</v>
      </c>
      <c r="D1050" s="65"/>
      <c r="E1050" s="65" t="s">
        <v>787</v>
      </c>
      <c r="F1050" s="65">
        <v>3</v>
      </c>
      <c r="G1050" s="65"/>
      <c r="H1050" s="65">
        <v>3</v>
      </c>
      <c r="I1050" s="65" t="e">
        <v>#N/A</v>
      </c>
      <c r="J1050" s="65" t="s">
        <v>899</v>
      </c>
      <c r="K1050" s="65"/>
      <c r="L1050" s="65"/>
      <c r="M1050" s="65"/>
      <c r="N1050" s="65"/>
      <c r="O1050" s="65" t="s">
        <v>931</v>
      </c>
      <c r="P1050" s="65"/>
      <c r="Q1050" s="65">
        <v>1</v>
      </c>
      <c r="R1050" s="65">
        <v>1168</v>
      </c>
      <c r="S1050" s="65"/>
    </row>
    <row r="1051" spans="1:19" x14ac:dyDescent="0.25">
      <c r="A1051" s="15">
        <v>47</v>
      </c>
      <c r="B1051" s="65"/>
      <c r="C1051" s="65">
        <v>2429</v>
      </c>
      <c r="D1051" s="65"/>
      <c r="E1051" s="65" t="s">
        <v>787</v>
      </c>
      <c r="F1051" s="65">
        <v>3</v>
      </c>
      <c r="G1051" s="65"/>
      <c r="H1051" s="65">
        <v>3</v>
      </c>
      <c r="I1051" s="65" t="e">
        <v>#N/A</v>
      </c>
      <c r="J1051" s="65" t="s">
        <v>899</v>
      </c>
      <c r="K1051" s="65"/>
      <c r="L1051" s="65"/>
      <c r="M1051" s="65"/>
      <c r="N1051" s="65"/>
      <c r="O1051" s="65" t="s">
        <v>932</v>
      </c>
      <c r="P1051" s="65"/>
      <c r="Q1051" s="65">
        <v>1</v>
      </c>
      <c r="R1051" s="65">
        <v>1169</v>
      </c>
      <c r="S1051" s="65"/>
    </row>
    <row r="1052" spans="1:19" x14ac:dyDescent="0.25">
      <c r="A1052" s="15">
        <v>47</v>
      </c>
      <c r="B1052" s="65"/>
      <c r="C1052" s="65">
        <v>2429</v>
      </c>
      <c r="D1052" s="65"/>
      <c r="E1052" s="65" t="s">
        <v>787</v>
      </c>
      <c r="F1052" s="65">
        <v>3</v>
      </c>
      <c r="G1052" s="65"/>
      <c r="H1052" s="65">
        <v>3</v>
      </c>
      <c r="I1052" s="65" t="e">
        <v>#N/A</v>
      </c>
      <c r="J1052" s="65" t="s">
        <v>899</v>
      </c>
      <c r="K1052" s="65"/>
      <c r="L1052" s="65"/>
      <c r="M1052" s="65"/>
      <c r="N1052" s="65"/>
      <c r="O1052" s="65" t="s">
        <v>933</v>
      </c>
      <c r="P1052" s="65"/>
      <c r="Q1052" s="65">
        <v>1</v>
      </c>
      <c r="R1052" s="65">
        <v>1170</v>
      </c>
      <c r="S1052" s="65"/>
    </row>
    <row r="1053" spans="1:19" x14ac:dyDescent="0.25">
      <c r="A1053" s="15">
        <v>47</v>
      </c>
      <c r="B1053" s="65"/>
      <c r="C1053" s="65">
        <v>2429</v>
      </c>
      <c r="D1053" s="65"/>
      <c r="E1053" s="65" t="s">
        <v>787</v>
      </c>
      <c r="F1053" s="65">
        <v>3</v>
      </c>
      <c r="G1053" s="65"/>
      <c r="H1053" s="65">
        <v>3</v>
      </c>
      <c r="I1053" s="65" t="e">
        <v>#N/A</v>
      </c>
      <c r="J1053" s="65" t="s">
        <v>899</v>
      </c>
      <c r="K1053" s="65"/>
      <c r="L1053" s="65"/>
      <c r="M1053" s="65"/>
      <c r="N1053" s="65"/>
      <c r="O1053" s="65" t="s">
        <v>934</v>
      </c>
      <c r="P1053" s="65"/>
      <c r="Q1053" s="65">
        <v>1</v>
      </c>
      <c r="R1053" s="65">
        <v>1171</v>
      </c>
      <c r="S1053" s="65"/>
    </row>
    <row r="1054" spans="1:19" x14ac:dyDescent="0.25">
      <c r="A1054" s="15">
        <v>47</v>
      </c>
      <c r="B1054" s="65"/>
      <c r="C1054" s="65">
        <v>2429</v>
      </c>
      <c r="D1054" s="65"/>
      <c r="E1054" s="65" t="s">
        <v>787</v>
      </c>
      <c r="F1054" s="65">
        <v>3</v>
      </c>
      <c r="G1054" s="65"/>
      <c r="H1054" s="65">
        <v>3</v>
      </c>
      <c r="I1054" s="65" t="e">
        <v>#N/A</v>
      </c>
      <c r="J1054" s="65" t="s">
        <v>899</v>
      </c>
      <c r="K1054" s="65"/>
      <c r="L1054" s="65"/>
      <c r="M1054" s="65"/>
      <c r="N1054" s="65"/>
      <c r="O1054" s="65" t="s">
        <v>935</v>
      </c>
      <c r="P1054" s="65"/>
      <c r="Q1054" s="65">
        <v>1</v>
      </c>
      <c r="R1054" s="65">
        <v>1172</v>
      </c>
      <c r="S1054" s="65"/>
    </row>
    <row r="1055" spans="1:19" x14ac:dyDescent="0.25">
      <c r="A1055" s="15">
        <v>47</v>
      </c>
      <c r="B1055" s="65"/>
      <c r="C1055" s="65">
        <v>2429</v>
      </c>
      <c r="D1055" s="65"/>
      <c r="E1055" s="65" t="s">
        <v>787</v>
      </c>
      <c r="F1055" s="65">
        <v>3</v>
      </c>
      <c r="G1055" s="65"/>
      <c r="H1055" s="65" t="e">
        <v>#N/A</v>
      </c>
      <c r="I1055" s="65"/>
      <c r="J1055" s="65" t="s">
        <v>899</v>
      </c>
      <c r="K1055" s="65"/>
      <c r="L1055" s="65"/>
      <c r="M1055" s="65"/>
      <c r="N1055" s="65"/>
      <c r="O1055" s="65" t="s">
        <v>936</v>
      </c>
      <c r="P1055" s="65"/>
      <c r="Q1055" s="65">
        <v>1</v>
      </c>
      <c r="R1055" s="65">
        <v>1290</v>
      </c>
      <c r="S1055" s="65"/>
    </row>
    <row r="1056" spans="1:19" x14ac:dyDescent="0.25">
      <c r="A1056" s="15">
        <v>47</v>
      </c>
      <c r="B1056" s="65"/>
      <c r="C1056" s="65">
        <v>2429</v>
      </c>
      <c r="D1056" s="65"/>
      <c r="E1056" s="65" t="s">
        <v>787</v>
      </c>
      <c r="F1056" s="65">
        <v>5</v>
      </c>
      <c r="G1056" s="65"/>
      <c r="H1056" s="65" t="e">
        <v>#N/A</v>
      </c>
      <c r="I1056" s="65"/>
      <c r="J1056" s="65" t="s">
        <v>899</v>
      </c>
      <c r="K1056" s="65"/>
      <c r="L1056" s="65"/>
      <c r="M1056" s="65"/>
      <c r="N1056" s="65"/>
      <c r="O1056" s="65" t="s">
        <v>938</v>
      </c>
      <c r="P1056" s="65"/>
      <c r="Q1056" s="65">
        <v>1</v>
      </c>
      <c r="R1056" s="65">
        <v>1455</v>
      </c>
      <c r="S1056" s="65"/>
    </row>
    <row r="1057" spans="1:19" x14ac:dyDescent="0.25">
      <c r="A1057" s="15">
        <v>47</v>
      </c>
      <c r="B1057" s="65"/>
      <c r="C1057" s="65">
        <v>2429</v>
      </c>
      <c r="D1057" s="65"/>
      <c r="E1057" s="65" t="s">
        <v>787</v>
      </c>
      <c r="F1057" s="65">
        <v>5</v>
      </c>
      <c r="G1057" s="65"/>
      <c r="H1057" s="65" t="e">
        <v>#N/A</v>
      </c>
      <c r="I1057" s="65"/>
      <c r="J1057" s="65" t="s">
        <v>899</v>
      </c>
      <c r="K1057" s="65"/>
      <c r="L1057" s="65"/>
      <c r="M1057" s="65"/>
      <c r="N1057" s="65"/>
      <c r="O1057" s="65" t="s">
        <v>939</v>
      </c>
      <c r="P1057" s="65"/>
      <c r="Q1057" s="65">
        <v>1</v>
      </c>
      <c r="R1057" s="65">
        <v>1456</v>
      </c>
      <c r="S1057" s="65"/>
    </row>
    <row r="1058" spans="1:19" x14ac:dyDescent="0.25">
      <c r="A1058" s="15">
        <v>47</v>
      </c>
      <c r="B1058" s="65"/>
      <c r="C1058" s="65">
        <v>2429</v>
      </c>
      <c r="D1058" s="65"/>
      <c r="E1058" s="65" t="s">
        <v>787</v>
      </c>
      <c r="F1058" s="65">
        <v>5</v>
      </c>
      <c r="G1058" s="65"/>
      <c r="H1058" s="65" t="e">
        <v>#N/A</v>
      </c>
      <c r="I1058" s="65"/>
      <c r="J1058" s="65" t="s">
        <v>899</v>
      </c>
      <c r="K1058" s="65"/>
      <c r="L1058" s="65"/>
      <c r="M1058" s="65"/>
      <c r="N1058" s="65"/>
      <c r="O1058" s="65" t="s">
        <v>940</v>
      </c>
      <c r="P1058" s="65"/>
      <c r="Q1058" s="65">
        <v>1</v>
      </c>
      <c r="R1058" s="65">
        <v>1457</v>
      </c>
      <c r="S1058" s="65"/>
    </row>
    <row r="1059" spans="1:19" x14ac:dyDescent="0.25">
      <c r="A1059" s="15">
        <v>47</v>
      </c>
      <c r="B1059" s="65"/>
      <c r="C1059" s="65">
        <v>2429</v>
      </c>
      <c r="D1059" s="65"/>
      <c r="E1059" s="65" t="s">
        <v>787</v>
      </c>
      <c r="F1059" s="65">
        <v>5</v>
      </c>
      <c r="G1059" s="65"/>
      <c r="H1059" s="65" t="e">
        <v>#N/A</v>
      </c>
      <c r="I1059" s="65"/>
      <c r="J1059" s="65" t="s">
        <v>899</v>
      </c>
      <c r="K1059" s="65"/>
      <c r="L1059" s="65"/>
      <c r="M1059" s="65"/>
      <c r="N1059" s="65"/>
      <c r="O1059" s="65" t="s">
        <v>941</v>
      </c>
      <c r="P1059" s="65"/>
      <c r="Q1059" s="65">
        <v>1</v>
      </c>
      <c r="R1059" s="65">
        <v>1458</v>
      </c>
      <c r="S1059" s="65"/>
    </row>
    <row r="1060" spans="1:19" x14ac:dyDescent="0.25">
      <c r="A1060" s="15">
        <v>47</v>
      </c>
      <c r="B1060" s="65"/>
      <c r="C1060" s="65">
        <v>2429</v>
      </c>
      <c r="D1060" s="65"/>
      <c r="E1060" s="65" t="s">
        <v>787</v>
      </c>
      <c r="F1060" s="65">
        <v>5</v>
      </c>
      <c r="G1060" s="65"/>
      <c r="H1060" s="65" t="e">
        <v>#N/A</v>
      </c>
      <c r="I1060" s="65"/>
      <c r="J1060" s="65" t="s">
        <v>899</v>
      </c>
      <c r="K1060" s="65"/>
      <c r="L1060" s="65"/>
      <c r="M1060" s="65"/>
      <c r="N1060" s="65"/>
      <c r="O1060" s="65" t="s">
        <v>942</v>
      </c>
      <c r="P1060" s="65"/>
      <c r="Q1060" s="65">
        <v>1</v>
      </c>
      <c r="R1060" s="65">
        <v>1459</v>
      </c>
      <c r="S1060" s="65"/>
    </row>
    <row r="1061" spans="1:19" x14ac:dyDescent="0.25">
      <c r="A1061" s="15">
        <v>47</v>
      </c>
      <c r="B1061" s="65"/>
      <c r="C1061" s="65">
        <v>2429</v>
      </c>
      <c r="D1061" s="65"/>
      <c r="E1061" s="65" t="s">
        <v>787</v>
      </c>
      <c r="F1061" s="65">
        <v>5</v>
      </c>
      <c r="G1061" s="65"/>
      <c r="H1061" s="65" t="e">
        <v>#N/A</v>
      </c>
      <c r="I1061" s="65"/>
      <c r="J1061" s="65" t="s">
        <v>899</v>
      </c>
      <c r="K1061" s="65"/>
      <c r="L1061" s="65"/>
      <c r="M1061" s="65"/>
      <c r="N1061" s="65"/>
      <c r="O1061" s="65" t="s">
        <v>943</v>
      </c>
      <c r="P1061" s="65"/>
      <c r="Q1061" s="65">
        <v>1</v>
      </c>
      <c r="R1061" s="65">
        <v>1460</v>
      </c>
      <c r="S1061" s="65"/>
    </row>
    <row r="1062" spans="1:19" x14ac:dyDescent="0.25">
      <c r="A1062" s="15">
        <v>47</v>
      </c>
      <c r="B1062" s="65"/>
      <c r="C1062" s="65">
        <v>2429</v>
      </c>
      <c r="D1062" s="65"/>
      <c r="E1062" s="65" t="s">
        <v>787</v>
      </c>
      <c r="F1062" s="65">
        <v>5</v>
      </c>
      <c r="G1062" s="65"/>
      <c r="H1062" s="65" t="e">
        <v>#N/A</v>
      </c>
      <c r="I1062" s="65"/>
      <c r="J1062" s="65" t="s">
        <v>899</v>
      </c>
      <c r="K1062" s="65"/>
      <c r="L1062" s="65"/>
      <c r="M1062" s="65"/>
      <c r="N1062" s="65"/>
      <c r="O1062" s="65" t="s">
        <v>944</v>
      </c>
      <c r="P1062" s="65"/>
      <c r="Q1062" s="65">
        <v>1</v>
      </c>
      <c r="R1062" s="65">
        <v>1461</v>
      </c>
      <c r="S1062" s="65"/>
    </row>
    <row r="1063" spans="1:19" x14ac:dyDescent="0.25">
      <c r="A1063" s="15">
        <v>47</v>
      </c>
      <c r="B1063" s="65"/>
      <c r="C1063" s="65">
        <v>2429</v>
      </c>
      <c r="D1063" s="65"/>
      <c r="E1063" s="65" t="s">
        <v>787</v>
      </c>
      <c r="F1063" s="65">
        <v>5</v>
      </c>
      <c r="G1063" s="65"/>
      <c r="H1063" s="65" t="e">
        <v>#N/A</v>
      </c>
      <c r="I1063" s="65"/>
      <c r="J1063" s="65" t="s">
        <v>899</v>
      </c>
      <c r="K1063" s="65"/>
      <c r="L1063" s="65"/>
      <c r="M1063" s="65"/>
      <c r="N1063" s="65"/>
      <c r="O1063" s="65" t="s">
        <v>945</v>
      </c>
      <c r="P1063" s="65"/>
      <c r="Q1063" s="65">
        <v>1</v>
      </c>
      <c r="R1063" s="65">
        <v>1462</v>
      </c>
      <c r="S1063" s="65"/>
    </row>
    <row r="1064" spans="1:19" x14ac:dyDescent="0.25">
      <c r="A1064" s="15">
        <v>47</v>
      </c>
      <c r="B1064" s="65"/>
      <c r="C1064" s="65">
        <v>2429</v>
      </c>
      <c r="D1064" s="65"/>
      <c r="E1064" s="65" t="s">
        <v>787</v>
      </c>
      <c r="F1064" s="65">
        <v>5</v>
      </c>
      <c r="G1064" s="65"/>
      <c r="H1064" s="65" t="e">
        <v>#N/A</v>
      </c>
      <c r="I1064" s="65"/>
      <c r="J1064" s="65" t="s">
        <v>899</v>
      </c>
      <c r="K1064" s="65"/>
      <c r="L1064" s="65"/>
      <c r="M1064" s="65"/>
      <c r="N1064" s="65"/>
      <c r="O1064" s="65" t="s">
        <v>946</v>
      </c>
      <c r="P1064" s="65"/>
      <c r="Q1064" s="65">
        <v>1</v>
      </c>
      <c r="R1064" s="65">
        <v>1463</v>
      </c>
      <c r="S1064" s="65"/>
    </row>
    <row r="1065" spans="1:19" x14ac:dyDescent="0.25">
      <c r="A1065" s="15">
        <v>47</v>
      </c>
      <c r="B1065" s="65"/>
      <c r="C1065" s="65">
        <v>2429</v>
      </c>
      <c r="D1065" s="65"/>
      <c r="E1065" s="65" t="s">
        <v>787</v>
      </c>
      <c r="F1065" s="65">
        <v>5</v>
      </c>
      <c r="G1065" s="65"/>
      <c r="H1065" s="65" t="e">
        <v>#N/A</v>
      </c>
      <c r="I1065" s="65"/>
      <c r="J1065" s="65" t="s">
        <v>899</v>
      </c>
      <c r="K1065" s="65"/>
      <c r="L1065" s="65"/>
      <c r="M1065" s="65"/>
      <c r="N1065" s="65"/>
      <c r="O1065" s="65" t="s">
        <v>947</v>
      </c>
      <c r="P1065" s="65"/>
      <c r="Q1065" s="65">
        <v>1</v>
      </c>
      <c r="R1065" s="65">
        <v>1464</v>
      </c>
      <c r="S1065" s="65"/>
    </row>
    <row r="1066" spans="1:19" x14ac:dyDescent="0.25">
      <c r="A1066" s="15">
        <v>47</v>
      </c>
      <c r="B1066" s="65"/>
      <c r="C1066" s="65">
        <v>2429</v>
      </c>
      <c r="D1066" s="65"/>
      <c r="E1066" s="65" t="s">
        <v>787</v>
      </c>
      <c r="F1066" s="65">
        <v>5</v>
      </c>
      <c r="G1066" s="65"/>
      <c r="H1066" s="65" t="e">
        <v>#N/A</v>
      </c>
      <c r="I1066" s="65"/>
      <c r="J1066" s="65" t="s">
        <v>899</v>
      </c>
      <c r="K1066" s="65"/>
      <c r="L1066" s="65"/>
      <c r="M1066" s="65"/>
      <c r="N1066" s="65"/>
      <c r="O1066" s="65" t="s">
        <v>948</v>
      </c>
      <c r="P1066" s="65"/>
      <c r="Q1066" s="65">
        <v>1</v>
      </c>
      <c r="R1066" s="65">
        <v>1465</v>
      </c>
      <c r="S1066" s="65"/>
    </row>
    <row r="1067" spans="1:19" x14ac:dyDescent="0.25">
      <c r="A1067" s="15">
        <v>47</v>
      </c>
      <c r="B1067" s="65"/>
      <c r="C1067" s="65">
        <v>2429</v>
      </c>
      <c r="D1067" s="65"/>
      <c r="E1067" s="65" t="s">
        <v>787</v>
      </c>
      <c r="F1067" s="65">
        <v>5</v>
      </c>
      <c r="G1067" s="65"/>
      <c r="H1067" s="65" t="e">
        <v>#N/A</v>
      </c>
      <c r="I1067" s="65"/>
      <c r="J1067" s="65" t="s">
        <v>899</v>
      </c>
      <c r="K1067" s="65"/>
      <c r="L1067" s="65"/>
      <c r="M1067" s="65"/>
      <c r="N1067" s="65"/>
      <c r="O1067" s="65" t="s">
        <v>949</v>
      </c>
      <c r="P1067" s="65"/>
      <c r="Q1067" s="65">
        <v>1</v>
      </c>
      <c r="R1067" s="65">
        <v>1466</v>
      </c>
      <c r="S1067" s="65"/>
    </row>
    <row r="1068" spans="1:19" x14ac:dyDescent="0.25">
      <c r="A1068" s="15">
        <v>48</v>
      </c>
      <c r="B1068" s="65"/>
      <c r="C1068" s="65"/>
      <c r="D1068" s="65"/>
      <c r="E1068" s="65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65"/>
      <c r="Q1068" s="65"/>
      <c r="R1068" s="65"/>
      <c r="S1068" s="65"/>
    </row>
    <row r="1069" spans="1:19" x14ac:dyDescent="0.25">
      <c r="A1069" s="15">
        <v>48</v>
      </c>
      <c r="B1069" s="65"/>
      <c r="C1069" s="65"/>
      <c r="D1069" s="65"/>
      <c r="E1069" s="65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 t="s">
        <v>835</v>
      </c>
      <c r="P1069" s="65"/>
      <c r="Q1069" s="65"/>
      <c r="R1069" s="65"/>
      <c r="S1069" s="65"/>
    </row>
    <row r="1070" spans="1:19" x14ac:dyDescent="0.25">
      <c r="A1070" s="15">
        <v>48</v>
      </c>
      <c r="B1070" s="65"/>
      <c r="C1070" s="65"/>
      <c r="D1070" s="65"/>
      <c r="E1070" s="65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 t="s">
        <v>865</v>
      </c>
      <c r="P1070" s="65"/>
      <c r="Q1070" s="65"/>
      <c r="R1070" s="65"/>
      <c r="S1070" s="65"/>
    </row>
    <row r="1071" spans="1:19" x14ac:dyDescent="0.25">
      <c r="A1071" s="15">
        <v>48</v>
      </c>
      <c r="B1071" s="65"/>
      <c r="C1071" s="65"/>
      <c r="D1071" s="65"/>
      <c r="E1071" s="65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 t="s">
        <v>874</v>
      </c>
      <c r="P1071" s="65"/>
      <c r="Q1071" s="65"/>
      <c r="R1071" s="65"/>
      <c r="S1071" s="65"/>
    </row>
    <row r="1072" spans="1:19" x14ac:dyDescent="0.25">
      <c r="A1072" s="15">
        <v>48</v>
      </c>
      <c r="B1072" s="65"/>
      <c r="C1072" s="65" t="s">
        <v>79</v>
      </c>
      <c r="D1072" s="65"/>
      <c r="E1072" s="65" t="s">
        <v>787</v>
      </c>
      <c r="F1072" s="65">
        <v>12</v>
      </c>
      <c r="G1072" s="65"/>
      <c r="H1072" s="65">
        <v>10</v>
      </c>
      <c r="I1072" s="65">
        <v>12.416666666666666</v>
      </c>
      <c r="J1072" s="65" t="s">
        <v>879</v>
      </c>
      <c r="K1072" s="65"/>
      <c r="L1072" s="65"/>
      <c r="M1072" s="65"/>
      <c r="N1072" s="65"/>
      <c r="O1072" s="65" t="s">
        <v>878</v>
      </c>
      <c r="P1072" s="65"/>
      <c r="Q1072" s="65">
        <v>1</v>
      </c>
      <c r="R1072" s="65">
        <v>311</v>
      </c>
      <c r="S1072" s="65"/>
    </row>
    <row r="1073" spans="1:19" x14ac:dyDescent="0.25">
      <c r="A1073" s="15">
        <v>48</v>
      </c>
      <c r="B1073" s="65"/>
      <c r="C1073" s="65">
        <v>2429</v>
      </c>
      <c r="D1073" s="65"/>
      <c r="E1073" s="65" t="s">
        <v>787</v>
      </c>
      <c r="F1073" s="65">
        <v>12</v>
      </c>
      <c r="G1073" s="65"/>
      <c r="H1073" s="65"/>
      <c r="I1073" s="65">
        <v>26.666666666666668</v>
      </c>
      <c r="J1073" s="65" t="s">
        <v>879</v>
      </c>
      <c r="K1073" s="65"/>
      <c r="L1073" s="65"/>
      <c r="M1073" s="65"/>
      <c r="N1073" s="65"/>
      <c r="O1073" s="65" t="s">
        <v>881</v>
      </c>
      <c r="P1073" s="65"/>
      <c r="Q1073" s="65">
        <v>1</v>
      </c>
      <c r="R1073" s="65">
        <v>487</v>
      </c>
      <c r="S1073" s="65"/>
    </row>
    <row r="1074" spans="1:19" x14ac:dyDescent="0.25">
      <c r="A1074" s="15">
        <v>48</v>
      </c>
      <c r="B1074" s="65"/>
      <c r="C1074" s="65">
        <v>2429</v>
      </c>
      <c r="D1074" s="65"/>
      <c r="E1074" s="65" t="s">
        <v>787</v>
      </c>
      <c r="F1074" s="65">
        <v>10</v>
      </c>
      <c r="G1074" s="65"/>
      <c r="H1074" s="65"/>
      <c r="I1074" s="65">
        <v>15.666666666666666</v>
      </c>
      <c r="J1074" s="65" t="s">
        <v>879</v>
      </c>
      <c r="K1074" s="65"/>
      <c r="L1074" s="65"/>
      <c r="M1074" s="65"/>
      <c r="N1074" s="65"/>
      <c r="O1074" s="65" t="s">
        <v>882</v>
      </c>
      <c r="P1074" s="65"/>
      <c r="Q1074" s="65">
        <v>1</v>
      </c>
      <c r="R1074" s="65">
        <v>488</v>
      </c>
      <c r="S1074" s="65"/>
    </row>
    <row r="1075" spans="1:19" x14ac:dyDescent="0.25">
      <c r="A1075" s="15">
        <v>48</v>
      </c>
      <c r="B1075" s="65"/>
      <c r="C1075" s="65">
        <v>2429</v>
      </c>
      <c r="D1075" s="65"/>
      <c r="E1075" s="65" t="s">
        <v>787</v>
      </c>
      <c r="F1075" s="65">
        <v>6</v>
      </c>
      <c r="G1075" s="65"/>
      <c r="H1075" s="65"/>
      <c r="I1075" s="65">
        <v>15.666666666666666</v>
      </c>
      <c r="J1075" s="65" t="s">
        <v>879</v>
      </c>
      <c r="K1075" s="65"/>
      <c r="L1075" s="65"/>
      <c r="M1075" s="65"/>
      <c r="N1075" s="65"/>
      <c r="O1075" s="65" t="s">
        <v>883</v>
      </c>
      <c r="P1075" s="65"/>
      <c r="Q1075" s="65">
        <v>1</v>
      </c>
      <c r="R1075" s="65">
        <v>489</v>
      </c>
      <c r="S1075" s="65"/>
    </row>
    <row r="1076" spans="1:19" x14ac:dyDescent="0.25">
      <c r="A1076" s="15">
        <v>48</v>
      </c>
      <c r="B1076" s="65"/>
      <c r="C1076" s="65">
        <v>2429</v>
      </c>
      <c r="D1076" s="65"/>
      <c r="E1076" s="65" t="s">
        <v>787</v>
      </c>
      <c r="F1076" s="65">
        <v>6</v>
      </c>
      <c r="G1076" s="65"/>
      <c r="H1076" s="65"/>
      <c r="I1076" s="65">
        <v>15.666666666666666</v>
      </c>
      <c r="J1076" s="65" t="s">
        <v>879</v>
      </c>
      <c r="K1076" s="65"/>
      <c r="L1076" s="65"/>
      <c r="M1076" s="65"/>
      <c r="N1076" s="65"/>
      <c r="O1076" s="65" t="s">
        <v>884</v>
      </c>
      <c r="P1076" s="65"/>
      <c r="Q1076" s="65">
        <v>1</v>
      </c>
      <c r="R1076" s="65">
        <v>490</v>
      </c>
      <c r="S1076" s="65"/>
    </row>
    <row r="1077" spans="1:19" x14ac:dyDescent="0.25">
      <c r="A1077" s="15">
        <v>48</v>
      </c>
      <c r="B1077" s="65"/>
      <c r="C1077" s="65">
        <v>2429</v>
      </c>
      <c r="D1077" s="65"/>
      <c r="E1077" s="65" t="s">
        <v>787</v>
      </c>
      <c r="F1077" s="65">
        <v>6</v>
      </c>
      <c r="G1077" s="65"/>
      <c r="H1077" s="65"/>
      <c r="I1077" s="65">
        <v>15.666666666666666</v>
      </c>
      <c r="J1077" s="65" t="s">
        <v>879</v>
      </c>
      <c r="K1077" s="65"/>
      <c r="L1077" s="65"/>
      <c r="M1077" s="65"/>
      <c r="N1077" s="65"/>
      <c r="O1077" s="65" t="s">
        <v>885</v>
      </c>
      <c r="P1077" s="65"/>
      <c r="Q1077" s="65">
        <v>1</v>
      </c>
      <c r="R1077" s="65">
        <v>491</v>
      </c>
      <c r="S1077" s="65"/>
    </row>
    <row r="1078" spans="1:19" x14ac:dyDescent="0.25">
      <c r="A1078" s="15">
        <v>48</v>
      </c>
      <c r="B1078" s="65"/>
      <c r="C1078" s="65">
        <v>2429</v>
      </c>
      <c r="D1078" s="65"/>
      <c r="E1078" s="65" t="s">
        <v>787</v>
      </c>
      <c r="F1078" s="65">
        <v>6</v>
      </c>
      <c r="G1078" s="65"/>
      <c r="H1078" s="65"/>
      <c r="I1078" s="65">
        <v>15.666666666666666</v>
      </c>
      <c r="J1078" s="65" t="s">
        <v>879</v>
      </c>
      <c r="K1078" s="65"/>
      <c r="L1078" s="65"/>
      <c r="M1078" s="65"/>
      <c r="N1078" s="65"/>
      <c r="O1078" s="65" t="s">
        <v>886</v>
      </c>
      <c r="P1078" s="65"/>
      <c r="Q1078" s="65">
        <v>1</v>
      </c>
      <c r="R1078" s="65">
        <v>492</v>
      </c>
      <c r="S1078" s="65"/>
    </row>
    <row r="1079" spans="1:19" x14ac:dyDescent="0.25">
      <c r="A1079" s="15">
        <v>48</v>
      </c>
      <c r="B1079" s="65"/>
      <c r="C1079" s="65">
        <v>2429</v>
      </c>
      <c r="D1079" s="65"/>
      <c r="E1079" s="65" t="s">
        <v>787</v>
      </c>
      <c r="F1079" s="65">
        <v>6</v>
      </c>
      <c r="G1079" s="65"/>
      <c r="H1079" s="65"/>
      <c r="I1079" s="65">
        <v>15.666666666666666</v>
      </c>
      <c r="J1079" s="65" t="s">
        <v>879</v>
      </c>
      <c r="K1079" s="65"/>
      <c r="L1079" s="65"/>
      <c r="M1079" s="65"/>
      <c r="N1079" s="65"/>
      <c r="O1079" s="65" t="s">
        <v>887</v>
      </c>
      <c r="P1079" s="65"/>
      <c r="Q1079" s="65">
        <v>1</v>
      </c>
      <c r="R1079" s="65">
        <v>493</v>
      </c>
      <c r="S1079" s="65"/>
    </row>
    <row r="1080" spans="1:19" x14ac:dyDescent="0.25">
      <c r="A1080" s="15">
        <v>48</v>
      </c>
      <c r="B1080" s="65"/>
      <c r="C1080" s="65">
        <v>2429</v>
      </c>
      <c r="D1080" s="65"/>
      <c r="E1080" s="65" t="s">
        <v>787</v>
      </c>
      <c r="F1080" s="65">
        <v>6</v>
      </c>
      <c r="G1080" s="65"/>
      <c r="H1080" s="65"/>
      <c r="I1080" s="65">
        <v>15.666666666666666</v>
      </c>
      <c r="J1080" s="65" t="s">
        <v>879</v>
      </c>
      <c r="K1080" s="65"/>
      <c r="L1080" s="65"/>
      <c r="M1080" s="65"/>
      <c r="N1080" s="65"/>
      <c r="O1080" s="65" t="s">
        <v>888</v>
      </c>
      <c r="P1080" s="65"/>
      <c r="Q1080" s="65">
        <v>1</v>
      </c>
      <c r="R1080" s="65">
        <v>494</v>
      </c>
      <c r="S1080" s="65"/>
    </row>
    <row r="1081" spans="1:19" x14ac:dyDescent="0.25">
      <c r="A1081" s="15">
        <v>48</v>
      </c>
      <c r="B1081" s="65"/>
      <c r="C1081" s="65">
        <v>2429</v>
      </c>
      <c r="D1081" s="65"/>
      <c r="E1081" s="65" t="s">
        <v>787</v>
      </c>
      <c r="F1081" s="65">
        <v>6</v>
      </c>
      <c r="G1081" s="65"/>
      <c r="H1081" s="65"/>
      <c r="I1081" s="65">
        <v>15.666666666666666</v>
      </c>
      <c r="J1081" s="65" t="s">
        <v>879</v>
      </c>
      <c r="K1081" s="65"/>
      <c r="L1081" s="65"/>
      <c r="M1081" s="65"/>
      <c r="N1081" s="65"/>
      <c r="O1081" s="65" t="s">
        <v>889</v>
      </c>
      <c r="P1081" s="65"/>
      <c r="Q1081" s="65">
        <v>1</v>
      </c>
      <c r="R1081" s="65">
        <v>495</v>
      </c>
      <c r="S1081" s="65"/>
    </row>
    <row r="1082" spans="1:19" x14ac:dyDescent="0.25">
      <c r="A1082" s="15">
        <v>48</v>
      </c>
      <c r="B1082" s="65"/>
      <c r="C1082" s="65">
        <v>2429</v>
      </c>
      <c r="D1082" s="65"/>
      <c r="E1082" s="65" t="s">
        <v>787</v>
      </c>
      <c r="F1082" s="65">
        <v>6</v>
      </c>
      <c r="G1082" s="65"/>
      <c r="H1082" s="65"/>
      <c r="I1082" s="65">
        <v>15.666666666666666</v>
      </c>
      <c r="J1082" s="65" t="s">
        <v>879</v>
      </c>
      <c r="K1082" s="65"/>
      <c r="L1082" s="65"/>
      <c r="M1082" s="65"/>
      <c r="N1082" s="65"/>
      <c r="O1082" s="65" t="s">
        <v>890</v>
      </c>
      <c r="P1082" s="65"/>
      <c r="Q1082" s="65">
        <v>1</v>
      </c>
      <c r="R1082" s="65">
        <v>496</v>
      </c>
      <c r="S1082" s="65"/>
    </row>
    <row r="1083" spans="1:19" x14ac:dyDescent="0.25">
      <c r="A1083" s="15">
        <v>48</v>
      </c>
      <c r="B1083" s="65"/>
      <c r="C1083" s="65">
        <v>2429</v>
      </c>
      <c r="D1083" s="65"/>
      <c r="E1083" s="65" t="s">
        <v>787</v>
      </c>
      <c r="F1083" s="65">
        <v>6</v>
      </c>
      <c r="G1083" s="65"/>
      <c r="H1083" s="65"/>
      <c r="I1083" s="65">
        <v>15.666666666666666</v>
      </c>
      <c r="J1083" s="65" t="s">
        <v>879</v>
      </c>
      <c r="K1083" s="65"/>
      <c r="L1083" s="65"/>
      <c r="M1083" s="65"/>
      <c r="N1083" s="65"/>
      <c r="O1083" s="65" t="s">
        <v>891</v>
      </c>
      <c r="P1083" s="65"/>
      <c r="Q1083" s="65">
        <v>1</v>
      </c>
      <c r="R1083" s="65">
        <v>497</v>
      </c>
      <c r="S1083" s="65"/>
    </row>
    <row r="1084" spans="1:19" x14ac:dyDescent="0.25">
      <c r="A1084" s="15">
        <v>48</v>
      </c>
      <c r="B1084" s="65"/>
      <c r="C1084" s="65">
        <v>2429</v>
      </c>
      <c r="D1084" s="65"/>
      <c r="E1084" s="65" t="s">
        <v>787</v>
      </c>
      <c r="F1084" s="65">
        <v>10</v>
      </c>
      <c r="G1084" s="65"/>
      <c r="H1084" s="65"/>
      <c r="I1084" s="65">
        <v>10.583333333333334</v>
      </c>
      <c r="J1084" s="65" t="s">
        <v>879</v>
      </c>
      <c r="K1084" s="65"/>
      <c r="L1084" s="65"/>
      <c r="M1084" s="65"/>
      <c r="N1084" s="65"/>
      <c r="O1084" s="65" t="s">
        <v>892</v>
      </c>
      <c r="P1084" s="65"/>
      <c r="Q1084" s="65">
        <v>1</v>
      </c>
      <c r="R1084" s="65">
        <v>498</v>
      </c>
      <c r="S1084" s="65"/>
    </row>
    <row r="1085" spans="1:19" x14ac:dyDescent="0.25">
      <c r="A1085" s="15">
        <v>48</v>
      </c>
      <c r="B1085" s="65"/>
      <c r="C1085" s="65">
        <v>2429</v>
      </c>
      <c r="D1085" s="65"/>
      <c r="E1085" s="65" t="s">
        <v>787</v>
      </c>
      <c r="F1085" s="65" t="s">
        <v>897</v>
      </c>
      <c r="G1085" s="65"/>
      <c r="H1085" s="65">
        <v>0</v>
      </c>
      <c r="I1085" s="65">
        <v>10.833333333333332</v>
      </c>
      <c r="J1085" s="65" t="s">
        <v>895</v>
      </c>
      <c r="K1085" s="65"/>
      <c r="L1085" s="65"/>
      <c r="M1085" s="65"/>
      <c r="N1085" s="65"/>
      <c r="O1085" s="65" t="s">
        <v>894</v>
      </c>
      <c r="P1085" s="65"/>
      <c r="Q1085" s="65">
        <v>1</v>
      </c>
      <c r="R1085" s="65">
        <v>567</v>
      </c>
      <c r="S1085" s="65"/>
    </row>
    <row r="1086" spans="1:19" x14ac:dyDescent="0.25">
      <c r="A1086" s="15">
        <v>48</v>
      </c>
      <c r="B1086" s="65"/>
      <c r="C1086" s="65">
        <v>2429</v>
      </c>
      <c r="D1086" s="65"/>
      <c r="E1086" s="65" t="s">
        <v>787</v>
      </c>
      <c r="F1086" s="65">
        <v>1</v>
      </c>
      <c r="G1086" s="65"/>
      <c r="H1086" s="65" t="e">
        <v>#N/A</v>
      </c>
      <c r="I1086" s="65"/>
      <c r="J1086" s="65" t="s">
        <v>899</v>
      </c>
      <c r="K1086" s="65" t="s">
        <v>900</v>
      </c>
      <c r="L1086" s="65" t="s">
        <v>900</v>
      </c>
      <c r="M1086" s="65" t="s">
        <v>900</v>
      </c>
      <c r="N1086" s="65" t="s">
        <v>900</v>
      </c>
      <c r="O1086" s="65" t="s">
        <v>898</v>
      </c>
      <c r="P1086" s="65"/>
      <c r="Q1086" s="65">
        <v>1</v>
      </c>
      <c r="R1086" s="65">
        <v>719</v>
      </c>
      <c r="S1086" s="65"/>
    </row>
    <row r="1087" spans="1:19" x14ac:dyDescent="0.25">
      <c r="A1087" s="15">
        <v>48</v>
      </c>
      <c r="B1087" s="65"/>
      <c r="C1087" s="65">
        <v>2429</v>
      </c>
      <c r="D1087" s="65"/>
      <c r="E1087" s="65" t="s">
        <v>787</v>
      </c>
      <c r="F1087" s="65">
        <v>1</v>
      </c>
      <c r="G1087" s="65"/>
      <c r="H1087" s="65" t="e">
        <v>#N/A</v>
      </c>
      <c r="I1087" s="65"/>
      <c r="J1087" s="65" t="s">
        <v>899</v>
      </c>
      <c r="K1087" s="65" t="s">
        <v>900</v>
      </c>
      <c r="L1087" s="65" t="s">
        <v>900</v>
      </c>
      <c r="M1087" s="65" t="s">
        <v>900</v>
      </c>
      <c r="N1087" s="65" t="s">
        <v>900</v>
      </c>
      <c r="O1087" s="65" t="s">
        <v>901</v>
      </c>
      <c r="P1087" s="65"/>
      <c r="Q1087" s="65">
        <v>1</v>
      </c>
      <c r="R1087" s="65">
        <v>720</v>
      </c>
      <c r="S1087" s="65"/>
    </row>
    <row r="1088" spans="1:19" x14ac:dyDescent="0.25">
      <c r="A1088" s="15">
        <v>48</v>
      </c>
      <c r="B1088" s="65"/>
      <c r="C1088" s="65">
        <v>2429</v>
      </c>
      <c r="D1088" s="65"/>
      <c r="E1088" s="65" t="s">
        <v>787</v>
      </c>
      <c r="F1088" s="65">
        <v>1</v>
      </c>
      <c r="G1088" s="65"/>
      <c r="H1088" s="65" t="e">
        <v>#N/A</v>
      </c>
      <c r="I1088" s="65"/>
      <c r="J1088" s="65" t="s">
        <v>899</v>
      </c>
      <c r="K1088" s="65" t="s">
        <v>900</v>
      </c>
      <c r="L1088" s="65" t="s">
        <v>900</v>
      </c>
      <c r="M1088" s="65" t="s">
        <v>900</v>
      </c>
      <c r="N1088" s="65" t="s">
        <v>900</v>
      </c>
      <c r="O1088" s="65" t="s">
        <v>902</v>
      </c>
      <c r="P1088" s="65"/>
      <c r="Q1088" s="65">
        <v>1</v>
      </c>
      <c r="R1088" s="65">
        <v>721</v>
      </c>
      <c r="S1088" s="65"/>
    </row>
    <row r="1089" spans="1:19" x14ac:dyDescent="0.25">
      <c r="A1089" s="15">
        <v>48</v>
      </c>
      <c r="B1089" s="65"/>
      <c r="C1089" s="65">
        <v>2429</v>
      </c>
      <c r="D1089" s="65"/>
      <c r="E1089" s="65" t="s">
        <v>787</v>
      </c>
      <c r="F1089" s="65">
        <v>1</v>
      </c>
      <c r="G1089" s="65"/>
      <c r="H1089" s="65" t="e">
        <v>#N/A</v>
      </c>
      <c r="I1089" s="65"/>
      <c r="J1089" s="65" t="s">
        <v>899</v>
      </c>
      <c r="K1089" s="65" t="s">
        <v>900</v>
      </c>
      <c r="L1089" s="65" t="s">
        <v>900</v>
      </c>
      <c r="M1089" s="65" t="s">
        <v>900</v>
      </c>
      <c r="N1089" s="65" t="s">
        <v>900</v>
      </c>
      <c r="O1089" s="65" t="s">
        <v>903</v>
      </c>
      <c r="P1089" s="65"/>
      <c r="Q1089" s="65">
        <v>1</v>
      </c>
      <c r="R1089" s="65">
        <v>722</v>
      </c>
      <c r="S1089" s="65"/>
    </row>
    <row r="1090" spans="1:19" x14ac:dyDescent="0.25">
      <c r="A1090" s="15">
        <v>48</v>
      </c>
      <c r="B1090" s="65"/>
      <c r="C1090" s="65">
        <v>2429</v>
      </c>
      <c r="D1090" s="65"/>
      <c r="E1090" s="65" t="s">
        <v>787</v>
      </c>
      <c r="F1090" s="65">
        <v>1</v>
      </c>
      <c r="G1090" s="65"/>
      <c r="H1090" s="65" t="e">
        <v>#N/A</v>
      </c>
      <c r="I1090" s="65"/>
      <c r="J1090" s="65" t="s">
        <v>899</v>
      </c>
      <c r="K1090" s="65" t="s">
        <v>900</v>
      </c>
      <c r="L1090" s="65" t="s">
        <v>900</v>
      </c>
      <c r="M1090" s="65" t="s">
        <v>900</v>
      </c>
      <c r="N1090" s="65" t="s">
        <v>900</v>
      </c>
      <c r="O1090" s="65" t="s">
        <v>904</v>
      </c>
      <c r="P1090" s="65"/>
      <c r="Q1090" s="65">
        <v>1</v>
      </c>
      <c r="R1090" s="65">
        <v>723</v>
      </c>
      <c r="S1090" s="65"/>
    </row>
    <row r="1091" spans="1:19" x14ac:dyDescent="0.25">
      <c r="A1091" s="15">
        <v>48</v>
      </c>
      <c r="B1091" s="65"/>
      <c r="C1091" s="65">
        <v>2429</v>
      </c>
      <c r="D1091" s="65"/>
      <c r="E1091" s="65" t="s">
        <v>787</v>
      </c>
      <c r="F1091" s="65">
        <v>1</v>
      </c>
      <c r="G1091" s="65"/>
      <c r="H1091" s="65" t="e">
        <v>#N/A</v>
      </c>
      <c r="I1091" s="65"/>
      <c r="J1091" s="65" t="s">
        <v>899</v>
      </c>
      <c r="K1091" s="65" t="s">
        <v>900</v>
      </c>
      <c r="L1091" s="65" t="s">
        <v>900</v>
      </c>
      <c r="M1091" s="65" t="s">
        <v>900</v>
      </c>
      <c r="N1091" s="65" t="s">
        <v>900</v>
      </c>
      <c r="O1091" s="65" t="s">
        <v>905</v>
      </c>
      <c r="P1091" s="65"/>
      <c r="Q1091" s="65">
        <v>1</v>
      </c>
      <c r="R1091" s="65">
        <v>724</v>
      </c>
      <c r="S1091" s="65"/>
    </row>
    <row r="1092" spans="1:19" x14ac:dyDescent="0.25">
      <c r="A1092" s="15">
        <v>48</v>
      </c>
      <c r="B1092" s="65"/>
      <c r="C1092" s="65">
        <v>2429</v>
      </c>
      <c r="D1092" s="65"/>
      <c r="E1092" s="65" t="s">
        <v>787</v>
      </c>
      <c r="F1092" s="65">
        <v>1</v>
      </c>
      <c r="G1092" s="65"/>
      <c r="H1092" s="65" t="e">
        <v>#N/A</v>
      </c>
      <c r="I1092" s="65"/>
      <c r="J1092" s="65" t="s">
        <v>899</v>
      </c>
      <c r="K1092" s="65" t="s">
        <v>900</v>
      </c>
      <c r="L1092" s="65" t="s">
        <v>900</v>
      </c>
      <c r="M1092" s="65" t="s">
        <v>900</v>
      </c>
      <c r="N1092" s="65" t="s">
        <v>900</v>
      </c>
      <c r="O1092" s="65" t="s">
        <v>906</v>
      </c>
      <c r="P1092" s="65"/>
      <c r="Q1092" s="65">
        <v>1</v>
      </c>
      <c r="R1092" s="65">
        <v>725</v>
      </c>
      <c r="S1092" s="65"/>
    </row>
    <row r="1093" spans="1:19" x14ac:dyDescent="0.25">
      <c r="A1093" s="15">
        <v>48</v>
      </c>
      <c r="B1093" s="65"/>
      <c r="C1093" s="65">
        <v>2429</v>
      </c>
      <c r="D1093" s="65"/>
      <c r="E1093" s="65" t="s">
        <v>787</v>
      </c>
      <c r="F1093" s="65">
        <v>1</v>
      </c>
      <c r="G1093" s="65"/>
      <c r="H1093" s="65" t="e">
        <v>#N/A</v>
      </c>
      <c r="I1093" s="65"/>
      <c r="J1093" s="65" t="s">
        <v>899</v>
      </c>
      <c r="K1093" s="65" t="s">
        <v>900</v>
      </c>
      <c r="L1093" s="65" t="s">
        <v>900</v>
      </c>
      <c r="M1093" s="65" t="s">
        <v>900</v>
      </c>
      <c r="N1093" s="65" t="s">
        <v>900</v>
      </c>
      <c r="O1093" s="65" t="s">
        <v>907</v>
      </c>
      <c r="P1093" s="65"/>
      <c r="Q1093" s="65">
        <v>1</v>
      </c>
      <c r="R1093" s="65">
        <v>726</v>
      </c>
      <c r="S1093" s="65"/>
    </row>
    <row r="1094" spans="1:19" x14ac:dyDescent="0.25">
      <c r="A1094" s="15">
        <v>48</v>
      </c>
      <c r="B1094" s="65"/>
      <c r="C1094" s="65">
        <v>2429</v>
      </c>
      <c r="D1094" s="65"/>
      <c r="E1094" s="65" t="s">
        <v>787</v>
      </c>
      <c r="F1094" s="65">
        <v>1</v>
      </c>
      <c r="G1094" s="65"/>
      <c r="H1094" s="65" t="e">
        <v>#N/A</v>
      </c>
      <c r="I1094" s="65"/>
      <c r="J1094" s="65" t="s">
        <v>899</v>
      </c>
      <c r="K1094" s="65" t="s">
        <v>900</v>
      </c>
      <c r="L1094" s="65" t="s">
        <v>900</v>
      </c>
      <c r="M1094" s="65" t="s">
        <v>900</v>
      </c>
      <c r="N1094" s="65" t="s">
        <v>900</v>
      </c>
      <c r="O1094" s="65" t="s">
        <v>908</v>
      </c>
      <c r="P1094" s="65"/>
      <c r="Q1094" s="65">
        <v>1</v>
      </c>
      <c r="R1094" s="65">
        <v>727</v>
      </c>
      <c r="S1094" s="65"/>
    </row>
    <row r="1095" spans="1:19" x14ac:dyDescent="0.25">
      <c r="A1095" s="15">
        <v>48</v>
      </c>
      <c r="B1095" s="65"/>
      <c r="C1095" s="65">
        <v>2429</v>
      </c>
      <c r="D1095" s="65"/>
      <c r="E1095" s="65" t="s">
        <v>787</v>
      </c>
      <c r="F1095" s="65">
        <v>1</v>
      </c>
      <c r="G1095" s="65"/>
      <c r="H1095" s="65" t="e">
        <v>#N/A</v>
      </c>
      <c r="I1095" s="65"/>
      <c r="J1095" s="65" t="s">
        <v>899</v>
      </c>
      <c r="K1095" s="65" t="s">
        <v>900</v>
      </c>
      <c r="L1095" s="65" t="s">
        <v>900</v>
      </c>
      <c r="M1095" s="65" t="s">
        <v>900</v>
      </c>
      <c r="N1095" s="65" t="s">
        <v>900</v>
      </c>
      <c r="O1095" s="65" t="s">
        <v>909</v>
      </c>
      <c r="P1095" s="65"/>
      <c r="Q1095" s="65">
        <v>1</v>
      </c>
      <c r="R1095" s="65">
        <v>728</v>
      </c>
      <c r="S1095" s="65"/>
    </row>
    <row r="1096" spans="1:19" x14ac:dyDescent="0.25">
      <c r="A1096" s="15">
        <v>48</v>
      </c>
      <c r="B1096" s="65"/>
      <c r="C1096" s="65">
        <v>2429</v>
      </c>
      <c r="D1096" s="65"/>
      <c r="E1096" s="65" t="s">
        <v>787</v>
      </c>
      <c r="F1096" s="65">
        <v>1</v>
      </c>
      <c r="G1096" s="65"/>
      <c r="H1096" s="65" t="e">
        <v>#N/A</v>
      </c>
      <c r="I1096" s="65"/>
      <c r="J1096" s="65" t="s">
        <v>899</v>
      </c>
      <c r="K1096" s="65" t="s">
        <v>900</v>
      </c>
      <c r="L1096" s="65" t="s">
        <v>900</v>
      </c>
      <c r="M1096" s="65" t="s">
        <v>900</v>
      </c>
      <c r="N1096" s="65" t="s">
        <v>900</v>
      </c>
      <c r="O1096" s="65" t="s">
        <v>910</v>
      </c>
      <c r="P1096" s="65"/>
      <c r="Q1096" s="65">
        <v>1</v>
      </c>
      <c r="R1096" s="65">
        <v>729</v>
      </c>
      <c r="S1096" s="65"/>
    </row>
    <row r="1097" spans="1:19" x14ac:dyDescent="0.25">
      <c r="A1097" s="15">
        <v>48</v>
      </c>
      <c r="B1097" s="65"/>
      <c r="C1097" s="65">
        <v>2429</v>
      </c>
      <c r="D1097" s="65"/>
      <c r="E1097" s="65" t="s">
        <v>787</v>
      </c>
      <c r="F1097" s="65">
        <v>1</v>
      </c>
      <c r="G1097" s="65"/>
      <c r="H1097" s="65" t="e">
        <v>#N/A</v>
      </c>
      <c r="I1097" s="65"/>
      <c r="J1097" s="65" t="s">
        <v>899</v>
      </c>
      <c r="K1097" s="65" t="s">
        <v>900</v>
      </c>
      <c r="L1097" s="65" t="s">
        <v>900</v>
      </c>
      <c r="M1097" s="65" t="s">
        <v>900</v>
      </c>
      <c r="N1097" s="65" t="s">
        <v>900</v>
      </c>
      <c r="O1097" s="65" t="s">
        <v>911</v>
      </c>
      <c r="P1097" s="65"/>
      <c r="Q1097" s="65">
        <v>1</v>
      </c>
      <c r="R1097" s="65">
        <v>730</v>
      </c>
      <c r="S1097" s="65"/>
    </row>
    <row r="1098" spans="1:19" x14ac:dyDescent="0.25">
      <c r="A1098" s="15">
        <v>48</v>
      </c>
      <c r="B1098" s="65"/>
      <c r="C1098" s="65">
        <v>2429</v>
      </c>
      <c r="D1098" s="65"/>
      <c r="E1098" s="65" t="s">
        <v>787</v>
      </c>
      <c r="F1098" s="65">
        <v>0</v>
      </c>
      <c r="G1098" s="65"/>
      <c r="H1098" s="65">
        <v>3</v>
      </c>
      <c r="I1098" s="65" t="e">
        <v>#N/A</v>
      </c>
      <c r="J1098" s="65" t="s">
        <v>899</v>
      </c>
      <c r="K1098" s="65"/>
      <c r="L1098" s="65"/>
      <c r="M1098" s="65"/>
      <c r="N1098" s="65"/>
      <c r="O1098" s="65" t="s">
        <v>912</v>
      </c>
      <c r="P1098" s="65"/>
      <c r="Q1098" s="65">
        <v>1</v>
      </c>
      <c r="R1098" s="65">
        <v>946</v>
      </c>
      <c r="S1098" s="65"/>
    </row>
    <row r="1099" spans="1:19" x14ac:dyDescent="0.25">
      <c r="A1099" s="15">
        <v>48</v>
      </c>
      <c r="B1099" s="65"/>
      <c r="C1099" s="65">
        <v>2429</v>
      </c>
      <c r="D1099" s="65"/>
      <c r="E1099" s="65" t="s">
        <v>787</v>
      </c>
      <c r="F1099" s="65">
        <v>0</v>
      </c>
      <c r="G1099" s="65"/>
      <c r="H1099" s="65">
        <v>3</v>
      </c>
      <c r="I1099" s="65" t="e">
        <v>#N/A</v>
      </c>
      <c r="J1099" s="65" t="s">
        <v>899</v>
      </c>
      <c r="K1099" s="65"/>
      <c r="L1099" s="65"/>
      <c r="M1099" s="65"/>
      <c r="N1099" s="65"/>
      <c r="O1099" s="65" t="s">
        <v>913</v>
      </c>
      <c r="P1099" s="65"/>
      <c r="Q1099" s="65">
        <v>1</v>
      </c>
      <c r="R1099" s="65">
        <v>947</v>
      </c>
      <c r="S1099" s="65"/>
    </row>
    <row r="1100" spans="1:19" x14ac:dyDescent="0.25">
      <c r="A1100" s="15">
        <v>48</v>
      </c>
      <c r="B1100" s="65"/>
      <c r="C1100" s="65">
        <v>2429</v>
      </c>
      <c r="D1100" s="65"/>
      <c r="E1100" s="65" t="s">
        <v>787</v>
      </c>
      <c r="F1100" s="65">
        <v>0</v>
      </c>
      <c r="G1100" s="65"/>
      <c r="H1100" s="65">
        <v>3</v>
      </c>
      <c r="I1100" s="65" t="e">
        <v>#N/A</v>
      </c>
      <c r="J1100" s="65" t="s">
        <v>899</v>
      </c>
      <c r="K1100" s="65"/>
      <c r="L1100" s="65"/>
      <c r="M1100" s="65"/>
      <c r="N1100" s="65"/>
      <c r="O1100" s="65" t="s">
        <v>914</v>
      </c>
      <c r="P1100" s="65"/>
      <c r="Q1100" s="65">
        <v>1</v>
      </c>
      <c r="R1100" s="65">
        <v>948</v>
      </c>
      <c r="S1100" s="65"/>
    </row>
    <row r="1101" spans="1:19" x14ac:dyDescent="0.25">
      <c r="A1101" s="15">
        <v>48</v>
      </c>
      <c r="B1101" s="65"/>
      <c r="C1101" s="65">
        <v>2429</v>
      </c>
      <c r="D1101" s="65"/>
      <c r="E1101" s="65" t="s">
        <v>787</v>
      </c>
      <c r="F1101" s="65">
        <v>0</v>
      </c>
      <c r="G1101" s="65"/>
      <c r="H1101" s="65">
        <v>3</v>
      </c>
      <c r="I1101" s="65" t="e">
        <v>#N/A</v>
      </c>
      <c r="J1101" s="65" t="s">
        <v>899</v>
      </c>
      <c r="K1101" s="65"/>
      <c r="L1101" s="65"/>
      <c r="M1101" s="65"/>
      <c r="N1101" s="65"/>
      <c r="O1101" s="65" t="s">
        <v>915</v>
      </c>
      <c r="P1101" s="65"/>
      <c r="Q1101" s="65">
        <v>1</v>
      </c>
      <c r="R1101" s="65">
        <v>949</v>
      </c>
      <c r="S1101" s="65"/>
    </row>
    <row r="1102" spans="1:19" x14ac:dyDescent="0.25">
      <c r="A1102" s="15">
        <v>48</v>
      </c>
      <c r="B1102" s="65"/>
      <c r="C1102" s="65">
        <v>2429</v>
      </c>
      <c r="D1102" s="65"/>
      <c r="E1102" s="65" t="s">
        <v>787</v>
      </c>
      <c r="F1102" s="65">
        <v>0</v>
      </c>
      <c r="G1102" s="65"/>
      <c r="H1102" s="65">
        <v>3</v>
      </c>
      <c r="I1102" s="65" t="e">
        <v>#N/A</v>
      </c>
      <c r="J1102" s="65" t="s">
        <v>899</v>
      </c>
      <c r="K1102" s="65"/>
      <c r="L1102" s="65"/>
      <c r="M1102" s="65"/>
      <c r="N1102" s="65"/>
      <c r="O1102" s="65" t="s">
        <v>916</v>
      </c>
      <c r="P1102" s="65"/>
      <c r="Q1102" s="65">
        <v>1</v>
      </c>
      <c r="R1102" s="65">
        <v>950</v>
      </c>
      <c r="S1102" s="65"/>
    </row>
    <row r="1103" spans="1:19" x14ac:dyDescent="0.25">
      <c r="A1103" s="15">
        <v>48</v>
      </c>
      <c r="B1103" s="65"/>
      <c r="C1103" s="65">
        <v>2429</v>
      </c>
      <c r="D1103" s="65"/>
      <c r="E1103" s="65" t="s">
        <v>787</v>
      </c>
      <c r="F1103" s="65">
        <v>0</v>
      </c>
      <c r="G1103" s="65"/>
      <c r="H1103" s="65">
        <v>3</v>
      </c>
      <c r="I1103" s="65" t="e">
        <v>#N/A</v>
      </c>
      <c r="J1103" s="65" t="s">
        <v>899</v>
      </c>
      <c r="K1103" s="65"/>
      <c r="L1103" s="65"/>
      <c r="M1103" s="65"/>
      <c r="N1103" s="65"/>
      <c r="O1103" s="65" t="s">
        <v>917</v>
      </c>
      <c r="P1103" s="65"/>
      <c r="Q1103" s="65">
        <v>1</v>
      </c>
      <c r="R1103" s="65">
        <v>951</v>
      </c>
      <c r="S1103" s="65"/>
    </row>
    <row r="1104" spans="1:19" x14ac:dyDescent="0.25">
      <c r="A1104" s="15">
        <v>48</v>
      </c>
      <c r="B1104" s="65"/>
      <c r="C1104" s="65">
        <v>2429</v>
      </c>
      <c r="D1104" s="65"/>
      <c r="E1104" s="65" t="s">
        <v>787</v>
      </c>
      <c r="F1104" s="65">
        <v>0</v>
      </c>
      <c r="G1104" s="65"/>
      <c r="H1104" s="65">
        <v>3</v>
      </c>
      <c r="I1104" s="65" t="e">
        <v>#N/A</v>
      </c>
      <c r="J1104" s="65" t="s">
        <v>899</v>
      </c>
      <c r="K1104" s="65"/>
      <c r="L1104" s="65"/>
      <c r="M1104" s="65"/>
      <c r="N1104" s="65"/>
      <c r="O1104" s="65" t="s">
        <v>918</v>
      </c>
      <c r="P1104" s="65"/>
      <c r="Q1104" s="65">
        <v>1</v>
      </c>
      <c r="R1104" s="65">
        <v>952</v>
      </c>
      <c r="S1104" s="65"/>
    </row>
    <row r="1105" spans="1:19" x14ac:dyDescent="0.25">
      <c r="A1105" s="15">
        <v>48</v>
      </c>
      <c r="B1105" s="65"/>
      <c r="C1105" s="65">
        <v>2429</v>
      </c>
      <c r="D1105" s="65"/>
      <c r="E1105" s="65" t="s">
        <v>787</v>
      </c>
      <c r="F1105" s="65">
        <v>0</v>
      </c>
      <c r="G1105" s="65"/>
      <c r="H1105" s="65">
        <v>3</v>
      </c>
      <c r="I1105" s="65" t="e">
        <v>#N/A</v>
      </c>
      <c r="J1105" s="65" t="s">
        <v>899</v>
      </c>
      <c r="K1105" s="65"/>
      <c r="L1105" s="65"/>
      <c r="M1105" s="65"/>
      <c r="N1105" s="65"/>
      <c r="O1105" s="65" t="s">
        <v>919</v>
      </c>
      <c r="P1105" s="65"/>
      <c r="Q1105" s="65">
        <v>1</v>
      </c>
      <c r="R1105" s="65">
        <v>953</v>
      </c>
      <c r="S1105" s="65"/>
    </row>
    <row r="1106" spans="1:19" x14ac:dyDescent="0.25">
      <c r="A1106" s="15">
        <v>48</v>
      </c>
      <c r="B1106" s="65"/>
      <c r="C1106" s="65">
        <v>2429</v>
      </c>
      <c r="D1106" s="65"/>
      <c r="E1106" s="65" t="s">
        <v>787</v>
      </c>
      <c r="F1106" s="65">
        <v>0</v>
      </c>
      <c r="G1106" s="65"/>
      <c r="H1106" s="65">
        <v>3</v>
      </c>
      <c r="I1106" s="65" t="e">
        <v>#N/A</v>
      </c>
      <c r="J1106" s="65" t="s">
        <v>899</v>
      </c>
      <c r="K1106" s="65"/>
      <c r="L1106" s="65"/>
      <c r="M1106" s="65"/>
      <c r="N1106" s="65"/>
      <c r="O1106" s="65" t="s">
        <v>920</v>
      </c>
      <c r="P1106" s="65"/>
      <c r="Q1106" s="65">
        <v>1</v>
      </c>
      <c r="R1106" s="65">
        <v>954</v>
      </c>
      <c r="S1106" s="65"/>
    </row>
    <row r="1107" spans="1:19" x14ac:dyDescent="0.25">
      <c r="A1107" s="15">
        <v>48</v>
      </c>
      <c r="B1107" s="65"/>
      <c r="C1107" s="65">
        <v>2429</v>
      </c>
      <c r="D1107" s="65"/>
      <c r="E1107" s="65" t="s">
        <v>787</v>
      </c>
      <c r="F1107" s="65">
        <v>0</v>
      </c>
      <c r="G1107" s="65"/>
      <c r="H1107" s="65">
        <v>3</v>
      </c>
      <c r="I1107" s="65" t="e">
        <v>#N/A</v>
      </c>
      <c r="J1107" s="65" t="s">
        <v>899</v>
      </c>
      <c r="K1107" s="65"/>
      <c r="L1107" s="65"/>
      <c r="M1107" s="65"/>
      <c r="N1107" s="65"/>
      <c r="O1107" s="65" t="s">
        <v>921</v>
      </c>
      <c r="P1107" s="65"/>
      <c r="Q1107" s="65">
        <v>1</v>
      </c>
      <c r="R1107" s="65">
        <v>955</v>
      </c>
      <c r="S1107" s="65"/>
    </row>
    <row r="1108" spans="1:19" x14ac:dyDescent="0.25">
      <c r="A1108" s="15">
        <v>48</v>
      </c>
      <c r="B1108" s="65"/>
      <c r="C1108" s="65">
        <v>2429</v>
      </c>
      <c r="D1108" s="65"/>
      <c r="E1108" s="65" t="s">
        <v>787</v>
      </c>
      <c r="F1108" s="65">
        <v>0</v>
      </c>
      <c r="G1108" s="65"/>
      <c r="H1108" s="65">
        <v>3</v>
      </c>
      <c r="I1108" s="65" t="e">
        <v>#N/A</v>
      </c>
      <c r="J1108" s="65" t="s">
        <v>899</v>
      </c>
      <c r="K1108" s="65"/>
      <c r="L1108" s="65"/>
      <c r="M1108" s="65"/>
      <c r="N1108" s="65"/>
      <c r="O1108" s="65" t="s">
        <v>922</v>
      </c>
      <c r="P1108" s="65"/>
      <c r="Q1108" s="65">
        <v>1</v>
      </c>
      <c r="R1108" s="65">
        <v>956</v>
      </c>
      <c r="S1108" s="65"/>
    </row>
    <row r="1109" spans="1:19" x14ac:dyDescent="0.25">
      <c r="A1109" s="15">
        <v>48</v>
      </c>
      <c r="B1109" s="65"/>
      <c r="C1109" s="65">
        <v>2429</v>
      </c>
      <c r="D1109" s="65"/>
      <c r="E1109" s="65" t="s">
        <v>787</v>
      </c>
      <c r="F1109" s="65">
        <v>0</v>
      </c>
      <c r="G1109" s="65"/>
      <c r="H1109" s="65">
        <v>3</v>
      </c>
      <c r="I1109" s="65" t="e">
        <v>#N/A</v>
      </c>
      <c r="J1109" s="65" t="s">
        <v>899</v>
      </c>
      <c r="K1109" s="65"/>
      <c r="L1109" s="65"/>
      <c r="M1109" s="65"/>
      <c r="N1109" s="65"/>
      <c r="O1109" s="65" t="s">
        <v>923</v>
      </c>
      <c r="P1109" s="65"/>
      <c r="Q1109" s="65">
        <v>1</v>
      </c>
      <c r="R1109" s="65">
        <v>957</v>
      </c>
      <c r="S1109" s="65"/>
    </row>
    <row r="1110" spans="1:19" x14ac:dyDescent="0.25">
      <c r="A1110" s="15">
        <v>48</v>
      </c>
      <c r="B1110" s="65"/>
      <c r="C1110" s="65">
        <v>2429</v>
      </c>
      <c r="D1110" s="65"/>
      <c r="E1110" s="65" t="s">
        <v>787</v>
      </c>
      <c r="F1110" s="65">
        <v>3</v>
      </c>
      <c r="G1110" s="65"/>
      <c r="H1110" s="65">
        <v>3</v>
      </c>
      <c r="I1110" s="65" t="e">
        <v>#N/A</v>
      </c>
      <c r="J1110" s="65" t="s">
        <v>899</v>
      </c>
      <c r="K1110" s="65"/>
      <c r="L1110" s="65"/>
      <c r="M1110" s="65"/>
      <c r="N1110" s="65"/>
      <c r="O1110" s="65" t="s">
        <v>924</v>
      </c>
      <c r="P1110" s="65"/>
      <c r="Q1110" s="65">
        <v>1</v>
      </c>
      <c r="R1110" s="65">
        <v>1173</v>
      </c>
      <c r="S1110" s="65"/>
    </row>
    <row r="1111" spans="1:19" x14ac:dyDescent="0.25">
      <c r="A1111" s="15">
        <v>48</v>
      </c>
      <c r="B1111" s="65"/>
      <c r="C1111" s="65">
        <v>2429</v>
      </c>
      <c r="D1111" s="65"/>
      <c r="E1111" s="65" t="s">
        <v>787</v>
      </c>
      <c r="F1111" s="65">
        <v>3</v>
      </c>
      <c r="G1111" s="65"/>
      <c r="H1111" s="65">
        <v>3</v>
      </c>
      <c r="I1111" s="65" t="e">
        <v>#N/A</v>
      </c>
      <c r="J1111" s="65" t="s">
        <v>899</v>
      </c>
      <c r="K1111" s="65"/>
      <c r="L1111" s="65"/>
      <c r="M1111" s="65"/>
      <c r="N1111" s="65"/>
      <c r="O1111" s="65" t="s">
        <v>925</v>
      </c>
      <c r="P1111" s="65"/>
      <c r="Q1111" s="65">
        <v>1</v>
      </c>
      <c r="R1111" s="65">
        <v>1174</v>
      </c>
      <c r="S1111" s="65"/>
    </row>
    <row r="1112" spans="1:19" x14ac:dyDescent="0.25">
      <c r="A1112" s="15">
        <v>48</v>
      </c>
      <c r="B1112" s="65"/>
      <c r="C1112" s="65">
        <v>2429</v>
      </c>
      <c r="D1112" s="65"/>
      <c r="E1112" s="65" t="s">
        <v>787</v>
      </c>
      <c r="F1112" s="65">
        <v>3</v>
      </c>
      <c r="G1112" s="65"/>
      <c r="H1112" s="65">
        <v>3</v>
      </c>
      <c r="I1112" s="65" t="e">
        <v>#N/A</v>
      </c>
      <c r="J1112" s="65" t="s">
        <v>899</v>
      </c>
      <c r="K1112" s="65"/>
      <c r="L1112" s="65"/>
      <c r="M1112" s="65"/>
      <c r="N1112" s="65"/>
      <c r="O1112" s="65" t="s">
        <v>926</v>
      </c>
      <c r="P1112" s="65"/>
      <c r="Q1112" s="65">
        <v>1</v>
      </c>
      <c r="R1112" s="65">
        <v>1175</v>
      </c>
      <c r="S1112" s="65"/>
    </row>
    <row r="1113" spans="1:19" x14ac:dyDescent="0.25">
      <c r="A1113" s="15">
        <v>48</v>
      </c>
      <c r="B1113" s="65"/>
      <c r="C1113" s="65">
        <v>2429</v>
      </c>
      <c r="D1113" s="65"/>
      <c r="E1113" s="65" t="s">
        <v>787</v>
      </c>
      <c r="F1113" s="65">
        <v>3</v>
      </c>
      <c r="G1113" s="65"/>
      <c r="H1113" s="65">
        <v>3</v>
      </c>
      <c r="I1113" s="65" t="e">
        <v>#N/A</v>
      </c>
      <c r="J1113" s="65" t="s">
        <v>899</v>
      </c>
      <c r="K1113" s="65"/>
      <c r="L1113" s="65"/>
      <c r="M1113" s="65"/>
      <c r="N1113" s="65"/>
      <c r="O1113" s="65" t="s">
        <v>927</v>
      </c>
      <c r="P1113" s="65"/>
      <c r="Q1113" s="65">
        <v>1</v>
      </c>
      <c r="R1113" s="65">
        <v>1176</v>
      </c>
      <c r="S1113" s="65"/>
    </row>
    <row r="1114" spans="1:19" x14ac:dyDescent="0.25">
      <c r="A1114" s="15">
        <v>48</v>
      </c>
      <c r="B1114" s="65"/>
      <c r="C1114" s="65">
        <v>2429</v>
      </c>
      <c r="D1114" s="65"/>
      <c r="E1114" s="65" t="s">
        <v>787</v>
      </c>
      <c r="F1114" s="65">
        <v>3</v>
      </c>
      <c r="G1114" s="65"/>
      <c r="H1114" s="65">
        <v>3</v>
      </c>
      <c r="I1114" s="65" t="e">
        <v>#N/A</v>
      </c>
      <c r="J1114" s="65" t="s">
        <v>899</v>
      </c>
      <c r="K1114" s="65"/>
      <c r="L1114" s="65"/>
      <c r="M1114" s="65"/>
      <c r="N1114" s="65"/>
      <c r="O1114" s="65" t="s">
        <v>928</v>
      </c>
      <c r="P1114" s="65"/>
      <c r="Q1114" s="65">
        <v>1</v>
      </c>
      <c r="R1114" s="65">
        <v>1177</v>
      </c>
      <c r="S1114" s="65"/>
    </row>
    <row r="1115" spans="1:19" x14ac:dyDescent="0.25">
      <c r="A1115" s="15">
        <v>48</v>
      </c>
      <c r="B1115" s="65"/>
      <c r="C1115" s="65">
        <v>2429</v>
      </c>
      <c r="D1115" s="65"/>
      <c r="E1115" s="65" t="s">
        <v>787</v>
      </c>
      <c r="F1115" s="65">
        <v>3</v>
      </c>
      <c r="G1115" s="65"/>
      <c r="H1115" s="65">
        <v>3</v>
      </c>
      <c r="I1115" s="65" t="e">
        <v>#N/A</v>
      </c>
      <c r="J1115" s="65" t="s">
        <v>899</v>
      </c>
      <c r="K1115" s="65"/>
      <c r="L1115" s="65"/>
      <c r="M1115" s="65"/>
      <c r="N1115" s="65"/>
      <c r="O1115" s="65" t="s">
        <v>929</v>
      </c>
      <c r="P1115" s="65"/>
      <c r="Q1115" s="65">
        <v>1</v>
      </c>
      <c r="R1115" s="65">
        <v>1178</v>
      </c>
      <c r="S1115" s="65"/>
    </row>
    <row r="1116" spans="1:19" x14ac:dyDescent="0.25">
      <c r="A1116" s="15">
        <v>48</v>
      </c>
      <c r="B1116" s="65"/>
      <c r="C1116" s="65">
        <v>2429</v>
      </c>
      <c r="D1116" s="65"/>
      <c r="E1116" s="65" t="s">
        <v>787</v>
      </c>
      <c r="F1116" s="65">
        <v>3</v>
      </c>
      <c r="G1116" s="65"/>
      <c r="H1116" s="65">
        <v>3</v>
      </c>
      <c r="I1116" s="65" t="e">
        <v>#N/A</v>
      </c>
      <c r="J1116" s="65" t="s">
        <v>899</v>
      </c>
      <c r="K1116" s="65"/>
      <c r="L1116" s="65"/>
      <c r="M1116" s="65"/>
      <c r="N1116" s="65"/>
      <c r="O1116" s="65" t="s">
        <v>930</v>
      </c>
      <c r="P1116" s="65"/>
      <c r="Q1116" s="65">
        <v>1</v>
      </c>
      <c r="R1116" s="65">
        <v>1179</v>
      </c>
      <c r="S1116" s="65"/>
    </row>
    <row r="1117" spans="1:19" x14ac:dyDescent="0.25">
      <c r="A1117" s="15">
        <v>48</v>
      </c>
      <c r="B1117" s="65"/>
      <c r="C1117" s="65">
        <v>2429</v>
      </c>
      <c r="D1117" s="65"/>
      <c r="E1117" s="65" t="s">
        <v>787</v>
      </c>
      <c r="F1117" s="65">
        <v>3</v>
      </c>
      <c r="G1117" s="65"/>
      <c r="H1117" s="65">
        <v>3</v>
      </c>
      <c r="I1117" s="65" t="e">
        <v>#N/A</v>
      </c>
      <c r="J1117" s="65" t="s">
        <v>899</v>
      </c>
      <c r="K1117" s="65"/>
      <c r="L1117" s="65"/>
      <c r="M1117" s="65"/>
      <c r="N1117" s="65"/>
      <c r="O1117" s="65" t="s">
        <v>931</v>
      </c>
      <c r="P1117" s="65"/>
      <c r="Q1117" s="65">
        <v>1</v>
      </c>
      <c r="R1117" s="65">
        <v>1180</v>
      </c>
      <c r="S1117" s="65"/>
    </row>
    <row r="1118" spans="1:19" x14ac:dyDescent="0.25">
      <c r="A1118" s="15">
        <v>48</v>
      </c>
      <c r="B1118" s="65"/>
      <c r="C1118" s="65">
        <v>2429</v>
      </c>
      <c r="D1118" s="65"/>
      <c r="E1118" s="65" t="s">
        <v>787</v>
      </c>
      <c r="F1118" s="65">
        <v>3</v>
      </c>
      <c r="G1118" s="65"/>
      <c r="H1118" s="65">
        <v>3</v>
      </c>
      <c r="I1118" s="65" t="e">
        <v>#N/A</v>
      </c>
      <c r="J1118" s="65" t="s">
        <v>899</v>
      </c>
      <c r="K1118" s="65"/>
      <c r="L1118" s="65"/>
      <c r="M1118" s="65"/>
      <c r="N1118" s="65"/>
      <c r="O1118" s="65" t="s">
        <v>932</v>
      </c>
      <c r="P1118" s="65"/>
      <c r="Q1118" s="65">
        <v>1</v>
      </c>
      <c r="R1118" s="65">
        <v>1181</v>
      </c>
      <c r="S1118" s="65"/>
    </row>
    <row r="1119" spans="1:19" x14ac:dyDescent="0.25">
      <c r="A1119" s="15">
        <v>48</v>
      </c>
      <c r="B1119" s="65"/>
      <c r="C1119" s="65">
        <v>2429</v>
      </c>
      <c r="D1119" s="65"/>
      <c r="E1119" s="65" t="s">
        <v>787</v>
      </c>
      <c r="F1119" s="65">
        <v>3</v>
      </c>
      <c r="G1119" s="65"/>
      <c r="H1119" s="65">
        <v>3</v>
      </c>
      <c r="I1119" s="65" t="e">
        <v>#N/A</v>
      </c>
      <c r="J1119" s="65" t="s">
        <v>899</v>
      </c>
      <c r="K1119" s="65"/>
      <c r="L1119" s="65"/>
      <c r="M1119" s="65"/>
      <c r="N1119" s="65"/>
      <c r="O1119" s="65" t="s">
        <v>933</v>
      </c>
      <c r="P1119" s="65"/>
      <c r="Q1119" s="65">
        <v>1</v>
      </c>
      <c r="R1119" s="65">
        <v>1182</v>
      </c>
      <c r="S1119" s="65"/>
    </row>
    <row r="1120" spans="1:19" x14ac:dyDescent="0.25">
      <c r="A1120" s="15">
        <v>48</v>
      </c>
      <c r="B1120" s="65"/>
      <c r="C1120" s="65">
        <v>2429</v>
      </c>
      <c r="D1120" s="65"/>
      <c r="E1120" s="65" t="s">
        <v>787</v>
      </c>
      <c r="F1120" s="65">
        <v>3</v>
      </c>
      <c r="G1120" s="65"/>
      <c r="H1120" s="65">
        <v>3</v>
      </c>
      <c r="I1120" s="65" t="e">
        <v>#N/A</v>
      </c>
      <c r="J1120" s="65" t="s">
        <v>899</v>
      </c>
      <c r="K1120" s="65"/>
      <c r="L1120" s="65"/>
      <c r="M1120" s="65"/>
      <c r="N1120" s="65"/>
      <c r="O1120" s="65" t="s">
        <v>934</v>
      </c>
      <c r="P1120" s="65"/>
      <c r="Q1120" s="65">
        <v>1</v>
      </c>
      <c r="R1120" s="65">
        <v>1183</v>
      </c>
      <c r="S1120" s="65"/>
    </row>
    <row r="1121" spans="1:19" x14ac:dyDescent="0.25">
      <c r="A1121" s="15">
        <v>48</v>
      </c>
      <c r="B1121" s="65"/>
      <c r="C1121" s="65">
        <v>2429</v>
      </c>
      <c r="D1121" s="65"/>
      <c r="E1121" s="65" t="s">
        <v>787</v>
      </c>
      <c r="F1121" s="65">
        <v>3</v>
      </c>
      <c r="G1121" s="65"/>
      <c r="H1121" s="65">
        <v>3</v>
      </c>
      <c r="I1121" s="65" t="e">
        <v>#N/A</v>
      </c>
      <c r="J1121" s="65" t="s">
        <v>899</v>
      </c>
      <c r="K1121" s="65"/>
      <c r="L1121" s="65"/>
      <c r="M1121" s="65"/>
      <c r="N1121" s="65"/>
      <c r="O1121" s="65" t="s">
        <v>935</v>
      </c>
      <c r="P1121" s="65"/>
      <c r="Q1121" s="65">
        <v>1</v>
      </c>
      <c r="R1121" s="65">
        <v>1184</v>
      </c>
      <c r="S1121" s="65"/>
    </row>
    <row r="1122" spans="1:19" x14ac:dyDescent="0.25">
      <c r="A1122" s="15">
        <v>48</v>
      </c>
      <c r="B1122" s="65"/>
      <c r="C1122" s="65">
        <v>2429</v>
      </c>
      <c r="D1122" s="65"/>
      <c r="E1122" s="65" t="s">
        <v>787</v>
      </c>
      <c r="F1122" s="65">
        <v>3</v>
      </c>
      <c r="G1122" s="65"/>
      <c r="H1122" s="65" t="e">
        <v>#N/A</v>
      </c>
      <c r="I1122" s="65"/>
      <c r="J1122" s="65" t="s">
        <v>899</v>
      </c>
      <c r="K1122" s="65"/>
      <c r="L1122" s="65"/>
      <c r="M1122" s="65"/>
      <c r="N1122" s="65"/>
      <c r="O1122" s="65" t="s">
        <v>936</v>
      </c>
      <c r="P1122" s="65"/>
      <c r="Q1122" s="65">
        <v>1</v>
      </c>
      <c r="R1122" s="65">
        <v>1291</v>
      </c>
      <c r="S1122" s="65"/>
    </row>
    <row r="1123" spans="1:19" x14ac:dyDescent="0.25">
      <c r="A1123" s="15">
        <v>48</v>
      </c>
      <c r="B1123" s="65"/>
      <c r="C1123" s="65">
        <v>2429</v>
      </c>
      <c r="D1123" s="65"/>
      <c r="E1123" s="65" t="s">
        <v>787</v>
      </c>
      <c r="F1123" s="65">
        <v>5</v>
      </c>
      <c r="G1123" s="65"/>
      <c r="H1123" s="65" t="e">
        <v>#N/A</v>
      </c>
      <c r="I1123" s="65"/>
      <c r="J1123" s="65" t="s">
        <v>899</v>
      </c>
      <c r="K1123" s="65"/>
      <c r="L1123" s="65"/>
      <c r="M1123" s="65"/>
      <c r="N1123" s="65"/>
      <c r="O1123" s="65" t="s">
        <v>938</v>
      </c>
      <c r="P1123" s="65"/>
      <c r="Q1123" s="65">
        <v>1</v>
      </c>
      <c r="R1123" s="65">
        <v>1467</v>
      </c>
      <c r="S1123" s="65"/>
    </row>
    <row r="1124" spans="1:19" x14ac:dyDescent="0.25">
      <c r="A1124" s="15">
        <v>48</v>
      </c>
      <c r="B1124" s="65"/>
      <c r="C1124" s="65">
        <v>2429</v>
      </c>
      <c r="D1124" s="65"/>
      <c r="E1124" s="65" t="s">
        <v>787</v>
      </c>
      <c r="F1124" s="65">
        <v>5</v>
      </c>
      <c r="G1124" s="65"/>
      <c r="H1124" s="65" t="e">
        <v>#N/A</v>
      </c>
      <c r="I1124" s="65"/>
      <c r="J1124" s="65" t="s">
        <v>899</v>
      </c>
      <c r="K1124" s="65"/>
      <c r="L1124" s="65"/>
      <c r="M1124" s="65"/>
      <c r="N1124" s="65"/>
      <c r="O1124" s="65" t="s">
        <v>939</v>
      </c>
      <c r="P1124" s="65"/>
      <c r="Q1124" s="65">
        <v>1</v>
      </c>
      <c r="R1124" s="65">
        <v>1468</v>
      </c>
      <c r="S1124" s="65"/>
    </row>
    <row r="1125" spans="1:19" x14ac:dyDescent="0.25">
      <c r="A1125" s="15">
        <v>48</v>
      </c>
      <c r="B1125" s="65"/>
      <c r="C1125" s="65">
        <v>2429</v>
      </c>
      <c r="D1125" s="65"/>
      <c r="E1125" s="65" t="s">
        <v>787</v>
      </c>
      <c r="F1125" s="65">
        <v>5</v>
      </c>
      <c r="G1125" s="65"/>
      <c r="H1125" s="65" t="e">
        <v>#N/A</v>
      </c>
      <c r="I1125" s="65"/>
      <c r="J1125" s="65" t="s">
        <v>899</v>
      </c>
      <c r="K1125" s="65"/>
      <c r="L1125" s="65"/>
      <c r="M1125" s="65"/>
      <c r="N1125" s="65"/>
      <c r="O1125" s="65" t="s">
        <v>940</v>
      </c>
      <c r="P1125" s="65"/>
      <c r="Q1125" s="65">
        <v>1</v>
      </c>
      <c r="R1125" s="65">
        <v>1469</v>
      </c>
      <c r="S1125" s="65"/>
    </row>
    <row r="1126" spans="1:19" x14ac:dyDescent="0.25">
      <c r="A1126" s="15">
        <v>48</v>
      </c>
      <c r="B1126" s="65"/>
      <c r="C1126" s="65">
        <v>2429</v>
      </c>
      <c r="D1126" s="65"/>
      <c r="E1126" s="65" t="s">
        <v>787</v>
      </c>
      <c r="F1126" s="65">
        <v>5</v>
      </c>
      <c r="G1126" s="65"/>
      <c r="H1126" s="65" t="e">
        <v>#N/A</v>
      </c>
      <c r="I1126" s="65"/>
      <c r="J1126" s="65" t="s">
        <v>899</v>
      </c>
      <c r="K1126" s="65"/>
      <c r="L1126" s="65"/>
      <c r="M1126" s="65"/>
      <c r="N1126" s="65"/>
      <c r="O1126" s="65" t="s">
        <v>941</v>
      </c>
      <c r="P1126" s="65"/>
      <c r="Q1126" s="65">
        <v>1</v>
      </c>
      <c r="R1126" s="65">
        <v>1470</v>
      </c>
      <c r="S1126" s="65"/>
    </row>
    <row r="1127" spans="1:19" x14ac:dyDescent="0.25">
      <c r="A1127" s="15">
        <v>48</v>
      </c>
      <c r="B1127" s="65"/>
      <c r="C1127" s="65">
        <v>2429</v>
      </c>
      <c r="D1127" s="65"/>
      <c r="E1127" s="65" t="s">
        <v>787</v>
      </c>
      <c r="F1127" s="65">
        <v>5</v>
      </c>
      <c r="G1127" s="65"/>
      <c r="H1127" s="65" t="e">
        <v>#N/A</v>
      </c>
      <c r="I1127" s="65"/>
      <c r="J1127" s="65" t="s">
        <v>899</v>
      </c>
      <c r="K1127" s="65"/>
      <c r="L1127" s="65"/>
      <c r="M1127" s="65"/>
      <c r="N1127" s="65"/>
      <c r="O1127" s="65" t="s">
        <v>942</v>
      </c>
      <c r="P1127" s="65"/>
      <c r="Q1127" s="65">
        <v>1</v>
      </c>
      <c r="R1127" s="65">
        <v>1471</v>
      </c>
      <c r="S1127" s="65"/>
    </row>
    <row r="1128" spans="1:19" x14ac:dyDescent="0.25">
      <c r="A1128" s="15">
        <v>48</v>
      </c>
      <c r="B1128" s="65"/>
      <c r="C1128" s="65">
        <v>2429</v>
      </c>
      <c r="D1128" s="65"/>
      <c r="E1128" s="65" t="s">
        <v>787</v>
      </c>
      <c r="F1128" s="65">
        <v>5</v>
      </c>
      <c r="G1128" s="65"/>
      <c r="H1128" s="65" t="e">
        <v>#N/A</v>
      </c>
      <c r="I1128" s="65"/>
      <c r="J1128" s="65" t="s">
        <v>899</v>
      </c>
      <c r="K1128" s="65"/>
      <c r="L1128" s="65"/>
      <c r="M1128" s="65"/>
      <c r="N1128" s="65"/>
      <c r="O1128" s="65" t="s">
        <v>943</v>
      </c>
      <c r="P1128" s="65"/>
      <c r="Q1128" s="65">
        <v>1</v>
      </c>
      <c r="R1128" s="65">
        <v>1472</v>
      </c>
      <c r="S1128" s="65"/>
    </row>
    <row r="1129" spans="1:19" x14ac:dyDescent="0.25">
      <c r="A1129" s="15">
        <v>48</v>
      </c>
      <c r="B1129" s="65"/>
      <c r="C1129" s="65">
        <v>2429</v>
      </c>
      <c r="D1129" s="65"/>
      <c r="E1129" s="65" t="s">
        <v>787</v>
      </c>
      <c r="F1129" s="65">
        <v>5</v>
      </c>
      <c r="G1129" s="65"/>
      <c r="H1129" s="65" t="e">
        <v>#N/A</v>
      </c>
      <c r="I1129" s="65"/>
      <c r="J1129" s="65" t="s">
        <v>899</v>
      </c>
      <c r="K1129" s="65"/>
      <c r="L1129" s="65"/>
      <c r="M1129" s="65"/>
      <c r="N1129" s="65"/>
      <c r="O1129" s="65" t="s">
        <v>944</v>
      </c>
      <c r="P1129" s="65"/>
      <c r="Q1129" s="65">
        <v>1</v>
      </c>
      <c r="R1129" s="65">
        <v>1473</v>
      </c>
      <c r="S1129" s="65"/>
    </row>
    <row r="1130" spans="1:19" x14ac:dyDescent="0.25">
      <c r="A1130" s="15">
        <v>48</v>
      </c>
      <c r="B1130" s="65"/>
      <c r="C1130" s="65">
        <v>2429</v>
      </c>
      <c r="D1130" s="65"/>
      <c r="E1130" s="65" t="s">
        <v>787</v>
      </c>
      <c r="F1130" s="65">
        <v>5</v>
      </c>
      <c r="G1130" s="65"/>
      <c r="H1130" s="65" t="e">
        <v>#N/A</v>
      </c>
      <c r="I1130" s="65"/>
      <c r="J1130" s="65" t="s">
        <v>899</v>
      </c>
      <c r="K1130" s="65"/>
      <c r="L1130" s="65"/>
      <c r="M1130" s="65"/>
      <c r="N1130" s="65"/>
      <c r="O1130" s="65" t="s">
        <v>945</v>
      </c>
      <c r="P1130" s="65"/>
      <c r="Q1130" s="65">
        <v>1</v>
      </c>
      <c r="R1130" s="65">
        <v>1474</v>
      </c>
      <c r="S1130" s="65"/>
    </row>
    <row r="1131" spans="1:19" x14ac:dyDescent="0.25">
      <c r="A1131" s="15">
        <v>48</v>
      </c>
      <c r="B1131" s="65"/>
      <c r="C1131" s="65">
        <v>2429</v>
      </c>
      <c r="D1131" s="65"/>
      <c r="E1131" s="65" t="s">
        <v>787</v>
      </c>
      <c r="F1131" s="65">
        <v>5</v>
      </c>
      <c r="G1131" s="65"/>
      <c r="H1131" s="65" t="e">
        <v>#N/A</v>
      </c>
      <c r="I1131" s="65"/>
      <c r="J1131" s="65" t="s">
        <v>899</v>
      </c>
      <c r="K1131" s="65"/>
      <c r="L1131" s="65"/>
      <c r="M1131" s="65"/>
      <c r="N1131" s="65"/>
      <c r="O1131" s="65" t="s">
        <v>946</v>
      </c>
      <c r="P1131" s="65"/>
      <c r="Q1131" s="65">
        <v>1</v>
      </c>
      <c r="R1131" s="65">
        <v>1475</v>
      </c>
      <c r="S1131" s="65"/>
    </row>
    <row r="1132" spans="1:19" x14ac:dyDescent="0.25">
      <c r="A1132" s="15">
        <v>48</v>
      </c>
      <c r="B1132" s="65"/>
      <c r="C1132" s="65">
        <v>2429</v>
      </c>
      <c r="D1132" s="65"/>
      <c r="E1132" s="65" t="s">
        <v>787</v>
      </c>
      <c r="F1132" s="65">
        <v>5</v>
      </c>
      <c r="G1132" s="65"/>
      <c r="H1132" s="65" t="e">
        <v>#N/A</v>
      </c>
      <c r="I1132" s="65"/>
      <c r="J1132" s="65" t="s">
        <v>899</v>
      </c>
      <c r="K1132" s="65"/>
      <c r="L1132" s="65"/>
      <c r="M1132" s="65"/>
      <c r="N1132" s="65"/>
      <c r="O1132" s="65" t="s">
        <v>947</v>
      </c>
      <c r="P1132" s="65"/>
      <c r="Q1132" s="65">
        <v>1</v>
      </c>
      <c r="R1132" s="65">
        <v>1476</v>
      </c>
      <c r="S1132" s="65"/>
    </row>
    <row r="1133" spans="1:19" x14ac:dyDescent="0.25">
      <c r="A1133" s="15">
        <v>48</v>
      </c>
      <c r="B1133" s="65"/>
      <c r="C1133" s="65">
        <v>2429</v>
      </c>
      <c r="D1133" s="65"/>
      <c r="E1133" s="65" t="s">
        <v>787</v>
      </c>
      <c r="F1133" s="65">
        <v>5</v>
      </c>
      <c r="G1133" s="65"/>
      <c r="H1133" s="65" t="e">
        <v>#N/A</v>
      </c>
      <c r="I1133" s="65"/>
      <c r="J1133" s="65" t="s">
        <v>899</v>
      </c>
      <c r="K1133" s="65"/>
      <c r="L1133" s="65"/>
      <c r="M1133" s="65"/>
      <c r="N1133" s="65"/>
      <c r="O1133" s="65" t="s">
        <v>948</v>
      </c>
      <c r="P1133" s="65"/>
      <c r="Q1133" s="65">
        <v>1</v>
      </c>
      <c r="R1133" s="65">
        <v>1477</v>
      </c>
      <c r="S1133" s="65"/>
    </row>
    <row r="1134" spans="1:19" x14ac:dyDescent="0.25">
      <c r="A1134" s="15">
        <v>48</v>
      </c>
      <c r="B1134" s="65"/>
      <c r="C1134" s="65">
        <v>2429</v>
      </c>
      <c r="D1134" s="65"/>
      <c r="E1134" s="65" t="s">
        <v>787</v>
      </c>
      <c r="F1134" s="65">
        <v>5</v>
      </c>
      <c r="G1134" s="65"/>
      <c r="H1134" s="65" t="e">
        <v>#N/A</v>
      </c>
      <c r="I1134" s="65"/>
      <c r="J1134" s="65" t="s">
        <v>899</v>
      </c>
      <c r="K1134" s="65"/>
      <c r="L1134" s="65"/>
      <c r="M1134" s="65"/>
      <c r="N1134" s="65"/>
      <c r="O1134" s="65" t="s">
        <v>949</v>
      </c>
      <c r="P1134" s="65"/>
      <c r="Q1134" s="65">
        <v>1</v>
      </c>
      <c r="R1134" s="65">
        <v>1478</v>
      </c>
      <c r="S1134" s="65"/>
    </row>
    <row r="1135" spans="1:19" x14ac:dyDescent="0.25">
      <c r="A1135" s="15">
        <v>49</v>
      </c>
      <c r="B1135" s="65"/>
      <c r="C1135" s="65"/>
      <c r="D1135" s="65"/>
      <c r="E1135" s="65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65"/>
      <c r="Q1135" s="65"/>
      <c r="R1135" s="65"/>
      <c r="S1135" s="65"/>
    </row>
    <row r="1136" spans="1:19" x14ac:dyDescent="0.25">
      <c r="A1136" s="15">
        <v>49</v>
      </c>
      <c r="B1136" s="65"/>
      <c r="C1136" s="65"/>
      <c r="D1136" s="65"/>
      <c r="E1136" s="65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 t="s">
        <v>836</v>
      </c>
      <c r="P1136" s="65"/>
      <c r="Q1136" s="65"/>
      <c r="R1136" s="65"/>
      <c r="S1136" s="65"/>
    </row>
    <row r="1137" spans="1:19" x14ac:dyDescent="0.25">
      <c r="A1137" s="15">
        <v>49</v>
      </c>
      <c r="B1137" s="65"/>
      <c r="C1137" s="65"/>
      <c r="D1137" s="65"/>
      <c r="E1137" s="65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 t="s">
        <v>867</v>
      </c>
      <c r="P1137" s="65"/>
      <c r="Q1137" s="65"/>
      <c r="R1137" s="65"/>
      <c r="S1137" s="65"/>
    </row>
    <row r="1138" spans="1:19" x14ac:dyDescent="0.25">
      <c r="A1138" s="15">
        <v>49</v>
      </c>
      <c r="B1138" s="65"/>
      <c r="C1138" s="65"/>
      <c r="D1138" s="65"/>
      <c r="E1138" s="65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 t="s">
        <v>871</v>
      </c>
      <c r="P1138" s="65"/>
      <c r="Q1138" s="65"/>
      <c r="R1138" s="65"/>
      <c r="S1138" s="65"/>
    </row>
    <row r="1139" spans="1:19" x14ac:dyDescent="0.25">
      <c r="A1139" s="15">
        <v>49</v>
      </c>
      <c r="B1139" s="65"/>
      <c r="C1139" s="65" t="s">
        <v>79</v>
      </c>
      <c r="D1139" s="65"/>
      <c r="E1139" s="65" t="s">
        <v>787</v>
      </c>
      <c r="F1139" s="65">
        <v>6</v>
      </c>
      <c r="G1139" s="65"/>
      <c r="H1139" s="65">
        <v>7</v>
      </c>
      <c r="I1139" s="65">
        <v>9.6666666666666679</v>
      </c>
      <c r="J1139" s="65" t="s">
        <v>879</v>
      </c>
      <c r="K1139" s="65"/>
      <c r="L1139" s="65"/>
      <c r="M1139" s="65"/>
      <c r="N1139" s="65"/>
      <c r="O1139" s="65" t="s">
        <v>878</v>
      </c>
      <c r="P1139" s="65"/>
      <c r="Q1139" s="65">
        <v>1</v>
      </c>
      <c r="R1139" s="65">
        <v>312</v>
      </c>
      <c r="S1139" s="65"/>
    </row>
    <row r="1140" spans="1:19" x14ac:dyDescent="0.25">
      <c r="A1140" s="15">
        <v>49</v>
      </c>
      <c r="B1140" s="65"/>
      <c r="C1140" s="65">
        <v>2429</v>
      </c>
      <c r="D1140" s="65"/>
      <c r="E1140" s="65" t="s">
        <v>787</v>
      </c>
      <c r="F1140" s="65">
        <v>6</v>
      </c>
      <c r="G1140" s="65"/>
      <c r="H1140" s="65"/>
      <c r="I1140" s="65">
        <v>19.583333333333332</v>
      </c>
      <c r="J1140" s="65" t="s">
        <v>879</v>
      </c>
      <c r="K1140" s="65"/>
      <c r="L1140" s="65"/>
      <c r="M1140" s="65"/>
      <c r="N1140" s="65"/>
      <c r="O1140" s="65" t="s">
        <v>881</v>
      </c>
      <c r="P1140" s="65"/>
      <c r="Q1140" s="65">
        <v>1</v>
      </c>
      <c r="R1140" s="65">
        <v>499</v>
      </c>
      <c r="S1140" s="65"/>
    </row>
    <row r="1141" spans="1:19" x14ac:dyDescent="0.25">
      <c r="A1141" s="15">
        <v>49</v>
      </c>
      <c r="B1141" s="65"/>
      <c r="C1141" s="65">
        <v>2429</v>
      </c>
      <c r="D1141" s="65"/>
      <c r="E1141" s="65" t="s">
        <v>787</v>
      </c>
      <c r="F1141" s="65">
        <v>1</v>
      </c>
      <c r="G1141" s="65"/>
      <c r="H1141" s="65" t="e">
        <v>#N/A</v>
      </c>
      <c r="I1141" s="65"/>
      <c r="J1141" s="65" t="s">
        <v>899</v>
      </c>
      <c r="K1141" s="65" t="s">
        <v>900</v>
      </c>
      <c r="L1141" s="65" t="s">
        <v>900</v>
      </c>
      <c r="M1141" s="65" t="s">
        <v>900</v>
      </c>
      <c r="N1141" s="65" t="s">
        <v>900</v>
      </c>
      <c r="O1141" s="65" t="s">
        <v>898</v>
      </c>
      <c r="P1141" s="65"/>
      <c r="Q1141" s="65">
        <v>1</v>
      </c>
      <c r="R1141" s="65">
        <v>731</v>
      </c>
      <c r="S1141" s="65"/>
    </row>
    <row r="1142" spans="1:19" x14ac:dyDescent="0.25">
      <c r="A1142" s="15">
        <v>49</v>
      </c>
      <c r="B1142" s="65"/>
      <c r="C1142" s="65">
        <v>2429</v>
      </c>
      <c r="D1142" s="65"/>
      <c r="E1142" s="65" t="s">
        <v>787</v>
      </c>
      <c r="F1142" s="65">
        <v>0</v>
      </c>
      <c r="G1142" s="65"/>
      <c r="H1142" s="65">
        <v>3</v>
      </c>
      <c r="I1142" s="65" t="e">
        <v>#N/A</v>
      </c>
      <c r="J1142" s="65" t="s">
        <v>899</v>
      </c>
      <c r="K1142" s="65"/>
      <c r="L1142" s="65"/>
      <c r="M1142" s="65"/>
      <c r="N1142" s="65"/>
      <c r="O1142" s="65" t="s">
        <v>912</v>
      </c>
      <c r="P1142" s="65"/>
      <c r="Q1142" s="65">
        <v>1</v>
      </c>
      <c r="R1142" s="65">
        <v>958</v>
      </c>
      <c r="S1142" s="65"/>
    </row>
    <row r="1143" spans="1:19" x14ac:dyDescent="0.25">
      <c r="A1143" s="15">
        <v>49</v>
      </c>
      <c r="B1143" s="65"/>
      <c r="C1143" s="65">
        <v>2429</v>
      </c>
      <c r="D1143" s="65"/>
      <c r="E1143" s="65" t="s">
        <v>787</v>
      </c>
      <c r="F1143" s="65">
        <v>3</v>
      </c>
      <c r="G1143" s="65"/>
      <c r="H1143" s="65">
        <v>3</v>
      </c>
      <c r="I1143" s="65" t="e">
        <v>#N/A</v>
      </c>
      <c r="J1143" s="65" t="s">
        <v>899</v>
      </c>
      <c r="K1143" s="65"/>
      <c r="L1143" s="65"/>
      <c r="M1143" s="65"/>
      <c r="N1143" s="65"/>
      <c r="O1143" s="65" t="s">
        <v>924</v>
      </c>
      <c r="P1143" s="65"/>
      <c r="Q1143" s="65">
        <v>1</v>
      </c>
      <c r="R1143" s="65">
        <v>1185</v>
      </c>
      <c r="S1143" s="65"/>
    </row>
    <row r="1144" spans="1:19" x14ac:dyDescent="0.25">
      <c r="A1144" s="15">
        <v>49</v>
      </c>
      <c r="B1144" s="65"/>
      <c r="C1144" s="65">
        <v>2429</v>
      </c>
      <c r="D1144" s="65"/>
      <c r="E1144" s="65" t="s">
        <v>787</v>
      </c>
      <c r="F1144" s="65">
        <v>3</v>
      </c>
      <c r="G1144" s="65"/>
      <c r="H1144" s="65" t="e">
        <v>#N/A</v>
      </c>
      <c r="I1144" s="65"/>
      <c r="J1144" s="65" t="s">
        <v>899</v>
      </c>
      <c r="K1144" s="65"/>
      <c r="L1144" s="65"/>
      <c r="M1144" s="65"/>
      <c r="N1144" s="65"/>
      <c r="O1144" s="65" t="s">
        <v>936</v>
      </c>
      <c r="P1144" s="65"/>
      <c r="Q1144" s="65">
        <v>1</v>
      </c>
      <c r="R1144" s="65">
        <v>1292</v>
      </c>
      <c r="S1144" s="65"/>
    </row>
    <row r="1145" spans="1:19" x14ac:dyDescent="0.25">
      <c r="A1145" s="15">
        <v>49</v>
      </c>
      <c r="B1145" s="65"/>
      <c r="C1145" s="65">
        <v>2429</v>
      </c>
      <c r="D1145" s="65"/>
      <c r="E1145" s="65" t="s">
        <v>787</v>
      </c>
      <c r="F1145" s="65">
        <v>5</v>
      </c>
      <c r="G1145" s="65"/>
      <c r="H1145" s="65" t="e">
        <v>#N/A</v>
      </c>
      <c r="I1145" s="65"/>
      <c r="J1145" s="65" t="s">
        <v>899</v>
      </c>
      <c r="K1145" s="65"/>
      <c r="L1145" s="65"/>
      <c r="M1145" s="65"/>
      <c r="N1145" s="65"/>
      <c r="O1145" s="65" t="s">
        <v>938</v>
      </c>
      <c r="P1145" s="65"/>
      <c r="Q1145" s="65">
        <v>1</v>
      </c>
      <c r="R1145" s="65">
        <v>1479</v>
      </c>
      <c r="S1145" s="65"/>
    </row>
    <row r="1146" spans="1:19" x14ac:dyDescent="0.25">
      <c r="A1146" s="15">
        <v>50</v>
      </c>
      <c r="B1146" s="65"/>
      <c r="C1146" s="65"/>
      <c r="D1146" s="65"/>
      <c r="E1146" s="65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65"/>
      <c r="Q1146" s="65"/>
      <c r="R1146" s="65"/>
      <c r="S1146" s="65"/>
    </row>
    <row r="1147" spans="1:19" x14ac:dyDescent="0.25">
      <c r="A1147" s="15">
        <v>50</v>
      </c>
      <c r="B1147" s="65"/>
      <c r="C1147" s="65"/>
      <c r="D1147" s="65"/>
      <c r="E1147" s="65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 t="s">
        <v>838</v>
      </c>
      <c r="P1147" s="65"/>
      <c r="Q1147" s="65"/>
      <c r="R1147" s="65"/>
      <c r="S1147" s="65"/>
    </row>
    <row r="1148" spans="1:19" x14ac:dyDescent="0.25">
      <c r="A1148" s="15">
        <v>50</v>
      </c>
      <c r="B1148" s="65"/>
      <c r="C1148" s="65"/>
      <c r="D1148" s="65"/>
      <c r="E1148" s="65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 t="s">
        <v>863</v>
      </c>
      <c r="P1148" s="65"/>
      <c r="Q1148" s="65"/>
      <c r="R1148" s="65"/>
      <c r="S1148" s="65"/>
    </row>
    <row r="1149" spans="1:19" x14ac:dyDescent="0.25">
      <c r="A1149" s="15">
        <v>50</v>
      </c>
      <c r="B1149" s="65"/>
      <c r="C1149" s="65"/>
      <c r="D1149" s="65"/>
      <c r="E1149" s="65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 t="s">
        <v>873</v>
      </c>
      <c r="P1149" s="65"/>
      <c r="Q1149" s="65"/>
      <c r="R1149" s="65"/>
      <c r="S1149" s="65"/>
    </row>
    <row r="1150" spans="1:19" x14ac:dyDescent="0.25">
      <c r="A1150" s="15">
        <v>50</v>
      </c>
      <c r="B1150" s="65"/>
      <c r="C1150" s="65" t="s">
        <v>79</v>
      </c>
      <c r="D1150" s="65"/>
      <c r="E1150" s="65" t="s">
        <v>787</v>
      </c>
      <c r="F1150" s="65">
        <v>6</v>
      </c>
      <c r="G1150" s="65"/>
      <c r="H1150" s="65">
        <v>7</v>
      </c>
      <c r="I1150" s="65">
        <v>8.6666666666666679</v>
      </c>
      <c r="J1150" s="65" t="s">
        <v>879</v>
      </c>
      <c r="K1150" s="65"/>
      <c r="L1150" s="65"/>
      <c r="M1150" s="65"/>
      <c r="N1150" s="65"/>
      <c r="O1150" s="65" t="s">
        <v>878</v>
      </c>
      <c r="P1150" s="65"/>
      <c r="Q1150" s="65">
        <v>1</v>
      </c>
      <c r="R1150" s="65">
        <v>314</v>
      </c>
      <c r="S1150" s="65"/>
    </row>
    <row r="1151" spans="1:19" x14ac:dyDescent="0.25">
      <c r="A1151" s="15">
        <v>50</v>
      </c>
      <c r="B1151" s="65"/>
      <c r="C1151" s="65">
        <v>2429</v>
      </c>
      <c r="D1151" s="65"/>
      <c r="E1151" s="65" t="s">
        <v>787</v>
      </c>
      <c r="F1151" s="65">
        <v>6</v>
      </c>
      <c r="G1151" s="65"/>
      <c r="H1151" s="65"/>
      <c r="I1151" s="65">
        <v>12.25</v>
      </c>
      <c r="J1151" s="65" t="s">
        <v>879</v>
      </c>
      <c r="K1151" s="65"/>
      <c r="L1151" s="65"/>
      <c r="M1151" s="65"/>
      <c r="N1151" s="65"/>
      <c r="O1151" s="65" t="s">
        <v>881</v>
      </c>
      <c r="P1151" s="65"/>
      <c r="Q1151" s="65">
        <v>1</v>
      </c>
      <c r="R1151" s="65">
        <v>501</v>
      </c>
      <c r="S1151" s="65"/>
    </row>
    <row r="1152" spans="1:19" x14ac:dyDescent="0.25">
      <c r="A1152" s="15">
        <v>50</v>
      </c>
      <c r="B1152" s="65"/>
      <c r="C1152" s="65">
        <v>2429</v>
      </c>
      <c r="D1152" s="65"/>
      <c r="E1152" s="65" t="s">
        <v>787</v>
      </c>
      <c r="F1152" s="65">
        <v>1</v>
      </c>
      <c r="G1152" s="65"/>
      <c r="H1152" s="65" t="e">
        <v>#N/A</v>
      </c>
      <c r="I1152" s="65"/>
      <c r="J1152" s="65" t="s">
        <v>899</v>
      </c>
      <c r="K1152" s="65" t="s">
        <v>900</v>
      </c>
      <c r="L1152" s="65" t="s">
        <v>900</v>
      </c>
      <c r="M1152" s="65" t="s">
        <v>900</v>
      </c>
      <c r="N1152" s="65" t="s">
        <v>900</v>
      </c>
      <c r="O1152" s="65" t="s">
        <v>898</v>
      </c>
      <c r="P1152" s="65"/>
      <c r="Q1152" s="65">
        <v>1</v>
      </c>
      <c r="R1152" s="65">
        <v>733</v>
      </c>
      <c r="S1152" s="65"/>
    </row>
    <row r="1153" spans="1:19" x14ac:dyDescent="0.25">
      <c r="A1153" s="15">
        <v>50</v>
      </c>
      <c r="B1153" s="65"/>
      <c r="C1153" s="65">
        <v>2429</v>
      </c>
      <c r="D1153" s="65"/>
      <c r="E1153" s="65" t="s">
        <v>787</v>
      </c>
      <c r="F1153" s="65">
        <v>0</v>
      </c>
      <c r="G1153" s="65"/>
      <c r="H1153" s="65">
        <v>3</v>
      </c>
      <c r="I1153" s="65" t="e">
        <v>#N/A</v>
      </c>
      <c r="J1153" s="65" t="s">
        <v>899</v>
      </c>
      <c r="K1153" s="65"/>
      <c r="L1153" s="65"/>
      <c r="M1153" s="65"/>
      <c r="N1153" s="65"/>
      <c r="O1153" s="65" t="s">
        <v>912</v>
      </c>
      <c r="P1153" s="65"/>
      <c r="Q1153" s="65">
        <v>1</v>
      </c>
      <c r="R1153" s="65">
        <v>960</v>
      </c>
      <c r="S1153" s="65"/>
    </row>
    <row r="1154" spans="1:19" x14ac:dyDescent="0.25">
      <c r="A1154" s="15">
        <v>50</v>
      </c>
      <c r="B1154" s="65"/>
      <c r="C1154" s="65">
        <v>2429</v>
      </c>
      <c r="D1154" s="65"/>
      <c r="E1154" s="65" t="s">
        <v>787</v>
      </c>
      <c r="F1154" s="65">
        <v>3</v>
      </c>
      <c r="G1154" s="65"/>
      <c r="H1154" s="65">
        <v>3</v>
      </c>
      <c r="I1154" s="65" t="e">
        <v>#N/A</v>
      </c>
      <c r="J1154" s="65" t="s">
        <v>899</v>
      </c>
      <c r="K1154" s="65"/>
      <c r="L1154" s="65"/>
      <c r="M1154" s="65"/>
      <c r="N1154" s="65"/>
      <c r="O1154" s="65" t="s">
        <v>924</v>
      </c>
      <c r="P1154" s="65"/>
      <c r="Q1154" s="65">
        <v>1</v>
      </c>
      <c r="R1154" s="65">
        <v>1187</v>
      </c>
      <c r="S1154" s="65"/>
    </row>
    <row r="1155" spans="1:19" x14ac:dyDescent="0.25">
      <c r="A1155" s="15">
        <v>50</v>
      </c>
      <c r="B1155" s="65"/>
      <c r="C1155" s="65">
        <v>2429</v>
      </c>
      <c r="D1155" s="65"/>
      <c r="E1155" s="65" t="s">
        <v>787</v>
      </c>
      <c r="F1155" s="65">
        <v>3</v>
      </c>
      <c r="G1155" s="65"/>
      <c r="H1155" s="65" t="e">
        <v>#N/A</v>
      </c>
      <c r="I1155" s="65"/>
      <c r="J1155" s="65" t="s">
        <v>899</v>
      </c>
      <c r="K1155" s="65"/>
      <c r="L1155" s="65"/>
      <c r="M1155" s="65"/>
      <c r="N1155" s="65"/>
      <c r="O1155" s="65" t="s">
        <v>936</v>
      </c>
      <c r="P1155" s="65"/>
      <c r="Q1155" s="65">
        <v>1</v>
      </c>
      <c r="R1155" s="65">
        <v>1294</v>
      </c>
      <c r="S1155" s="65"/>
    </row>
    <row r="1156" spans="1:19" x14ac:dyDescent="0.25">
      <c r="A1156" s="15">
        <v>50</v>
      </c>
      <c r="B1156" s="65"/>
      <c r="C1156" s="65">
        <v>2429</v>
      </c>
      <c r="D1156" s="65"/>
      <c r="E1156" s="65" t="s">
        <v>787</v>
      </c>
      <c r="F1156" s="65">
        <v>5</v>
      </c>
      <c r="G1156" s="65"/>
      <c r="H1156" s="65" t="e">
        <v>#N/A</v>
      </c>
      <c r="I1156" s="65"/>
      <c r="J1156" s="65" t="s">
        <v>899</v>
      </c>
      <c r="K1156" s="65"/>
      <c r="L1156" s="65"/>
      <c r="M1156" s="65"/>
      <c r="N1156" s="65"/>
      <c r="O1156" s="65" t="s">
        <v>938</v>
      </c>
      <c r="P1156" s="65"/>
      <c r="Q1156" s="65">
        <v>1</v>
      </c>
      <c r="R1156" s="65">
        <v>1481</v>
      </c>
      <c r="S1156" s="65"/>
    </row>
    <row r="1157" spans="1:19" x14ac:dyDescent="0.25">
      <c r="A1157" s="15">
        <v>51</v>
      </c>
      <c r="B1157" s="65"/>
      <c r="C1157" s="65"/>
      <c r="D1157" s="65"/>
      <c r="E1157" s="65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65"/>
      <c r="Q1157" s="65"/>
      <c r="R1157" s="65"/>
      <c r="S1157" s="65"/>
    </row>
    <row r="1158" spans="1:19" x14ac:dyDescent="0.25">
      <c r="A1158" s="15">
        <v>51</v>
      </c>
      <c r="B1158" s="65"/>
      <c r="C1158" s="65"/>
      <c r="D1158" s="65"/>
      <c r="E1158" s="65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 t="s">
        <v>839</v>
      </c>
      <c r="P1158" s="65"/>
      <c r="Q1158" s="65"/>
      <c r="R1158" s="65"/>
      <c r="S1158" s="65"/>
    </row>
    <row r="1159" spans="1:19" x14ac:dyDescent="0.25">
      <c r="A1159" s="15">
        <v>51</v>
      </c>
      <c r="B1159" s="65"/>
      <c r="C1159" s="65"/>
      <c r="D1159" s="65"/>
      <c r="E1159" s="65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 t="s">
        <v>863</v>
      </c>
      <c r="P1159" s="65"/>
      <c r="Q1159" s="65"/>
      <c r="R1159" s="65"/>
      <c r="S1159" s="65"/>
    </row>
    <row r="1160" spans="1:19" x14ac:dyDescent="0.25">
      <c r="A1160" s="15">
        <v>51</v>
      </c>
      <c r="B1160" s="65"/>
      <c r="C1160" s="65"/>
      <c r="D1160" s="65"/>
      <c r="E1160" s="65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 t="s">
        <v>871</v>
      </c>
      <c r="P1160" s="65"/>
      <c r="Q1160" s="65"/>
      <c r="R1160" s="65"/>
      <c r="S1160" s="65"/>
    </row>
    <row r="1161" spans="1:19" x14ac:dyDescent="0.25">
      <c r="A1161" s="15">
        <v>51</v>
      </c>
      <c r="B1161" s="65"/>
      <c r="C1161" s="65" t="s">
        <v>79</v>
      </c>
      <c r="D1161" s="65"/>
      <c r="E1161" s="65" t="s">
        <v>787</v>
      </c>
      <c r="F1161" s="65">
        <v>6</v>
      </c>
      <c r="G1161" s="65"/>
      <c r="H1161" s="65">
        <v>7</v>
      </c>
      <c r="I1161" s="65">
        <v>7.666666666666667</v>
      </c>
      <c r="J1161" s="65" t="s">
        <v>879</v>
      </c>
      <c r="K1161" s="65"/>
      <c r="L1161" s="65"/>
      <c r="M1161" s="65"/>
      <c r="N1161" s="65"/>
      <c r="O1161" s="65" t="s">
        <v>878</v>
      </c>
      <c r="P1161" s="65"/>
      <c r="Q1161" s="65">
        <v>1</v>
      </c>
      <c r="R1161" s="65">
        <v>315</v>
      </c>
      <c r="S1161" s="65"/>
    </row>
    <row r="1162" spans="1:19" x14ac:dyDescent="0.25">
      <c r="A1162" s="15">
        <v>51</v>
      </c>
      <c r="B1162" s="65"/>
      <c r="C1162" s="65">
        <v>2429</v>
      </c>
      <c r="D1162" s="65"/>
      <c r="E1162" s="65" t="s">
        <v>787</v>
      </c>
      <c r="F1162" s="65">
        <v>6</v>
      </c>
      <c r="G1162" s="65"/>
      <c r="H1162" s="65"/>
      <c r="I1162" s="65">
        <v>19.583333333333332</v>
      </c>
      <c r="J1162" s="65" t="s">
        <v>879</v>
      </c>
      <c r="K1162" s="65"/>
      <c r="L1162" s="65"/>
      <c r="M1162" s="65"/>
      <c r="N1162" s="65"/>
      <c r="O1162" s="65" t="s">
        <v>881</v>
      </c>
      <c r="P1162" s="65"/>
      <c r="Q1162" s="65">
        <v>1</v>
      </c>
      <c r="R1162" s="65">
        <v>502</v>
      </c>
      <c r="S1162" s="65"/>
    </row>
    <row r="1163" spans="1:19" x14ac:dyDescent="0.25">
      <c r="A1163" s="15">
        <v>51</v>
      </c>
      <c r="B1163" s="65"/>
      <c r="C1163" s="65">
        <v>2429</v>
      </c>
      <c r="D1163" s="65"/>
      <c r="E1163" s="65" t="s">
        <v>787</v>
      </c>
      <c r="F1163" s="65">
        <v>1</v>
      </c>
      <c r="G1163" s="65"/>
      <c r="H1163" s="65" t="e">
        <v>#N/A</v>
      </c>
      <c r="I1163" s="65"/>
      <c r="J1163" s="65" t="s">
        <v>899</v>
      </c>
      <c r="K1163" s="65" t="s">
        <v>900</v>
      </c>
      <c r="L1163" s="65" t="s">
        <v>900</v>
      </c>
      <c r="M1163" s="65" t="s">
        <v>900</v>
      </c>
      <c r="N1163" s="65" t="s">
        <v>900</v>
      </c>
      <c r="O1163" s="65" t="s">
        <v>898</v>
      </c>
      <c r="P1163" s="65"/>
      <c r="Q1163" s="65">
        <v>1</v>
      </c>
      <c r="R1163" s="65">
        <v>734</v>
      </c>
      <c r="S1163" s="65"/>
    </row>
    <row r="1164" spans="1:19" x14ac:dyDescent="0.25">
      <c r="A1164" s="15">
        <v>51</v>
      </c>
      <c r="B1164" s="65"/>
      <c r="C1164" s="65">
        <v>2429</v>
      </c>
      <c r="D1164" s="65"/>
      <c r="E1164" s="65" t="s">
        <v>787</v>
      </c>
      <c r="F1164" s="65">
        <v>0</v>
      </c>
      <c r="G1164" s="65"/>
      <c r="H1164" s="65">
        <v>3</v>
      </c>
      <c r="I1164" s="65" t="e">
        <v>#N/A</v>
      </c>
      <c r="J1164" s="65" t="s">
        <v>899</v>
      </c>
      <c r="K1164" s="65"/>
      <c r="L1164" s="65"/>
      <c r="M1164" s="65"/>
      <c r="N1164" s="65"/>
      <c r="O1164" s="65" t="s">
        <v>912</v>
      </c>
      <c r="P1164" s="65"/>
      <c r="Q1164" s="65">
        <v>1</v>
      </c>
      <c r="R1164" s="65">
        <v>961</v>
      </c>
      <c r="S1164" s="65"/>
    </row>
    <row r="1165" spans="1:19" x14ac:dyDescent="0.25">
      <c r="A1165" s="15">
        <v>51</v>
      </c>
      <c r="B1165" s="65"/>
      <c r="C1165" s="65">
        <v>2429</v>
      </c>
      <c r="D1165" s="65"/>
      <c r="E1165" s="65" t="s">
        <v>787</v>
      </c>
      <c r="F1165" s="65">
        <v>3</v>
      </c>
      <c r="G1165" s="65"/>
      <c r="H1165" s="65">
        <v>3</v>
      </c>
      <c r="I1165" s="65" t="e">
        <v>#N/A</v>
      </c>
      <c r="J1165" s="65" t="s">
        <v>899</v>
      </c>
      <c r="K1165" s="65"/>
      <c r="L1165" s="65"/>
      <c r="M1165" s="65"/>
      <c r="N1165" s="65"/>
      <c r="O1165" s="65" t="s">
        <v>924</v>
      </c>
      <c r="P1165" s="65"/>
      <c r="Q1165" s="65">
        <v>1</v>
      </c>
      <c r="R1165" s="65">
        <v>1188</v>
      </c>
      <c r="S1165" s="65"/>
    </row>
    <row r="1166" spans="1:19" x14ac:dyDescent="0.25">
      <c r="A1166" s="15">
        <v>51</v>
      </c>
      <c r="B1166" s="65"/>
      <c r="C1166" s="65">
        <v>2429</v>
      </c>
      <c r="D1166" s="65"/>
      <c r="E1166" s="65" t="s">
        <v>787</v>
      </c>
      <c r="F1166" s="65">
        <v>3</v>
      </c>
      <c r="G1166" s="65"/>
      <c r="H1166" s="65" t="e">
        <v>#N/A</v>
      </c>
      <c r="I1166" s="65"/>
      <c r="J1166" s="65" t="s">
        <v>899</v>
      </c>
      <c r="K1166" s="65"/>
      <c r="L1166" s="65"/>
      <c r="M1166" s="65"/>
      <c r="N1166" s="65"/>
      <c r="O1166" s="65" t="s">
        <v>936</v>
      </c>
      <c r="P1166" s="65"/>
      <c r="Q1166" s="65">
        <v>1</v>
      </c>
      <c r="R1166" s="65">
        <v>1295</v>
      </c>
      <c r="S1166" s="65"/>
    </row>
    <row r="1167" spans="1:19" x14ac:dyDescent="0.25">
      <c r="A1167" s="15">
        <v>51</v>
      </c>
      <c r="B1167" s="65"/>
      <c r="C1167" s="65">
        <v>2429</v>
      </c>
      <c r="D1167" s="65"/>
      <c r="E1167" s="65" t="s">
        <v>787</v>
      </c>
      <c r="F1167" s="65">
        <v>5</v>
      </c>
      <c r="G1167" s="65"/>
      <c r="H1167" s="65" t="e">
        <v>#N/A</v>
      </c>
      <c r="I1167" s="65"/>
      <c r="J1167" s="65" t="s">
        <v>899</v>
      </c>
      <c r="K1167" s="65"/>
      <c r="L1167" s="65"/>
      <c r="M1167" s="65"/>
      <c r="N1167" s="65"/>
      <c r="O1167" s="65" t="s">
        <v>938</v>
      </c>
      <c r="P1167" s="65"/>
      <c r="Q1167" s="65">
        <v>1</v>
      </c>
      <c r="R1167" s="65">
        <v>1482</v>
      </c>
      <c r="S1167" s="65"/>
    </row>
    <row r="1168" spans="1:19" x14ac:dyDescent="0.25">
      <c r="A1168" s="15">
        <v>52</v>
      </c>
      <c r="B1168" s="65"/>
      <c r="C1168" s="65"/>
      <c r="D1168" s="65"/>
      <c r="E1168" s="65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65"/>
      <c r="Q1168" s="65"/>
      <c r="R1168" s="65"/>
      <c r="S1168" s="65"/>
    </row>
    <row r="1169" spans="1:19" x14ac:dyDescent="0.25">
      <c r="A1169" s="15">
        <v>52</v>
      </c>
      <c r="B1169" s="65"/>
      <c r="C1169" s="65"/>
      <c r="D1169" s="65"/>
      <c r="E1169" s="65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 t="s">
        <v>840</v>
      </c>
      <c r="P1169" s="65"/>
      <c r="Q1169" s="65"/>
      <c r="R1169" s="65"/>
      <c r="S1169" s="65"/>
    </row>
    <row r="1170" spans="1:19" x14ac:dyDescent="0.25">
      <c r="A1170" s="15">
        <v>52</v>
      </c>
      <c r="B1170" s="65"/>
      <c r="C1170" s="65"/>
      <c r="D1170" s="65"/>
      <c r="E1170" s="65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 t="s">
        <v>868</v>
      </c>
      <c r="P1170" s="65"/>
      <c r="Q1170" s="65"/>
      <c r="R1170" s="65"/>
      <c r="S1170" s="65"/>
    </row>
    <row r="1171" spans="1:19" x14ac:dyDescent="0.25">
      <c r="A1171" s="15">
        <v>52</v>
      </c>
      <c r="B1171" s="65"/>
      <c r="C1171" s="65"/>
      <c r="D1171" s="65"/>
      <c r="E1171" s="65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 t="s">
        <v>872</v>
      </c>
      <c r="P1171" s="65"/>
      <c r="Q1171" s="65"/>
      <c r="R1171" s="65"/>
      <c r="S1171" s="65"/>
    </row>
    <row r="1172" spans="1:19" x14ac:dyDescent="0.25">
      <c r="A1172" s="15">
        <v>52</v>
      </c>
      <c r="B1172" s="65"/>
      <c r="C1172" s="65" t="s">
        <v>79</v>
      </c>
      <c r="D1172" s="65"/>
      <c r="E1172" s="65" t="s">
        <v>787</v>
      </c>
      <c r="F1172" s="65">
        <v>8</v>
      </c>
      <c r="G1172" s="65"/>
      <c r="H1172" s="65">
        <v>7</v>
      </c>
      <c r="I1172" s="65">
        <v>7.666666666666667</v>
      </c>
      <c r="J1172" s="65" t="s">
        <v>879</v>
      </c>
      <c r="K1172" s="65"/>
      <c r="L1172" s="65"/>
      <c r="M1172" s="65"/>
      <c r="N1172" s="65"/>
      <c r="O1172" s="65" t="s">
        <v>878</v>
      </c>
      <c r="P1172" s="65"/>
      <c r="Q1172" s="65">
        <v>1</v>
      </c>
      <c r="R1172" s="65">
        <v>316</v>
      </c>
      <c r="S1172" s="65"/>
    </row>
    <row r="1173" spans="1:19" x14ac:dyDescent="0.25">
      <c r="A1173" s="15">
        <v>52</v>
      </c>
      <c r="B1173" s="65"/>
      <c r="C1173" s="65">
        <v>2429</v>
      </c>
      <c r="D1173" s="65"/>
      <c r="E1173" s="65" t="s">
        <v>787</v>
      </c>
      <c r="F1173" s="65">
        <v>8</v>
      </c>
      <c r="G1173" s="65"/>
      <c r="H1173" s="65"/>
      <c r="I1173" s="65">
        <v>21.583333333333332</v>
      </c>
      <c r="J1173" s="65" t="s">
        <v>879</v>
      </c>
      <c r="K1173" s="65"/>
      <c r="L1173" s="65"/>
      <c r="M1173" s="65"/>
      <c r="N1173" s="65"/>
      <c r="O1173" s="65" t="s">
        <v>881</v>
      </c>
      <c r="P1173" s="65"/>
      <c r="Q1173" s="65">
        <v>1</v>
      </c>
      <c r="R1173" s="65">
        <v>503</v>
      </c>
      <c r="S1173" s="65"/>
    </row>
    <row r="1174" spans="1:19" x14ac:dyDescent="0.25">
      <c r="A1174" s="15">
        <v>52</v>
      </c>
      <c r="B1174" s="65"/>
      <c r="C1174" s="65">
        <v>2429</v>
      </c>
      <c r="D1174" s="65"/>
      <c r="E1174" s="65" t="s">
        <v>787</v>
      </c>
      <c r="F1174" s="65">
        <v>1</v>
      </c>
      <c r="G1174" s="65"/>
      <c r="H1174" s="65" t="e">
        <v>#N/A</v>
      </c>
      <c r="I1174" s="65"/>
      <c r="J1174" s="65" t="s">
        <v>899</v>
      </c>
      <c r="K1174" s="65" t="s">
        <v>900</v>
      </c>
      <c r="L1174" s="65" t="s">
        <v>900</v>
      </c>
      <c r="M1174" s="65" t="s">
        <v>900</v>
      </c>
      <c r="N1174" s="65" t="s">
        <v>900</v>
      </c>
      <c r="O1174" s="65" t="s">
        <v>898</v>
      </c>
      <c r="P1174" s="65"/>
      <c r="Q1174" s="65">
        <v>1</v>
      </c>
      <c r="R1174" s="65">
        <v>735</v>
      </c>
      <c r="S1174" s="65"/>
    </row>
    <row r="1175" spans="1:19" x14ac:dyDescent="0.25">
      <c r="A1175" s="15">
        <v>52</v>
      </c>
      <c r="B1175" s="65"/>
      <c r="C1175" s="65">
        <v>2429</v>
      </c>
      <c r="D1175" s="65"/>
      <c r="E1175" s="65" t="s">
        <v>787</v>
      </c>
      <c r="F1175" s="65">
        <v>0</v>
      </c>
      <c r="G1175" s="65"/>
      <c r="H1175" s="65">
        <v>3</v>
      </c>
      <c r="I1175" s="65" t="e">
        <v>#N/A</v>
      </c>
      <c r="J1175" s="65" t="s">
        <v>899</v>
      </c>
      <c r="K1175" s="65"/>
      <c r="L1175" s="65"/>
      <c r="M1175" s="65"/>
      <c r="N1175" s="65"/>
      <c r="O1175" s="65" t="s">
        <v>912</v>
      </c>
      <c r="P1175" s="65"/>
      <c r="Q1175" s="65">
        <v>1</v>
      </c>
      <c r="R1175" s="65">
        <v>962</v>
      </c>
      <c r="S1175" s="65"/>
    </row>
    <row r="1176" spans="1:19" x14ac:dyDescent="0.25">
      <c r="A1176" s="15">
        <v>52</v>
      </c>
      <c r="B1176" s="65"/>
      <c r="C1176" s="65">
        <v>2429</v>
      </c>
      <c r="D1176" s="65"/>
      <c r="E1176" s="65" t="s">
        <v>787</v>
      </c>
      <c r="F1176" s="65">
        <v>3</v>
      </c>
      <c r="G1176" s="65"/>
      <c r="H1176" s="65">
        <v>3</v>
      </c>
      <c r="I1176" s="65" t="e">
        <v>#N/A</v>
      </c>
      <c r="J1176" s="65" t="s">
        <v>899</v>
      </c>
      <c r="K1176" s="65"/>
      <c r="L1176" s="65"/>
      <c r="M1176" s="65"/>
      <c r="N1176" s="65"/>
      <c r="O1176" s="65" t="s">
        <v>924</v>
      </c>
      <c r="P1176" s="65"/>
      <c r="Q1176" s="65">
        <v>1</v>
      </c>
      <c r="R1176" s="65">
        <v>1189</v>
      </c>
      <c r="S1176" s="65"/>
    </row>
    <row r="1177" spans="1:19" x14ac:dyDescent="0.25">
      <c r="A1177" s="15">
        <v>52</v>
      </c>
      <c r="B1177" s="65"/>
      <c r="C1177" s="65">
        <v>2429</v>
      </c>
      <c r="D1177" s="65"/>
      <c r="E1177" s="65" t="s">
        <v>787</v>
      </c>
      <c r="F1177" s="65">
        <v>3</v>
      </c>
      <c r="G1177" s="65"/>
      <c r="H1177" s="65" t="e">
        <v>#N/A</v>
      </c>
      <c r="I1177" s="65"/>
      <c r="J1177" s="65" t="s">
        <v>899</v>
      </c>
      <c r="K1177" s="65"/>
      <c r="L1177" s="65"/>
      <c r="M1177" s="65"/>
      <c r="N1177" s="65"/>
      <c r="O1177" s="65" t="s">
        <v>936</v>
      </c>
      <c r="P1177" s="65"/>
      <c r="Q1177" s="65">
        <v>1</v>
      </c>
      <c r="R1177" s="65">
        <v>1296</v>
      </c>
      <c r="S1177" s="65"/>
    </row>
    <row r="1178" spans="1:19" x14ac:dyDescent="0.25">
      <c r="A1178" s="15">
        <v>52</v>
      </c>
      <c r="B1178" s="65"/>
      <c r="C1178" s="65">
        <v>2429</v>
      </c>
      <c r="D1178" s="65"/>
      <c r="E1178" s="65" t="s">
        <v>787</v>
      </c>
      <c r="F1178" s="65">
        <v>5</v>
      </c>
      <c r="G1178" s="65"/>
      <c r="H1178" s="65" t="e">
        <v>#N/A</v>
      </c>
      <c r="I1178" s="65"/>
      <c r="J1178" s="65" t="s">
        <v>899</v>
      </c>
      <c r="K1178" s="65"/>
      <c r="L1178" s="65"/>
      <c r="M1178" s="65"/>
      <c r="N1178" s="65"/>
      <c r="O1178" s="65" t="s">
        <v>938</v>
      </c>
      <c r="P1178" s="65"/>
      <c r="Q1178" s="65">
        <v>1</v>
      </c>
      <c r="R1178" s="65">
        <v>1483</v>
      </c>
      <c r="S1178" s="65"/>
    </row>
    <row r="1179" spans="1:19" x14ac:dyDescent="0.25">
      <c r="A1179" s="15">
        <v>53</v>
      </c>
      <c r="B1179" s="65"/>
      <c r="C1179" s="65"/>
      <c r="D1179" s="65"/>
      <c r="E1179" s="65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65"/>
      <c r="Q1179" s="65"/>
      <c r="R1179" s="65"/>
      <c r="S1179" s="65"/>
    </row>
    <row r="1180" spans="1:19" x14ac:dyDescent="0.25">
      <c r="A1180" s="15">
        <v>53</v>
      </c>
      <c r="B1180" s="65"/>
      <c r="C1180" s="65"/>
      <c r="D1180" s="65"/>
      <c r="E1180" s="65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 t="s">
        <v>841</v>
      </c>
      <c r="P1180" s="65"/>
      <c r="Q1180" s="65"/>
      <c r="R1180" s="65"/>
      <c r="S1180" s="65"/>
    </row>
    <row r="1181" spans="1:19" x14ac:dyDescent="0.25">
      <c r="A1181" s="15">
        <v>53</v>
      </c>
      <c r="B1181" s="65"/>
      <c r="C1181" s="65"/>
      <c r="D1181" s="65"/>
      <c r="E1181" s="65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 t="s">
        <v>868</v>
      </c>
      <c r="P1181" s="65"/>
      <c r="Q1181" s="65"/>
      <c r="R1181" s="65"/>
      <c r="S1181" s="65"/>
    </row>
    <row r="1182" spans="1:19" x14ac:dyDescent="0.25">
      <c r="A1182" s="15">
        <v>53</v>
      </c>
      <c r="B1182" s="65"/>
      <c r="C1182" s="65"/>
      <c r="D1182" s="65"/>
      <c r="E1182" s="65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 t="s">
        <v>872</v>
      </c>
      <c r="P1182" s="65"/>
      <c r="Q1182" s="65"/>
      <c r="R1182" s="65"/>
      <c r="S1182" s="65"/>
    </row>
    <row r="1183" spans="1:19" x14ac:dyDescent="0.25">
      <c r="A1183" s="15">
        <v>53</v>
      </c>
      <c r="B1183" s="65"/>
      <c r="C1183" s="65" t="s">
        <v>79</v>
      </c>
      <c r="D1183" s="65"/>
      <c r="E1183" s="65" t="s">
        <v>787</v>
      </c>
      <c r="F1183" s="65">
        <v>8</v>
      </c>
      <c r="G1183" s="65"/>
      <c r="H1183" s="65">
        <v>7</v>
      </c>
      <c r="I1183" s="65">
        <v>7.666666666666667</v>
      </c>
      <c r="J1183" s="65" t="s">
        <v>879</v>
      </c>
      <c r="K1183" s="65"/>
      <c r="L1183" s="65"/>
      <c r="M1183" s="65"/>
      <c r="N1183" s="65"/>
      <c r="O1183" s="65" t="s">
        <v>878</v>
      </c>
      <c r="P1183" s="65"/>
      <c r="Q1183" s="65">
        <v>1</v>
      </c>
      <c r="R1183" s="65">
        <v>317</v>
      </c>
      <c r="S1183" s="65"/>
    </row>
    <row r="1184" spans="1:19" x14ac:dyDescent="0.25">
      <c r="A1184" s="15">
        <v>53</v>
      </c>
      <c r="B1184" s="65"/>
      <c r="C1184" s="65">
        <v>2429</v>
      </c>
      <c r="D1184" s="65"/>
      <c r="E1184" s="65" t="s">
        <v>787</v>
      </c>
      <c r="F1184" s="65">
        <v>8</v>
      </c>
      <c r="G1184" s="65"/>
      <c r="H1184" s="65"/>
      <c r="I1184" s="65">
        <v>21.583333333333332</v>
      </c>
      <c r="J1184" s="65" t="s">
        <v>879</v>
      </c>
      <c r="K1184" s="65"/>
      <c r="L1184" s="65"/>
      <c r="M1184" s="65"/>
      <c r="N1184" s="65"/>
      <c r="O1184" s="65" t="s">
        <v>881</v>
      </c>
      <c r="P1184" s="65"/>
      <c r="Q1184" s="65">
        <v>1</v>
      </c>
      <c r="R1184" s="65">
        <v>504</v>
      </c>
      <c r="S1184" s="65"/>
    </row>
    <row r="1185" spans="1:19" x14ac:dyDescent="0.25">
      <c r="A1185" s="15">
        <v>53</v>
      </c>
      <c r="B1185" s="65"/>
      <c r="C1185" s="65">
        <v>2429</v>
      </c>
      <c r="D1185" s="65"/>
      <c r="E1185" s="65" t="s">
        <v>787</v>
      </c>
      <c r="F1185" s="65">
        <v>1</v>
      </c>
      <c r="G1185" s="65"/>
      <c r="H1185" s="65" t="e">
        <v>#N/A</v>
      </c>
      <c r="I1185" s="65"/>
      <c r="J1185" s="65" t="s">
        <v>899</v>
      </c>
      <c r="K1185" s="65" t="s">
        <v>900</v>
      </c>
      <c r="L1185" s="65" t="s">
        <v>900</v>
      </c>
      <c r="M1185" s="65" t="s">
        <v>900</v>
      </c>
      <c r="N1185" s="65" t="s">
        <v>900</v>
      </c>
      <c r="O1185" s="65" t="s">
        <v>898</v>
      </c>
      <c r="P1185" s="65"/>
      <c r="Q1185" s="65">
        <v>1</v>
      </c>
      <c r="R1185" s="65">
        <v>736</v>
      </c>
      <c r="S1185" s="65"/>
    </row>
    <row r="1186" spans="1:19" x14ac:dyDescent="0.25">
      <c r="A1186" s="15">
        <v>53</v>
      </c>
      <c r="B1186" s="65"/>
      <c r="C1186" s="65">
        <v>2429</v>
      </c>
      <c r="D1186" s="65"/>
      <c r="E1186" s="65" t="s">
        <v>787</v>
      </c>
      <c r="F1186" s="65">
        <v>0</v>
      </c>
      <c r="G1186" s="65"/>
      <c r="H1186" s="65">
        <v>3</v>
      </c>
      <c r="I1186" s="65" t="e">
        <v>#N/A</v>
      </c>
      <c r="J1186" s="65" t="s">
        <v>899</v>
      </c>
      <c r="K1186" s="65"/>
      <c r="L1186" s="65"/>
      <c r="M1186" s="65"/>
      <c r="N1186" s="65"/>
      <c r="O1186" s="65" t="s">
        <v>912</v>
      </c>
      <c r="P1186" s="65"/>
      <c r="Q1186" s="65">
        <v>1</v>
      </c>
      <c r="R1186" s="65">
        <v>963</v>
      </c>
      <c r="S1186" s="65"/>
    </row>
    <row r="1187" spans="1:19" x14ac:dyDescent="0.25">
      <c r="A1187" s="15">
        <v>53</v>
      </c>
      <c r="B1187" s="65"/>
      <c r="C1187" s="65">
        <v>2429</v>
      </c>
      <c r="D1187" s="65"/>
      <c r="E1187" s="65" t="s">
        <v>787</v>
      </c>
      <c r="F1187" s="65">
        <v>3</v>
      </c>
      <c r="G1187" s="65"/>
      <c r="H1187" s="65">
        <v>3</v>
      </c>
      <c r="I1187" s="65" t="e">
        <v>#N/A</v>
      </c>
      <c r="J1187" s="65" t="s">
        <v>899</v>
      </c>
      <c r="K1187" s="65"/>
      <c r="L1187" s="65"/>
      <c r="M1187" s="65"/>
      <c r="N1187" s="65"/>
      <c r="O1187" s="65" t="s">
        <v>924</v>
      </c>
      <c r="P1187" s="65"/>
      <c r="Q1187" s="65">
        <v>1</v>
      </c>
      <c r="R1187" s="65">
        <v>1190</v>
      </c>
      <c r="S1187" s="65"/>
    </row>
    <row r="1188" spans="1:19" x14ac:dyDescent="0.25">
      <c r="A1188" s="15">
        <v>53</v>
      </c>
      <c r="B1188" s="65"/>
      <c r="C1188" s="65">
        <v>2429</v>
      </c>
      <c r="D1188" s="65"/>
      <c r="E1188" s="65" t="s">
        <v>787</v>
      </c>
      <c r="F1188" s="65">
        <v>3</v>
      </c>
      <c r="G1188" s="65"/>
      <c r="H1188" s="65" t="e">
        <v>#N/A</v>
      </c>
      <c r="I1188" s="65"/>
      <c r="J1188" s="65" t="s">
        <v>899</v>
      </c>
      <c r="K1188" s="65"/>
      <c r="L1188" s="65"/>
      <c r="M1188" s="65"/>
      <c r="N1188" s="65"/>
      <c r="O1188" s="65" t="s">
        <v>936</v>
      </c>
      <c r="P1188" s="65"/>
      <c r="Q1188" s="65">
        <v>1</v>
      </c>
      <c r="R1188" s="65">
        <v>1297</v>
      </c>
      <c r="S1188" s="65"/>
    </row>
    <row r="1189" spans="1:19" x14ac:dyDescent="0.25">
      <c r="A1189" s="15">
        <v>53</v>
      </c>
      <c r="B1189" s="65"/>
      <c r="C1189" s="65">
        <v>2429</v>
      </c>
      <c r="D1189" s="65"/>
      <c r="E1189" s="65" t="s">
        <v>787</v>
      </c>
      <c r="F1189" s="65">
        <v>5</v>
      </c>
      <c r="G1189" s="65"/>
      <c r="H1189" s="65" t="e">
        <v>#N/A</v>
      </c>
      <c r="I1189" s="65"/>
      <c r="J1189" s="65" t="s">
        <v>899</v>
      </c>
      <c r="K1189" s="65"/>
      <c r="L1189" s="65"/>
      <c r="M1189" s="65"/>
      <c r="N1189" s="65"/>
      <c r="O1189" s="65" t="s">
        <v>938</v>
      </c>
      <c r="P1189" s="65"/>
      <c r="Q1189" s="65">
        <v>1</v>
      </c>
      <c r="R1189" s="65">
        <v>1484</v>
      </c>
      <c r="S1189" s="65"/>
    </row>
    <row r="1190" spans="1:19" x14ac:dyDescent="0.25">
      <c r="A1190" s="15">
        <v>54</v>
      </c>
      <c r="B1190" s="65"/>
      <c r="C1190" s="65"/>
      <c r="D1190" s="65"/>
      <c r="E1190" s="65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65"/>
      <c r="Q1190" s="65"/>
      <c r="R1190" s="65"/>
      <c r="S1190" s="65"/>
    </row>
    <row r="1191" spans="1:19" x14ac:dyDescent="0.25">
      <c r="A1191" s="15">
        <v>54</v>
      </c>
      <c r="B1191" s="65"/>
      <c r="C1191" s="65"/>
      <c r="D1191" s="65"/>
      <c r="E1191" s="65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 t="s">
        <v>842</v>
      </c>
      <c r="P1191" s="65"/>
      <c r="Q1191" s="65"/>
      <c r="R1191" s="65"/>
      <c r="S1191" s="65"/>
    </row>
    <row r="1192" spans="1:19" x14ac:dyDescent="0.25">
      <c r="A1192" s="15">
        <v>54</v>
      </c>
      <c r="B1192" s="65"/>
      <c r="C1192" s="65"/>
      <c r="D1192" s="65"/>
      <c r="E1192" s="65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 t="s">
        <v>868</v>
      </c>
      <c r="P1192" s="65"/>
      <c r="Q1192" s="65"/>
      <c r="R1192" s="65"/>
      <c r="S1192" s="65"/>
    </row>
    <row r="1193" spans="1:19" x14ac:dyDescent="0.25">
      <c r="A1193" s="15">
        <v>54</v>
      </c>
      <c r="B1193" s="65"/>
      <c r="C1193" s="65"/>
      <c r="D1193" s="65"/>
      <c r="E1193" s="65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 t="s">
        <v>872</v>
      </c>
      <c r="P1193" s="65"/>
      <c r="Q1193" s="65"/>
      <c r="R1193" s="65"/>
      <c r="S1193" s="65"/>
    </row>
    <row r="1194" spans="1:19" x14ac:dyDescent="0.25">
      <c r="A1194" s="15">
        <v>54</v>
      </c>
      <c r="B1194" s="65"/>
      <c r="C1194" s="65" t="s">
        <v>79</v>
      </c>
      <c r="D1194" s="65"/>
      <c r="E1194" s="65" t="s">
        <v>787</v>
      </c>
      <c r="F1194" s="65">
        <v>8</v>
      </c>
      <c r="G1194" s="65"/>
      <c r="H1194" s="65">
        <v>7</v>
      </c>
      <c r="I1194" s="65">
        <v>7.666666666666667</v>
      </c>
      <c r="J1194" s="65" t="s">
        <v>879</v>
      </c>
      <c r="K1194" s="65"/>
      <c r="L1194" s="65"/>
      <c r="M1194" s="65"/>
      <c r="N1194" s="65"/>
      <c r="O1194" s="65" t="s">
        <v>878</v>
      </c>
      <c r="P1194" s="65"/>
      <c r="Q1194" s="65">
        <v>1</v>
      </c>
      <c r="R1194" s="65">
        <v>318</v>
      </c>
      <c r="S1194" s="65"/>
    </row>
    <row r="1195" spans="1:19" x14ac:dyDescent="0.25">
      <c r="A1195" s="15">
        <v>54</v>
      </c>
      <c r="B1195" s="65"/>
      <c r="C1195" s="65">
        <v>2429</v>
      </c>
      <c r="D1195" s="65"/>
      <c r="E1195" s="65" t="s">
        <v>787</v>
      </c>
      <c r="F1195" s="65">
        <v>8</v>
      </c>
      <c r="G1195" s="65"/>
      <c r="H1195" s="65"/>
      <c r="I1195" s="65">
        <v>21.583333333333332</v>
      </c>
      <c r="J1195" s="65" t="s">
        <v>879</v>
      </c>
      <c r="K1195" s="65"/>
      <c r="L1195" s="65"/>
      <c r="M1195" s="65"/>
      <c r="N1195" s="65"/>
      <c r="O1195" s="65" t="s">
        <v>881</v>
      </c>
      <c r="P1195" s="65"/>
      <c r="Q1195" s="65">
        <v>1</v>
      </c>
      <c r="R1195" s="65">
        <v>505</v>
      </c>
      <c r="S1195" s="65"/>
    </row>
    <row r="1196" spans="1:19" x14ac:dyDescent="0.25">
      <c r="A1196" s="15">
        <v>54</v>
      </c>
      <c r="B1196" s="65"/>
      <c r="C1196" s="65">
        <v>2429</v>
      </c>
      <c r="D1196" s="65"/>
      <c r="E1196" s="65" t="s">
        <v>787</v>
      </c>
      <c r="F1196" s="65">
        <v>1</v>
      </c>
      <c r="G1196" s="65"/>
      <c r="H1196" s="65" t="e">
        <v>#N/A</v>
      </c>
      <c r="I1196" s="65"/>
      <c r="J1196" s="65" t="s">
        <v>899</v>
      </c>
      <c r="K1196" s="65" t="s">
        <v>900</v>
      </c>
      <c r="L1196" s="65" t="s">
        <v>900</v>
      </c>
      <c r="M1196" s="65" t="s">
        <v>900</v>
      </c>
      <c r="N1196" s="65" t="s">
        <v>900</v>
      </c>
      <c r="O1196" s="65" t="s">
        <v>898</v>
      </c>
      <c r="P1196" s="65"/>
      <c r="Q1196" s="65">
        <v>1</v>
      </c>
      <c r="R1196" s="65">
        <v>737</v>
      </c>
      <c r="S1196" s="65"/>
    </row>
    <row r="1197" spans="1:19" x14ac:dyDescent="0.25">
      <c r="A1197" s="15">
        <v>54</v>
      </c>
      <c r="B1197" s="65"/>
      <c r="C1197" s="65">
        <v>2429</v>
      </c>
      <c r="D1197" s="65"/>
      <c r="E1197" s="65" t="s">
        <v>787</v>
      </c>
      <c r="F1197" s="65">
        <v>0</v>
      </c>
      <c r="G1197" s="65"/>
      <c r="H1197" s="65">
        <v>3</v>
      </c>
      <c r="I1197" s="65" t="e">
        <v>#N/A</v>
      </c>
      <c r="J1197" s="65" t="s">
        <v>899</v>
      </c>
      <c r="K1197" s="65"/>
      <c r="L1197" s="65"/>
      <c r="M1197" s="65"/>
      <c r="N1197" s="65"/>
      <c r="O1197" s="65" t="s">
        <v>912</v>
      </c>
      <c r="P1197" s="65"/>
      <c r="Q1197" s="65">
        <v>1</v>
      </c>
      <c r="R1197" s="65">
        <v>964</v>
      </c>
      <c r="S1197" s="65"/>
    </row>
    <row r="1198" spans="1:19" x14ac:dyDescent="0.25">
      <c r="A1198" s="15">
        <v>54</v>
      </c>
      <c r="B1198" s="65"/>
      <c r="C1198" s="65">
        <v>2429</v>
      </c>
      <c r="D1198" s="65"/>
      <c r="E1198" s="65" t="s">
        <v>787</v>
      </c>
      <c r="F1198" s="65">
        <v>3</v>
      </c>
      <c r="G1198" s="65"/>
      <c r="H1198" s="65">
        <v>3</v>
      </c>
      <c r="I1198" s="65" t="e">
        <v>#N/A</v>
      </c>
      <c r="J1198" s="65" t="s">
        <v>899</v>
      </c>
      <c r="K1198" s="65"/>
      <c r="L1198" s="65"/>
      <c r="M1198" s="65"/>
      <c r="N1198" s="65"/>
      <c r="O1198" s="65" t="s">
        <v>924</v>
      </c>
      <c r="P1198" s="65"/>
      <c r="Q1198" s="65">
        <v>1</v>
      </c>
      <c r="R1198" s="65">
        <v>1191</v>
      </c>
      <c r="S1198" s="65"/>
    </row>
    <row r="1199" spans="1:19" x14ac:dyDescent="0.25">
      <c r="A1199" s="15">
        <v>54</v>
      </c>
      <c r="B1199" s="65"/>
      <c r="C1199" s="65">
        <v>2429</v>
      </c>
      <c r="D1199" s="65"/>
      <c r="E1199" s="65" t="s">
        <v>787</v>
      </c>
      <c r="F1199" s="65">
        <v>3</v>
      </c>
      <c r="G1199" s="65"/>
      <c r="H1199" s="65" t="e">
        <v>#N/A</v>
      </c>
      <c r="I1199" s="65"/>
      <c r="J1199" s="65" t="s">
        <v>899</v>
      </c>
      <c r="K1199" s="65"/>
      <c r="L1199" s="65"/>
      <c r="M1199" s="65"/>
      <c r="N1199" s="65"/>
      <c r="O1199" s="65" t="s">
        <v>936</v>
      </c>
      <c r="P1199" s="65"/>
      <c r="Q1199" s="65">
        <v>1</v>
      </c>
      <c r="R1199" s="65">
        <v>1298</v>
      </c>
      <c r="S1199" s="65"/>
    </row>
    <row r="1200" spans="1:19" x14ac:dyDescent="0.25">
      <c r="A1200" s="15">
        <v>54</v>
      </c>
      <c r="B1200" s="65"/>
      <c r="C1200" s="65">
        <v>2429</v>
      </c>
      <c r="D1200" s="65"/>
      <c r="E1200" s="65" t="s">
        <v>787</v>
      </c>
      <c r="F1200" s="65">
        <v>5</v>
      </c>
      <c r="G1200" s="65"/>
      <c r="H1200" s="65" t="e">
        <v>#N/A</v>
      </c>
      <c r="I1200" s="65"/>
      <c r="J1200" s="65" t="s">
        <v>899</v>
      </c>
      <c r="K1200" s="65"/>
      <c r="L1200" s="65"/>
      <c r="M1200" s="65"/>
      <c r="N1200" s="65"/>
      <c r="O1200" s="65" t="s">
        <v>938</v>
      </c>
      <c r="P1200" s="65"/>
      <c r="Q1200" s="65">
        <v>1</v>
      </c>
      <c r="R1200" s="65">
        <v>1485</v>
      </c>
      <c r="S1200" s="65"/>
    </row>
    <row r="1201" spans="1:19" x14ac:dyDescent="0.25">
      <c r="A1201" s="15">
        <v>55</v>
      </c>
      <c r="B1201" s="65"/>
      <c r="C1201" s="65"/>
      <c r="D1201" s="65"/>
      <c r="E1201" s="65"/>
      <c r="F1201" s="65"/>
      <c r="G1201" s="65"/>
      <c r="H1201" s="65"/>
      <c r="I1201" s="65"/>
      <c r="J1201" s="65"/>
      <c r="K1201" s="65"/>
      <c r="L1201" s="65"/>
      <c r="M1201" s="65"/>
      <c r="N1201" s="65"/>
      <c r="O1201" s="65"/>
      <c r="P1201" s="65"/>
      <c r="Q1201" s="65"/>
      <c r="R1201" s="65"/>
      <c r="S1201" s="65"/>
    </row>
    <row r="1202" spans="1:19" x14ac:dyDescent="0.25">
      <c r="A1202" s="15">
        <v>55</v>
      </c>
      <c r="B1202" s="65"/>
      <c r="C1202" s="65"/>
      <c r="D1202" s="65"/>
      <c r="E1202" s="65"/>
      <c r="F1202" s="65"/>
      <c r="G1202" s="65"/>
      <c r="H1202" s="65"/>
      <c r="I1202" s="65"/>
      <c r="J1202" s="65"/>
      <c r="K1202" s="65"/>
      <c r="L1202" s="65"/>
      <c r="M1202" s="65"/>
      <c r="N1202" s="65"/>
      <c r="O1202" s="65" t="s">
        <v>843</v>
      </c>
      <c r="P1202" s="65"/>
      <c r="Q1202" s="65"/>
      <c r="R1202" s="65"/>
      <c r="S1202" s="65"/>
    </row>
    <row r="1203" spans="1:19" x14ac:dyDescent="0.25">
      <c r="A1203" s="15">
        <v>55</v>
      </c>
      <c r="B1203" s="65"/>
      <c r="C1203" s="65"/>
      <c r="D1203" s="65"/>
      <c r="E1203" s="65"/>
      <c r="F1203" s="65"/>
      <c r="G1203" s="65"/>
      <c r="H1203" s="65"/>
      <c r="I1203" s="65"/>
      <c r="J1203" s="65"/>
      <c r="K1203" s="65"/>
      <c r="L1203" s="65"/>
      <c r="M1203" s="65"/>
      <c r="N1203" s="65"/>
      <c r="O1203" s="65" t="s">
        <v>868</v>
      </c>
      <c r="P1203" s="65"/>
      <c r="Q1203" s="65"/>
      <c r="R1203" s="65"/>
      <c r="S1203" s="65"/>
    </row>
    <row r="1204" spans="1:19" x14ac:dyDescent="0.25">
      <c r="A1204" s="15">
        <v>55</v>
      </c>
      <c r="B1204" s="65"/>
      <c r="C1204" s="65"/>
      <c r="D1204" s="65"/>
      <c r="E1204" s="65"/>
      <c r="F1204" s="65"/>
      <c r="G1204" s="65"/>
      <c r="H1204" s="65"/>
      <c r="I1204" s="65"/>
      <c r="J1204" s="65"/>
      <c r="K1204" s="65"/>
      <c r="L1204" s="65"/>
      <c r="M1204" s="65"/>
      <c r="N1204" s="65"/>
      <c r="O1204" s="65" t="s">
        <v>872</v>
      </c>
      <c r="P1204" s="65"/>
      <c r="Q1204" s="65"/>
      <c r="R1204" s="65"/>
      <c r="S1204" s="65"/>
    </row>
    <row r="1205" spans="1:19" x14ac:dyDescent="0.25">
      <c r="A1205" s="15">
        <v>55</v>
      </c>
      <c r="B1205" s="65"/>
      <c r="C1205" s="65" t="s">
        <v>79</v>
      </c>
      <c r="D1205" s="65"/>
      <c r="E1205" s="65" t="s">
        <v>787</v>
      </c>
      <c r="F1205" s="65">
        <v>8</v>
      </c>
      <c r="G1205" s="65"/>
      <c r="H1205" s="65">
        <v>7</v>
      </c>
      <c r="I1205" s="65">
        <v>7.666666666666667</v>
      </c>
      <c r="J1205" s="65" t="s">
        <v>879</v>
      </c>
      <c r="K1205" s="65"/>
      <c r="L1205" s="65"/>
      <c r="M1205" s="65"/>
      <c r="N1205" s="65"/>
      <c r="O1205" s="65" t="s">
        <v>878</v>
      </c>
      <c r="P1205" s="65"/>
      <c r="Q1205" s="65">
        <v>1</v>
      </c>
      <c r="R1205" s="65">
        <v>319</v>
      </c>
      <c r="S1205" s="65"/>
    </row>
    <row r="1206" spans="1:19" x14ac:dyDescent="0.25">
      <c r="A1206" s="15">
        <v>55</v>
      </c>
      <c r="B1206" s="65"/>
      <c r="C1206" s="65">
        <v>2429</v>
      </c>
      <c r="D1206" s="65"/>
      <c r="E1206" s="65" t="s">
        <v>787</v>
      </c>
      <c r="F1206" s="65">
        <v>8</v>
      </c>
      <c r="G1206" s="65"/>
      <c r="H1206" s="65"/>
      <c r="I1206" s="65">
        <v>21.583333333333332</v>
      </c>
      <c r="J1206" s="65" t="s">
        <v>879</v>
      </c>
      <c r="K1206" s="65"/>
      <c r="L1206" s="65"/>
      <c r="M1206" s="65"/>
      <c r="N1206" s="65"/>
      <c r="O1206" s="65" t="s">
        <v>881</v>
      </c>
      <c r="P1206" s="65"/>
      <c r="Q1206" s="65">
        <v>1</v>
      </c>
      <c r="R1206" s="65">
        <v>506</v>
      </c>
      <c r="S1206" s="65"/>
    </row>
    <row r="1207" spans="1:19" x14ac:dyDescent="0.25">
      <c r="A1207" s="15">
        <v>55</v>
      </c>
      <c r="B1207" s="65"/>
      <c r="C1207" s="65">
        <v>2429</v>
      </c>
      <c r="D1207" s="65"/>
      <c r="E1207" s="65" t="s">
        <v>787</v>
      </c>
      <c r="F1207" s="65">
        <v>1</v>
      </c>
      <c r="G1207" s="65"/>
      <c r="H1207" s="65" t="e">
        <v>#N/A</v>
      </c>
      <c r="I1207" s="65"/>
      <c r="J1207" s="65" t="s">
        <v>899</v>
      </c>
      <c r="K1207" s="65" t="s">
        <v>900</v>
      </c>
      <c r="L1207" s="65" t="s">
        <v>900</v>
      </c>
      <c r="M1207" s="65" t="s">
        <v>900</v>
      </c>
      <c r="N1207" s="65" t="s">
        <v>900</v>
      </c>
      <c r="O1207" s="65" t="s">
        <v>898</v>
      </c>
      <c r="P1207" s="65"/>
      <c r="Q1207" s="65">
        <v>1</v>
      </c>
      <c r="R1207" s="65">
        <v>738</v>
      </c>
      <c r="S1207" s="65"/>
    </row>
    <row r="1208" spans="1:19" x14ac:dyDescent="0.25">
      <c r="A1208" s="15">
        <v>55</v>
      </c>
      <c r="B1208" s="65"/>
      <c r="C1208" s="65">
        <v>2429</v>
      </c>
      <c r="D1208" s="65"/>
      <c r="E1208" s="65" t="s">
        <v>787</v>
      </c>
      <c r="F1208" s="65">
        <v>0</v>
      </c>
      <c r="G1208" s="65"/>
      <c r="H1208" s="65">
        <v>3</v>
      </c>
      <c r="I1208" s="65" t="e">
        <v>#N/A</v>
      </c>
      <c r="J1208" s="65" t="s">
        <v>899</v>
      </c>
      <c r="K1208" s="65"/>
      <c r="L1208" s="65"/>
      <c r="M1208" s="65"/>
      <c r="N1208" s="65"/>
      <c r="O1208" s="65" t="s">
        <v>912</v>
      </c>
      <c r="P1208" s="65"/>
      <c r="Q1208" s="65">
        <v>1</v>
      </c>
      <c r="R1208" s="65">
        <v>965</v>
      </c>
      <c r="S1208" s="65"/>
    </row>
    <row r="1209" spans="1:19" x14ac:dyDescent="0.25">
      <c r="A1209" s="15">
        <v>55</v>
      </c>
      <c r="B1209" s="65"/>
      <c r="C1209" s="65">
        <v>2429</v>
      </c>
      <c r="D1209" s="65"/>
      <c r="E1209" s="65" t="s">
        <v>787</v>
      </c>
      <c r="F1209" s="65">
        <v>3</v>
      </c>
      <c r="G1209" s="65"/>
      <c r="H1209" s="65">
        <v>3</v>
      </c>
      <c r="I1209" s="65" t="e">
        <v>#N/A</v>
      </c>
      <c r="J1209" s="65" t="s">
        <v>899</v>
      </c>
      <c r="K1209" s="65"/>
      <c r="L1209" s="65"/>
      <c r="M1209" s="65"/>
      <c r="N1209" s="65"/>
      <c r="O1209" s="65" t="s">
        <v>924</v>
      </c>
      <c r="P1209" s="65"/>
      <c r="Q1209" s="65">
        <v>1</v>
      </c>
      <c r="R1209" s="65">
        <v>1192</v>
      </c>
      <c r="S1209" s="65"/>
    </row>
    <row r="1210" spans="1:19" x14ac:dyDescent="0.25">
      <c r="A1210" s="15">
        <v>55</v>
      </c>
      <c r="B1210" s="65"/>
      <c r="C1210" s="65">
        <v>2429</v>
      </c>
      <c r="D1210" s="65"/>
      <c r="E1210" s="65" t="s">
        <v>787</v>
      </c>
      <c r="F1210" s="65">
        <v>3</v>
      </c>
      <c r="G1210" s="65"/>
      <c r="H1210" s="65" t="e">
        <v>#N/A</v>
      </c>
      <c r="I1210" s="65"/>
      <c r="J1210" s="65" t="s">
        <v>899</v>
      </c>
      <c r="K1210" s="65"/>
      <c r="L1210" s="65"/>
      <c r="M1210" s="65"/>
      <c r="N1210" s="65"/>
      <c r="O1210" s="65" t="s">
        <v>936</v>
      </c>
      <c r="P1210" s="65"/>
      <c r="Q1210" s="65">
        <v>1</v>
      </c>
      <c r="R1210" s="65">
        <v>1299</v>
      </c>
      <c r="S1210" s="65"/>
    </row>
    <row r="1211" spans="1:19" x14ac:dyDescent="0.25">
      <c r="A1211" s="15">
        <v>55</v>
      </c>
      <c r="B1211" s="65"/>
      <c r="C1211" s="65">
        <v>2429</v>
      </c>
      <c r="D1211" s="65"/>
      <c r="E1211" s="65" t="s">
        <v>787</v>
      </c>
      <c r="F1211" s="65">
        <v>5</v>
      </c>
      <c r="G1211" s="65"/>
      <c r="H1211" s="65" t="e">
        <v>#N/A</v>
      </c>
      <c r="I1211" s="65"/>
      <c r="J1211" s="65" t="s">
        <v>899</v>
      </c>
      <c r="K1211" s="65"/>
      <c r="L1211" s="65"/>
      <c r="M1211" s="65"/>
      <c r="N1211" s="65"/>
      <c r="O1211" s="65" t="s">
        <v>938</v>
      </c>
      <c r="P1211" s="65"/>
      <c r="Q1211" s="65">
        <v>1</v>
      </c>
      <c r="R1211" s="65">
        <v>1486</v>
      </c>
      <c r="S1211" s="65"/>
    </row>
    <row r="1212" spans="1:19" x14ac:dyDescent="0.25">
      <c r="A1212" s="15">
        <v>56</v>
      </c>
      <c r="B1212" s="65"/>
      <c r="C1212" s="65"/>
      <c r="D1212" s="65"/>
      <c r="E1212" s="65"/>
      <c r="F1212" s="65"/>
      <c r="G1212" s="65"/>
      <c r="H1212" s="65"/>
      <c r="I1212" s="65"/>
      <c r="J1212" s="65"/>
      <c r="K1212" s="65"/>
      <c r="L1212" s="65"/>
      <c r="M1212" s="65"/>
      <c r="N1212" s="65"/>
      <c r="O1212" s="65"/>
      <c r="P1212" s="65"/>
      <c r="Q1212" s="65"/>
      <c r="R1212" s="65"/>
      <c r="S1212" s="65"/>
    </row>
    <row r="1213" spans="1:19" x14ac:dyDescent="0.25">
      <c r="A1213" s="15">
        <v>56</v>
      </c>
      <c r="B1213" s="65"/>
      <c r="C1213" s="65"/>
      <c r="D1213" s="65"/>
      <c r="E1213" s="65"/>
      <c r="F1213" s="65"/>
      <c r="G1213" s="65"/>
      <c r="H1213" s="65"/>
      <c r="I1213" s="65"/>
      <c r="J1213" s="65"/>
      <c r="K1213" s="65"/>
      <c r="L1213" s="65"/>
      <c r="M1213" s="65"/>
      <c r="N1213" s="65"/>
      <c r="O1213" s="65" t="s">
        <v>844</v>
      </c>
      <c r="P1213" s="65"/>
      <c r="Q1213" s="65"/>
      <c r="R1213" s="65"/>
      <c r="S1213" s="65"/>
    </row>
    <row r="1214" spans="1:19" x14ac:dyDescent="0.25">
      <c r="A1214" s="15">
        <v>56</v>
      </c>
      <c r="B1214" s="65"/>
      <c r="C1214" s="65"/>
      <c r="D1214" s="65"/>
      <c r="E1214" s="65"/>
      <c r="F1214" s="65"/>
      <c r="G1214" s="65"/>
      <c r="H1214" s="65"/>
      <c r="I1214" s="65"/>
      <c r="J1214" s="65"/>
      <c r="K1214" s="65"/>
      <c r="L1214" s="65"/>
      <c r="M1214" s="65"/>
      <c r="N1214" s="65"/>
      <c r="O1214" s="65" t="s">
        <v>869</v>
      </c>
      <c r="P1214" s="65"/>
      <c r="Q1214" s="65"/>
      <c r="R1214" s="65"/>
      <c r="S1214" s="65"/>
    </row>
    <row r="1215" spans="1:19" x14ac:dyDescent="0.25">
      <c r="A1215" s="15">
        <v>56</v>
      </c>
      <c r="B1215" s="65"/>
      <c r="C1215" s="65"/>
      <c r="D1215" s="65"/>
      <c r="E1215" s="65"/>
      <c r="F1215" s="65"/>
      <c r="G1215" s="65"/>
      <c r="H1215" s="65"/>
      <c r="I1215" s="65"/>
      <c r="J1215" s="65"/>
      <c r="K1215" s="65"/>
      <c r="L1215" s="65"/>
      <c r="M1215" s="65"/>
      <c r="N1215" s="65"/>
      <c r="O1215" s="65" t="s">
        <v>871</v>
      </c>
      <c r="P1215" s="65"/>
      <c r="Q1215" s="65"/>
      <c r="R1215" s="65"/>
      <c r="S1215" s="65"/>
    </row>
    <row r="1216" spans="1:19" x14ac:dyDescent="0.25">
      <c r="A1216" s="15">
        <v>56</v>
      </c>
      <c r="B1216" s="65"/>
      <c r="C1216" s="65" t="s">
        <v>79</v>
      </c>
      <c r="D1216" s="65"/>
      <c r="E1216" s="65" t="s">
        <v>787</v>
      </c>
      <c r="F1216" s="65">
        <v>10</v>
      </c>
      <c r="G1216" s="65"/>
      <c r="H1216" s="65">
        <v>7</v>
      </c>
      <c r="I1216" s="65">
        <v>7.666666666666667</v>
      </c>
      <c r="J1216" s="65" t="s">
        <v>879</v>
      </c>
      <c r="K1216" s="65"/>
      <c r="L1216" s="65"/>
      <c r="M1216" s="65"/>
      <c r="N1216" s="65"/>
      <c r="O1216" s="65" t="s">
        <v>878</v>
      </c>
      <c r="P1216" s="65"/>
      <c r="Q1216" s="65">
        <v>1</v>
      </c>
      <c r="R1216" s="65">
        <v>320</v>
      </c>
      <c r="S1216" s="65"/>
    </row>
    <row r="1217" spans="1:19" x14ac:dyDescent="0.25">
      <c r="A1217" s="15">
        <v>56</v>
      </c>
      <c r="B1217" s="65"/>
      <c r="C1217" s="65">
        <v>2429</v>
      </c>
      <c r="D1217" s="65"/>
      <c r="E1217" s="65" t="s">
        <v>787</v>
      </c>
      <c r="F1217" s="65">
        <v>10</v>
      </c>
      <c r="G1217" s="65"/>
      <c r="H1217" s="65"/>
      <c r="I1217" s="65">
        <v>19.583333333333332</v>
      </c>
      <c r="J1217" s="65" t="s">
        <v>879</v>
      </c>
      <c r="K1217" s="65"/>
      <c r="L1217" s="65"/>
      <c r="M1217" s="65"/>
      <c r="N1217" s="65"/>
      <c r="O1217" s="65" t="s">
        <v>881</v>
      </c>
      <c r="P1217" s="65"/>
      <c r="Q1217" s="65">
        <v>1</v>
      </c>
      <c r="R1217" s="65">
        <v>507</v>
      </c>
      <c r="S1217" s="65"/>
    </row>
    <row r="1218" spans="1:19" x14ac:dyDescent="0.25">
      <c r="A1218" s="15">
        <v>56</v>
      </c>
      <c r="B1218" s="65"/>
      <c r="C1218" s="65">
        <v>2429</v>
      </c>
      <c r="D1218" s="65"/>
      <c r="E1218" s="65" t="s">
        <v>787</v>
      </c>
      <c r="F1218" s="65">
        <v>1</v>
      </c>
      <c r="G1218" s="65"/>
      <c r="H1218" s="65" t="e">
        <v>#N/A</v>
      </c>
      <c r="I1218" s="65"/>
      <c r="J1218" s="65" t="s">
        <v>899</v>
      </c>
      <c r="K1218" s="65" t="s">
        <v>900</v>
      </c>
      <c r="L1218" s="65" t="s">
        <v>900</v>
      </c>
      <c r="M1218" s="65" t="s">
        <v>900</v>
      </c>
      <c r="N1218" s="65" t="s">
        <v>900</v>
      </c>
      <c r="O1218" s="65" t="s">
        <v>898</v>
      </c>
      <c r="P1218" s="65"/>
      <c r="Q1218" s="65">
        <v>1</v>
      </c>
      <c r="R1218" s="65">
        <v>739</v>
      </c>
      <c r="S1218" s="65"/>
    </row>
    <row r="1219" spans="1:19" x14ac:dyDescent="0.25">
      <c r="A1219" s="15">
        <v>56</v>
      </c>
      <c r="B1219" s="65"/>
      <c r="C1219" s="65">
        <v>2429</v>
      </c>
      <c r="D1219" s="65"/>
      <c r="E1219" s="65" t="s">
        <v>787</v>
      </c>
      <c r="F1219" s="65">
        <v>0</v>
      </c>
      <c r="G1219" s="65"/>
      <c r="H1219" s="65">
        <v>3</v>
      </c>
      <c r="I1219" s="65" t="e">
        <v>#N/A</v>
      </c>
      <c r="J1219" s="65" t="s">
        <v>899</v>
      </c>
      <c r="K1219" s="65"/>
      <c r="L1219" s="65"/>
      <c r="M1219" s="65"/>
      <c r="N1219" s="65"/>
      <c r="O1219" s="65" t="s">
        <v>912</v>
      </c>
      <c r="P1219" s="65"/>
      <c r="Q1219" s="65">
        <v>1</v>
      </c>
      <c r="R1219" s="65">
        <v>966</v>
      </c>
      <c r="S1219" s="65"/>
    </row>
    <row r="1220" spans="1:19" x14ac:dyDescent="0.25">
      <c r="A1220" s="15">
        <v>56</v>
      </c>
      <c r="B1220" s="65"/>
      <c r="C1220" s="65">
        <v>2429</v>
      </c>
      <c r="D1220" s="65"/>
      <c r="E1220" s="65" t="s">
        <v>787</v>
      </c>
      <c r="F1220" s="65">
        <v>3</v>
      </c>
      <c r="G1220" s="65"/>
      <c r="H1220" s="65">
        <v>3</v>
      </c>
      <c r="I1220" s="65" t="e">
        <v>#N/A</v>
      </c>
      <c r="J1220" s="65" t="s">
        <v>899</v>
      </c>
      <c r="K1220" s="65"/>
      <c r="L1220" s="65"/>
      <c r="M1220" s="65"/>
      <c r="N1220" s="65"/>
      <c r="O1220" s="65" t="s">
        <v>924</v>
      </c>
      <c r="P1220" s="65"/>
      <c r="Q1220" s="65">
        <v>1</v>
      </c>
      <c r="R1220" s="65">
        <v>1193</v>
      </c>
      <c r="S1220" s="65"/>
    </row>
    <row r="1221" spans="1:19" x14ac:dyDescent="0.25">
      <c r="A1221" s="15">
        <v>56</v>
      </c>
      <c r="B1221" s="65"/>
      <c r="C1221" s="65">
        <v>2429</v>
      </c>
      <c r="D1221" s="65"/>
      <c r="E1221" s="65" t="s">
        <v>787</v>
      </c>
      <c r="F1221" s="65">
        <v>3</v>
      </c>
      <c r="G1221" s="65"/>
      <c r="H1221" s="65" t="e">
        <v>#N/A</v>
      </c>
      <c r="I1221" s="65"/>
      <c r="J1221" s="65" t="s">
        <v>899</v>
      </c>
      <c r="K1221" s="65"/>
      <c r="L1221" s="65"/>
      <c r="M1221" s="65"/>
      <c r="N1221" s="65"/>
      <c r="O1221" s="65" t="s">
        <v>936</v>
      </c>
      <c r="P1221" s="65"/>
      <c r="Q1221" s="65">
        <v>1</v>
      </c>
      <c r="R1221" s="65">
        <v>1300</v>
      </c>
      <c r="S1221" s="65"/>
    </row>
    <row r="1222" spans="1:19" x14ac:dyDescent="0.25">
      <c r="A1222" s="15">
        <v>56</v>
      </c>
      <c r="B1222" s="65"/>
      <c r="C1222" s="65">
        <v>2429</v>
      </c>
      <c r="D1222" s="65"/>
      <c r="E1222" s="65" t="s">
        <v>787</v>
      </c>
      <c r="F1222" s="65">
        <v>5</v>
      </c>
      <c r="G1222" s="65"/>
      <c r="H1222" s="65" t="e">
        <v>#N/A</v>
      </c>
      <c r="I1222" s="65"/>
      <c r="J1222" s="65" t="s">
        <v>899</v>
      </c>
      <c r="K1222" s="65"/>
      <c r="L1222" s="65"/>
      <c r="M1222" s="65"/>
      <c r="N1222" s="65"/>
      <c r="O1222" s="65" t="s">
        <v>938</v>
      </c>
      <c r="P1222" s="65"/>
      <c r="Q1222" s="65">
        <v>1</v>
      </c>
      <c r="R1222" s="65">
        <v>1487</v>
      </c>
      <c r="S1222" s="65"/>
    </row>
    <row r="1223" spans="1:19" x14ac:dyDescent="0.25">
      <c r="A1223" s="15">
        <v>57</v>
      </c>
      <c r="B1223" s="65"/>
      <c r="C1223" s="65"/>
      <c r="D1223" s="65"/>
      <c r="E1223" s="65"/>
      <c r="F1223" s="65"/>
      <c r="G1223" s="65"/>
      <c r="H1223" s="65"/>
      <c r="I1223" s="65"/>
      <c r="J1223" s="65"/>
      <c r="K1223" s="65"/>
      <c r="L1223" s="65"/>
      <c r="M1223" s="65"/>
      <c r="N1223" s="65"/>
      <c r="O1223" s="65"/>
      <c r="P1223" s="65"/>
      <c r="Q1223" s="65"/>
      <c r="R1223" s="65"/>
      <c r="S1223" s="65"/>
    </row>
    <row r="1224" spans="1:19" x14ac:dyDescent="0.25">
      <c r="A1224" s="15">
        <v>57</v>
      </c>
      <c r="B1224" s="65"/>
      <c r="C1224" s="65"/>
      <c r="D1224" s="65"/>
      <c r="E1224" s="65"/>
      <c r="F1224" s="65"/>
      <c r="G1224" s="65"/>
      <c r="H1224" s="65"/>
      <c r="I1224" s="65"/>
      <c r="J1224" s="65"/>
      <c r="K1224" s="65"/>
      <c r="L1224" s="65"/>
      <c r="M1224" s="65"/>
      <c r="N1224" s="65"/>
      <c r="O1224" s="65" t="s">
        <v>845</v>
      </c>
      <c r="P1224" s="65"/>
      <c r="Q1224" s="65"/>
      <c r="R1224" s="65"/>
      <c r="S1224" s="65"/>
    </row>
    <row r="1225" spans="1:19" x14ac:dyDescent="0.25">
      <c r="A1225" s="15">
        <v>57</v>
      </c>
      <c r="B1225" s="65"/>
      <c r="C1225" s="65"/>
      <c r="D1225" s="65"/>
      <c r="E1225" s="65"/>
      <c r="F1225" s="65"/>
      <c r="G1225" s="65"/>
      <c r="H1225" s="65"/>
      <c r="I1225" s="65"/>
      <c r="J1225" s="65"/>
      <c r="K1225" s="65"/>
      <c r="L1225" s="65"/>
      <c r="M1225" s="65"/>
      <c r="N1225" s="65"/>
      <c r="O1225" s="65" t="s">
        <v>863</v>
      </c>
      <c r="P1225" s="65"/>
      <c r="Q1225" s="65"/>
      <c r="R1225" s="65"/>
      <c r="S1225" s="65"/>
    </row>
    <row r="1226" spans="1:19" x14ac:dyDescent="0.25">
      <c r="A1226" s="15">
        <v>57</v>
      </c>
      <c r="B1226" s="65"/>
      <c r="C1226" s="65"/>
      <c r="D1226" s="65"/>
      <c r="E1226" s="65"/>
      <c r="F1226" s="65"/>
      <c r="G1226" s="65"/>
      <c r="H1226" s="65"/>
      <c r="I1226" s="65"/>
      <c r="J1226" s="65"/>
      <c r="K1226" s="65"/>
      <c r="L1226" s="65"/>
      <c r="M1226" s="65"/>
      <c r="N1226" s="65"/>
      <c r="O1226" s="65" t="s">
        <v>871</v>
      </c>
      <c r="P1226" s="65"/>
      <c r="Q1226" s="65"/>
      <c r="R1226" s="65"/>
      <c r="S1226" s="65"/>
    </row>
    <row r="1227" spans="1:19" x14ac:dyDescent="0.25">
      <c r="A1227" s="15">
        <v>57</v>
      </c>
      <c r="B1227" s="65"/>
      <c r="C1227" s="65" t="s">
        <v>79</v>
      </c>
      <c r="D1227" s="65"/>
      <c r="E1227" s="65" t="s">
        <v>787</v>
      </c>
      <c r="F1227" s="65">
        <v>6</v>
      </c>
      <c r="G1227" s="65"/>
      <c r="H1227" s="65">
        <v>7</v>
      </c>
      <c r="I1227" s="65">
        <v>9.1666666666666679</v>
      </c>
      <c r="J1227" s="65" t="s">
        <v>879</v>
      </c>
      <c r="K1227" s="65"/>
      <c r="L1227" s="65"/>
      <c r="M1227" s="65"/>
      <c r="N1227" s="65"/>
      <c r="O1227" s="65" t="s">
        <v>878</v>
      </c>
      <c r="P1227" s="65"/>
      <c r="Q1227" s="65">
        <v>1</v>
      </c>
      <c r="R1227" s="65">
        <v>321</v>
      </c>
      <c r="S1227" s="65"/>
    </row>
    <row r="1228" spans="1:19" x14ac:dyDescent="0.25">
      <c r="A1228" s="15">
        <v>57</v>
      </c>
      <c r="B1228" s="65"/>
      <c r="C1228" s="65">
        <v>2429</v>
      </c>
      <c r="D1228" s="65"/>
      <c r="E1228" s="65" t="s">
        <v>787</v>
      </c>
      <c r="F1228" s="65">
        <v>6</v>
      </c>
      <c r="G1228" s="65"/>
      <c r="H1228" s="65"/>
      <c r="I1228" s="65">
        <v>19.583333333333332</v>
      </c>
      <c r="J1228" s="65" t="s">
        <v>879</v>
      </c>
      <c r="K1228" s="65"/>
      <c r="L1228" s="65"/>
      <c r="M1228" s="65"/>
      <c r="N1228" s="65"/>
      <c r="O1228" s="65" t="s">
        <v>881</v>
      </c>
      <c r="P1228" s="65"/>
      <c r="Q1228" s="65">
        <v>1</v>
      </c>
      <c r="R1228" s="65">
        <v>508</v>
      </c>
      <c r="S1228" s="65"/>
    </row>
    <row r="1229" spans="1:19" x14ac:dyDescent="0.25">
      <c r="A1229" s="15">
        <v>57</v>
      </c>
      <c r="B1229" s="65"/>
      <c r="C1229" s="65">
        <v>2429</v>
      </c>
      <c r="D1229" s="65"/>
      <c r="E1229" s="65" t="s">
        <v>787</v>
      </c>
      <c r="F1229" s="65">
        <v>1</v>
      </c>
      <c r="G1229" s="65"/>
      <c r="H1229" s="65" t="e">
        <v>#N/A</v>
      </c>
      <c r="I1229" s="65"/>
      <c r="J1229" s="65" t="s">
        <v>899</v>
      </c>
      <c r="K1229" s="65" t="s">
        <v>900</v>
      </c>
      <c r="L1229" s="65" t="s">
        <v>900</v>
      </c>
      <c r="M1229" s="65" t="s">
        <v>900</v>
      </c>
      <c r="N1229" s="65" t="s">
        <v>900</v>
      </c>
      <c r="O1229" s="65" t="s">
        <v>898</v>
      </c>
      <c r="P1229" s="65"/>
      <c r="Q1229" s="65">
        <v>1</v>
      </c>
      <c r="R1229" s="65">
        <v>740</v>
      </c>
      <c r="S1229" s="65"/>
    </row>
    <row r="1230" spans="1:19" x14ac:dyDescent="0.25">
      <c r="A1230" s="15">
        <v>57</v>
      </c>
      <c r="B1230" s="65"/>
      <c r="C1230" s="65">
        <v>2429</v>
      </c>
      <c r="D1230" s="65"/>
      <c r="E1230" s="65" t="s">
        <v>787</v>
      </c>
      <c r="F1230" s="65">
        <v>0</v>
      </c>
      <c r="G1230" s="65"/>
      <c r="H1230" s="65">
        <v>3</v>
      </c>
      <c r="I1230" s="65" t="e">
        <v>#N/A</v>
      </c>
      <c r="J1230" s="65" t="s">
        <v>899</v>
      </c>
      <c r="K1230" s="65"/>
      <c r="L1230" s="65"/>
      <c r="M1230" s="65"/>
      <c r="N1230" s="65"/>
      <c r="O1230" s="65" t="s">
        <v>912</v>
      </c>
      <c r="P1230" s="65"/>
      <c r="Q1230" s="65">
        <v>1</v>
      </c>
      <c r="R1230" s="65">
        <v>967</v>
      </c>
      <c r="S1230" s="65"/>
    </row>
    <row r="1231" spans="1:19" x14ac:dyDescent="0.25">
      <c r="A1231" s="15">
        <v>57</v>
      </c>
      <c r="B1231" s="65"/>
      <c r="C1231" s="65">
        <v>2429</v>
      </c>
      <c r="D1231" s="65"/>
      <c r="E1231" s="65" t="s">
        <v>787</v>
      </c>
      <c r="F1231" s="65">
        <v>3</v>
      </c>
      <c r="G1231" s="65"/>
      <c r="H1231" s="65">
        <v>3</v>
      </c>
      <c r="I1231" s="65" t="e">
        <v>#N/A</v>
      </c>
      <c r="J1231" s="65" t="s">
        <v>899</v>
      </c>
      <c r="K1231" s="65"/>
      <c r="L1231" s="65"/>
      <c r="M1231" s="65"/>
      <c r="N1231" s="65"/>
      <c r="O1231" s="65" t="s">
        <v>924</v>
      </c>
      <c r="P1231" s="65"/>
      <c r="Q1231" s="65">
        <v>1</v>
      </c>
      <c r="R1231" s="65">
        <v>1194</v>
      </c>
      <c r="S1231" s="65"/>
    </row>
    <row r="1232" spans="1:19" x14ac:dyDescent="0.25">
      <c r="A1232" s="15">
        <v>57</v>
      </c>
      <c r="B1232" s="65"/>
      <c r="C1232" s="65">
        <v>2429</v>
      </c>
      <c r="D1232" s="65"/>
      <c r="E1232" s="65" t="s">
        <v>787</v>
      </c>
      <c r="F1232" s="65">
        <v>3</v>
      </c>
      <c r="G1232" s="65"/>
      <c r="H1232" s="65" t="e">
        <v>#N/A</v>
      </c>
      <c r="I1232" s="65"/>
      <c r="J1232" s="65" t="s">
        <v>899</v>
      </c>
      <c r="K1232" s="65"/>
      <c r="L1232" s="65"/>
      <c r="M1232" s="65"/>
      <c r="N1232" s="65"/>
      <c r="O1232" s="65" t="s">
        <v>936</v>
      </c>
      <c r="P1232" s="65"/>
      <c r="Q1232" s="65">
        <v>1</v>
      </c>
      <c r="R1232" s="65">
        <v>1301</v>
      </c>
      <c r="S1232" s="65"/>
    </row>
    <row r="1233" spans="1:19" x14ac:dyDescent="0.25">
      <c r="A1233" s="15">
        <v>57</v>
      </c>
      <c r="B1233" s="65"/>
      <c r="C1233" s="65">
        <v>2429</v>
      </c>
      <c r="D1233" s="65"/>
      <c r="E1233" s="65" t="s">
        <v>787</v>
      </c>
      <c r="F1233" s="65">
        <v>5</v>
      </c>
      <c r="G1233" s="65"/>
      <c r="H1233" s="65" t="e">
        <v>#N/A</v>
      </c>
      <c r="I1233" s="65"/>
      <c r="J1233" s="65" t="s">
        <v>899</v>
      </c>
      <c r="K1233" s="65"/>
      <c r="L1233" s="65"/>
      <c r="M1233" s="65"/>
      <c r="N1233" s="65"/>
      <c r="O1233" s="65" t="s">
        <v>938</v>
      </c>
      <c r="P1233" s="65"/>
      <c r="Q1233" s="65">
        <v>1</v>
      </c>
      <c r="R1233" s="65">
        <v>1488</v>
      </c>
      <c r="S1233" s="65"/>
    </row>
    <row r="1234" spans="1:19" x14ac:dyDescent="0.25">
      <c r="A1234" s="15">
        <v>58</v>
      </c>
      <c r="B1234" s="65"/>
      <c r="C1234" s="65"/>
      <c r="D1234" s="65"/>
      <c r="E1234" s="65"/>
      <c r="F1234" s="65"/>
      <c r="G1234" s="65"/>
      <c r="H1234" s="65"/>
      <c r="I1234" s="65"/>
      <c r="J1234" s="65"/>
      <c r="K1234" s="65"/>
      <c r="L1234" s="65"/>
      <c r="M1234" s="65"/>
      <c r="N1234" s="65"/>
      <c r="O1234" s="65"/>
      <c r="P1234" s="65"/>
      <c r="Q1234" s="65"/>
      <c r="R1234" s="65"/>
      <c r="S1234" s="65"/>
    </row>
    <row r="1235" spans="1:19" x14ac:dyDescent="0.25">
      <c r="A1235" s="15">
        <v>58</v>
      </c>
      <c r="B1235" s="65"/>
      <c r="C1235" s="65"/>
      <c r="D1235" s="65"/>
      <c r="E1235" s="65"/>
      <c r="F1235" s="65"/>
      <c r="G1235" s="65"/>
      <c r="H1235" s="65"/>
      <c r="I1235" s="65"/>
      <c r="J1235" s="65"/>
      <c r="K1235" s="65"/>
      <c r="L1235" s="65"/>
      <c r="M1235" s="65"/>
      <c r="N1235" s="65"/>
      <c r="O1235" s="65" t="s">
        <v>846</v>
      </c>
      <c r="P1235" s="65"/>
      <c r="Q1235" s="65"/>
      <c r="R1235" s="65"/>
      <c r="S1235" s="65"/>
    </row>
    <row r="1236" spans="1:19" x14ac:dyDescent="0.25">
      <c r="A1236" s="15">
        <v>58</v>
      </c>
      <c r="B1236" s="65"/>
      <c r="C1236" s="65"/>
      <c r="D1236" s="65"/>
      <c r="E1236" s="65"/>
      <c r="F1236" s="65"/>
      <c r="G1236" s="65"/>
      <c r="H1236" s="65"/>
      <c r="I1236" s="65"/>
      <c r="J1236" s="65"/>
      <c r="K1236" s="65"/>
      <c r="L1236" s="65"/>
      <c r="M1236" s="65"/>
      <c r="N1236" s="65"/>
      <c r="O1236" s="65" t="s">
        <v>863</v>
      </c>
      <c r="P1236" s="65"/>
      <c r="Q1236" s="65"/>
      <c r="R1236" s="65"/>
      <c r="S1236" s="65"/>
    </row>
    <row r="1237" spans="1:19" x14ac:dyDescent="0.25">
      <c r="A1237" s="15">
        <v>58</v>
      </c>
      <c r="B1237" s="65"/>
      <c r="C1237" s="65"/>
      <c r="D1237" s="65"/>
      <c r="E1237" s="65"/>
      <c r="F1237" s="65"/>
      <c r="G1237" s="65"/>
      <c r="H1237" s="65"/>
      <c r="I1237" s="65"/>
      <c r="J1237" s="65"/>
      <c r="K1237" s="65"/>
      <c r="L1237" s="65"/>
      <c r="M1237" s="65"/>
      <c r="N1237" s="65"/>
      <c r="O1237" s="65" t="s">
        <v>873</v>
      </c>
      <c r="P1237" s="65"/>
      <c r="Q1237" s="65"/>
      <c r="R1237" s="65"/>
      <c r="S1237" s="65"/>
    </row>
    <row r="1238" spans="1:19" x14ac:dyDescent="0.25">
      <c r="A1238" s="15">
        <v>58</v>
      </c>
      <c r="B1238" s="65"/>
      <c r="C1238" s="65" t="s">
        <v>79</v>
      </c>
      <c r="D1238" s="65"/>
      <c r="E1238" s="65" t="s">
        <v>787</v>
      </c>
      <c r="F1238" s="65">
        <v>6</v>
      </c>
      <c r="G1238" s="65"/>
      <c r="H1238" s="65">
        <v>7</v>
      </c>
      <c r="I1238" s="65">
        <v>8.1666666666666679</v>
      </c>
      <c r="J1238" s="65" t="s">
        <v>879</v>
      </c>
      <c r="K1238" s="65"/>
      <c r="L1238" s="65"/>
      <c r="M1238" s="65"/>
      <c r="N1238" s="65"/>
      <c r="O1238" s="65" t="s">
        <v>878</v>
      </c>
      <c r="P1238" s="65"/>
      <c r="Q1238" s="65">
        <v>1</v>
      </c>
      <c r="R1238" s="65">
        <v>322</v>
      </c>
      <c r="S1238" s="65"/>
    </row>
    <row r="1239" spans="1:19" x14ac:dyDescent="0.25">
      <c r="A1239" s="15">
        <v>58</v>
      </c>
      <c r="B1239" s="65"/>
      <c r="C1239" s="65">
        <v>2429</v>
      </c>
      <c r="D1239" s="65"/>
      <c r="E1239" s="65" t="s">
        <v>787</v>
      </c>
      <c r="F1239" s="65">
        <v>6</v>
      </c>
      <c r="G1239" s="65"/>
      <c r="H1239" s="65"/>
      <c r="I1239" s="65">
        <v>12.25</v>
      </c>
      <c r="J1239" s="65" t="s">
        <v>879</v>
      </c>
      <c r="K1239" s="65"/>
      <c r="L1239" s="65"/>
      <c r="M1239" s="65"/>
      <c r="N1239" s="65"/>
      <c r="O1239" s="65" t="s">
        <v>881</v>
      </c>
      <c r="P1239" s="65"/>
      <c r="Q1239" s="65">
        <v>1</v>
      </c>
      <c r="R1239" s="65">
        <v>509</v>
      </c>
      <c r="S1239" s="65"/>
    </row>
    <row r="1240" spans="1:19" x14ac:dyDescent="0.25">
      <c r="A1240" s="15">
        <v>58</v>
      </c>
      <c r="B1240" s="65"/>
      <c r="C1240" s="65">
        <v>2429</v>
      </c>
      <c r="D1240" s="65"/>
      <c r="E1240" s="65" t="s">
        <v>787</v>
      </c>
      <c r="F1240" s="65">
        <v>1</v>
      </c>
      <c r="G1240" s="65"/>
      <c r="H1240" s="65" t="e">
        <v>#N/A</v>
      </c>
      <c r="I1240" s="65"/>
      <c r="J1240" s="65" t="s">
        <v>899</v>
      </c>
      <c r="K1240" s="65" t="s">
        <v>900</v>
      </c>
      <c r="L1240" s="65" t="s">
        <v>900</v>
      </c>
      <c r="M1240" s="65" t="s">
        <v>900</v>
      </c>
      <c r="N1240" s="65" t="s">
        <v>900</v>
      </c>
      <c r="O1240" s="65" t="s">
        <v>898</v>
      </c>
      <c r="P1240" s="65"/>
      <c r="Q1240" s="65">
        <v>1</v>
      </c>
      <c r="R1240" s="65">
        <v>741</v>
      </c>
      <c r="S1240" s="65"/>
    </row>
    <row r="1241" spans="1:19" x14ac:dyDescent="0.25">
      <c r="A1241" s="15">
        <v>58</v>
      </c>
      <c r="B1241" s="65"/>
      <c r="C1241" s="65">
        <v>2429</v>
      </c>
      <c r="D1241" s="65"/>
      <c r="E1241" s="65" t="s">
        <v>787</v>
      </c>
      <c r="F1241" s="65">
        <v>0</v>
      </c>
      <c r="G1241" s="65"/>
      <c r="H1241" s="65">
        <v>3</v>
      </c>
      <c r="I1241" s="65" t="e">
        <v>#N/A</v>
      </c>
      <c r="J1241" s="65" t="s">
        <v>899</v>
      </c>
      <c r="K1241" s="65"/>
      <c r="L1241" s="65"/>
      <c r="M1241" s="65"/>
      <c r="N1241" s="65"/>
      <c r="O1241" s="65" t="s">
        <v>912</v>
      </c>
      <c r="P1241" s="65"/>
      <c r="Q1241" s="65">
        <v>1</v>
      </c>
      <c r="R1241" s="65">
        <v>968</v>
      </c>
      <c r="S1241" s="65"/>
    </row>
    <row r="1242" spans="1:19" x14ac:dyDescent="0.25">
      <c r="A1242" s="15">
        <v>58</v>
      </c>
      <c r="B1242" s="65"/>
      <c r="C1242" s="65">
        <v>2429</v>
      </c>
      <c r="D1242" s="65"/>
      <c r="E1242" s="65" t="s">
        <v>787</v>
      </c>
      <c r="F1242" s="65">
        <v>3</v>
      </c>
      <c r="G1242" s="65"/>
      <c r="H1242" s="65">
        <v>3</v>
      </c>
      <c r="I1242" s="65" t="e">
        <v>#N/A</v>
      </c>
      <c r="J1242" s="65" t="s">
        <v>899</v>
      </c>
      <c r="K1242" s="65"/>
      <c r="L1242" s="65"/>
      <c r="M1242" s="65"/>
      <c r="N1242" s="65"/>
      <c r="O1242" s="65" t="s">
        <v>924</v>
      </c>
      <c r="P1242" s="65"/>
      <c r="Q1242" s="65">
        <v>1</v>
      </c>
      <c r="R1242" s="65">
        <v>1195</v>
      </c>
      <c r="S1242" s="65"/>
    </row>
    <row r="1243" spans="1:19" x14ac:dyDescent="0.25">
      <c r="A1243" s="15">
        <v>58</v>
      </c>
      <c r="B1243" s="65"/>
      <c r="C1243" s="65">
        <v>2429</v>
      </c>
      <c r="D1243" s="65"/>
      <c r="E1243" s="65" t="s">
        <v>787</v>
      </c>
      <c r="F1243" s="65">
        <v>3</v>
      </c>
      <c r="G1243" s="65"/>
      <c r="H1243" s="65" t="e">
        <v>#N/A</v>
      </c>
      <c r="I1243" s="65"/>
      <c r="J1243" s="65" t="s">
        <v>899</v>
      </c>
      <c r="K1243" s="65"/>
      <c r="L1243" s="65"/>
      <c r="M1243" s="65"/>
      <c r="N1243" s="65"/>
      <c r="O1243" s="65" t="s">
        <v>936</v>
      </c>
      <c r="P1243" s="65"/>
      <c r="Q1243" s="65">
        <v>1</v>
      </c>
      <c r="R1243" s="65">
        <v>1302</v>
      </c>
      <c r="S1243" s="65"/>
    </row>
    <row r="1244" spans="1:19" x14ac:dyDescent="0.25">
      <c r="A1244" s="15">
        <v>58</v>
      </c>
      <c r="B1244" s="65"/>
      <c r="C1244" s="65">
        <v>2429</v>
      </c>
      <c r="D1244" s="65"/>
      <c r="E1244" s="65" t="s">
        <v>787</v>
      </c>
      <c r="F1244" s="65">
        <v>5</v>
      </c>
      <c r="G1244" s="65"/>
      <c r="H1244" s="65" t="e">
        <v>#N/A</v>
      </c>
      <c r="I1244" s="65"/>
      <c r="J1244" s="65" t="s">
        <v>899</v>
      </c>
      <c r="K1244" s="65"/>
      <c r="L1244" s="65"/>
      <c r="M1244" s="65"/>
      <c r="N1244" s="65"/>
      <c r="O1244" s="65" t="s">
        <v>938</v>
      </c>
      <c r="P1244" s="65"/>
      <c r="Q1244" s="65">
        <v>1</v>
      </c>
      <c r="R1244" s="65">
        <v>1489</v>
      </c>
      <c r="S1244" s="65"/>
    </row>
    <row r="1245" spans="1:19" x14ac:dyDescent="0.25">
      <c r="A1245" s="15">
        <v>59</v>
      </c>
      <c r="B1245" s="65"/>
      <c r="C1245" s="65"/>
      <c r="D1245" s="65"/>
      <c r="E1245" s="65"/>
      <c r="F1245" s="65"/>
      <c r="G1245" s="65"/>
      <c r="H1245" s="65"/>
      <c r="I1245" s="65"/>
      <c r="J1245" s="65"/>
      <c r="K1245" s="65"/>
      <c r="L1245" s="65"/>
      <c r="M1245" s="65"/>
      <c r="N1245" s="65"/>
      <c r="O1245" s="65"/>
      <c r="P1245" s="65"/>
      <c r="Q1245" s="65"/>
      <c r="R1245" s="65"/>
      <c r="S1245" s="65"/>
    </row>
    <row r="1246" spans="1:19" x14ac:dyDescent="0.25">
      <c r="A1246" s="15">
        <v>59</v>
      </c>
      <c r="B1246" s="65"/>
      <c r="C1246" s="65"/>
      <c r="D1246" s="65"/>
      <c r="E1246" s="65"/>
      <c r="F1246" s="65"/>
      <c r="G1246" s="65"/>
      <c r="H1246" s="65"/>
      <c r="I1246" s="65"/>
      <c r="J1246" s="65"/>
      <c r="K1246" s="65"/>
      <c r="L1246" s="65"/>
      <c r="M1246" s="65"/>
      <c r="N1246" s="65"/>
      <c r="O1246" s="65" t="s">
        <v>847</v>
      </c>
      <c r="P1246" s="65"/>
      <c r="Q1246" s="65"/>
      <c r="R1246" s="65"/>
      <c r="S1246" s="65"/>
    </row>
    <row r="1247" spans="1:19" x14ac:dyDescent="0.25">
      <c r="A1247" s="15">
        <v>59</v>
      </c>
      <c r="B1247" s="65"/>
      <c r="C1247" s="65"/>
      <c r="D1247" s="65"/>
      <c r="E1247" s="65"/>
      <c r="F1247" s="65"/>
      <c r="G1247" s="65"/>
      <c r="H1247" s="65"/>
      <c r="I1247" s="65"/>
      <c r="J1247" s="65"/>
      <c r="K1247" s="65"/>
      <c r="L1247" s="65"/>
      <c r="M1247" s="65"/>
      <c r="N1247" s="65"/>
      <c r="O1247" s="65" t="s">
        <v>863</v>
      </c>
      <c r="P1247" s="65"/>
      <c r="Q1247" s="65"/>
      <c r="R1247" s="65"/>
      <c r="S1247" s="65"/>
    </row>
    <row r="1248" spans="1:19" x14ac:dyDescent="0.25">
      <c r="A1248" s="15">
        <v>59</v>
      </c>
      <c r="B1248" s="65"/>
      <c r="C1248" s="65"/>
      <c r="D1248" s="65"/>
      <c r="E1248" s="65"/>
      <c r="F1248" s="65"/>
      <c r="G1248" s="65"/>
      <c r="H1248" s="65"/>
      <c r="I1248" s="65"/>
      <c r="J1248" s="65"/>
      <c r="K1248" s="65"/>
      <c r="L1248" s="65"/>
      <c r="M1248" s="65"/>
      <c r="N1248" s="65"/>
      <c r="O1248" s="65" t="s">
        <v>871</v>
      </c>
      <c r="P1248" s="65"/>
      <c r="Q1248" s="65"/>
      <c r="R1248" s="65"/>
      <c r="S1248" s="65"/>
    </row>
    <row r="1249" spans="1:19" x14ac:dyDescent="0.25">
      <c r="A1249" s="15">
        <v>59</v>
      </c>
      <c r="B1249" s="65"/>
      <c r="C1249" s="65" t="s">
        <v>79</v>
      </c>
      <c r="D1249" s="65"/>
      <c r="E1249" s="65" t="s">
        <v>787</v>
      </c>
      <c r="F1249" s="65">
        <v>6</v>
      </c>
      <c r="G1249" s="65"/>
      <c r="H1249" s="65">
        <v>7</v>
      </c>
      <c r="I1249" s="65">
        <v>7.666666666666667</v>
      </c>
      <c r="J1249" s="65" t="s">
        <v>879</v>
      </c>
      <c r="K1249" s="65"/>
      <c r="L1249" s="65"/>
      <c r="M1249" s="65"/>
      <c r="N1249" s="65"/>
      <c r="O1249" s="65" t="s">
        <v>878</v>
      </c>
      <c r="P1249" s="65"/>
      <c r="Q1249" s="65">
        <v>1</v>
      </c>
      <c r="R1249" s="65">
        <v>323</v>
      </c>
      <c r="S1249" s="65"/>
    </row>
    <row r="1250" spans="1:19" x14ac:dyDescent="0.25">
      <c r="A1250" s="15">
        <v>59</v>
      </c>
      <c r="B1250" s="65"/>
      <c r="C1250" s="65">
        <v>2429</v>
      </c>
      <c r="D1250" s="65"/>
      <c r="E1250" s="65" t="s">
        <v>787</v>
      </c>
      <c r="F1250" s="65">
        <v>6</v>
      </c>
      <c r="G1250" s="65"/>
      <c r="H1250" s="65"/>
      <c r="I1250" s="65">
        <v>19.583333333333332</v>
      </c>
      <c r="J1250" s="65" t="s">
        <v>879</v>
      </c>
      <c r="K1250" s="65"/>
      <c r="L1250" s="65"/>
      <c r="M1250" s="65"/>
      <c r="N1250" s="65"/>
      <c r="O1250" s="65" t="s">
        <v>881</v>
      </c>
      <c r="P1250" s="65"/>
      <c r="Q1250" s="65">
        <v>1</v>
      </c>
      <c r="R1250" s="65">
        <v>510</v>
      </c>
      <c r="S1250" s="65"/>
    </row>
    <row r="1251" spans="1:19" x14ac:dyDescent="0.25">
      <c r="A1251" s="15">
        <v>59</v>
      </c>
      <c r="B1251" s="65"/>
      <c r="C1251" s="65">
        <v>2429</v>
      </c>
      <c r="D1251" s="65"/>
      <c r="E1251" s="65" t="s">
        <v>787</v>
      </c>
      <c r="F1251" s="65">
        <v>1</v>
      </c>
      <c r="G1251" s="65"/>
      <c r="H1251" s="65" t="e">
        <v>#N/A</v>
      </c>
      <c r="I1251" s="65"/>
      <c r="J1251" s="65" t="s">
        <v>899</v>
      </c>
      <c r="K1251" s="65" t="s">
        <v>900</v>
      </c>
      <c r="L1251" s="65" t="s">
        <v>900</v>
      </c>
      <c r="M1251" s="65" t="s">
        <v>900</v>
      </c>
      <c r="N1251" s="65" t="s">
        <v>900</v>
      </c>
      <c r="O1251" s="65" t="s">
        <v>898</v>
      </c>
      <c r="P1251" s="65"/>
      <c r="Q1251" s="65">
        <v>1</v>
      </c>
      <c r="R1251" s="65">
        <v>742</v>
      </c>
      <c r="S1251" s="65"/>
    </row>
    <row r="1252" spans="1:19" x14ac:dyDescent="0.25">
      <c r="A1252" s="15">
        <v>59</v>
      </c>
      <c r="B1252" s="65"/>
      <c r="C1252" s="65">
        <v>2429</v>
      </c>
      <c r="D1252" s="65"/>
      <c r="E1252" s="65" t="s">
        <v>787</v>
      </c>
      <c r="F1252" s="65">
        <v>0</v>
      </c>
      <c r="G1252" s="65"/>
      <c r="H1252" s="65">
        <v>3</v>
      </c>
      <c r="I1252" s="65" t="e">
        <v>#N/A</v>
      </c>
      <c r="J1252" s="65" t="s">
        <v>899</v>
      </c>
      <c r="K1252" s="65"/>
      <c r="L1252" s="65"/>
      <c r="M1252" s="65"/>
      <c r="N1252" s="65"/>
      <c r="O1252" s="65" t="s">
        <v>912</v>
      </c>
      <c r="P1252" s="65"/>
      <c r="Q1252" s="65">
        <v>1</v>
      </c>
      <c r="R1252" s="65">
        <v>969</v>
      </c>
      <c r="S1252" s="65"/>
    </row>
    <row r="1253" spans="1:19" x14ac:dyDescent="0.25">
      <c r="A1253" s="15">
        <v>59</v>
      </c>
      <c r="B1253" s="65"/>
      <c r="C1253" s="65">
        <v>2429</v>
      </c>
      <c r="D1253" s="65"/>
      <c r="E1253" s="65" t="s">
        <v>787</v>
      </c>
      <c r="F1253" s="65">
        <v>3</v>
      </c>
      <c r="G1253" s="65"/>
      <c r="H1253" s="65">
        <v>3</v>
      </c>
      <c r="I1253" s="65" t="e">
        <v>#N/A</v>
      </c>
      <c r="J1253" s="65" t="s">
        <v>899</v>
      </c>
      <c r="K1253" s="65"/>
      <c r="L1253" s="65"/>
      <c r="M1253" s="65"/>
      <c r="N1253" s="65"/>
      <c r="O1253" s="65" t="s">
        <v>924</v>
      </c>
      <c r="P1253" s="65"/>
      <c r="Q1253" s="65">
        <v>1</v>
      </c>
      <c r="R1253" s="65">
        <v>1196</v>
      </c>
      <c r="S1253" s="65"/>
    </row>
    <row r="1254" spans="1:19" x14ac:dyDescent="0.25">
      <c r="A1254" s="15">
        <v>59</v>
      </c>
      <c r="B1254" s="65"/>
      <c r="C1254" s="65">
        <v>2429</v>
      </c>
      <c r="D1254" s="65"/>
      <c r="E1254" s="65" t="s">
        <v>787</v>
      </c>
      <c r="F1254" s="65">
        <v>3</v>
      </c>
      <c r="G1254" s="65"/>
      <c r="H1254" s="65" t="e">
        <v>#N/A</v>
      </c>
      <c r="I1254" s="65"/>
      <c r="J1254" s="65" t="s">
        <v>899</v>
      </c>
      <c r="K1254" s="65"/>
      <c r="L1254" s="65"/>
      <c r="M1254" s="65"/>
      <c r="N1254" s="65"/>
      <c r="O1254" s="65" t="s">
        <v>936</v>
      </c>
      <c r="P1254" s="65"/>
      <c r="Q1254" s="65">
        <v>1</v>
      </c>
      <c r="R1254" s="65">
        <v>1303</v>
      </c>
      <c r="S1254" s="65"/>
    </row>
    <row r="1255" spans="1:19" x14ac:dyDescent="0.25">
      <c r="A1255" s="15">
        <v>59</v>
      </c>
      <c r="B1255" s="65"/>
      <c r="C1255" s="65">
        <v>2429</v>
      </c>
      <c r="D1255" s="65"/>
      <c r="E1255" s="65" t="s">
        <v>787</v>
      </c>
      <c r="F1255" s="65">
        <v>5</v>
      </c>
      <c r="G1255" s="65"/>
      <c r="H1255" s="65" t="e">
        <v>#N/A</v>
      </c>
      <c r="I1255" s="65"/>
      <c r="J1255" s="65" t="s">
        <v>899</v>
      </c>
      <c r="K1255" s="65"/>
      <c r="L1255" s="65"/>
      <c r="M1255" s="65"/>
      <c r="N1255" s="65"/>
      <c r="O1255" s="65" t="s">
        <v>938</v>
      </c>
      <c r="P1255" s="65"/>
      <c r="Q1255" s="65">
        <v>1</v>
      </c>
      <c r="R1255" s="65">
        <v>1490</v>
      </c>
      <c r="S1255" s="65"/>
    </row>
    <row r="1256" spans="1:19" x14ac:dyDescent="0.25">
      <c r="A1256" s="15">
        <v>60</v>
      </c>
      <c r="B1256" s="65"/>
      <c r="C1256" s="65"/>
      <c r="D1256" s="65"/>
      <c r="E1256" s="65"/>
      <c r="F1256" s="65"/>
      <c r="G1256" s="65"/>
      <c r="H1256" s="65"/>
      <c r="I1256" s="65"/>
      <c r="J1256" s="65"/>
      <c r="K1256" s="65"/>
      <c r="L1256" s="65"/>
      <c r="M1256" s="65"/>
      <c r="N1256" s="65"/>
      <c r="O1256" s="65"/>
      <c r="P1256" s="65"/>
      <c r="Q1256" s="65"/>
      <c r="R1256" s="65"/>
      <c r="S1256" s="65"/>
    </row>
    <row r="1257" spans="1:19" x14ac:dyDescent="0.25">
      <c r="A1257" s="15">
        <v>60</v>
      </c>
      <c r="B1257" s="65"/>
      <c r="C1257" s="65"/>
      <c r="D1257" s="65"/>
      <c r="E1257" s="65"/>
      <c r="F1257" s="65"/>
      <c r="G1257" s="65"/>
      <c r="H1257" s="65"/>
      <c r="I1257" s="65"/>
      <c r="J1257" s="65"/>
      <c r="K1257" s="65"/>
      <c r="L1257" s="65"/>
      <c r="M1257" s="65"/>
      <c r="N1257" s="65"/>
      <c r="O1257" s="65" t="s">
        <v>849</v>
      </c>
      <c r="P1257" s="65"/>
      <c r="Q1257" s="65"/>
      <c r="R1257" s="65"/>
      <c r="S1257" s="65"/>
    </row>
    <row r="1258" spans="1:19" x14ac:dyDescent="0.25">
      <c r="A1258" s="15">
        <v>60</v>
      </c>
      <c r="B1258" s="65"/>
      <c r="C1258" s="65"/>
      <c r="D1258" s="65"/>
      <c r="E1258" s="65"/>
      <c r="F1258" s="65"/>
      <c r="G1258" s="65"/>
      <c r="H1258" s="65"/>
      <c r="I1258" s="65"/>
      <c r="J1258" s="65"/>
      <c r="K1258" s="65"/>
      <c r="L1258" s="65"/>
      <c r="M1258" s="65"/>
      <c r="N1258" s="65"/>
      <c r="O1258" s="65" t="s">
        <v>860</v>
      </c>
      <c r="P1258" s="65"/>
      <c r="Q1258" s="65"/>
      <c r="R1258" s="65"/>
      <c r="S1258" s="65"/>
    </row>
    <row r="1259" spans="1:19" x14ac:dyDescent="0.25">
      <c r="A1259" s="15">
        <v>60</v>
      </c>
      <c r="B1259" s="65"/>
      <c r="C1259" s="65"/>
      <c r="D1259" s="65"/>
      <c r="E1259" s="65"/>
      <c r="F1259" s="65"/>
      <c r="G1259" s="65"/>
      <c r="H1259" s="65"/>
      <c r="I1259" s="65"/>
      <c r="J1259" s="65"/>
      <c r="K1259" s="65"/>
      <c r="L1259" s="65"/>
      <c r="M1259" s="65"/>
      <c r="N1259" s="65"/>
      <c r="O1259" s="65" t="s">
        <v>871</v>
      </c>
      <c r="P1259" s="65"/>
      <c r="Q1259" s="65"/>
      <c r="R1259" s="65"/>
      <c r="S1259" s="65"/>
    </row>
    <row r="1260" spans="1:19" x14ac:dyDescent="0.25">
      <c r="A1260" s="15">
        <v>60</v>
      </c>
      <c r="B1260" s="65"/>
      <c r="C1260" s="65" t="s">
        <v>79</v>
      </c>
      <c r="D1260" s="65"/>
      <c r="E1260" s="65" t="s">
        <v>787</v>
      </c>
      <c r="F1260" s="65">
        <v>14</v>
      </c>
      <c r="G1260" s="65"/>
      <c r="H1260" s="65">
        <v>7</v>
      </c>
      <c r="I1260" s="65">
        <v>7.666666666666667</v>
      </c>
      <c r="J1260" s="65" t="s">
        <v>879</v>
      </c>
      <c r="K1260" s="65"/>
      <c r="L1260" s="65"/>
      <c r="M1260" s="65"/>
      <c r="N1260" s="65"/>
      <c r="O1260" s="65" t="s">
        <v>878</v>
      </c>
      <c r="P1260" s="65"/>
      <c r="Q1260" s="65">
        <v>1</v>
      </c>
      <c r="R1260" s="65">
        <v>325</v>
      </c>
      <c r="S1260" s="65"/>
    </row>
    <row r="1261" spans="1:19" x14ac:dyDescent="0.25">
      <c r="A1261" s="15">
        <v>60</v>
      </c>
      <c r="B1261" s="65"/>
      <c r="C1261" s="65">
        <v>2429</v>
      </c>
      <c r="D1261" s="65"/>
      <c r="E1261" s="65" t="s">
        <v>787</v>
      </c>
      <c r="F1261" s="65">
        <v>14</v>
      </c>
      <c r="G1261" s="65"/>
      <c r="H1261" s="65"/>
      <c r="I1261" s="65">
        <v>19.583333333333332</v>
      </c>
      <c r="J1261" s="65" t="s">
        <v>879</v>
      </c>
      <c r="K1261" s="65"/>
      <c r="L1261" s="65"/>
      <c r="M1261" s="65"/>
      <c r="N1261" s="65"/>
      <c r="O1261" s="65" t="s">
        <v>881</v>
      </c>
      <c r="P1261" s="65"/>
      <c r="Q1261" s="65">
        <v>1</v>
      </c>
      <c r="R1261" s="65">
        <v>512</v>
      </c>
      <c r="S1261" s="65"/>
    </row>
    <row r="1262" spans="1:19" x14ac:dyDescent="0.25">
      <c r="A1262" s="15">
        <v>60</v>
      </c>
      <c r="B1262" s="65"/>
      <c r="C1262" s="65">
        <v>2429</v>
      </c>
      <c r="D1262" s="65"/>
      <c r="E1262" s="65" t="s">
        <v>787</v>
      </c>
      <c r="F1262" s="65">
        <v>1</v>
      </c>
      <c r="G1262" s="65"/>
      <c r="H1262" s="65" t="e">
        <v>#N/A</v>
      </c>
      <c r="I1262" s="65"/>
      <c r="J1262" s="65" t="s">
        <v>899</v>
      </c>
      <c r="K1262" s="65" t="s">
        <v>900</v>
      </c>
      <c r="L1262" s="65" t="s">
        <v>900</v>
      </c>
      <c r="M1262" s="65" t="s">
        <v>900</v>
      </c>
      <c r="N1262" s="65" t="s">
        <v>900</v>
      </c>
      <c r="O1262" s="65" t="s">
        <v>898</v>
      </c>
      <c r="P1262" s="65"/>
      <c r="Q1262" s="65">
        <v>1</v>
      </c>
      <c r="R1262" s="65">
        <v>744</v>
      </c>
      <c r="S1262" s="65"/>
    </row>
    <row r="1263" spans="1:19" x14ac:dyDescent="0.25">
      <c r="A1263" s="15">
        <v>60</v>
      </c>
      <c r="B1263" s="65"/>
      <c r="C1263" s="65">
        <v>2429</v>
      </c>
      <c r="D1263" s="65"/>
      <c r="E1263" s="65" t="s">
        <v>787</v>
      </c>
      <c r="F1263" s="65">
        <v>0</v>
      </c>
      <c r="G1263" s="65"/>
      <c r="H1263" s="65">
        <v>3</v>
      </c>
      <c r="I1263" s="65" t="e">
        <v>#N/A</v>
      </c>
      <c r="J1263" s="65" t="s">
        <v>899</v>
      </c>
      <c r="K1263" s="65"/>
      <c r="L1263" s="65"/>
      <c r="M1263" s="65"/>
      <c r="N1263" s="65"/>
      <c r="O1263" s="65" t="s">
        <v>912</v>
      </c>
      <c r="P1263" s="65"/>
      <c r="Q1263" s="65">
        <v>1</v>
      </c>
      <c r="R1263" s="65">
        <v>971</v>
      </c>
      <c r="S1263" s="65"/>
    </row>
    <row r="1264" spans="1:19" x14ac:dyDescent="0.25">
      <c r="A1264" s="15">
        <v>60</v>
      </c>
      <c r="B1264" s="65"/>
      <c r="C1264" s="65">
        <v>2429</v>
      </c>
      <c r="D1264" s="65"/>
      <c r="E1264" s="65" t="s">
        <v>787</v>
      </c>
      <c r="F1264" s="65">
        <v>3</v>
      </c>
      <c r="G1264" s="65"/>
      <c r="H1264" s="65">
        <v>3</v>
      </c>
      <c r="I1264" s="65" t="e">
        <v>#N/A</v>
      </c>
      <c r="J1264" s="65" t="s">
        <v>899</v>
      </c>
      <c r="K1264" s="65"/>
      <c r="L1264" s="65"/>
      <c r="M1264" s="65"/>
      <c r="N1264" s="65"/>
      <c r="O1264" s="65" t="s">
        <v>924</v>
      </c>
      <c r="P1264" s="65"/>
      <c r="Q1264" s="65">
        <v>1</v>
      </c>
      <c r="R1264" s="65">
        <v>1198</v>
      </c>
      <c r="S1264" s="65"/>
    </row>
    <row r="1265" spans="1:19" x14ac:dyDescent="0.25">
      <c r="A1265" s="15">
        <v>60</v>
      </c>
      <c r="B1265" s="65"/>
      <c r="C1265" s="65">
        <v>2429</v>
      </c>
      <c r="D1265" s="65"/>
      <c r="E1265" s="65" t="s">
        <v>787</v>
      </c>
      <c r="F1265" s="65">
        <v>3</v>
      </c>
      <c r="G1265" s="65"/>
      <c r="H1265" s="65" t="e">
        <v>#N/A</v>
      </c>
      <c r="I1265" s="65"/>
      <c r="J1265" s="65" t="s">
        <v>899</v>
      </c>
      <c r="K1265" s="65"/>
      <c r="L1265" s="65"/>
      <c r="M1265" s="65"/>
      <c r="N1265" s="65"/>
      <c r="O1265" s="65" t="s">
        <v>936</v>
      </c>
      <c r="P1265" s="65"/>
      <c r="Q1265" s="65">
        <v>1</v>
      </c>
      <c r="R1265" s="65">
        <v>1305</v>
      </c>
      <c r="S1265" s="65"/>
    </row>
    <row r="1266" spans="1:19" x14ac:dyDescent="0.25">
      <c r="A1266" s="15">
        <v>60</v>
      </c>
      <c r="B1266" s="65"/>
      <c r="C1266" s="65">
        <v>2429</v>
      </c>
      <c r="D1266" s="65"/>
      <c r="E1266" s="65" t="s">
        <v>787</v>
      </c>
      <c r="F1266" s="65">
        <v>5</v>
      </c>
      <c r="G1266" s="65"/>
      <c r="H1266" s="65" t="e">
        <v>#N/A</v>
      </c>
      <c r="I1266" s="65"/>
      <c r="J1266" s="65" t="s">
        <v>899</v>
      </c>
      <c r="K1266" s="65"/>
      <c r="L1266" s="65"/>
      <c r="M1266" s="65"/>
      <c r="N1266" s="65"/>
      <c r="O1266" s="65" t="s">
        <v>938</v>
      </c>
      <c r="P1266" s="65"/>
      <c r="Q1266" s="65">
        <v>1</v>
      </c>
      <c r="R1266" s="65">
        <v>1492</v>
      </c>
      <c r="S1266" s="65"/>
    </row>
    <row r="1267" spans="1:19" x14ac:dyDescent="0.25">
      <c r="A1267" s="15">
        <v>61</v>
      </c>
      <c r="B1267" s="65"/>
      <c r="C1267" s="65"/>
      <c r="D1267" s="65"/>
      <c r="E1267" s="65"/>
      <c r="F1267" s="65"/>
      <c r="G1267" s="65"/>
      <c r="H1267" s="65"/>
      <c r="I1267" s="65"/>
      <c r="J1267" s="65"/>
      <c r="K1267" s="65"/>
      <c r="L1267" s="65"/>
      <c r="M1267" s="65"/>
      <c r="N1267" s="65"/>
      <c r="O1267" s="65"/>
      <c r="P1267" s="65"/>
      <c r="Q1267" s="65"/>
      <c r="R1267" s="65"/>
      <c r="S1267" s="65"/>
    </row>
    <row r="1268" spans="1:19" x14ac:dyDescent="0.25">
      <c r="A1268" s="15">
        <v>61</v>
      </c>
      <c r="B1268" s="65"/>
      <c r="C1268" s="65"/>
      <c r="D1268" s="65"/>
      <c r="E1268" s="65"/>
      <c r="F1268" s="65"/>
      <c r="G1268" s="65"/>
      <c r="H1268" s="65"/>
      <c r="I1268" s="65"/>
      <c r="J1268" s="65"/>
      <c r="K1268" s="65"/>
      <c r="L1268" s="65"/>
      <c r="M1268" s="65"/>
      <c r="N1268" s="65"/>
      <c r="O1268" s="65" t="s">
        <v>850</v>
      </c>
      <c r="P1268" s="65"/>
      <c r="Q1268" s="65"/>
      <c r="R1268" s="65"/>
      <c r="S1268" s="65"/>
    </row>
    <row r="1269" spans="1:19" x14ac:dyDescent="0.25">
      <c r="A1269" s="15">
        <v>61</v>
      </c>
      <c r="B1269" s="65"/>
      <c r="C1269" s="65"/>
      <c r="D1269" s="65"/>
      <c r="E1269" s="65"/>
      <c r="F1269" s="65"/>
      <c r="G1269" s="65"/>
      <c r="H1269" s="65"/>
      <c r="I1269" s="65"/>
      <c r="J1269" s="65"/>
      <c r="K1269" s="65"/>
      <c r="L1269" s="65"/>
      <c r="M1269" s="65"/>
      <c r="N1269" s="65"/>
      <c r="O1269" s="65" t="s">
        <v>863</v>
      </c>
      <c r="P1269" s="65"/>
      <c r="Q1269" s="65"/>
      <c r="R1269" s="65"/>
      <c r="S1269" s="65"/>
    </row>
    <row r="1270" spans="1:19" x14ac:dyDescent="0.25">
      <c r="A1270" s="15">
        <v>61</v>
      </c>
      <c r="B1270" s="65"/>
      <c r="C1270" s="65"/>
      <c r="D1270" s="65"/>
      <c r="E1270" s="65"/>
      <c r="F1270" s="65"/>
      <c r="G1270" s="65"/>
      <c r="H1270" s="65"/>
      <c r="I1270" s="65"/>
      <c r="J1270" s="65"/>
      <c r="K1270" s="65"/>
      <c r="L1270" s="65"/>
      <c r="M1270" s="65"/>
      <c r="N1270" s="65"/>
      <c r="O1270" s="65" t="s">
        <v>871</v>
      </c>
      <c r="P1270" s="65"/>
      <c r="Q1270" s="65"/>
      <c r="R1270" s="65"/>
      <c r="S1270" s="65"/>
    </row>
    <row r="1271" spans="1:19" x14ac:dyDescent="0.25">
      <c r="A1271" s="15">
        <v>61</v>
      </c>
      <c r="B1271" s="65"/>
      <c r="C1271" s="65" t="s">
        <v>79</v>
      </c>
      <c r="D1271" s="65"/>
      <c r="E1271" s="65" t="s">
        <v>787</v>
      </c>
      <c r="F1271" s="65">
        <v>6</v>
      </c>
      <c r="G1271" s="65"/>
      <c r="H1271" s="65">
        <v>7</v>
      </c>
      <c r="I1271" s="65">
        <v>7.666666666666667</v>
      </c>
      <c r="J1271" s="65" t="s">
        <v>879</v>
      </c>
      <c r="K1271" s="65"/>
      <c r="L1271" s="65"/>
      <c r="M1271" s="65"/>
      <c r="N1271" s="65"/>
      <c r="O1271" s="65" t="s">
        <v>878</v>
      </c>
      <c r="P1271" s="65"/>
      <c r="Q1271" s="65">
        <v>1</v>
      </c>
      <c r="R1271" s="65">
        <v>326</v>
      </c>
      <c r="S1271" s="65"/>
    </row>
    <row r="1272" spans="1:19" x14ac:dyDescent="0.25">
      <c r="A1272" s="15">
        <v>61</v>
      </c>
      <c r="B1272" s="65"/>
      <c r="C1272" s="65">
        <v>2429</v>
      </c>
      <c r="D1272" s="65"/>
      <c r="E1272" s="65" t="s">
        <v>787</v>
      </c>
      <c r="F1272" s="65">
        <v>6</v>
      </c>
      <c r="G1272" s="65"/>
      <c r="H1272" s="65"/>
      <c r="I1272" s="65">
        <v>19.583333333333332</v>
      </c>
      <c r="J1272" s="65" t="s">
        <v>879</v>
      </c>
      <c r="K1272" s="65"/>
      <c r="L1272" s="65"/>
      <c r="M1272" s="65"/>
      <c r="N1272" s="65"/>
      <c r="O1272" s="65" t="s">
        <v>881</v>
      </c>
      <c r="P1272" s="65"/>
      <c r="Q1272" s="65">
        <v>1</v>
      </c>
      <c r="R1272" s="65">
        <v>513</v>
      </c>
      <c r="S1272" s="65"/>
    </row>
    <row r="1273" spans="1:19" x14ac:dyDescent="0.25">
      <c r="A1273" s="15">
        <v>61</v>
      </c>
      <c r="B1273" s="65"/>
      <c r="C1273" s="65">
        <v>2429</v>
      </c>
      <c r="D1273" s="65"/>
      <c r="E1273" s="65" t="s">
        <v>787</v>
      </c>
      <c r="F1273" s="65">
        <v>1</v>
      </c>
      <c r="G1273" s="65"/>
      <c r="H1273" s="65" t="e">
        <v>#N/A</v>
      </c>
      <c r="I1273" s="65"/>
      <c r="J1273" s="65" t="s">
        <v>899</v>
      </c>
      <c r="K1273" s="65" t="s">
        <v>900</v>
      </c>
      <c r="L1273" s="65" t="s">
        <v>900</v>
      </c>
      <c r="M1273" s="65" t="s">
        <v>900</v>
      </c>
      <c r="N1273" s="65" t="s">
        <v>900</v>
      </c>
      <c r="O1273" s="65" t="s">
        <v>898</v>
      </c>
      <c r="P1273" s="65"/>
      <c r="Q1273" s="65">
        <v>1</v>
      </c>
      <c r="R1273" s="65">
        <v>745</v>
      </c>
      <c r="S1273" s="65"/>
    </row>
    <row r="1274" spans="1:19" x14ac:dyDescent="0.25">
      <c r="A1274" s="15">
        <v>61</v>
      </c>
      <c r="B1274" s="65"/>
      <c r="C1274" s="65">
        <v>2429</v>
      </c>
      <c r="D1274" s="65"/>
      <c r="E1274" s="65" t="s">
        <v>787</v>
      </c>
      <c r="F1274" s="65">
        <v>0</v>
      </c>
      <c r="G1274" s="65"/>
      <c r="H1274" s="65">
        <v>3</v>
      </c>
      <c r="I1274" s="65" t="e">
        <v>#N/A</v>
      </c>
      <c r="J1274" s="65" t="s">
        <v>899</v>
      </c>
      <c r="K1274" s="65"/>
      <c r="L1274" s="65"/>
      <c r="M1274" s="65"/>
      <c r="N1274" s="65"/>
      <c r="O1274" s="65" t="s">
        <v>912</v>
      </c>
      <c r="P1274" s="65"/>
      <c r="Q1274" s="65">
        <v>1</v>
      </c>
      <c r="R1274" s="65">
        <v>972</v>
      </c>
      <c r="S1274" s="65"/>
    </row>
    <row r="1275" spans="1:19" x14ac:dyDescent="0.25">
      <c r="A1275" s="15">
        <v>61</v>
      </c>
      <c r="B1275" s="65"/>
      <c r="C1275" s="65">
        <v>2429</v>
      </c>
      <c r="D1275" s="65"/>
      <c r="E1275" s="65" t="s">
        <v>787</v>
      </c>
      <c r="F1275" s="65">
        <v>3</v>
      </c>
      <c r="G1275" s="65"/>
      <c r="H1275" s="65">
        <v>3</v>
      </c>
      <c r="I1275" s="65" t="e">
        <v>#N/A</v>
      </c>
      <c r="J1275" s="65" t="s">
        <v>899</v>
      </c>
      <c r="K1275" s="65"/>
      <c r="L1275" s="65"/>
      <c r="M1275" s="65"/>
      <c r="N1275" s="65"/>
      <c r="O1275" s="65" t="s">
        <v>924</v>
      </c>
      <c r="P1275" s="65"/>
      <c r="Q1275" s="65">
        <v>1</v>
      </c>
      <c r="R1275" s="65">
        <v>1199</v>
      </c>
      <c r="S1275" s="65"/>
    </row>
    <row r="1276" spans="1:19" x14ac:dyDescent="0.25">
      <c r="A1276" s="15">
        <v>61</v>
      </c>
      <c r="B1276" s="65"/>
      <c r="C1276" s="65">
        <v>2429</v>
      </c>
      <c r="D1276" s="65"/>
      <c r="E1276" s="65" t="s">
        <v>787</v>
      </c>
      <c r="F1276" s="65">
        <v>3</v>
      </c>
      <c r="G1276" s="65"/>
      <c r="H1276" s="65" t="e">
        <v>#N/A</v>
      </c>
      <c r="I1276" s="65"/>
      <c r="J1276" s="65" t="s">
        <v>899</v>
      </c>
      <c r="K1276" s="65"/>
      <c r="L1276" s="65"/>
      <c r="M1276" s="65"/>
      <c r="N1276" s="65"/>
      <c r="O1276" s="65" t="s">
        <v>936</v>
      </c>
      <c r="P1276" s="65"/>
      <c r="Q1276" s="65">
        <v>1</v>
      </c>
      <c r="R1276" s="65">
        <v>1306</v>
      </c>
      <c r="S1276" s="65"/>
    </row>
    <row r="1277" spans="1:19" x14ac:dyDescent="0.25">
      <c r="A1277" s="15">
        <v>61</v>
      </c>
      <c r="B1277" s="65"/>
      <c r="C1277" s="65">
        <v>2429</v>
      </c>
      <c r="D1277" s="65"/>
      <c r="E1277" s="65" t="s">
        <v>787</v>
      </c>
      <c r="F1277" s="65">
        <v>5</v>
      </c>
      <c r="G1277" s="65"/>
      <c r="H1277" s="65" t="e">
        <v>#N/A</v>
      </c>
      <c r="I1277" s="65"/>
      <c r="J1277" s="65" t="s">
        <v>899</v>
      </c>
      <c r="K1277" s="65"/>
      <c r="L1277" s="65"/>
      <c r="M1277" s="65"/>
      <c r="N1277" s="65"/>
      <c r="O1277" s="65" t="s">
        <v>938</v>
      </c>
      <c r="P1277" s="65"/>
      <c r="Q1277" s="65">
        <v>1</v>
      </c>
      <c r="R1277" s="65">
        <v>1493</v>
      </c>
      <c r="S1277" s="65"/>
    </row>
    <row r="1278" spans="1:19" x14ac:dyDescent="0.25">
      <c r="A1278" s="15">
        <v>62</v>
      </c>
      <c r="B1278" s="65"/>
      <c r="C1278" s="65"/>
      <c r="D1278" s="65"/>
      <c r="E1278" s="65"/>
      <c r="F1278" s="65"/>
      <c r="G1278" s="65"/>
      <c r="H1278" s="65"/>
      <c r="I1278" s="65"/>
      <c r="J1278" s="65"/>
      <c r="K1278" s="65"/>
      <c r="L1278" s="65"/>
      <c r="M1278" s="65"/>
      <c r="N1278" s="65"/>
      <c r="O1278" s="65"/>
      <c r="P1278" s="65"/>
      <c r="Q1278" s="65"/>
      <c r="R1278" s="65"/>
      <c r="S1278" s="65"/>
    </row>
    <row r="1279" spans="1:19" x14ac:dyDescent="0.25">
      <c r="A1279" s="15">
        <v>62</v>
      </c>
      <c r="B1279" s="65"/>
      <c r="C1279" s="65"/>
      <c r="D1279" s="65"/>
      <c r="E1279" s="65"/>
      <c r="F1279" s="65"/>
      <c r="G1279" s="65"/>
      <c r="H1279" s="65"/>
      <c r="I1279" s="65"/>
      <c r="J1279" s="65"/>
      <c r="K1279" s="65"/>
      <c r="L1279" s="65"/>
      <c r="M1279" s="65"/>
      <c r="N1279" s="65"/>
      <c r="O1279" s="65" t="s">
        <v>851</v>
      </c>
      <c r="P1279" s="65"/>
      <c r="Q1279" s="65"/>
      <c r="R1279" s="65"/>
      <c r="S1279" s="65"/>
    </row>
    <row r="1280" spans="1:19" x14ac:dyDescent="0.25">
      <c r="A1280" s="15">
        <v>62</v>
      </c>
      <c r="B1280" s="65"/>
      <c r="C1280" s="65"/>
      <c r="D1280" s="65"/>
      <c r="E1280" s="65"/>
      <c r="F1280" s="65"/>
      <c r="G1280" s="65"/>
      <c r="H1280" s="65"/>
      <c r="I1280" s="65"/>
      <c r="J1280" s="65"/>
      <c r="K1280" s="65"/>
      <c r="L1280" s="65"/>
      <c r="M1280" s="65"/>
      <c r="N1280" s="65"/>
      <c r="O1280" s="65" t="s">
        <v>863</v>
      </c>
      <c r="P1280" s="65"/>
      <c r="Q1280" s="65"/>
      <c r="R1280" s="65"/>
      <c r="S1280" s="65"/>
    </row>
    <row r="1281" spans="1:19" x14ac:dyDescent="0.25">
      <c r="A1281" s="15">
        <v>62</v>
      </c>
      <c r="B1281" s="65"/>
      <c r="C1281" s="65"/>
      <c r="D1281" s="65"/>
      <c r="E1281" s="65"/>
      <c r="F1281" s="65"/>
      <c r="G1281" s="65"/>
      <c r="H1281" s="65"/>
      <c r="I1281" s="65"/>
      <c r="J1281" s="65"/>
      <c r="K1281" s="65"/>
      <c r="L1281" s="65"/>
      <c r="M1281" s="65"/>
      <c r="N1281" s="65"/>
      <c r="O1281" s="65" t="s">
        <v>871</v>
      </c>
      <c r="P1281" s="65"/>
      <c r="Q1281" s="65"/>
      <c r="R1281" s="65"/>
      <c r="S1281" s="65"/>
    </row>
    <row r="1282" spans="1:19" x14ac:dyDescent="0.25">
      <c r="A1282" s="15">
        <v>62</v>
      </c>
      <c r="B1282" s="65"/>
      <c r="C1282" s="65" t="s">
        <v>79</v>
      </c>
      <c r="D1282" s="65"/>
      <c r="E1282" s="65" t="s">
        <v>787</v>
      </c>
      <c r="F1282" s="65">
        <v>6</v>
      </c>
      <c r="G1282" s="65"/>
      <c r="H1282" s="65">
        <v>7</v>
      </c>
      <c r="I1282" s="65">
        <v>7.666666666666667</v>
      </c>
      <c r="J1282" s="65" t="s">
        <v>879</v>
      </c>
      <c r="K1282" s="65"/>
      <c r="L1282" s="65"/>
      <c r="M1282" s="65"/>
      <c r="N1282" s="65"/>
      <c r="O1282" s="65" t="s">
        <v>878</v>
      </c>
      <c r="P1282" s="65"/>
      <c r="Q1282" s="65">
        <v>1</v>
      </c>
      <c r="R1282" s="65">
        <v>327</v>
      </c>
      <c r="S1282" s="65"/>
    </row>
    <row r="1283" spans="1:19" x14ac:dyDescent="0.25">
      <c r="A1283" s="15">
        <v>62</v>
      </c>
      <c r="B1283" s="65"/>
      <c r="C1283" s="65">
        <v>2429</v>
      </c>
      <c r="D1283" s="65"/>
      <c r="E1283" s="65" t="s">
        <v>787</v>
      </c>
      <c r="F1283" s="65">
        <v>6</v>
      </c>
      <c r="G1283" s="65"/>
      <c r="H1283" s="65"/>
      <c r="I1283" s="65">
        <v>19.583333333333332</v>
      </c>
      <c r="J1283" s="65" t="s">
        <v>879</v>
      </c>
      <c r="K1283" s="65"/>
      <c r="L1283" s="65"/>
      <c r="M1283" s="65"/>
      <c r="N1283" s="65"/>
      <c r="O1283" s="65" t="s">
        <v>881</v>
      </c>
      <c r="P1283" s="65"/>
      <c r="Q1283" s="65">
        <v>1</v>
      </c>
      <c r="R1283" s="65">
        <v>514</v>
      </c>
      <c r="S1283" s="65"/>
    </row>
    <row r="1284" spans="1:19" x14ac:dyDescent="0.25">
      <c r="A1284" s="15">
        <v>62</v>
      </c>
      <c r="B1284" s="65"/>
      <c r="C1284" s="65">
        <v>2429</v>
      </c>
      <c r="D1284" s="65"/>
      <c r="E1284" s="65" t="s">
        <v>787</v>
      </c>
      <c r="F1284" s="65">
        <v>1</v>
      </c>
      <c r="G1284" s="65"/>
      <c r="H1284" s="65" t="e">
        <v>#N/A</v>
      </c>
      <c r="I1284" s="65"/>
      <c r="J1284" s="65" t="s">
        <v>899</v>
      </c>
      <c r="K1284" s="65" t="s">
        <v>900</v>
      </c>
      <c r="L1284" s="65" t="s">
        <v>900</v>
      </c>
      <c r="M1284" s="65" t="s">
        <v>900</v>
      </c>
      <c r="N1284" s="65" t="s">
        <v>900</v>
      </c>
      <c r="O1284" s="65" t="s">
        <v>898</v>
      </c>
      <c r="P1284" s="65"/>
      <c r="Q1284" s="65">
        <v>1</v>
      </c>
      <c r="R1284" s="65">
        <v>746</v>
      </c>
      <c r="S1284" s="65"/>
    </row>
    <row r="1285" spans="1:19" x14ac:dyDescent="0.25">
      <c r="A1285" s="15">
        <v>62</v>
      </c>
      <c r="B1285" s="65"/>
      <c r="C1285" s="65">
        <v>2429</v>
      </c>
      <c r="D1285" s="65"/>
      <c r="E1285" s="65" t="s">
        <v>787</v>
      </c>
      <c r="F1285" s="65">
        <v>0</v>
      </c>
      <c r="G1285" s="65"/>
      <c r="H1285" s="65">
        <v>3</v>
      </c>
      <c r="I1285" s="65" t="e">
        <v>#N/A</v>
      </c>
      <c r="J1285" s="65" t="s">
        <v>899</v>
      </c>
      <c r="K1285" s="65"/>
      <c r="L1285" s="65"/>
      <c r="M1285" s="65"/>
      <c r="N1285" s="65"/>
      <c r="O1285" s="65" t="s">
        <v>912</v>
      </c>
      <c r="P1285" s="65"/>
      <c r="Q1285" s="65">
        <v>1</v>
      </c>
      <c r="R1285" s="65">
        <v>973</v>
      </c>
      <c r="S1285" s="65"/>
    </row>
    <row r="1286" spans="1:19" x14ac:dyDescent="0.25">
      <c r="A1286" s="15">
        <v>62</v>
      </c>
      <c r="B1286" s="65"/>
      <c r="C1286" s="65">
        <v>2429</v>
      </c>
      <c r="D1286" s="65"/>
      <c r="E1286" s="65" t="s">
        <v>787</v>
      </c>
      <c r="F1286" s="65">
        <v>3</v>
      </c>
      <c r="G1286" s="65"/>
      <c r="H1286" s="65">
        <v>3</v>
      </c>
      <c r="I1286" s="65" t="e">
        <v>#N/A</v>
      </c>
      <c r="J1286" s="65" t="s">
        <v>899</v>
      </c>
      <c r="K1286" s="65"/>
      <c r="L1286" s="65"/>
      <c r="M1286" s="65"/>
      <c r="N1286" s="65"/>
      <c r="O1286" s="65" t="s">
        <v>924</v>
      </c>
      <c r="P1286" s="65"/>
      <c r="Q1286" s="65">
        <v>1</v>
      </c>
      <c r="R1286" s="65">
        <v>1200</v>
      </c>
      <c r="S1286" s="65"/>
    </row>
    <row r="1287" spans="1:19" x14ac:dyDescent="0.25">
      <c r="A1287" s="15">
        <v>62</v>
      </c>
      <c r="B1287" s="65"/>
      <c r="C1287" s="65">
        <v>2429</v>
      </c>
      <c r="D1287" s="65"/>
      <c r="E1287" s="65" t="s">
        <v>787</v>
      </c>
      <c r="F1287" s="65">
        <v>3</v>
      </c>
      <c r="G1287" s="65"/>
      <c r="H1287" s="65" t="e">
        <v>#N/A</v>
      </c>
      <c r="I1287" s="65"/>
      <c r="J1287" s="65" t="s">
        <v>899</v>
      </c>
      <c r="K1287" s="65"/>
      <c r="L1287" s="65"/>
      <c r="M1287" s="65"/>
      <c r="N1287" s="65"/>
      <c r="O1287" s="65" t="s">
        <v>936</v>
      </c>
      <c r="P1287" s="65"/>
      <c r="Q1287" s="65">
        <v>1</v>
      </c>
      <c r="R1287" s="65">
        <v>1307</v>
      </c>
      <c r="S1287" s="65"/>
    </row>
    <row r="1288" spans="1:19" x14ac:dyDescent="0.25">
      <c r="A1288" s="15">
        <v>62</v>
      </c>
      <c r="B1288" s="65"/>
      <c r="C1288" s="65">
        <v>2429</v>
      </c>
      <c r="D1288" s="65"/>
      <c r="E1288" s="65" t="s">
        <v>787</v>
      </c>
      <c r="F1288" s="65">
        <v>5</v>
      </c>
      <c r="G1288" s="65"/>
      <c r="H1288" s="65" t="e">
        <v>#N/A</v>
      </c>
      <c r="I1288" s="65"/>
      <c r="J1288" s="65" t="s">
        <v>899</v>
      </c>
      <c r="K1288" s="65"/>
      <c r="L1288" s="65"/>
      <c r="M1288" s="65"/>
      <c r="N1288" s="65"/>
      <c r="O1288" s="65" t="s">
        <v>938</v>
      </c>
      <c r="P1288" s="65"/>
      <c r="Q1288" s="65">
        <v>1</v>
      </c>
      <c r="R1288" s="65">
        <v>1494</v>
      </c>
      <c r="S1288" s="65"/>
    </row>
    <row r="1289" spans="1:19" x14ac:dyDescent="0.25">
      <c r="A1289" s="15">
        <v>63</v>
      </c>
      <c r="B1289" s="65"/>
      <c r="C1289" s="65"/>
      <c r="D1289" s="65"/>
      <c r="E1289" s="65"/>
      <c r="F1289" s="65"/>
      <c r="G1289" s="65"/>
      <c r="H1289" s="65"/>
      <c r="I1289" s="65"/>
      <c r="J1289" s="65"/>
      <c r="K1289" s="65"/>
      <c r="L1289" s="65"/>
      <c r="M1289" s="65"/>
      <c r="N1289" s="65"/>
      <c r="O1289" s="65"/>
      <c r="P1289" s="65"/>
      <c r="Q1289" s="65"/>
      <c r="R1289" s="65"/>
      <c r="S1289" s="65"/>
    </row>
    <row r="1290" spans="1:19" x14ac:dyDescent="0.25">
      <c r="A1290" s="15">
        <v>63</v>
      </c>
      <c r="B1290" s="65"/>
      <c r="C1290" s="65"/>
      <c r="D1290" s="65"/>
      <c r="E1290" s="65"/>
      <c r="F1290" s="65"/>
      <c r="G1290" s="65"/>
      <c r="H1290" s="65"/>
      <c r="I1290" s="65"/>
      <c r="J1290" s="65"/>
      <c r="K1290" s="65"/>
      <c r="L1290" s="65"/>
      <c r="M1290" s="65"/>
      <c r="N1290" s="65"/>
      <c r="O1290" s="65" t="s">
        <v>852</v>
      </c>
      <c r="P1290" s="65"/>
      <c r="Q1290" s="65"/>
      <c r="R1290" s="65"/>
      <c r="S1290" s="65"/>
    </row>
    <row r="1291" spans="1:19" x14ac:dyDescent="0.25">
      <c r="A1291" s="15">
        <v>63</v>
      </c>
      <c r="B1291" s="65"/>
      <c r="C1291" s="65"/>
      <c r="D1291" s="65"/>
      <c r="E1291" s="65"/>
      <c r="F1291" s="65"/>
      <c r="G1291" s="65"/>
      <c r="H1291" s="65"/>
      <c r="I1291" s="65"/>
      <c r="J1291" s="65"/>
      <c r="K1291" s="65"/>
      <c r="L1291" s="65"/>
      <c r="M1291" s="65"/>
      <c r="N1291" s="65"/>
      <c r="O1291" s="65" t="s">
        <v>860</v>
      </c>
      <c r="P1291" s="65"/>
      <c r="Q1291" s="65"/>
      <c r="R1291" s="65"/>
      <c r="S1291" s="65"/>
    </row>
    <row r="1292" spans="1:19" x14ac:dyDescent="0.25">
      <c r="A1292" s="15">
        <v>63</v>
      </c>
      <c r="B1292" s="65"/>
      <c r="C1292" s="65"/>
      <c r="D1292" s="65"/>
      <c r="E1292" s="65"/>
      <c r="F1292" s="65"/>
      <c r="G1292" s="65"/>
      <c r="H1292" s="65"/>
      <c r="I1292" s="65"/>
      <c r="J1292" s="65"/>
      <c r="K1292" s="65"/>
      <c r="L1292" s="65"/>
      <c r="M1292" s="65"/>
      <c r="N1292" s="65"/>
      <c r="O1292" s="65" t="s">
        <v>871</v>
      </c>
      <c r="P1292" s="65"/>
      <c r="Q1292" s="65"/>
      <c r="R1292" s="65"/>
      <c r="S1292" s="65"/>
    </row>
    <row r="1293" spans="1:19" x14ac:dyDescent="0.25">
      <c r="A1293" s="15">
        <v>63</v>
      </c>
      <c r="B1293" s="65"/>
      <c r="C1293" s="65" t="s">
        <v>79</v>
      </c>
      <c r="D1293" s="65"/>
      <c r="E1293" s="65" t="s">
        <v>787</v>
      </c>
      <c r="F1293" s="65">
        <v>14</v>
      </c>
      <c r="G1293" s="65"/>
      <c r="H1293" s="65">
        <v>7</v>
      </c>
      <c r="I1293" s="65">
        <v>7.666666666666667</v>
      </c>
      <c r="J1293" s="65" t="s">
        <v>879</v>
      </c>
      <c r="K1293" s="65"/>
      <c r="L1293" s="65"/>
      <c r="M1293" s="65"/>
      <c r="N1293" s="65"/>
      <c r="O1293" s="65" t="s">
        <v>878</v>
      </c>
      <c r="P1293" s="65"/>
      <c r="Q1293" s="65">
        <v>1</v>
      </c>
      <c r="R1293" s="65">
        <v>328</v>
      </c>
      <c r="S1293" s="65"/>
    </row>
    <row r="1294" spans="1:19" x14ac:dyDescent="0.25">
      <c r="A1294" s="15">
        <v>63</v>
      </c>
      <c r="B1294" s="65"/>
      <c r="C1294" s="65">
        <v>2429</v>
      </c>
      <c r="D1294" s="65"/>
      <c r="E1294" s="65" t="s">
        <v>787</v>
      </c>
      <c r="F1294" s="65">
        <v>14</v>
      </c>
      <c r="G1294" s="65"/>
      <c r="H1294" s="65"/>
      <c r="I1294" s="65">
        <v>19.583333333333332</v>
      </c>
      <c r="J1294" s="65" t="s">
        <v>879</v>
      </c>
      <c r="K1294" s="65"/>
      <c r="L1294" s="65"/>
      <c r="M1294" s="65"/>
      <c r="N1294" s="65"/>
      <c r="O1294" s="65" t="s">
        <v>881</v>
      </c>
      <c r="P1294" s="65"/>
      <c r="Q1294" s="65">
        <v>1</v>
      </c>
      <c r="R1294" s="65">
        <v>515</v>
      </c>
      <c r="S1294" s="65"/>
    </row>
    <row r="1295" spans="1:19" x14ac:dyDescent="0.25">
      <c r="A1295" s="15">
        <v>63</v>
      </c>
      <c r="B1295" s="65"/>
      <c r="C1295" s="65">
        <v>2429</v>
      </c>
      <c r="D1295" s="65"/>
      <c r="E1295" s="65" t="s">
        <v>787</v>
      </c>
      <c r="F1295" s="65">
        <v>1</v>
      </c>
      <c r="G1295" s="65"/>
      <c r="H1295" s="65" t="e">
        <v>#N/A</v>
      </c>
      <c r="I1295" s="65"/>
      <c r="J1295" s="65" t="s">
        <v>899</v>
      </c>
      <c r="K1295" s="65" t="s">
        <v>900</v>
      </c>
      <c r="L1295" s="65" t="s">
        <v>900</v>
      </c>
      <c r="M1295" s="65" t="s">
        <v>900</v>
      </c>
      <c r="N1295" s="65" t="s">
        <v>900</v>
      </c>
      <c r="O1295" s="65" t="s">
        <v>898</v>
      </c>
      <c r="P1295" s="65"/>
      <c r="Q1295" s="65">
        <v>1</v>
      </c>
      <c r="R1295" s="65">
        <v>747</v>
      </c>
      <c r="S1295" s="65"/>
    </row>
    <row r="1296" spans="1:19" x14ac:dyDescent="0.25">
      <c r="A1296" s="15">
        <v>63</v>
      </c>
      <c r="B1296" s="65"/>
      <c r="C1296" s="65">
        <v>2429</v>
      </c>
      <c r="D1296" s="65"/>
      <c r="E1296" s="65" t="s">
        <v>787</v>
      </c>
      <c r="F1296" s="65">
        <v>0</v>
      </c>
      <c r="G1296" s="65"/>
      <c r="H1296" s="65">
        <v>3</v>
      </c>
      <c r="I1296" s="65" t="e">
        <v>#N/A</v>
      </c>
      <c r="J1296" s="65" t="s">
        <v>899</v>
      </c>
      <c r="K1296" s="65"/>
      <c r="L1296" s="65"/>
      <c r="M1296" s="65"/>
      <c r="N1296" s="65"/>
      <c r="O1296" s="65" t="s">
        <v>912</v>
      </c>
      <c r="P1296" s="65"/>
      <c r="Q1296" s="65">
        <v>1</v>
      </c>
      <c r="R1296" s="65">
        <v>974</v>
      </c>
      <c r="S1296" s="65"/>
    </row>
    <row r="1297" spans="1:19" x14ac:dyDescent="0.25">
      <c r="A1297" s="15">
        <v>63</v>
      </c>
      <c r="B1297" s="65"/>
      <c r="C1297" s="65">
        <v>2429</v>
      </c>
      <c r="D1297" s="65"/>
      <c r="E1297" s="65" t="s">
        <v>787</v>
      </c>
      <c r="F1297" s="65">
        <v>3</v>
      </c>
      <c r="G1297" s="65"/>
      <c r="H1297" s="65">
        <v>3</v>
      </c>
      <c r="I1297" s="65" t="e">
        <v>#N/A</v>
      </c>
      <c r="J1297" s="65" t="s">
        <v>899</v>
      </c>
      <c r="K1297" s="65"/>
      <c r="L1297" s="65"/>
      <c r="M1297" s="65"/>
      <c r="N1297" s="65"/>
      <c r="O1297" s="65" t="s">
        <v>924</v>
      </c>
      <c r="P1297" s="65"/>
      <c r="Q1297" s="65">
        <v>1</v>
      </c>
      <c r="R1297" s="65">
        <v>1201</v>
      </c>
      <c r="S1297" s="65"/>
    </row>
    <row r="1298" spans="1:19" x14ac:dyDescent="0.25">
      <c r="A1298" s="15">
        <v>63</v>
      </c>
      <c r="B1298" s="65"/>
      <c r="C1298" s="65">
        <v>2429</v>
      </c>
      <c r="D1298" s="65"/>
      <c r="E1298" s="65" t="s">
        <v>787</v>
      </c>
      <c r="F1298" s="65">
        <v>3</v>
      </c>
      <c r="G1298" s="65"/>
      <c r="H1298" s="65" t="e">
        <v>#N/A</v>
      </c>
      <c r="I1298" s="65"/>
      <c r="J1298" s="65" t="s">
        <v>899</v>
      </c>
      <c r="K1298" s="65"/>
      <c r="L1298" s="65"/>
      <c r="M1298" s="65"/>
      <c r="N1298" s="65"/>
      <c r="O1298" s="65" t="s">
        <v>936</v>
      </c>
      <c r="P1298" s="65"/>
      <c r="Q1298" s="65">
        <v>1</v>
      </c>
      <c r="R1298" s="65">
        <v>1308</v>
      </c>
      <c r="S1298" s="65"/>
    </row>
    <row r="1299" spans="1:19" x14ac:dyDescent="0.25">
      <c r="A1299" s="15">
        <v>63</v>
      </c>
      <c r="B1299" s="65"/>
      <c r="C1299" s="65">
        <v>2429</v>
      </c>
      <c r="D1299" s="65"/>
      <c r="E1299" s="65" t="s">
        <v>787</v>
      </c>
      <c r="F1299" s="65">
        <v>5</v>
      </c>
      <c r="G1299" s="65"/>
      <c r="H1299" s="65" t="e">
        <v>#N/A</v>
      </c>
      <c r="I1299" s="65"/>
      <c r="J1299" s="65" t="s">
        <v>899</v>
      </c>
      <c r="K1299" s="65"/>
      <c r="L1299" s="65"/>
      <c r="M1299" s="65"/>
      <c r="N1299" s="65"/>
      <c r="O1299" s="65" t="s">
        <v>938</v>
      </c>
      <c r="P1299" s="65"/>
      <c r="Q1299" s="65">
        <v>1</v>
      </c>
      <c r="R1299" s="65">
        <v>1495</v>
      </c>
      <c r="S1299" s="65"/>
    </row>
    <row r="1300" spans="1:19" x14ac:dyDescent="0.25">
      <c r="A1300" s="15">
        <v>64</v>
      </c>
      <c r="B1300" s="65"/>
      <c r="C1300" s="65"/>
      <c r="D1300" s="65"/>
      <c r="E1300" s="65"/>
      <c r="F1300" s="65"/>
      <c r="G1300" s="65"/>
      <c r="H1300" s="65"/>
      <c r="I1300" s="65"/>
      <c r="J1300" s="65"/>
      <c r="K1300" s="65"/>
      <c r="L1300" s="65"/>
      <c r="M1300" s="65"/>
      <c r="N1300" s="65"/>
      <c r="O1300" s="65"/>
      <c r="P1300" s="65"/>
      <c r="Q1300" s="65"/>
      <c r="R1300" s="65"/>
      <c r="S1300" s="65"/>
    </row>
    <row r="1301" spans="1:19" x14ac:dyDescent="0.25">
      <c r="A1301" s="15">
        <v>64</v>
      </c>
      <c r="B1301" s="65"/>
      <c r="C1301" s="65"/>
      <c r="D1301" s="65"/>
      <c r="E1301" s="65"/>
      <c r="F1301" s="65"/>
      <c r="G1301" s="65"/>
      <c r="H1301" s="65"/>
      <c r="I1301" s="65"/>
      <c r="J1301" s="65"/>
      <c r="K1301" s="65"/>
      <c r="L1301" s="65"/>
      <c r="M1301" s="65"/>
      <c r="N1301" s="65"/>
      <c r="O1301" s="65" t="s">
        <v>853</v>
      </c>
      <c r="P1301" s="65"/>
      <c r="Q1301" s="65"/>
      <c r="R1301" s="65"/>
      <c r="S1301" s="65"/>
    </row>
    <row r="1302" spans="1:19" x14ac:dyDescent="0.25">
      <c r="A1302" s="15">
        <v>64</v>
      </c>
      <c r="B1302" s="65"/>
      <c r="C1302" s="65"/>
      <c r="D1302" s="65"/>
      <c r="E1302" s="65"/>
      <c r="F1302" s="65"/>
      <c r="G1302" s="65"/>
      <c r="H1302" s="65"/>
      <c r="I1302" s="65"/>
      <c r="J1302" s="65"/>
      <c r="K1302" s="65"/>
      <c r="L1302" s="65"/>
      <c r="M1302" s="65"/>
      <c r="N1302" s="65"/>
      <c r="O1302" s="65" t="s">
        <v>865</v>
      </c>
      <c r="P1302" s="65"/>
      <c r="Q1302" s="65"/>
      <c r="R1302" s="65"/>
      <c r="S1302" s="65"/>
    </row>
    <row r="1303" spans="1:19" x14ac:dyDescent="0.25">
      <c r="A1303" s="15">
        <v>64</v>
      </c>
      <c r="B1303" s="65"/>
      <c r="C1303" s="65"/>
      <c r="D1303" s="65"/>
      <c r="E1303" s="65"/>
      <c r="F1303" s="65"/>
      <c r="G1303" s="65"/>
      <c r="H1303" s="65"/>
      <c r="I1303" s="65"/>
      <c r="J1303" s="65"/>
      <c r="K1303" s="65"/>
      <c r="L1303" s="65"/>
      <c r="M1303" s="65"/>
      <c r="N1303" s="65"/>
      <c r="O1303" s="65" t="s">
        <v>877</v>
      </c>
      <c r="P1303" s="65"/>
      <c r="Q1303" s="65"/>
      <c r="R1303" s="65"/>
      <c r="S1303" s="65"/>
    </row>
    <row r="1304" spans="1:19" x14ac:dyDescent="0.25">
      <c r="A1304" s="15">
        <v>64</v>
      </c>
      <c r="B1304" s="65"/>
      <c r="C1304" s="65" t="s">
        <v>79</v>
      </c>
      <c r="D1304" s="65"/>
      <c r="E1304" s="65" t="s">
        <v>787</v>
      </c>
      <c r="F1304" s="65">
        <v>10</v>
      </c>
      <c r="G1304" s="65"/>
      <c r="H1304" s="65">
        <v>10</v>
      </c>
      <c r="I1304" s="65">
        <v>11.916666666666666</v>
      </c>
      <c r="J1304" s="65" t="s">
        <v>879</v>
      </c>
      <c r="K1304" s="65"/>
      <c r="L1304" s="65"/>
      <c r="M1304" s="65"/>
      <c r="N1304" s="65"/>
      <c r="O1304" s="65" t="s">
        <v>880</v>
      </c>
      <c r="P1304" s="65"/>
      <c r="Q1304" s="65">
        <v>1</v>
      </c>
      <c r="R1304" s="65">
        <v>329</v>
      </c>
      <c r="S1304" s="65"/>
    </row>
    <row r="1305" spans="1:19" x14ac:dyDescent="0.25">
      <c r="A1305" s="15">
        <v>64</v>
      </c>
      <c r="B1305" s="65"/>
      <c r="C1305" s="65">
        <v>2429</v>
      </c>
      <c r="D1305" s="65"/>
      <c r="E1305" s="65" t="s">
        <v>787</v>
      </c>
      <c r="F1305" s="65">
        <v>10</v>
      </c>
      <c r="G1305" s="65"/>
      <c r="H1305" s="65"/>
      <c r="I1305" s="65">
        <v>15.666666666666666</v>
      </c>
      <c r="J1305" s="65" t="s">
        <v>879</v>
      </c>
      <c r="K1305" s="65"/>
      <c r="L1305" s="65"/>
      <c r="M1305" s="65"/>
      <c r="N1305" s="65"/>
      <c r="O1305" s="65" t="s">
        <v>882</v>
      </c>
      <c r="P1305" s="65"/>
      <c r="Q1305" s="65">
        <v>1</v>
      </c>
      <c r="R1305" s="65">
        <v>516</v>
      </c>
      <c r="S1305" s="65"/>
    </row>
    <row r="1306" spans="1:19" x14ac:dyDescent="0.25">
      <c r="A1306" s="15">
        <v>64</v>
      </c>
      <c r="B1306" s="65"/>
      <c r="C1306" s="65">
        <v>2429</v>
      </c>
      <c r="D1306" s="65"/>
      <c r="E1306" s="65" t="s">
        <v>787</v>
      </c>
      <c r="F1306" s="65">
        <v>6</v>
      </c>
      <c r="G1306" s="65"/>
      <c r="H1306" s="65"/>
      <c r="I1306" s="65">
        <v>15.666666666666666</v>
      </c>
      <c r="J1306" s="65" t="s">
        <v>879</v>
      </c>
      <c r="K1306" s="65"/>
      <c r="L1306" s="65"/>
      <c r="M1306" s="65"/>
      <c r="N1306" s="65"/>
      <c r="O1306" s="65" t="s">
        <v>883</v>
      </c>
      <c r="P1306" s="65"/>
      <c r="Q1306" s="65">
        <v>1</v>
      </c>
      <c r="R1306" s="65">
        <v>517</v>
      </c>
      <c r="S1306" s="65"/>
    </row>
    <row r="1307" spans="1:19" x14ac:dyDescent="0.25">
      <c r="A1307" s="15">
        <v>64</v>
      </c>
      <c r="B1307" s="65"/>
      <c r="C1307" s="65">
        <v>2429</v>
      </c>
      <c r="D1307" s="65"/>
      <c r="E1307" s="65" t="s">
        <v>787</v>
      </c>
      <c r="F1307" s="65">
        <v>6</v>
      </c>
      <c r="G1307" s="65"/>
      <c r="H1307" s="65"/>
      <c r="I1307" s="65">
        <v>15.666666666666666</v>
      </c>
      <c r="J1307" s="65" t="s">
        <v>879</v>
      </c>
      <c r="K1307" s="65"/>
      <c r="L1307" s="65"/>
      <c r="M1307" s="65"/>
      <c r="N1307" s="65"/>
      <c r="O1307" s="65" t="s">
        <v>884</v>
      </c>
      <c r="P1307" s="65"/>
      <c r="Q1307" s="65">
        <v>1</v>
      </c>
      <c r="R1307" s="65">
        <v>518</v>
      </c>
      <c r="S1307" s="65"/>
    </row>
    <row r="1308" spans="1:19" x14ac:dyDescent="0.25">
      <c r="A1308" s="15">
        <v>64</v>
      </c>
      <c r="B1308" s="65"/>
      <c r="C1308" s="65">
        <v>2429</v>
      </c>
      <c r="D1308" s="65"/>
      <c r="E1308" s="65" t="s">
        <v>787</v>
      </c>
      <c r="F1308" s="65">
        <v>6</v>
      </c>
      <c r="G1308" s="65"/>
      <c r="H1308" s="65"/>
      <c r="I1308" s="65">
        <v>15.666666666666666</v>
      </c>
      <c r="J1308" s="65" t="s">
        <v>879</v>
      </c>
      <c r="K1308" s="65"/>
      <c r="L1308" s="65"/>
      <c r="M1308" s="65"/>
      <c r="N1308" s="65"/>
      <c r="O1308" s="65" t="s">
        <v>885</v>
      </c>
      <c r="P1308" s="65"/>
      <c r="Q1308" s="65">
        <v>1</v>
      </c>
      <c r="R1308" s="65">
        <v>519</v>
      </c>
      <c r="S1308" s="65"/>
    </row>
    <row r="1309" spans="1:19" x14ac:dyDescent="0.25">
      <c r="A1309" s="15">
        <v>64</v>
      </c>
      <c r="B1309" s="65"/>
      <c r="C1309" s="65">
        <v>2429</v>
      </c>
      <c r="D1309" s="65"/>
      <c r="E1309" s="65" t="s">
        <v>787</v>
      </c>
      <c r="F1309" s="65">
        <v>6</v>
      </c>
      <c r="G1309" s="65"/>
      <c r="H1309" s="65"/>
      <c r="I1309" s="65">
        <v>15.666666666666666</v>
      </c>
      <c r="J1309" s="65" t="s">
        <v>879</v>
      </c>
      <c r="K1309" s="65"/>
      <c r="L1309" s="65"/>
      <c r="M1309" s="65"/>
      <c r="N1309" s="65"/>
      <c r="O1309" s="65" t="s">
        <v>886</v>
      </c>
      <c r="P1309" s="65"/>
      <c r="Q1309" s="65">
        <v>1</v>
      </c>
      <c r="R1309" s="65">
        <v>520</v>
      </c>
      <c r="S1309" s="65"/>
    </row>
    <row r="1310" spans="1:19" x14ac:dyDescent="0.25">
      <c r="A1310" s="15">
        <v>64</v>
      </c>
      <c r="B1310" s="65"/>
      <c r="C1310" s="65">
        <v>2429</v>
      </c>
      <c r="D1310" s="65"/>
      <c r="E1310" s="65" t="s">
        <v>787</v>
      </c>
      <c r="F1310" s="65">
        <v>6</v>
      </c>
      <c r="G1310" s="65"/>
      <c r="H1310" s="65"/>
      <c r="I1310" s="65">
        <v>15.666666666666666</v>
      </c>
      <c r="J1310" s="65" t="s">
        <v>879</v>
      </c>
      <c r="K1310" s="65"/>
      <c r="L1310" s="65"/>
      <c r="M1310" s="65"/>
      <c r="N1310" s="65"/>
      <c r="O1310" s="65" t="s">
        <v>887</v>
      </c>
      <c r="P1310" s="65"/>
      <c r="Q1310" s="65">
        <v>1</v>
      </c>
      <c r="R1310" s="65">
        <v>521</v>
      </c>
      <c r="S1310" s="65"/>
    </row>
    <row r="1311" spans="1:19" x14ac:dyDescent="0.25">
      <c r="A1311" s="15">
        <v>64</v>
      </c>
      <c r="B1311" s="65"/>
      <c r="C1311" s="65">
        <v>2429</v>
      </c>
      <c r="D1311" s="65"/>
      <c r="E1311" s="65" t="s">
        <v>787</v>
      </c>
      <c r="F1311" s="65">
        <v>6</v>
      </c>
      <c r="G1311" s="65"/>
      <c r="H1311" s="65"/>
      <c r="I1311" s="65">
        <v>15.666666666666666</v>
      </c>
      <c r="J1311" s="65" t="s">
        <v>879</v>
      </c>
      <c r="K1311" s="65"/>
      <c r="L1311" s="65"/>
      <c r="M1311" s="65"/>
      <c r="N1311" s="65"/>
      <c r="O1311" s="65" t="s">
        <v>888</v>
      </c>
      <c r="P1311" s="65"/>
      <c r="Q1311" s="65">
        <v>1</v>
      </c>
      <c r="R1311" s="65">
        <v>522</v>
      </c>
      <c r="S1311" s="65"/>
    </row>
    <row r="1312" spans="1:19" x14ac:dyDescent="0.25">
      <c r="A1312" s="15">
        <v>64</v>
      </c>
      <c r="B1312" s="65"/>
      <c r="C1312" s="65">
        <v>2429</v>
      </c>
      <c r="D1312" s="65"/>
      <c r="E1312" s="65" t="s">
        <v>787</v>
      </c>
      <c r="F1312" s="65">
        <v>6</v>
      </c>
      <c r="G1312" s="65"/>
      <c r="H1312" s="65"/>
      <c r="I1312" s="65">
        <v>15.666666666666666</v>
      </c>
      <c r="J1312" s="65" t="s">
        <v>879</v>
      </c>
      <c r="K1312" s="65"/>
      <c r="L1312" s="65"/>
      <c r="M1312" s="65"/>
      <c r="N1312" s="65"/>
      <c r="O1312" s="65" t="s">
        <v>889</v>
      </c>
      <c r="P1312" s="65"/>
      <c r="Q1312" s="65">
        <v>1</v>
      </c>
      <c r="R1312" s="65">
        <v>523</v>
      </c>
      <c r="S1312" s="65"/>
    </row>
    <row r="1313" spans="1:19" x14ac:dyDescent="0.25">
      <c r="A1313" s="15">
        <v>64</v>
      </c>
      <c r="B1313" s="65"/>
      <c r="C1313" s="65">
        <v>2429</v>
      </c>
      <c r="D1313" s="65"/>
      <c r="E1313" s="65" t="s">
        <v>787</v>
      </c>
      <c r="F1313" s="65">
        <v>6</v>
      </c>
      <c r="G1313" s="65"/>
      <c r="H1313" s="65"/>
      <c r="I1313" s="65">
        <v>15.666666666666666</v>
      </c>
      <c r="J1313" s="65" t="s">
        <v>879</v>
      </c>
      <c r="K1313" s="65"/>
      <c r="L1313" s="65"/>
      <c r="M1313" s="65"/>
      <c r="N1313" s="65"/>
      <c r="O1313" s="65" t="s">
        <v>890</v>
      </c>
      <c r="P1313" s="65"/>
      <c r="Q1313" s="65">
        <v>1</v>
      </c>
      <c r="R1313" s="65">
        <v>524</v>
      </c>
      <c r="S1313" s="65"/>
    </row>
    <row r="1314" spans="1:19" x14ac:dyDescent="0.25">
      <c r="A1314" s="15">
        <v>64</v>
      </c>
      <c r="B1314" s="65"/>
      <c r="C1314" s="65">
        <v>2429</v>
      </c>
      <c r="D1314" s="65"/>
      <c r="E1314" s="65" t="s">
        <v>787</v>
      </c>
      <c r="F1314" s="65">
        <v>6</v>
      </c>
      <c r="G1314" s="65"/>
      <c r="H1314" s="65"/>
      <c r="I1314" s="65">
        <v>15.666666666666666</v>
      </c>
      <c r="J1314" s="65" t="s">
        <v>879</v>
      </c>
      <c r="K1314" s="65"/>
      <c r="L1314" s="65"/>
      <c r="M1314" s="65"/>
      <c r="N1314" s="65"/>
      <c r="O1314" s="65" t="s">
        <v>891</v>
      </c>
      <c r="P1314" s="65"/>
      <c r="Q1314" s="65">
        <v>1</v>
      </c>
      <c r="R1314" s="65">
        <v>525</v>
      </c>
      <c r="S1314" s="65"/>
    </row>
    <row r="1315" spans="1:19" x14ac:dyDescent="0.25">
      <c r="A1315" s="15">
        <v>64</v>
      </c>
      <c r="B1315" s="65"/>
      <c r="C1315" s="65">
        <v>2429</v>
      </c>
      <c r="D1315" s="65"/>
      <c r="E1315" s="65" t="s">
        <v>787</v>
      </c>
      <c r="F1315" s="65">
        <v>10</v>
      </c>
      <c r="G1315" s="65"/>
      <c r="H1315" s="65"/>
      <c r="I1315" s="65">
        <v>10.583333333333334</v>
      </c>
      <c r="J1315" s="65" t="s">
        <v>879</v>
      </c>
      <c r="K1315" s="65"/>
      <c r="L1315" s="65"/>
      <c r="M1315" s="65"/>
      <c r="N1315" s="65"/>
      <c r="O1315" s="65" t="s">
        <v>892</v>
      </c>
      <c r="P1315" s="65"/>
      <c r="Q1315" s="65">
        <v>1</v>
      </c>
      <c r="R1315" s="65">
        <v>526</v>
      </c>
      <c r="S1315" s="65"/>
    </row>
    <row r="1316" spans="1:19" x14ac:dyDescent="0.25">
      <c r="A1316" s="15">
        <v>64</v>
      </c>
      <c r="B1316" s="65"/>
      <c r="C1316" s="65">
        <v>2429</v>
      </c>
      <c r="D1316" s="65"/>
      <c r="E1316" s="65" t="s">
        <v>787</v>
      </c>
      <c r="F1316" s="65">
        <v>1</v>
      </c>
      <c r="G1316" s="65"/>
      <c r="H1316" s="65" t="e">
        <v>#N/A</v>
      </c>
      <c r="I1316" s="65"/>
      <c r="J1316" s="65" t="s">
        <v>899</v>
      </c>
      <c r="K1316" s="65" t="s">
        <v>900</v>
      </c>
      <c r="L1316" s="65" t="s">
        <v>900</v>
      </c>
      <c r="M1316" s="65" t="s">
        <v>900</v>
      </c>
      <c r="N1316" s="65" t="s">
        <v>900</v>
      </c>
      <c r="O1316" s="65" t="s">
        <v>901</v>
      </c>
      <c r="P1316" s="65"/>
      <c r="Q1316" s="65">
        <v>1</v>
      </c>
      <c r="R1316" s="65">
        <v>748</v>
      </c>
      <c r="S1316" s="65"/>
    </row>
    <row r="1317" spans="1:19" x14ac:dyDescent="0.25">
      <c r="A1317" s="15">
        <v>64</v>
      </c>
      <c r="B1317" s="65"/>
      <c r="C1317" s="65">
        <v>2429</v>
      </c>
      <c r="D1317" s="65"/>
      <c r="E1317" s="65" t="s">
        <v>787</v>
      </c>
      <c r="F1317" s="65">
        <v>1</v>
      </c>
      <c r="G1317" s="65"/>
      <c r="H1317" s="65" t="e">
        <v>#N/A</v>
      </c>
      <c r="I1317" s="65"/>
      <c r="J1317" s="65" t="s">
        <v>899</v>
      </c>
      <c r="K1317" s="65" t="s">
        <v>900</v>
      </c>
      <c r="L1317" s="65" t="s">
        <v>900</v>
      </c>
      <c r="M1317" s="65" t="s">
        <v>900</v>
      </c>
      <c r="N1317" s="65" t="s">
        <v>900</v>
      </c>
      <c r="O1317" s="65" t="s">
        <v>902</v>
      </c>
      <c r="P1317" s="65"/>
      <c r="Q1317" s="65">
        <v>1</v>
      </c>
      <c r="R1317" s="65">
        <v>749</v>
      </c>
      <c r="S1317" s="65"/>
    </row>
    <row r="1318" spans="1:19" x14ac:dyDescent="0.25">
      <c r="A1318" s="15">
        <v>64</v>
      </c>
      <c r="B1318" s="65"/>
      <c r="C1318" s="65">
        <v>2429</v>
      </c>
      <c r="D1318" s="65"/>
      <c r="E1318" s="65" t="s">
        <v>787</v>
      </c>
      <c r="F1318" s="65">
        <v>1</v>
      </c>
      <c r="G1318" s="65"/>
      <c r="H1318" s="65" t="e">
        <v>#N/A</v>
      </c>
      <c r="I1318" s="65"/>
      <c r="J1318" s="65" t="s">
        <v>899</v>
      </c>
      <c r="K1318" s="65" t="s">
        <v>900</v>
      </c>
      <c r="L1318" s="65" t="s">
        <v>900</v>
      </c>
      <c r="M1318" s="65" t="s">
        <v>900</v>
      </c>
      <c r="N1318" s="65" t="s">
        <v>900</v>
      </c>
      <c r="O1318" s="65" t="s">
        <v>903</v>
      </c>
      <c r="P1318" s="65"/>
      <c r="Q1318" s="65">
        <v>1</v>
      </c>
      <c r="R1318" s="65">
        <v>750</v>
      </c>
      <c r="S1318" s="65"/>
    </row>
    <row r="1319" spans="1:19" x14ac:dyDescent="0.25">
      <c r="A1319" s="15">
        <v>64</v>
      </c>
      <c r="B1319" s="65"/>
      <c r="C1319" s="65">
        <v>2429</v>
      </c>
      <c r="D1319" s="65"/>
      <c r="E1319" s="65" t="s">
        <v>787</v>
      </c>
      <c r="F1319" s="65">
        <v>1</v>
      </c>
      <c r="G1319" s="65"/>
      <c r="H1319" s="65" t="e">
        <v>#N/A</v>
      </c>
      <c r="I1319" s="65"/>
      <c r="J1319" s="65" t="s">
        <v>899</v>
      </c>
      <c r="K1319" s="65" t="s">
        <v>900</v>
      </c>
      <c r="L1319" s="65" t="s">
        <v>900</v>
      </c>
      <c r="M1319" s="65" t="s">
        <v>900</v>
      </c>
      <c r="N1319" s="65" t="s">
        <v>900</v>
      </c>
      <c r="O1319" s="65" t="s">
        <v>904</v>
      </c>
      <c r="P1319" s="65"/>
      <c r="Q1319" s="65">
        <v>1</v>
      </c>
      <c r="R1319" s="65">
        <v>751</v>
      </c>
      <c r="S1319" s="65"/>
    </row>
    <row r="1320" spans="1:19" x14ac:dyDescent="0.25">
      <c r="A1320" s="15">
        <v>64</v>
      </c>
      <c r="B1320" s="65"/>
      <c r="C1320" s="65">
        <v>2429</v>
      </c>
      <c r="D1320" s="65"/>
      <c r="E1320" s="65" t="s">
        <v>787</v>
      </c>
      <c r="F1320" s="65">
        <v>1</v>
      </c>
      <c r="G1320" s="65"/>
      <c r="H1320" s="65" t="e">
        <v>#N/A</v>
      </c>
      <c r="I1320" s="65"/>
      <c r="J1320" s="65" t="s">
        <v>899</v>
      </c>
      <c r="K1320" s="65" t="s">
        <v>900</v>
      </c>
      <c r="L1320" s="65" t="s">
        <v>900</v>
      </c>
      <c r="M1320" s="65" t="s">
        <v>900</v>
      </c>
      <c r="N1320" s="65" t="s">
        <v>900</v>
      </c>
      <c r="O1320" s="65" t="s">
        <v>905</v>
      </c>
      <c r="P1320" s="65"/>
      <c r="Q1320" s="65">
        <v>1</v>
      </c>
      <c r="R1320" s="65">
        <v>752</v>
      </c>
      <c r="S1320" s="65"/>
    </row>
    <row r="1321" spans="1:19" x14ac:dyDescent="0.25">
      <c r="A1321" s="15">
        <v>64</v>
      </c>
      <c r="B1321" s="65"/>
      <c r="C1321" s="65">
        <v>2429</v>
      </c>
      <c r="D1321" s="65"/>
      <c r="E1321" s="65" t="s">
        <v>787</v>
      </c>
      <c r="F1321" s="65">
        <v>1</v>
      </c>
      <c r="G1321" s="65"/>
      <c r="H1321" s="65" t="e">
        <v>#N/A</v>
      </c>
      <c r="I1321" s="65"/>
      <c r="J1321" s="65" t="s">
        <v>899</v>
      </c>
      <c r="K1321" s="65" t="s">
        <v>900</v>
      </c>
      <c r="L1321" s="65" t="s">
        <v>900</v>
      </c>
      <c r="M1321" s="65" t="s">
        <v>900</v>
      </c>
      <c r="N1321" s="65" t="s">
        <v>900</v>
      </c>
      <c r="O1321" s="65" t="s">
        <v>906</v>
      </c>
      <c r="P1321" s="65"/>
      <c r="Q1321" s="65">
        <v>1</v>
      </c>
      <c r="R1321" s="65">
        <v>753</v>
      </c>
      <c r="S1321" s="65"/>
    </row>
    <row r="1322" spans="1:19" x14ac:dyDescent="0.25">
      <c r="A1322" s="15">
        <v>64</v>
      </c>
      <c r="B1322" s="65"/>
      <c r="C1322" s="65">
        <v>2429</v>
      </c>
      <c r="D1322" s="65"/>
      <c r="E1322" s="65" t="s">
        <v>787</v>
      </c>
      <c r="F1322" s="65">
        <v>1</v>
      </c>
      <c r="G1322" s="65"/>
      <c r="H1322" s="65" t="e">
        <v>#N/A</v>
      </c>
      <c r="I1322" s="65"/>
      <c r="J1322" s="65" t="s">
        <v>899</v>
      </c>
      <c r="K1322" s="65" t="s">
        <v>900</v>
      </c>
      <c r="L1322" s="65" t="s">
        <v>900</v>
      </c>
      <c r="M1322" s="65" t="s">
        <v>900</v>
      </c>
      <c r="N1322" s="65" t="s">
        <v>900</v>
      </c>
      <c r="O1322" s="65" t="s">
        <v>907</v>
      </c>
      <c r="P1322" s="65"/>
      <c r="Q1322" s="65">
        <v>1</v>
      </c>
      <c r="R1322" s="65">
        <v>754</v>
      </c>
      <c r="S1322" s="65"/>
    </row>
    <row r="1323" spans="1:19" x14ac:dyDescent="0.25">
      <c r="A1323" s="15">
        <v>64</v>
      </c>
      <c r="B1323" s="65"/>
      <c r="C1323" s="65">
        <v>2429</v>
      </c>
      <c r="D1323" s="65"/>
      <c r="E1323" s="65" t="s">
        <v>787</v>
      </c>
      <c r="F1323" s="65">
        <v>1</v>
      </c>
      <c r="G1323" s="65"/>
      <c r="H1323" s="65" t="e">
        <v>#N/A</v>
      </c>
      <c r="I1323" s="65"/>
      <c r="J1323" s="65" t="s">
        <v>899</v>
      </c>
      <c r="K1323" s="65" t="s">
        <v>900</v>
      </c>
      <c r="L1323" s="65" t="s">
        <v>900</v>
      </c>
      <c r="M1323" s="65" t="s">
        <v>900</v>
      </c>
      <c r="N1323" s="65" t="s">
        <v>900</v>
      </c>
      <c r="O1323" s="65" t="s">
        <v>908</v>
      </c>
      <c r="P1323" s="65"/>
      <c r="Q1323" s="65">
        <v>1</v>
      </c>
      <c r="R1323" s="65">
        <v>755</v>
      </c>
      <c r="S1323" s="65"/>
    </row>
    <row r="1324" spans="1:19" x14ac:dyDescent="0.25">
      <c r="A1324" s="15">
        <v>64</v>
      </c>
      <c r="B1324" s="65"/>
      <c r="C1324" s="65">
        <v>2429</v>
      </c>
      <c r="D1324" s="65"/>
      <c r="E1324" s="65" t="s">
        <v>787</v>
      </c>
      <c r="F1324" s="65">
        <v>1</v>
      </c>
      <c r="G1324" s="65"/>
      <c r="H1324" s="65" t="e">
        <v>#N/A</v>
      </c>
      <c r="I1324" s="65"/>
      <c r="J1324" s="65" t="s">
        <v>899</v>
      </c>
      <c r="K1324" s="65" t="s">
        <v>900</v>
      </c>
      <c r="L1324" s="65" t="s">
        <v>900</v>
      </c>
      <c r="M1324" s="65" t="s">
        <v>900</v>
      </c>
      <c r="N1324" s="65" t="s">
        <v>900</v>
      </c>
      <c r="O1324" s="65" t="s">
        <v>909</v>
      </c>
      <c r="P1324" s="65"/>
      <c r="Q1324" s="65">
        <v>1</v>
      </c>
      <c r="R1324" s="65">
        <v>756</v>
      </c>
      <c r="S1324" s="65"/>
    </row>
    <row r="1325" spans="1:19" x14ac:dyDescent="0.25">
      <c r="A1325" s="15">
        <v>64</v>
      </c>
      <c r="B1325" s="65"/>
      <c r="C1325" s="65">
        <v>2429</v>
      </c>
      <c r="D1325" s="65"/>
      <c r="E1325" s="65" t="s">
        <v>787</v>
      </c>
      <c r="F1325" s="65">
        <v>1</v>
      </c>
      <c r="G1325" s="65"/>
      <c r="H1325" s="65" t="e">
        <v>#N/A</v>
      </c>
      <c r="I1325" s="65"/>
      <c r="J1325" s="65" t="s">
        <v>899</v>
      </c>
      <c r="K1325" s="65" t="s">
        <v>900</v>
      </c>
      <c r="L1325" s="65" t="s">
        <v>900</v>
      </c>
      <c r="M1325" s="65" t="s">
        <v>900</v>
      </c>
      <c r="N1325" s="65" t="s">
        <v>900</v>
      </c>
      <c r="O1325" s="65" t="s">
        <v>910</v>
      </c>
      <c r="P1325" s="65"/>
      <c r="Q1325" s="65">
        <v>1</v>
      </c>
      <c r="R1325" s="65">
        <v>757</v>
      </c>
      <c r="S1325" s="65"/>
    </row>
    <row r="1326" spans="1:19" x14ac:dyDescent="0.25">
      <c r="A1326" s="15">
        <v>64</v>
      </c>
      <c r="B1326" s="65"/>
      <c r="C1326" s="65">
        <v>2429</v>
      </c>
      <c r="D1326" s="65"/>
      <c r="E1326" s="65" t="s">
        <v>787</v>
      </c>
      <c r="F1326" s="65">
        <v>1</v>
      </c>
      <c r="G1326" s="65"/>
      <c r="H1326" s="65" t="e">
        <v>#N/A</v>
      </c>
      <c r="I1326" s="65"/>
      <c r="J1326" s="65" t="s">
        <v>899</v>
      </c>
      <c r="K1326" s="65" t="s">
        <v>900</v>
      </c>
      <c r="L1326" s="65" t="s">
        <v>900</v>
      </c>
      <c r="M1326" s="65" t="s">
        <v>900</v>
      </c>
      <c r="N1326" s="65" t="s">
        <v>900</v>
      </c>
      <c r="O1326" s="65" t="s">
        <v>911</v>
      </c>
      <c r="P1326" s="65"/>
      <c r="Q1326" s="65">
        <v>1</v>
      </c>
      <c r="R1326" s="65">
        <v>758</v>
      </c>
      <c r="S1326" s="65"/>
    </row>
    <row r="1327" spans="1:19" x14ac:dyDescent="0.25">
      <c r="A1327" s="15">
        <v>64</v>
      </c>
      <c r="B1327" s="65"/>
      <c r="C1327" s="65">
        <v>2429</v>
      </c>
      <c r="D1327" s="65"/>
      <c r="E1327" s="65" t="s">
        <v>787</v>
      </c>
      <c r="F1327" s="65">
        <v>0</v>
      </c>
      <c r="G1327" s="65"/>
      <c r="H1327" s="65">
        <v>3</v>
      </c>
      <c r="I1327" s="65" t="e">
        <v>#N/A</v>
      </c>
      <c r="J1327" s="65" t="s">
        <v>899</v>
      </c>
      <c r="K1327" s="65"/>
      <c r="L1327" s="65"/>
      <c r="M1327" s="65"/>
      <c r="N1327" s="65"/>
      <c r="O1327" s="65" t="s">
        <v>913</v>
      </c>
      <c r="P1327" s="65"/>
      <c r="Q1327" s="65">
        <v>1</v>
      </c>
      <c r="R1327" s="65">
        <v>975</v>
      </c>
      <c r="S1327" s="65"/>
    </row>
    <row r="1328" spans="1:19" x14ac:dyDescent="0.25">
      <c r="A1328" s="15">
        <v>64</v>
      </c>
      <c r="B1328" s="65"/>
      <c r="C1328" s="65">
        <v>2429</v>
      </c>
      <c r="D1328" s="65"/>
      <c r="E1328" s="65" t="s">
        <v>787</v>
      </c>
      <c r="F1328" s="65">
        <v>0</v>
      </c>
      <c r="G1328" s="65"/>
      <c r="H1328" s="65">
        <v>3</v>
      </c>
      <c r="I1328" s="65" t="e">
        <v>#N/A</v>
      </c>
      <c r="J1328" s="65" t="s">
        <v>899</v>
      </c>
      <c r="K1328" s="65"/>
      <c r="L1328" s="65"/>
      <c r="M1328" s="65"/>
      <c r="N1328" s="65"/>
      <c r="O1328" s="65" t="s">
        <v>914</v>
      </c>
      <c r="P1328" s="65"/>
      <c r="Q1328" s="65">
        <v>1</v>
      </c>
      <c r="R1328" s="65">
        <v>976</v>
      </c>
      <c r="S1328" s="65"/>
    </row>
    <row r="1329" spans="1:19" x14ac:dyDescent="0.25">
      <c r="A1329" s="15">
        <v>64</v>
      </c>
      <c r="B1329" s="65"/>
      <c r="C1329" s="65">
        <v>2429</v>
      </c>
      <c r="D1329" s="65"/>
      <c r="E1329" s="65" t="s">
        <v>787</v>
      </c>
      <c r="F1329" s="65">
        <v>0</v>
      </c>
      <c r="G1329" s="65"/>
      <c r="H1329" s="65">
        <v>3</v>
      </c>
      <c r="I1329" s="65" t="e">
        <v>#N/A</v>
      </c>
      <c r="J1329" s="65" t="s">
        <v>899</v>
      </c>
      <c r="K1329" s="65"/>
      <c r="L1329" s="65"/>
      <c r="M1329" s="65"/>
      <c r="N1329" s="65"/>
      <c r="O1329" s="65" t="s">
        <v>915</v>
      </c>
      <c r="P1329" s="65"/>
      <c r="Q1329" s="65">
        <v>1</v>
      </c>
      <c r="R1329" s="65">
        <v>977</v>
      </c>
      <c r="S1329" s="65"/>
    </row>
    <row r="1330" spans="1:19" x14ac:dyDescent="0.25">
      <c r="A1330" s="15">
        <v>64</v>
      </c>
      <c r="B1330" s="65"/>
      <c r="C1330" s="65">
        <v>2429</v>
      </c>
      <c r="D1330" s="65"/>
      <c r="E1330" s="65" t="s">
        <v>787</v>
      </c>
      <c r="F1330" s="65">
        <v>0</v>
      </c>
      <c r="G1330" s="65"/>
      <c r="H1330" s="65">
        <v>3</v>
      </c>
      <c r="I1330" s="65" t="e">
        <v>#N/A</v>
      </c>
      <c r="J1330" s="65" t="s">
        <v>899</v>
      </c>
      <c r="K1330" s="65"/>
      <c r="L1330" s="65"/>
      <c r="M1330" s="65"/>
      <c r="N1330" s="65"/>
      <c r="O1330" s="65" t="s">
        <v>916</v>
      </c>
      <c r="P1330" s="65"/>
      <c r="Q1330" s="65">
        <v>1</v>
      </c>
      <c r="R1330" s="65">
        <v>978</v>
      </c>
      <c r="S1330" s="65"/>
    </row>
    <row r="1331" spans="1:19" x14ac:dyDescent="0.25">
      <c r="A1331" s="15">
        <v>64</v>
      </c>
      <c r="B1331" s="65"/>
      <c r="C1331" s="65">
        <v>2429</v>
      </c>
      <c r="D1331" s="65"/>
      <c r="E1331" s="65" t="s">
        <v>787</v>
      </c>
      <c r="F1331" s="65">
        <v>0</v>
      </c>
      <c r="G1331" s="65"/>
      <c r="H1331" s="65">
        <v>3</v>
      </c>
      <c r="I1331" s="65" t="e">
        <v>#N/A</v>
      </c>
      <c r="J1331" s="65" t="s">
        <v>899</v>
      </c>
      <c r="K1331" s="65"/>
      <c r="L1331" s="65"/>
      <c r="M1331" s="65"/>
      <c r="N1331" s="65"/>
      <c r="O1331" s="65" t="s">
        <v>917</v>
      </c>
      <c r="P1331" s="65"/>
      <c r="Q1331" s="65">
        <v>1</v>
      </c>
      <c r="R1331" s="65">
        <v>979</v>
      </c>
      <c r="S1331" s="65"/>
    </row>
    <row r="1332" spans="1:19" x14ac:dyDescent="0.25">
      <c r="A1332" s="15">
        <v>64</v>
      </c>
      <c r="B1332" s="65"/>
      <c r="C1332" s="65">
        <v>2429</v>
      </c>
      <c r="D1332" s="65"/>
      <c r="E1332" s="65" t="s">
        <v>787</v>
      </c>
      <c r="F1332" s="65">
        <v>0</v>
      </c>
      <c r="G1332" s="65"/>
      <c r="H1332" s="65">
        <v>3</v>
      </c>
      <c r="I1332" s="65" t="e">
        <v>#N/A</v>
      </c>
      <c r="J1332" s="65" t="s">
        <v>899</v>
      </c>
      <c r="K1332" s="65"/>
      <c r="L1332" s="65"/>
      <c r="M1332" s="65"/>
      <c r="N1332" s="65"/>
      <c r="O1332" s="65" t="s">
        <v>918</v>
      </c>
      <c r="P1332" s="65"/>
      <c r="Q1332" s="65">
        <v>1</v>
      </c>
      <c r="R1332" s="65">
        <v>980</v>
      </c>
      <c r="S1332" s="65"/>
    </row>
    <row r="1333" spans="1:19" x14ac:dyDescent="0.25">
      <c r="A1333" s="15">
        <v>64</v>
      </c>
      <c r="B1333" s="65"/>
      <c r="C1333" s="65">
        <v>2429</v>
      </c>
      <c r="D1333" s="65"/>
      <c r="E1333" s="65" t="s">
        <v>787</v>
      </c>
      <c r="F1333" s="65">
        <v>0</v>
      </c>
      <c r="G1333" s="65"/>
      <c r="H1333" s="65">
        <v>3</v>
      </c>
      <c r="I1333" s="65" t="e">
        <v>#N/A</v>
      </c>
      <c r="J1333" s="65" t="s">
        <v>899</v>
      </c>
      <c r="K1333" s="65"/>
      <c r="L1333" s="65"/>
      <c r="M1333" s="65"/>
      <c r="N1333" s="65"/>
      <c r="O1333" s="65" t="s">
        <v>919</v>
      </c>
      <c r="P1333" s="65"/>
      <c r="Q1333" s="65">
        <v>1</v>
      </c>
      <c r="R1333" s="65">
        <v>981</v>
      </c>
      <c r="S1333" s="65"/>
    </row>
    <row r="1334" spans="1:19" x14ac:dyDescent="0.25">
      <c r="A1334" s="15">
        <v>64</v>
      </c>
      <c r="B1334" s="65"/>
      <c r="C1334" s="65">
        <v>2429</v>
      </c>
      <c r="D1334" s="65"/>
      <c r="E1334" s="65" t="s">
        <v>787</v>
      </c>
      <c r="F1334" s="65">
        <v>0</v>
      </c>
      <c r="G1334" s="65"/>
      <c r="H1334" s="65">
        <v>3</v>
      </c>
      <c r="I1334" s="65" t="e">
        <v>#N/A</v>
      </c>
      <c r="J1334" s="65" t="s">
        <v>899</v>
      </c>
      <c r="K1334" s="65"/>
      <c r="L1334" s="65"/>
      <c r="M1334" s="65"/>
      <c r="N1334" s="65"/>
      <c r="O1334" s="65" t="s">
        <v>920</v>
      </c>
      <c r="P1334" s="65"/>
      <c r="Q1334" s="65">
        <v>1</v>
      </c>
      <c r="R1334" s="65">
        <v>982</v>
      </c>
      <c r="S1334" s="65"/>
    </row>
    <row r="1335" spans="1:19" x14ac:dyDescent="0.25">
      <c r="A1335" s="15">
        <v>64</v>
      </c>
      <c r="B1335" s="65"/>
      <c r="C1335" s="65">
        <v>2429</v>
      </c>
      <c r="D1335" s="65"/>
      <c r="E1335" s="65" t="s">
        <v>787</v>
      </c>
      <c r="F1335" s="65">
        <v>0</v>
      </c>
      <c r="G1335" s="65"/>
      <c r="H1335" s="65">
        <v>3</v>
      </c>
      <c r="I1335" s="65" t="e">
        <v>#N/A</v>
      </c>
      <c r="J1335" s="65" t="s">
        <v>899</v>
      </c>
      <c r="K1335" s="65"/>
      <c r="L1335" s="65"/>
      <c r="M1335" s="65"/>
      <c r="N1335" s="65"/>
      <c r="O1335" s="65" t="s">
        <v>921</v>
      </c>
      <c r="P1335" s="65"/>
      <c r="Q1335" s="65">
        <v>1</v>
      </c>
      <c r="R1335" s="65">
        <v>983</v>
      </c>
      <c r="S1335" s="65"/>
    </row>
    <row r="1336" spans="1:19" x14ac:dyDescent="0.25">
      <c r="A1336" s="15">
        <v>64</v>
      </c>
      <c r="B1336" s="65"/>
      <c r="C1336" s="65">
        <v>2429</v>
      </c>
      <c r="D1336" s="65"/>
      <c r="E1336" s="65" t="s">
        <v>787</v>
      </c>
      <c r="F1336" s="65">
        <v>0</v>
      </c>
      <c r="G1336" s="65"/>
      <c r="H1336" s="65">
        <v>3</v>
      </c>
      <c r="I1336" s="65" t="e">
        <v>#N/A</v>
      </c>
      <c r="J1336" s="65" t="s">
        <v>899</v>
      </c>
      <c r="K1336" s="65"/>
      <c r="L1336" s="65"/>
      <c r="M1336" s="65"/>
      <c r="N1336" s="65"/>
      <c r="O1336" s="65" t="s">
        <v>922</v>
      </c>
      <c r="P1336" s="65"/>
      <c r="Q1336" s="65">
        <v>1</v>
      </c>
      <c r="R1336" s="65">
        <v>984</v>
      </c>
      <c r="S1336" s="65"/>
    </row>
    <row r="1337" spans="1:19" x14ac:dyDescent="0.25">
      <c r="A1337" s="15">
        <v>64</v>
      </c>
      <c r="B1337" s="65"/>
      <c r="C1337" s="65">
        <v>2429</v>
      </c>
      <c r="D1337" s="65"/>
      <c r="E1337" s="65" t="s">
        <v>787</v>
      </c>
      <c r="F1337" s="65">
        <v>0</v>
      </c>
      <c r="G1337" s="65"/>
      <c r="H1337" s="65">
        <v>3</v>
      </c>
      <c r="I1337" s="65" t="e">
        <v>#N/A</v>
      </c>
      <c r="J1337" s="65" t="s">
        <v>899</v>
      </c>
      <c r="K1337" s="65"/>
      <c r="L1337" s="65"/>
      <c r="M1337" s="65"/>
      <c r="N1337" s="65"/>
      <c r="O1337" s="65" t="s">
        <v>923</v>
      </c>
      <c r="P1337" s="65"/>
      <c r="Q1337" s="65">
        <v>1</v>
      </c>
      <c r="R1337" s="65">
        <v>985</v>
      </c>
      <c r="S1337" s="65"/>
    </row>
    <row r="1338" spans="1:19" x14ac:dyDescent="0.25">
      <c r="A1338" s="15">
        <v>64</v>
      </c>
      <c r="B1338" s="65"/>
      <c r="C1338" s="65">
        <v>2429</v>
      </c>
      <c r="D1338" s="65"/>
      <c r="E1338" s="65" t="s">
        <v>787</v>
      </c>
      <c r="F1338" s="65">
        <v>3</v>
      </c>
      <c r="G1338" s="65"/>
      <c r="H1338" s="65">
        <v>3</v>
      </c>
      <c r="I1338" s="65" t="e">
        <v>#N/A</v>
      </c>
      <c r="J1338" s="65" t="s">
        <v>899</v>
      </c>
      <c r="K1338" s="65"/>
      <c r="L1338" s="65"/>
      <c r="M1338" s="65"/>
      <c r="N1338" s="65"/>
      <c r="O1338" s="65" t="s">
        <v>925</v>
      </c>
      <c r="P1338" s="65"/>
      <c r="Q1338" s="65">
        <v>1</v>
      </c>
      <c r="R1338" s="65">
        <v>1202</v>
      </c>
      <c r="S1338" s="65"/>
    </row>
    <row r="1339" spans="1:19" x14ac:dyDescent="0.25">
      <c r="A1339" s="15">
        <v>64</v>
      </c>
      <c r="B1339" s="65"/>
      <c r="C1339" s="65">
        <v>2429</v>
      </c>
      <c r="D1339" s="65"/>
      <c r="E1339" s="65" t="s">
        <v>787</v>
      </c>
      <c r="F1339" s="65">
        <v>3</v>
      </c>
      <c r="G1339" s="65"/>
      <c r="H1339" s="65">
        <v>3</v>
      </c>
      <c r="I1339" s="65" t="e">
        <v>#N/A</v>
      </c>
      <c r="J1339" s="65" t="s">
        <v>899</v>
      </c>
      <c r="K1339" s="65"/>
      <c r="L1339" s="65"/>
      <c r="M1339" s="65"/>
      <c r="N1339" s="65"/>
      <c r="O1339" s="65" t="s">
        <v>926</v>
      </c>
      <c r="P1339" s="65"/>
      <c r="Q1339" s="65">
        <v>1</v>
      </c>
      <c r="R1339" s="65">
        <v>1203</v>
      </c>
      <c r="S1339" s="65"/>
    </row>
    <row r="1340" spans="1:19" x14ac:dyDescent="0.25">
      <c r="A1340" s="15">
        <v>64</v>
      </c>
      <c r="B1340" s="65"/>
      <c r="C1340" s="65">
        <v>2429</v>
      </c>
      <c r="D1340" s="65"/>
      <c r="E1340" s="65" t="s">
        <v>787</v>
      </c>
      <c r="F1340" s="65">
        <v>3</v>
      </c>
      <c r="G1340" s="65"/>
      <c r="H1340" s="65">
        <v>3</v>
      </c>
      <c r="I1340" s="65" t="e">
        <v>#N/A</v>
      </c>
      <c r="J1340" s="65" t="s">
        <v>899</v>
      </c>
      <c r="K1340" s="65"/>
      <c r="L1340" s="65"/>
      <c r="M1340" s="65"/>
      <c r="N1340" s="65"/>
      <c r="O1340" s="65" t="s">
        <v>927</v>
      </c>
      <c r="P1340" s="65"/>
      <c r="Q1340" s="65">
        <v>1</v>
      </c>
      <c r="R1340" s="65">
        <v>1204</v>
      </c>
      <c r="S1340" s="65"/>
    </row>
    <row r="1341" spans="1:19" x14ac:dyDescent="0.25">
      <c r="A1341" s="15">
        <v>64</v>
      </c>
      <c r="B1341" s="65"/>
      <c r="C1341" s="65">
        <v>2429</v>
      </c>
      <c r="D1341" s="65"/>
      <c r="E1341" s="65" t="s">
        <v>787</v>
      </c>
      <c r="F1341" s="65">
        <v>3</v>
      </c>
      <c r="G1341" s="65"/>
      <c r="H1341" s="65">
        <v>3</v>
      </c>
      <c r="I1341" s="65" t="e">
        <v>#N/A</v>
      </c>
      <c r="J1341" s="65" t="s">
        <v>899</v>
      </c>
      <c r="K1341" s="65"/>
      <c r="L1341" s="65"/>
      <c r="M1341" s="65"/>
      <c r="N1341" s="65"/>
      <c r="O1341" s="65" t="s">
        <v>928</v>
      </c>
      <c r="P1341" s="65"/>
      <c r="Q1341" s="65">
        <v>1</v>
      </c>
      <c r="R1341" s="65">
        <v>1205</v>
      </c>
      <c r="S1341" s="65"/>
    </row>
    <row r="1342" spans="1:19" x14ac:dyDescent="0.25">
      <c r="A1342" s="15">
        <v>64</v>
      </c>
      <c r="B1342" s="65"/>
      <c r="C1342" s="65">
        <v>2429</v>
      </c>
      <c r="D1342" s="65"/>
      <c r="E1342" s="65" t="s">
        <v>787</v>
      </c>
      <c r="F1342" s="65">
        <v>3</v>
      </c>
      <c r="G1342" s="65"/>
      <c r="H1342" s="65">
        <v>3</v>
      </c>
      <c r="I1342" s="65" t="e">
        <v>#N/A</v>
      </c>
      <c r="J1342" s="65" t="s">
        <v>899</v>
      </c>
      <c r="K1342" s="65"/>
      <c r="L1342" s="65"/>
      <c r="M1342" s="65"/>
      <c r="N1342" s="65"/>
      <c r="O1342" s="65" t="s">
        <v>929</v>
      </c>
      <c r="P1342" s="65"/>
      <c r="Q1342" s="65">
        <v>1</v>
      </c>
      <c r="R1342" s="65">
        <v>1206</v>
      </c>
      <c r="S1342" s="65"/>
    </row>
    <row r="1343" spans="1:19" x14ac:dyDescent="0.25">
      <c r="A1343" s="15">
        <v>64</v>
      </c>
      <c r="B1343" s="65"/>
      <c r="C1343" s="65">
        <v>2429</v>
      </c>
      <c r="D1343" s="65"/>
      <c r="E1343" s="65" t="s">
        <v>787</v>
      </c>
      <c r="F1343" s="65">
        <v>3</v>
      </c>
      <c r="G1343" s="65"/>
      <c r="H1343" s="65">
        <v>3</v>
      </c>
      <c r="I1343" s="65" t="e">
        <v>#N/A</v>
      </c>
      <c r="J1343" s="65" t="s">
        <v>899</v>
      </c>
      <c r="K1343" s="65"/>
      <c r="L1343" s="65"/>
      <c r="M1343" s="65"/>
      <c r="N1343" s="65"/>
      <c r="O1343" s="65" t="s">
        <v>930</v>
      </c>
      <c r="P1343" s="65"/>
      <c r="Q1343" s="65">
        <v>1</v>
      </c>
      <c r="R1343" s="65">
        <v>1207</v>
      </c>
      <c r="S1343" s="65"/>
    </row>
    <row r="1344" spans="1:19" x14ac:dyDescent="0.25">
      <c r="A1344" s="15">
        <v>64</v>
      </c>
      <c r="B1344" s="65"/>
      <c r="C1344" s="65">
        <v>2429</v>
      </c>
      <c r="D1344" s="65"/>
      <c r="E1344" s="65" t="s">
        <v>787</v>
      </c>
      <c r="F1344" s="65">
        <v>3</v>
      </c>
      <c r="G1344" s="65"/>
      <c r="H1344" s="65">
        <v>3</v>
      </c>
      <c r="I1344" s="65" t="e">
        <v>#N/A</v>
      </c>
      <c r="J1344" s="65" t="s">
        <v>899</v>
      </c>
      <c r="K1344" s="65"/>
      <c r="L1344" s="65"/>
      <c r="M1344" s="65"/>
      <c r="N1344" s="65"/>
      <c r="O1344" s="65" t="s">
        <v>931</v>
      </c>
      <c r="P1344" s="65"/>
      <c r="Q1344" s="65">
        <v>1</v>
      </c>
      <c r="R1344" s="65">
        <v>1208</v>
      </c>
      <c r="S1344" s="65"/>
    </row>
    <row r="1345" spans="1:19" x14ac:dyDescent="0.25">
      <c r="A1345" s="15">
        <v>64</v>
      </c>
      <c r="B1345" s="65"/>
      <c r="C1345" s="65">
        <v>2429</v>
      </c>
      <c r="D1345" s="65"/>
      <c r="E1345" s="65" t="s">
        <v>787</v>
      </c>
      <c r="F1345" s="65">
        <v>3</v>
      </c>
      <c r="G1345" s="65"/>
      <c r="H1345" s="65">
        <v>3</v>
      </c>
      <c r="I1345" s="65" t="e">
        <v>#N/A</v>
      </c>
      <c r="J1345" s="65" t="s">
        <v>899</v>
      </c>
      <c r="K1345" s="65"/>
      <c r="L1345" s="65"/>
      <c r="M1345" s="65"/>
      <c r="N1345" s="65"/>
      <c r="O1345" s="65" t="s">
        <v>932</v>
      </c>
      <c r="P1345" s="65"/>
      <c r="Q1345" s="65">
        <v>1</v>
      </c>
      <c r="R1345" s="65">
        <v>1209</v>
      </c>
      <c r="S1345" s="65"/>
    </row>
    <row r="1346" spans="1:19" x14ac:dyDescent="0.25">
      <c r="A1346" s="15">
        <v>64</v>
      </c>
      <c r="B1346" s="65"/>
      <c r="C1346" s="65">
        <v>2429</v>
      </c>
      <c r="D1346" s="65"/>
      <c r="E1346" s="65" t="s">
        <v>787</v>
      </c>
      <c r="F1346" s="65">
        <v>3</v>
      </c>
      <c r="G1346" s="65"/>
      <c r="H1346" s="65">
        <v>3</v>
      </c>
      <c r="I1346" s="65" t="e">
        <v>#N/A</v>
      </c>
      <c r="J1346" s="65" t="s">
        <v>899</v>
      </c>
      <c r="K1346" s="65"/>
      <c r="L1346" s="65"/>
      <c r="M1346" s="65"/>
      <c r="N1346" s="65"/>
      <c r="O1346" s="65" t="s">
        <v>933</v>
      </c>
      <c r="P1346" s="65"/>
      <c r="Q1346" s="65">
        <v>1</v>
      </c>
      <c r="R1346" s="65">
        <v>1210</v>
      </c>
      <c r="S1346" s="65"/>
    </row>
    <row r="1347" spans="1:19" x14ac:dyDescent="0.25">
      <c r="A1347" s="15">
        <v>64</v>
      </c>
      <c r="B1347" s="65"/>
      <c r="C1347" s="65">
        <v>2429</v>
      </c>
      <c r="D1347" s="65"/>
      <c r="E1347" s="65" t="s">
        <v>787</v>
      </c>
      <c r="F1347" s="65">
        <v>3</v>
      </c>
      <c r="G1347" s="65"/>
      <c r="H1347" s="65">
        <v>3</v>
      </c>
      <c r="I1347" s="65" t="e">
        <v>#N/A</v>
      </c>
      <c r="J1347" s="65" t="s">
        <v>899</v>
      </c>
      <c r="K1347" s="65"/>
      <c r="L1347" s="65"/>
      <c r="M1347" s="65"/>
      <c r="N1347" s="65"/>
      <c r="O1347" s="65" t="s">
        <v>934</v>
      </c>
      <c r="P1347" s="65"/>
      <c r="Q1347" s="65">
        <v>1</v>
      </c>
      <c r="R1347" s="65">
        <v>1211</v>
      </c>
      <c r="S1347" s="65"/>
    </row>
    <row r="1348" spans="1:19" x14ac:dyDescent="0.25">
      <c r="A1348" s="15">
        <v>64</v>
      </c>
      <c r="B1348" s="65"/>
      <c r="C1348" s="65">
        <v>2429</v>
      </c>
      <c r="D1348" s="65"/>
      <c r="E1348" s="65" t="s">
        <v>787</v>
      </c>
      <c r="F1348" s="65">
        <v>3</v>
      </c>
      <c r="G1348" s="65"/>
      <c r="H1348" s="65">
        <v>3</v>
      </c>
      <c r="I1348" s="65" t="e">
        <v>#N/A</v>
      </c>
      <c r="J1348" s="65" t="s">
        <v>899</v>
      </c>
      <c r="K1348" s="65"/>
      <c r="L1348" s="65"/>
      <c r="M1348" s="65"/>
      <c r="N1348" s="65"/>
      <c r="O1348" s="65" t="s">
        <v>935</v>
      </c>
      <c r="P1348" s="65"/>
      <c r="Q1348" s="65">
        <v>1</v>
      </c>
      <c r="R1348" s="65">
        <v>1212</v>
      </c>
      <c r="S1348" s="65"/>
    </row>
    <row r="1349" spans="1:19" x14ac:dyDescent="0.25">
      <c r="A1349" s="15">
        <v>64</v>
      </c>
      <c r="B1349" s="65"/>
      <c r="C1349" s="65">
        <v>2429</v>
      </c>
      <c r="D1349" s="65"/>
      <c r="E1349" s="65" t="s">
        <v>787</v>
      </c>
      <c r="F1349" s="65">
        <v>3</v>
      </c>
      <c r="G1349" s="65"/>
      <c r="H1349" s="65" t="e">
        <v>#N/A</v>
      </c>
      <c r="I1349" s="65"/>
      <c r="J1349" s="65" t="s">
        <v>899</v>
      </c>
      <c r="K1349" s="65"/>
      <c r="L1349" s="65"/>
      <c r="M1349" s="65"/>
      <c r="N1349" s="65"/>
      <c r="O1349" s="65" t="s">
        <v>937</v>
      </c>
      <c r="P1349" s="65"/>
      <c r="Q1349" s="65">
        <v>1</v>
      </c>
      <c r="R1349" s="65">
        <v>1309</v>
      </c>
      <c r="S1349" s="65"/>
    </row>
    <row r="1350" spans="1:19" x14ac:dyDescent="0.25">
      <c r="A1350" s="15">
        <v>64</v>
      </c>
      <c r="B1350" s="65"/>
      <c r="C1350" s="65">
        <v>2429</v>
      </c>
      <c r="D1350" s="65"/>
      <c r="E1350" s="65" t="s">
        <v>787</v>
      </c>
      <c r="F1350" s="65">
        <v>5</v>
      </c>
      <c r="G1350" s="65"/>
      <c r="H1350" s="65" t="e">
        <v>#N/A</v>
      </c>
      <c r="I1350" s="65"/>
      <c r="J1350" s="65" t="s">
        <v>899</v>
      </c>
      <c r="K1350" s="65"/>
      <c r="L1350" s="65"/>
      <c r="M1350" s="65"/>
      <c r="N1350" s="65"/>
      <c r="O1350" s="65" t="s">
        <v>939</v>
      </c>
      <c r="P1350" s="65"/>
      <c r="Q1350" s="65">
        <v>1</v>
      </c>
      <c r="R1350" s="65">
        <v>1496</v>
      </c>
      <c r="S1350" s="65"/>
    </row>
    <row r="1351" spans="1:19" x14ac:dyDescent="0.25">
      <c r="A1351" s="15">
        <v>64</v>
      </c>
      <c r="B1351" s="65"/>
      <c r="C1351" s="65">
        <v>2429</v>
      </c>
      <c r="D1351" s="65"/>
      <c r="E1351" s="65" t="s">
        <v>787</v>
      </c>
      <c r="F1351" s="65">
        <v>5</v>
      </c>
      <c r="G1351" s="65"/>
      <c r="H1351" s="65" t="e">
        <v>#N/A</v>
      </c>
      <c r="I1351" s="65"/>
      <c r="J1351" s="65" t="s">
        <v>899</v>
      </c>
      <c r="K1351" s="65"/>
      <c r="L1351" s="65"/>
      <c r="M1351" s="65"/>
      <c r="N1351" s="65"/>
      <c r="O1351" s="65" t="s">
        <v>940</v>
      </c>
      <c r="P1351" s="65"/>
      <c r="Q1351" s="65">
        <v>1</v>
      </c>
      <c r="R1351" s="65">
        <v>1497</v>
      </c>
      <c r="S1351" s="65"/>
    </row>
    <row r="1352" spans="1:19" x14ac:dyDescent="0.25">
      <c r="A1352" s="15">
        <v>64</v>
      </c>
      <c r="B1352" s="65"/>
      <c r="C1352" s="65">
        <v>2429</v>
      </c>
      <c r="D1352" s="65"/>
      <c r="E1352" s="65" t="s">
        <v>787</v>
      </c>
      <c r="F1352" s="65">
        <v>5</v>
      </c>
      <c r="G1352" s="65"/>
      <c r="H1352" s="65" t="e">
        <v>#N/A</v>
      </c>
      <c r="I1352" s="65"/>
      <c r="J1352" s="65" t="s">
        <v>899</v>
      </c>
      <c r="K1352" s="65"/>
      <c r="L1352" s="65"/>
      <c r="M1352" s="65"/>
      <c r="N1352" s="65"/>
      <c r="O1352" s="65" t="s">
        <v>941</v>
      </c>
      <c r="P1352" s="65"/>
      <c r="Q1352" s="65">
        <v>1</v>
      </c>
      <c r="R1352" s="65">
        <v>1498</v>
      </c>
      <c r="S1352" s="65"/>
    </row>
    <row r="1353" spans="1:19" x14ac:dyDescent="0.25">
      <c r="A1353" s="15">
        <v>64</v>
      </c>
      <c r="B1353" s="65"/>
      <c r="C1353" s="65">
        <v>2429</v>
      </c>
      <c r="D1353" s="65"/>
      <c r="E1353" s="65" t="s">
        <v>787</v>
      </c>
      <c r="F1353" s="65">
        <v>5</v>
      </c>
      <c r="G1353" s="65"/>
      <c r="H1353" s="65" t="e">
        <v>#N/A</v>
      </c>
      <c r="I1353" s="65"/>
      <c r="J1353" s="65" t="s">
        <v>899</v>
      </c>
      <c r="K1353" s="65"/>
      <c r="L1353" s="65"/>
      <c r="M1353" s="65"/>
      <c r="N1353" s="65"/>
      <c r="O1353" s="65" t="s">
        <v>942</v>
      </c>
      <c r="P1353" s="65"/>
      <c r="Q1353" s="65">
        <v>1</v>
      </c>
      <c r="R1353" s="65">
        <v>1499</v>
      </c>
      <c r="S1353" s="65"/>
    </row>
    <row r="1354" spans="1:19" x14ac:dyDescent="0.25">
      <c r="A1354" s="15">
        <v>64</v>
      </c>
      <c r="B1354" s="65"/>
      <c r="C1354" s="65">
        <v>2429</v>
      </c>
      <c r="D1354" s="65"/>
      <c r="E1354" s="65" t="s">
        <v>787</v>
      </c>
      <c r="F1354" s="65">
        <v>5</v>
      </c>
      <c r="G1354" s="65"/>
      <c r="H1354" s="65" t="e">
        <v>#N/A</v>
      </c>
      <c r="I1354" s="65"/>
      <c r="J1354" s="65" t="s">
        <v>899</v>
      </c>
      <c r="K1354" s="65"/>
      <c r="L1354" s="65"/>
      <c r="M1354" s="65"/>
      <c r="N1354" s="65"/>
      <c r="O1354" s="65" t="s">
        <v>943</v>
      </c>
      <c r="P1354" s="65"/>
      <c r="Q1354" s="65">
        <v>1</v>
      </c>
      <c r="R1354" s="65">
        <v>1500</v>
      </c>
      <c r="S1354" s="65"/>
    </row>
    <row r="1355" spans="1:19" x14ac:dyDescent="0.25">
      <c r="A1355" s="15">
        <v>64</v>
      </c>
      <c r="B1355" s="65"/>
      <c r="C1355" s="65">
        <v>2429</v>
      </c>
      <c r="D1355" s="65"/>
      <c r="E1355" s="65" t="s">
        <v>787</v>
      </c>
      <c r="F1355" s="65">
        <v>5</v>
      </c>
      <c r="G1355" s="65"/>
      <c r="H1355" s="65" t="e">
        <v>#N/A</v>
      </c>
      <c r="I1355" s="65"/>
      <c r="J1355" s="65" t="s">
        <v>899</v>
      </c>
      <c r="K1355" s="65"/>
      <c r="L1355" s="65"/>
      <c r="M1355" s="65"/>
      <c r="N1355" s="65"/>
      <c r="O1355" s="65" t="s">
        <v>944</v>
      </c>
      <c r="P1355" s="65"/>
      <c r="Q1355" s="65">
        <v>1</v>
      </c>
      <c r="R1355" s="65">
        <v>1501</v>
      </c>
      <c r="S1355" s="65"/>
    </row>
    <row r="1356" spans="1:19" x14ac:dyDescent="0.25">
      <c r="A1356" s="15">
        <v>64</v>
      </c>
      <c r="B1356" s="65"/>
      <c r="C1356" s="65">
        <v>2429</v>
      </c>
      <c r="D1356" s="65"/>
      <c r="E1356" s="65" t="s">
        <v>787</v>
      </c>
      <c r="F1356" s="65">
        <v>5</v>
      </c>
      <c r="G1356" s="65"/>
      <c r="H1356" s="65" t="e">
        <v>#N/A</v>
      </c>
      <c r="I1356" s="65"/>
      <c r="J1356" s="65" t="s">
        <v>899</v>
      </c>
      <c r="K1356" s="65"/>
      <c r="L1356" s="65"/>
      <c r="M1356" s="65"/>
      <c r="N1356" s="65"/>
      <c r="O1356" s="65" t="s">
        <v>945</v>
      </c>
      <c r="P1356" s="65"/>
      <c r="Q1356" s="65">
        <v>1</v>
      </c>
      <c r="R1356" s="65">
        <v>1502</v>
      </c>
      <c r="S1356" s="65"/>
    </row>
    <row r="1357" spans="1:19" x14ac:dyDescent="0.25">
      <c r="A1357" s="15">
        <v>64</v>
      </c>
      <c r="B1357" s="65"/>
      <c r="C1357" s="65">
        <v>2429</v>
      </c>
      <c r="D1357" s="65"/>
      <c r="E1357" s="65" t="s">
        <v>787</v>
      </c>
      <c r="F1357" s="65">
        <v>5</v>
      </c>
      <c r="G1357" s="65"/>
      <c r="H1357" s="65" t="e">
        <v>#N/A</v>
      </c>
      <c r="I1357" s="65"/>
      <c r="J1357" s="65" t="s">
        <v>899</v>
      </c>
      <c r="K1357" s="65"/>
      <c r="L1357" s="65"/>
      <c r="M1357" s="65"/>
      <c r="N1357" s="65"/>
      <c r="O1357" s="65" t="s">
        <v>946</v>
      </c>
      <c r="P1357" s="65"/>
      <c r="Q1357" s="65">
        <v>1</v>
      </c>
      <c r="R1357" s="65">
        <v>1503</v>
      </c>
      <c r="S1357" s="65"/>
    </row>
    <row r="1358" spans="1:19" x14ac:dyDescent="0.25">
      <c r="A1358" s="15">
        <v>64</v>
      </c>
      <c r="B1358" s="65"/>
      <c r="C1358" s="65">
        <v>2429</v>
      </c>
      <c r="D1358" s="65"/>
      <c r="E1358" s="65" t="s">
        <v>787</v>
      </c>
      <c r="F1358" s="65">
        <v>5</v>
      </c>
      <c r="G1358" s="65"/>
      <c r="H1358" s="65" t="e">
        <v>#N/A</v>
      </c>
      <c r="I1358" s="65"/>
      <c r="J1358" s="65" t="s">
        <v>899</v>
      </c>
      <c r="K1358" s="65"/>
      <c r="L1358" s="65"/>
      <c r="M1358" s="65"/>
      <c r="N1358" s="65"/>
      <c r="O1358" s="65" t="s">
        <v>947</v>
      </c>
      <c r="P1358" s="65"/>
      <c r="Q1358" s="65">
        <v>1</v>
      </c>
      <c r="R1358" s="65">
        <v>1504</v>
      </c>
      <c r="S1358" s="65"/>
    </row>
    <row r="1359" spans="1:19" x14ac:dyDescent="0.25">
      <c r="A1359" s="15">
        <v>64</v>
      </c>
      <c r="B1359" s="65"/>
      <c r="C1359" s="65">
        <v>2429</v>
      </c>
      <c r="D1359" s="65"/>
      <c r="E1359" s="65" t="s">
        <v>787</v>
      </c>
      <c r="F1359" s="65">
        <v>5</v>
      </c>
      <c r="G1359" s="65"/>
      <c r="H1359" s="65" t="e">
        <v>#N/A</v>
      </c>
      <c r="I1359" s="65"/>
      <c r="J1359" s="65" t="s">
        <v>899</v>
      </c>
      <c r="K1359" s="65"/>
      <c r="L1359" s="65"/>
      <c r="M1359" s="65"/>
      <c r="N1359" s="65"/>
      <c r="O1359" s="65" t="s">
        <v>948</v>
      </c>
      <c r="P1359" s="65"/>
      <c r="Q1359" s="65">
        <v>1</v>
      </c>
      <c r="R1359" s="65">
        <v>1505</v>
      </c>
      <c r="S1359" s="65"/>
    </row>
    <row r="1360" spans="1:19" x14ac:dyDescent="0.25">
      <c r="A1360" s="15">
        <v>64</v>
      </c>
      <c r="B1360" s="65"/>
      <c r="C1360" s="65">
        <v>2429</v>
      </c>
      <c r="D1360" s="65"/>
      <c r="E1360" s="65" t="s">
        <v>787</v>
      </c>
      <c r="F1360" s="65">
        <v>5</v>
      </c>
      <c r="G1360" s="65"/>
      <c r="H1360" s="65" t="e">
        <v>#N/A</v>
      </c>
      <c r="I1360" s="65"/>
      <c r="J1360" s="65" t="s">
        <v>899</v>
      </c>
      <c r="K1360" s="65"/>
      <c r="L1360" s="65"/>
      <c r="M1360" s="65"/>
      <c r="N1360" s="65"/>
      <c r="O1360" s="65" t="s">
        <v>949</v>
      </c>
      <c r="P1360" s="65"/>
      <c r="Q1360" s="65">
        <v>1</v>
      </c>
      <c r="R1360" s="65">
        <v>1506</v>
      </c>
      <c r="S1360" s="65"/>
    </row>
    <row r="1361" spans="1:19" x14ac:dyDescent="0.25">
      <c r="A1361" s="15">
        <v>65</v>
      </c>
      <c r="B1361" s="65"/>
      <c r="C1361" s="65"/>
      <c r="D1361" s="65"/>
      <c r="E1361" s="65"/>
      <c r="F1361" s="65"/>
      <c r="G1361" s="65"/>
      <c r="H1361" s="65"/>
      <c r="I1361" s="65"/>
      <c r="J1361" s="65"/>
      <c r="K1361" s="65"/>
      <c r="L1361" s="65"/>
      <c r="M1361" s="65"/>
      <c r="N1361" s="65"/>
      <c r="O1361" s="65"/>
      <c r="P1361" s="65"/>
      <c r="Q1361" s="65"/>
      <c r="R1361" s="65"/>
      <c r="S1361" s="65"/>
    </row>
    <row r="1362" spans="1:19" x14ac:dyDescent="0.25">
      <c r="A1362" s="15">
        <v>65</v>
      </c>
      <c r="B1362" s="65"/>
      <c r="C1362" s="65"/>
      <c r="D1362" s="65"/>
      <c r="E1362" s="65"/>
      <c r="F1362" s="65"/>
      <c r="G1362" s="65"/>
      <c r="H1362" s="65"/>
      <c r="I1362" s="65"/>
      <c r="J1362" s="65"/>
      <c r="K1362" s="65"/>
      <c r="L1362" s="65"/>
      <c r="M1362" s="65"/>
      <c r="N1362" s="65"/>
      <c r="O1362" s="65" t="s">
        <v>854</v>
      </c>
      <c r="P1362" s="65"/>
      <c r="Q1362" s="65"/>
      <c r="R1362" s="65"/>
      <c r="S1362" s="65"/>
    </row>
    <row r="1363" spans="1:19" x14ac:dyDescent="0.25">
      <c r="A1363" s="15">
        <v>65</v>
      </c>
      <c r="B1363" s="65"/>
      <c r="C1363" s="65"/>
      <c r="D1363" s="65"/>
      <c r="E1363" s="65"/>
      <c r="F1363" s="65"/>
      <c r="G1363" s="65"/>
      <c r="H1363" s="65"/>
      <c r="I1363" s="65"/>
      <c r="J1363" s="65"/>
      <c r="K1363" s="65"/>
      <c r="L1363" s="65"/>
      <c r="M1363" s="65"/>
      <c r="N1363" s="65"/>
      <c r="O1363" s="65" t="s">
        <v>865</v>
      </c>
      <c r="P1363" s="65"/>
      <c r="Q1363" s="65"/>
      <c r="R1363" s="65"/>
      <c r="S1363" s="65"/>
    </row>
    <row r="1364" spans="1:19" x14ac:dyDescent="0.25">
      <c r="A1364" s="15">
        <v>65</v>
      </c>
      <c r="B1364" s="65"/>
      <c r="C1364" s="65"/>
      <c r="D1364" s="65"/>
      <c r="E1364" s="65"/>
      <c r="F1364" s="65"/>
      <c r="G1364" s="65"/>
      <c r="H1364" s="65"/>
      <c r="I1364" s="65"/>
      <c r="J1364" s="65"/>
      <c r="K1364" s="65"/>
      <c r="L1364" s="65"/>
      <c r="M1364" s="65"/>
      <c r="N1364" s="65"/>
      <c r="O1364" s="65" t="s">
        <v>877</v>
      </c>
      <c r="P1364" s="65"/>
      <c r="Q1364" s="65"/>
      <c r="R1364" s="65"/>
      <c r="S1364" s="65"/>
    </row>
    <row r="1365" spans="1:19" x14ac:dyDescent="0.25">
      <c r="A1365" s="15">
        <v>65</v>
      </c>
      <c r="B1365" s="65"/>
      <c r="C1365" s="65" t="s">
        <v>79</v>
      </c>
      <c r="D1365" s="65"/>
      <c r="E1365" s="65" t="s">
        <v>787</v>
      </c>
      <c r="F1365" s="65">
        <v>10</v>
      </c>
      <c r="G1365" s="65"/>
      <c r="H1365" s="65">
        <v>10</v>
      </c>
      <c r="I1365" s="65">
        <v>11.916666666666666</v>
      </c>
      <c r="J1365" s="65" t="s">
        <v>879</v>
      </c>
      <c r="K1365" s="65"/>
      <c r="L1365" s="65"/>
      <c r="M1365" s="65"/>
      <c r="N1365" s="65"/>
      <c r="O1365" s="65" t="s">
        <v>880</v>
      </c>
      <c r="P1365" s="65"/>
      <c r="Q1365" s="65">
        <v>1</v>
      </c>
      <c r="R1365" s="65">
        <v>330</v>
      </c>
      <c r="S1365" s="65"/>
    </row>
    <row r="1366" spans="1:19" x14ac:dyDescent="0.25">
      <c r="A1366" s="15">
        <v>65</v>
      </c>
      <c r="B1366" s="65"/>
      <c r="C1366" s="65">
        <v>2429</v>
      </c>
      <c r="D1366" s="65"/>
      <c r="E1366" s="65" t="s">
        <v>787</v>
      </c>
      <c r="F1366" s="65">
        <v>10</v>
      </c>
      <c r="G1366" s="65"/>
      <c r="H1366" s="65"/>
      <c r="I1366" s="65">
        <v>15.666666666666666</v>
      </c>
      <c r="J1366" s="65" t="s">
        <v>879</v>
      </c>
      <c r="K1366" s="65"/>
      <c r="L1366" s="65"/>
      <c r="M1366" s="65"/>
      <c r="N1366" s="65"/>
      <c r="O1366" s="65" t="s">
        <v>882</v>
      </c>
      <c r="P1366" s="65"/>
      <c r="Q1366" s="65">
        <v>1</v>
      </c>
      <c r="R1366" s="65">
        <v>527</v>
      </c>
      <c r="S1366" s="65"/>
    </row>
    <row r="1367" spans="1:19" x14ac:dyDescent="0.25">
      <c r="A1367" s="15">
        <v>65</v>
      </c>
      <c r="B1367" s="65"/>
      <c r="C1367" s="65">
        <v>2429</v>
      </c>
      <c r="D1367" s="65"/>
      <c r="E1367" s="65" t="s">
        <v>787</v>
      </c>
      <c r="F1367" s="65">
        <v>6</v>
      </c>
      <c r="G1367" s="65"/>
      <c r="H1367" s="65"/>
      <c r="I1367" s="65">
        <v>15.666666666666666</v>
      </c>
      <c r="J1367" s="65" t="s">
        <v>879</v>
      </c>
      <c r="K1367" s="65"/>
      <c r="L1367" s="65"/>
      <c r="M1367" s="65"/>
      <c r="N1367" s="65"/>
      <c r="O1367" s="65" t="s">
        <v>883</v>
      </c>
      <c r="P1367" s="65"/>
      <c r="Q1367" s="65">
        <v>1</v>
      </c>
      <c r="R1367" s="65">
        <v>528</v>
      </c>
      <c r="S1367" s="65"/>
    </row>
    <row r="1368" spans="1:19" x14ac:dyDescent="0.25">
      <c r="A1368" s="15">
        <v>65</v>
      </c>
      <c r="B1368" s="65"/>
      <c r="C1368" s="65">
        <v>2429</v>
      </c>
      <c r="D1368" s="65"/>
      <c r="E1368" s="65" t="s">
        <v>787</v>
      </c>
      <c r="F1368" s="65">
        <v>6</v>
      </c>
      <c r="G1368" s="65"/>
      <c r="H1368" s="65"/>
      <c r="I1368" s="65">
        <v>15.666666666666666</v>
      </c>
      <c r="J1368" s="65" t="s">
        <v>879</v>
      </c>
      <c r="K1368" s="65"/>
      <c r="L1368" s="65"/>
      <c r="M1368" s="65"/>
      <c r="N1368" s="65"/>
      <c r="O1368" s="65" t="s">
        <v>884</v>
      </c>
      <c r="P1368" s="65"/>
      <c r="Q1368" s="65">
        <v>1</v>
      </c>
      <c r="R1368" s="65">
        <v>529</v>
      </c>
      <c r="S1368" s="65"/>
    </row>
    <row r="1369" spans="1:19" x14ac:dyDescent="0.25">
      <c r="A1369" s="15">
        <v>65</v>
      </c>
      <c r="B1369" s="65"/>
      <c r="C1369" s="65">
        <v>2429</v>
      </c>
      <c r="D1369" s="65"/>
      <c r="E1369" s="65" t="s">
        <v>787</v>
      </c>
      <c r="F1369" s="65">
        <v>6</v>
      </c>
      <c r="G1369" s="65"/>
      <c r="H1369" s="65"/>
      <c r="I1369" s="65">
        <v>15.666666666666666</v>
      </c>
      <c r="J1369" s="65" t="s">
        <v>879</v>
      </c>
      <c r="K1369" s="65"/>
      <c r="L1369" s="65"/>
      <c r="M1369" s="65"/>
      <c r="N1369" s="65"/>
      <c r="O1369" s="65" t="s">
        <v>885</v>
      </c>
      <c r="P1369" s="65"/>
      <c r="Q1369" s="65">
        <v>1</v>
      </c>
      <c r="R1369" s="65">
        <v>530</v>
      </c>
      <c r="S1369" s="65"/>
    </row>
    <row r="1370" spans="1:19" x14ac:dyDescent="0.25">
      <c r="A1370" s="15">
        <v>65</v>
      </c>
      <c r="B1370" s="65"/>
      <c r="C1370" s="65">
        <v>2429</v>
      </c>
      <c r="D1370" s="65"/>
      <c r="E1370" s="65" t="s">
        <v>787</v>
      </c>
      <c r="F1370" s="65">
        <v>6</v>
      </c>
      <c r="G1370" s="65"/>
      <c r="H1370" s="65"/>
      <c r="I1370" s="65">
        <v>15.666666666666666</v>
      </c>
      <c r="J1370" s="65" t="s">
        <v>879</v>
      </c>
      <c r="K1370" s="65"/>
      <c r="L1370" s="65"/>
      <c r="M1370" s="65"/>
      <c r="N1370" s="65"/>
      <c r="O1370" s="65" t="s">
        <v>886</v>
      </c>
      <c r="P1370" s="65"/>
      <c r="Q1370" s="65">
        <v>1</v>
      </c>
      <c r="R1370" s="65">
        <v>531</v>
      </c>
      <c r="S1370" s="65"/>
    </row>
    <row r="1371" spans="1:19" x14ac:dyDescent="0.25">
      <c r="A1371" s="15">
        <v>65</v>
      </c>
      <c r="B1371" s="65"/>
      <c r="C1371" s="65">
        <v>2429</v>
      </c>
      <c r="D1371" s="65"/>
      <c r="E1371" s="65" t="s">
        <v>787</v>
      </c>
      <c r="F1371" s="65">
        <v>6</v>
      </c>
      <c r="G1371" s="65"/>
      <c r="H1371" s="65"/>
      <c r="I1371" s="65">
        <v>15.666666666666666</v>
      </c>
      <c r="J1371" s="65" t="s">
        <v>879</v>
      </c>
      <c r="K1371" s="65"/>
      <c r="L1371" s="65"/>
      <c r="M1371" s="65"/>
      <c r="N1371" s="65"/>
      <c r="O1371" s="65" t="s">
        <v>887</v>
      </c>
      <c r="P1371" s="65"/>
      <c r="Q1371" s="65">
        <v>1</v>
      </c>
      <c r="R1371" s="65">
        <v>532</v>
      </c>
      <c r="S1371" s="65"/>
    </row>
    <row r="1372" spans="1:19" x14ac:dyDescent="0.25">
      <c r="A1372" s="15">
        <v>65</v>
      </c>
      <c r="B1372" s="65"/>
      <c r="C1372" s="65">
        <v>2429</v>
      </c>
      <c r="D1372" s="65"/>
      <c r="E1372" s="65" t="s">
        <v>787</v>
      </c>
      <c r="F1372" s="65">
        <v>6</v>
      </c>
      <c r="G1372" s="65"/>
      <c r="H1372" s="65"/>
      <c r="I1372" s="65">
        <v>15.666666666666666</v>
      </c>
      <c r="J1372" s="65" t="s">
        <v>879</v>
      </c>
      <c r="K1372" s="65"/>
      <c r="L1372" s="65"/>
      <c r="M1372" s="65"/>
      <c r="N1372" s="65"/>
      <c r="O1372" s="65" t="s">
        <v>888</v>
      </c>
      <c r="P1372" s="65"/>
      <c r="Q1372" s="65">
        <v>1</v>
      </c>
      <c r="R1372" s="65">
        <v>533</v>
      </c>
      <c r="S1372" s="65"/>
    </row>
    <row r="1373" spans="1:19" x14ac:dyDescent="0.25">
      <c r="A1373" s="15">
        <v>65</v>
      </c>
      <c r="B1373" s="65"/>
      <c r="C1373" s="65">
        <v>2429</v>
      </c>
      <c r="D1373" s="65"/>
      <c r="E1373" s="65" t="s">
        <v>787</v>
      </c>
      <c r="F1373" s="65">
        <v>6</v>
      </c>
      <c r="G1373" s="65"/>
      <c r="H1373" s="65"/>
      <c r="I1373" s="65">
        <v>15.666666666666666</v>
      </c>
      <c r="J1373" s="65" t="s">
        <v>879</v>
      </c>
      <c r="K1373" s="65"/>
      <c r="L1373" s="65"/>
      <c r="M1373" s="65"/>
      <c r="N1373" s="65"/>
      <c r="O1373" s="65" t="s">
        <v>889</v>
      </c>
      <c r="P1373" s="65"/>
      <c r="Q1373" s="65">
        <v>1</v>
      </c>
      <c r="R1373" s="65">
        <v>534</v>
      </c>
      <c r="S1373" s="65"/>
    </row>
    <row r="1374" spans="1:19" x14ac:dyDescent="0.25">
      <c r="A1374" s="15">
        <v>65</v>
      </c>
      <c r="B1374" s="65"/>
      <c r="C1374" s="65">
        <v>2429</v>
      </c>
      <c r="D1374" s="65"/>
      <c r="E1374" s="65" t="s">
        <v>787</v>
      </c>
      <c r="F1374" s="65">
        <v>6</v>
      </c>
      <c r="G1374" s="65"/>
      <c r="H1374" s="65"/>
      <c r="I1374" s="65">
        <v>15.666666666666666</v>
      </c>
      <c r="J1374" s="65" t="s">
        <v>879</v>
      </c>
      <c r="K1374" s="65"/>
      <c r="L1374" s="65"/>
      <c r="M1374" s="65"/>
      <c r="N1374" s="65"/>
      <c r="O1374" s="65" t="s">
        <v>890</v>
      </c>
      <c r="P1374" s="65"/>
      <c r="Q1374" s="65">
        <v>1</v>
      </c>
      <c r="R1374" s="65">
        <v>535</v>
      </c>
      <c r="S1374" s="65"/>
    </row>
    <row r="1375" spans="1:19" x14ac:dyDescent="0.25">
      <c r="A1375" s="15">
        <v>65</v>
      </c>
      <c r="B1375" s="65"/>
      <c r="C1375" s="65">
        <v>2429</v>
      </c>
      <c r="D1375" s="65"/>
      <c r="E1375" s="65" t="s">
        <v>787</v>
      </c>
      <c r="F1375" s="65">
        <v>6</v>
      </c>
      <c r="G1375" s="65"/>
      <c r="H1375" s="65"/>
      <c r="I1375" s="65">
        <v>15.666666666666666</v>
      </c>
      <c r="J1375" s="65" t="s">
        <v>879</v>
      </c>
      <c r="K1375" s="65"/>
      <c r="L1375" s="65"/>
      <c r="M1375" s="65"/>
      <c r="N1375" s="65"/>
      <c r="O1375" s="65" t="s">
        <v>891</v>
      </c>
      <c r="P1375" s="65"/>
      <c r="Q1375" s="65">
        <v>1</v>
      </c>
      <c r="R1375" s="65">
        <v>536</v>
      </c>
      <c r="S1375" s="65"/>
    </row>
    <row r="1376" spans="1:19" x14ac:dyDescent="0.25">
      <c r="A1376" s="15">
        <v>65</v>
      </c>
      <c r="B1376" s="65"/>
      <c r="C1376" s="65">
        <v>2429</v>
      </c>
      <c r="D1376" s="65"/>
      <c r="E1376" s="65" t="s">
        <v>787</v>
      </c>
      <c r="F1376" s="65">
        <v>10</v>
      </c>
      <c r="G1376" s="65"/>
      <c r="H1376" s="65"/>
      <c r="I1376" s="65">
        <v>10.583333333333334</v>
      </c>
      <c r="J1376" s="65" t="s">
        <v>879</v>
      </c>
      <c r="K1376" s="65"/>
      <c r="L1376" s="65"/>
      <c r="M1376" s="65"/>
      <c r="N1376" s="65"/>
      <c r="O1376" s="65" t="s">
        <v>892</v>
      </c>
      <c r="P1376" s="65"/>
      <c r="Q1376" s="65">
        <v>1</v>
      </c>
      <c r="R1376" s="65">
        <v>537</v>
      </c>
      <c r="S1376" s="65"/>
    </row>
    <row r="1377" spans="1:19" x14ac:dyDescent="0.25">
      <c r="A1377" s="15">
        <v>65</v>
      </c>
      <c r="B1377" s="65"/>
      <c r="C1377" s="65">
        <v>2429</v>
      </c>
      <c r="D1377" s="65"/>
      <c r="E1377" s="65" t="s">
        <v>787</v>
      </c>
      <c r="F1377" s="65">
        <v>1</v>
      </c>
      <c r="G1377" s="65"/>
      <c r="H1377" s="65" t="e">
        <v>#N/A</v>
      </c>
      <c r="I1377" s="65"/>
      <c r="J1377" s="65" t="s">
        <v>899</v>
      </c>
      <c r="K1377" s="65" t="s">
        <v>900</v>
      </c>
      <c r="L1377" s="65" t="s">
        <v>900</v>
      </c>
      <c r="M1377" s="65" t="s">
        <v>900</v>
      </c>
      <c r="N1377" s="65" t="s">
        <v>900</v>
      </c>
      <c r="O1377" s="65" t="s">
        <v>901</v>
      </c>
      <c r="P1377" s="65"/>
      <c r="Q1377" s="65">
        <v>1</v>
      </c>
      <c r="R1377" s="65">
        <v>759</v>
      </c>
      <c r="S1377" s="65"/>
    </row>
    <row r="1378" spans="1:19" x14ac:dyDescent="0.25">
      <c r="A1378" s="15">
        <v>65</v>
      </c>
      <c r="B1378" s="65"/>
      <c r="C1378" s="65">
        <v>2429</v>
      </c>
      <c r="D1378" s="65"/>
      <c r="E1378" s="65" t="s">
        <v>787</v>
      </c>
      <c r="F1378" s="65">
        <v>1</v>
      </c>
      <c r="G1378" s="65"/>
      <c r="H1378" s="65" t="e">
        <v>#N/A</v>
      </c>
      <c r="I1378" s="65"/>
      <c r="J1378" s="65" t="s">
        <v>899</v>
      </c>
      <c r="K1378" s="65" t="s">
        <v>900</v>
      </c>
      <c r="L1378" s="65" t="s">
        <v>900</v>
      </c>
      <c r="M1378" s="65" t="s">
        <v>900</v>
      </c>
      <c r="N1378" s="65" t="s">
        <v>900</v>
      </c>
      <c r="O1378" s="65" t="s">
        <v>902</v>
      </c>
      <c r="P1378" s="65"/>
      <c r="Q1378" s="65">
        <v>1</v>
      </c>
      <c r="R1378" s="65">
        <v>760</v>
      </c>
      <c r="S1378" s="65"/>
    </row>
    <row r="1379" spans="1:19" x14ac:dyDescent="0.25">
      <c r="A1379" s="15">
        <v>65</v>
      </c>
      <c r="B1379" s="65"/>
      <c r="C1379" s="65">
        <v>2429</v>
      </c>
      <c r="D1379" s="65"/>
      <c r="E1379" s="65" t="s">
        <v>787</v>
      </c>
      <c r="F1379" s="65">
        <v>1</v>
      </c>
      <c r="G1379" s="65"/>
      <c r="H1379" s="65" t="e">
        <v>#N/A</v>
      </c>
      <c r="I1379" s="65"/>
      <c r="J1379" s="65" t="s">
        <v>899</v>
      </c>
      <c r="K1379" s="65" t="s">
        <v>900</v>
      </c>
      <c r="L1379" s="65" t="s">
        <v>900</v>
      </c>
      <c r="M1379" s="65" t="s">
        <v>900</v>
      </c>
      <c r="N1379" s="65" t="s">
        <v>900</v>
      </c>
      <c r="O1379" s="65" t="s">
        <v>903</v>
      </c>
      <c r="P1379" s="65"/>
      <c r="Q1379" s="65">
        <v>1</v>
      </c>
      <c r="R1379" s="65">
        <v>761</v>
      </c>
      <c r="S1379" s="65"/>
    </row>
    <row r="1380" spans="1:19" x14ac:dyDescent="0.25">
      <c r="A1380" s="15">
        <v>65</v>
      </c>
      <c r="B1380" s="65"/>
      <c r="C1380" s="65">
        <v>2429</v>
      </c>
      <c r="D1380" s="65"/>
      <c r="E1380" s="65" t="s">
        <v>787</v>
      </c>
      <c r="F1380" s="65">
        <v>1</v>
      </c>
      <c r="G1380" s="65"/>
      <c r="H1380" s="65" t="e">
        <v>#N/A</v>
      </c>
      <c r="I1380" s="65"/>
      <c r="J1380" s="65" t="s">
        <v>899</v>
      </c>
      <c r="K1380" s="65" t="s">
        <v>900</v>
      </c>
      <c r="L1380" s="65" t="s">
        <v>900</v>
      </c>
      <c r="M1380" s="65" t="s">
        <v>900</v>
      </c>
      <c r="N1380" s="65" t="s">
        <v>900</v>
      </c>
      <c r="O1380" s="65" t="s">
        <v>904</v>
      </c>
      <c r="P1380" s="65"/>
      <c r="Q1380" s="65">
        <v>1</v>
      </c>
      <c r="R1380" s="65">
        <v>762</v>
      </c>
      <c r="S1380" s="65"/>
    </row>
    <row r="1381" spans="1:19" x14ac:dyDescent="0.25">
      <c r="A1381" s="15">
        <v>65</v>
      </c>
      <c r="B1381" s="65"/>
      <c r="C1381" s="65">
        <v>2429</v>
      </c>
      <c r="D1381" s="65"/>
      <c r="E1381" s="65" t="s">
        <v>787</v>
      </c>
      <c r="F1381" s="65">
        <v>1</v>
      </c>
      <c r="G1381" s="65"/>
      <c r="H1381" s="65" t="e">
        <v>#N/A</v>
      </c>
      <c r="I1381" s="65"/>
      <c r="J1381" s="65" t="s">
        <v>899</v>
      </c>
      <c r="K1381" s="65" t="s">
        <v>900</v>
      </c>
      <c r="L1381" s="65" t="s">
        <v>900</v>
      </c>
      <c r="M1381" s="65" t="s">
        <v>900</v>
      </c>
      <c r="N1381" s="65" t="s">
        <v>900</v>
      </c>
      <c r="O1381" s="65" t="s">
        <v>905</v>
      </c>
      <c r="P1381" s="65"/>
      <c r="Q1381" s="65">
        <v>1</v>
      </c>
      <c r="R1381" s="65">
        <v>763</v>
      </c>
      <c r="S1381" s="65"/>
    </row>
    <row r="1382" spans="1:19" x14ac:dyDescent="0.25">
      <c r="A1382" s="15">
        <v>65</v>
      </c>
      <c r="B1382" s="65"/>
      <c r="C1382" s="65">
        <v>2429</v>
      </c>
      <c r="D1382" s="65"/>
      <c r="E1382" s="65" t="s">
        <v>787</v>
      </c>
      <c r="F1382" s="65">
        <v>1</v>
      </c>
      <c r="G1382" s="65"/>
      <c r="H1382" s="65" t="e">
        <v>#N/A</v>
      </c>
      <c r="I1382" s="65"/>
      <c r="J1382" s="65" t="s">
        <v>899</v>
      </c>
      <c r="K1382" s="65" t="s">
        <v>900</v>
      </c>
      <c r="L1382" s="65" t="s">
        <v>900</v>
      </c>
      <c r="M1382" s="65" t="s">
        <v>900</v>
      </c>
      <c r="N1382" s="65" t="s">
        <v>900</v>
      </c>
      <c r="O1382" s="65" t="s">
        <v>906</v>
      </c>
      <c r="P1382" s="65"/>
      <c r="Q1382" s="65">
        <v>1</v>
      </c>
      <c r="R1382" s="65">
        <v>764</v>
      </c>
      <c r="S1382" s="65"/>
    </row>
    <row r="1383" spans="1:19" x14ac:dyDescent="0.25">
      <c r="A1383" s="15">
        <v>65</v>
      </c>
      <c r="B1383" s="65"/>
      <c r="C1383" s="65">
        <v>2429</v>
      </c>
      <c r="D1383" s="65"/>
      <c r="E1383" s="65" t="s">
        <v>787</v>
      </c>
      <c r="F1383" s="65">
        <v>1</v>
      </c>
      <c r="G1383" s="65"/>
      <c r="H1383" s="65" t="e">
        <v>#N/A</v>
      </c>
      <c r="I1383" s="65"/>
      <c r="J1383" s="65" t="s">
        <v>899</v>
      </c>
      <c r="K1383" s="65" t="s">
        <v>900</v>
      </c>
      <c r="L1383" s="65" t="s">
        <v>900</v>
      </c>
      <c r="M1383" s="65" t="s">
        <v>900</v>
      </c>
      <c r="N1383" s="65" t="s">
        <v>900</v>
      </c>
      <c r="O1383" s="65" t="s">
        <v>907</v>
      </c>
      <c r="P1383" s="65"/>
      <c r="Q1383" s="65">
        <v>1</v>
      </c>
      <c r="R1383" s="65">
        <v>765</v>
      </c>
      <c r="S1383" s="65"/>
    </row>
    <row r="1384" spans="1:19" x14ac:dyDescent="0.25">
      <c r="A1384" s="15">
        <v>65</v>
      </c>
      <c r="B1384" s="65"/>
      <c r="C1384" s="65">
        <v>2429</v>
      </c>
      <c r="D1384" s="65"/>
      <c r="E1384" s="65" t="s">
        <v>787</v>
      </c>
      <c r="F1384" s="65">
        <v>1</v>
      </c>
      <c r="G1384" s="65"/>
      <c r="H1384" s="65" t="e">
        <v>#N/A</v>
      </c>
      <c r="I1384" s="65"/>
      <c r="J1384" s="65" t="s">
        <v>899</v>
      </c>
      <c r="K1384" s="65" t="s">
        <v>900</v>
      </c>
      <c r="L1384" s="65" t="s">
        <v>900</v>
      </c>
      <c r="M1384" s="65" t="s">
        <v>900</v>
      </c>
      <c r="N1384" s="65" t="s">
        <v>900</v>
      </c>
      <c r="O1384" s="65" t="s">
        <v>908</v>
      </c>
      <c r="P1384" s="65"/>
      <c r="Q1384" s="65">
        <v>1</v>
      </c>
      <c r="R1384" s="65">
        <v>766</v>
      </c>
      <c r="S1384" s="65"/>
    </row>
    <row r="1385" spans="1:19" x14ac:dyDescent="0.25">
      <c r="A1385" s="15">
        <v>65</v>
      </c>
      <c r="B1385" s="65"/>
      <c r="C1385" s="65">
        <v>2429</v>
      </c>
      <c r="D1385" s="65"/>
      <c r="E1385" s="65" t="s">
        <v>787</v>
      </c>
      <c r="F1385" s="65">
        <v>1</v>
      </c>
      <c r="G1385" s="65"/>
      <c r="H1385" s="65" t="e">
        <v>#N/A</v>
      </c>
      <c r="I1385" s="65"/>
      <c r="J1385" s="65" t="s">
        <v>899</v>
      </c>
      <c r="K1385" s="65" t="s">
        <v>900</v>
      </c>
      <c r="L1385" s="65" t="s">
        <v>900</v>
      </c>
      <c r="M1385" s="65" t="s">
        <v>900</v>
      </c>
      <c r="N1385" s="65" t="s">
        <v>900</v>
      </c>
      <c r="O1385" s="65" t="s">
        <v>909</v>
      </c>
      <c r="P1385" s="65"/>
      <c r="Q1385" s="65">
        <v>1</v>
      </c>
      <c r="R1385" s="65">
        <v>767</v>
      </c>
      <c r="S1385" s="65"/>
    </row>
    <row r="1386" spans="1:19" x14ac:dyDescent="0.25">
      <c r="A1386" s="15">
        <v>65</v>
      </c>
      <c r="B1386" s="65"/>
      <c r="C1386" s="65">
        <v>2429</v>
      </c>
      <c r="D1386" s="65"/>
      <c r="E1386" s="65" t="s">
        <v>787</v>
      </c>
      <c r="F1386" s="65">
        <v>1</v>
      </c>
      <c r="G1386" s="65"/>
      <c r="H1386" s="65" t="e">
        <v>#N/A</v>
      </c>
      <c r="I1386" s="65"/>
      <c r="J1386" s="65" t="s">
        <v>899</v>
      </c>
      <c r="K1386" s="65" t="s">
        <v>900</v>
      </c>
      <c r="L1386" s="65" t="s">
        <v>900</v>
      </c>
      <c r="M1386" s="65" t="s">
        <v>900</v>
      </c>
      <c r="N1386" s="65" t="s">
        <v>900</v>
      </c>
      <c r="O1386" s="65" t="s">
        <v>910</v>
      </c>
      <c r="P1386" s="65"/>
      <c r="Q1386" s="65">
        <v>1</v>
      </c>
      <c r="R1386" s="65">
        <v>768</v>
      </c>
      <c r="S1386" s="65"/>
    </row>
    <row r="1387" spans="1:19" x14ac:dyDescent="0.25">
      <c r="A1387" s="15">
        <v>65</v>
      </c>
      <c r="B1387" s="65"/>
      <c r="C1387" s="65">
        <v>2429</v>
      </c>
      <c r="D1387" s="65"/>
      <c r="E1387" s="65" t="s">
        <v>787</v>
      </c>
      <c r="F1387" s="65">
        <v>1</v>
      </c>
      <c r="G1387" s="65"/>
      <c r="H1387" s="65" t="e">
        <v>#N/A</v>
      </c>
      <c r="I1387" s="65"/>
      <c r="J1387" s="65" t="s">
        <v>899</v>
      </c>
      <c r="K1387" s="65" t="s">
        <v>900</v>
      </c>
      <c r="L1387" s="65" t="s">
        <v>900</v>
      </c>
      <c r="M1387" s="65" t="s">
        <v>900</v>
      </c>
      <c r="N1387" s="65" t="s">
        <v>900</v>
      </c>
      <c r="O1387" s="65" t="s">
        <v>911</v>
      </c>
      <c r="P1387" s="65"/>
      <c r="Q1387" s="65">
        <v>1</v>
      </c>
      <c r="R1387" s="65">
        <v>769</v>
      </c>
      <c r="S1387" s="65"/>
    </row>
    <row r="1388" spans="1:19" x14ac:dyDescent="0.25">
      <c r="A1388" s="15">
        <v>65</v>
      </c>
      <c r="B1388" s="65"/>
      <c r="C1388" s="65">
        <v>2429</v>
      </c>
      <c r="D1388" s="65"/>
      <c r="E1388" s="65" t="s">
        <v>787</v>
      </c>
      <c r="F1388" s="65">
        <v>0</v>
      </c>
      <c r="G1388" s="65"/>
      <c r="H1388" s="65">
        <v>3</v>
      </c>
      <c r="I1388" s="65" t="e">
        <v>#N/A</v>
      </c>
      <c r="J1388" s="65" t="s">
        <v>899</v>
      </c>
      <c r="K1388" s="65"/>
      <c r="L1388" s="65"/>
      <c r="M1388" s="65"/>
      <c r="N1388" s="65"/>
      <c r="O1388" s="65" t="s">
        <v>913</v>
      </c>
      <c r="P1388" s="65"/>
      <c r="Q1388" s="65">
        <v>1</v>
      </c>
      <c r="R1388" s="65">
        <v>986</v>
      </c>
      <c r="S1388" s="65"/>
    </row>
    <row r="1389" spans="1:19" x14ac:dyDescent="0.25">
      <c r="A1389" s="15">
        <v>65</v>
      </c>
      <c r="B1389" s="65"/>
      <c r="C1389" s="65">
        <v>2429</v>
      </c>
      <c r="D1389" s="65"/>
      <c r="E1389" s="65" t="s">
        <v>787</v>
      </c>
      <c r="F1389" s="65">
        <v>0</v>
      </c>
      <c r="G1389" s="65"/>
      <c r="H1389" s="65">
        <v>3</v>
      </c>
      <c r="I1389" s="65" t="e">
        <v>#N/A</v>
      </c>
      <c r="J1389" s="65" t="s">
        <v>899</v>
      </c>
      <c r="K1389" s="65"/>
      <c r="L1389" s="65"/>
      <c r="M1389" s="65"/>
      <c r="N1389" s="65"/>
      <c r="O1389" s="65" t="s">
        <v>914</v>
      </c>
      <c r="P1389" s="65"/>
      <c r="Q1389" s="65">
        <v>1</v>
      </c>
      <c r="R1389" s="65">
        <v>987</v>
      </c>
      <c r="S1389" s="65"/>
    </row>
    <row r="1390" spans="1:19" x14ac:dyDescent="0.25">
      <c r="A1390" s="15">
        <v>65</v>
      </c>
      <c r="B1390" s="65"/>
      <c r="C1390" s="65">
        <v>2429</v>
      </c>
      <c r="D1390" s="65"/>
      <c r="E1390" s="65" t="s">
        <v>787</v>
      </c>
      <c r="F1390" s="65">
        <v>0</v>
      </c>
      <c r="G1390" s="65"/>
      <c r="H1390" s="65">
        <v>3</v>
      </c>
      <c r="I1390" s="65" t="e">
        <v>#N/A</v>
      </c>
      <c r="J1390" s="65" t="s">
        <v>899</v>
      </c>
      <c r="K1390" s="65"/>
      <c r="L1390" s="65"/>
      <c r="M1390" s="65"/>
      <c r="N1390" s="65"/>
      <c r="O1390" s="65" t="s">
        <v>915</v>
      </c>
      <c r="P1390" s="65"/>
      <c r="Q1390" s="65">
        <v>1</v>
      </c>
      <c r="R1390" s="65">
        <v>988</v>
      </c>
      <c r="S1390" s="65"/>
    </row>
    <row r="1391" spans="1:19" x14ac:dyDescent="0.25">
      <c r="A1391" s="15">
        <v>65</v>
      </c>
      <c r="B1391" s="65"/>
      <c r="C1391" s="65">
        <v>2429</v>
      </c>
      <c r="D1391" s="65"/>
      <c r="E1391" s="65" t="s">
        <v>787</v>
      </c>
      <c r="F1391" s="65">
        <v>0</v>
      </c>
      <c r="G1391" s="65"/>
      <c r="H1391" s="65">
        <v>3</v>
      </c>
      <c r="I1391" s="65" t="e">
        <v>#N/A</v>
      </c>
      <c r="J1391" s="65" t="s">
        <v>899</v>
      </c>
      <c r="K1391" s="65"/>
      <c r="L1391" s="65"/>
      <c r="M1391" s="65"/>
      <c r="N1391" s="65"/>
      <c r="O1391" s="65" t="s">
        <v>916</v>
      </c>
      <c r="P1391" s="65"/>
      <c r="Q1391" s="65">
        <v>1</v>
      </c>
      <c r="R1391" s="65">
        <v>989</v>
      </c>
      <c r="S1391" s="65"/>
    </row>
    <row r="1392" spans="1:19" x14ac:dyDescent="0.25">
      <c r="A1392" s="15">
        <v>65</v>
      </c>
      <c r="B1392" s="65"/>
      <c r="C1392" s="65">
        <v>2429</v>
      </c>
      <c r="D1392" s="65"/>
      <c r="E1392" s="65" t="s">
        <v>787</v>
      </c>
      <c r="F1392" s="65">
        <v>0</v>
      </c>
      <c r="G1392" s="65"/>
      <c r="H1392" s="65">
        <v>3</v>
      </c>
      <c r="I1392" s="65" t="e">
        <v>#N/A</v>
      </c>
      <c r="J1392" s="65" t="s">
        <v>899</v>
      </c>
      <c r="K1392" s="65"/>
      <c r="L1392" s="65"/>
      <c r="M1392" s="65"/>
      <c r="N1392" s="65"/>
      <c r="O1392" s="65" t="s">
        <v>917</v>
      </c>
      <c r="P1392" s="65"/>
      <c r="Q1392" s="65">
        <v>1</v>
      </c>
      <c r="R1392" s="65">
        <v>990</v>
      </c>
      <c r="S1392" s="65"/>
    </row>
    <row r="1393" spans="1:19" x14ac:dyDescent="0.25">
      <c r="A1393" s="15">
        <v>65</v>
      </c>
      <c r="B1393" s="65"/>
      <c r="C1393" s="65">
        <v>2429</v>
      </c>
      <c r="D1393" s="65"/>
      <c r="E1393" s="65" t="s">
        <v>787</v>
      </c>
      <c r="F1393" s="65">
        <v>0</v>
      </c>
      <c r="G1393" s="65"/>
      <c r="H1393" s="65">
        <v>3</v>
      </c>
      <c r="I1393" s="65" t="e">
        <v>#N/A</v>
      </c>
      <c r="J1393" s="65" t="s">
        <v>899</v>
      </c>
      <c r="K1393" s="65"/>
      <c r="L1393" s="65"/>
      <c r="M1393" s="65"/>
      <c r="N1393" s="65"/>
      <c r="O1393" s="65" t="s">
        <v>918</v>
      </c>
      <c r="P1393" s="65"/>
      <c r="Q1393" s="65">
        <v>1</v>
      </c>
      <c r="R1393" s="65">
        <v>991</v>
      </c>
      <c r="S1393" s="65"/>
    </row>
    <row r="1394" spans="1:19" x14ac:dyDescent="0.25">
      <c r="A1394" s="15">
        <v>65</v>
      </c>
      <c r="B1394" s="65"/>
      <c r="C1394" s="65">
        <v>2429</v>
      </c>
      <c r="D1394" s="65"/>
      <c r="E1394" s="65" t="s">
        <v>787</v>
      </c>
      <c r="F1394" s="65">
        <v>0</v>
      </c>
      <c r="G1394" s="65"/>
      <c r="H1394" s="65">
        <v>3</v>
      </c>
      <c r="I1394" s="65" t="e">
        <v>#N/A</v>
      </c>
      <c r="J1394" s="65" t="s">
        <v>899</v>
      </c>
      <c r="K1394" s="65"/>
      <c r="L1394" s="65"/>
      <c r="M1394" s="65"/>
      <c r="N1394" s="65"/>
      <c r="O1394" s="65" t="s">
        <v>919</v>
      </c>
      <c r="P1394" s="65"/>
      <c r="Q1394" s="65">
        <v>1</v>
      </c>
      <c r="R1394" s="65">
        <v>992</v>
      </c>
      <c r="S1394" s="65"/>
    </row>
    <row r="1395" spans="1:19" x14ac:dyDescent="0.25">
      <c r="A1395" s="15">
        <v>65</v>
      </c>
      <c r="B1395" s="65"/>
      <c r="C1395" s="65">
        <v>2429</v>
      </c>
      <c r="D1395" s="65"/>
      <c r="E1395" s="65" t="s">
        <v>787</v>
      </c>
      <c r="F1395" s="65">
        <v>0</v>
      </c>
      <c r="G1395" s="65"/>
      <c r="H1395" s="65">
        <v>3</v>
      </c>
      <c r="I1395" s="65" t="e">
        <v>#N/A</v>
      </c>
      <c r="J1395" s="65" t="s">
        <v>899</v>
      </c>
      <c r="K1395" s="65"/>
      <c r="L1395" s="65"/>
      <c r="M1395" s="65"/>
      <c r="N1395" s="65"/>
      <c r="O1395" s="65" t="s">
        <v>920</v>
      </c>
      <c r="P1395" s="65"/>
      <c r="Q1395" s="65">
        <v>1</v>
      </c>
      <c r="R1395" s="65">
        <v>993</v>
      </c>
      <c r="S1395" s="65"/>
    </row>
    <row r="1396" spans="1:19" x14ac:dyDescent="0.25">
      <c r="A1396" s="15">
        <v>65</v>
      </c>
      <c r="B1396" s="65"/>
      <c r="C1396" s="65">
        <v>2429</v>
      </c>
      <c r="D1396" s="65"/>
      <c r="E1396" s="65" t="s">
        <v>787</v>
      </c>
      <c r="F1396" s="65">
        <v>0</v>
      </c>
      <c r="G1396" s="65"/>
      <c r="H1396" s="65">
        <v>3</v>
      </c>
      <c r="I1396" s="65" t="e">
        <v>#N/A</v>
      </c>
      <c r="J1396" s="65" t="s">
        <v>899</v>
      </c>
      <c r="K1396" s="65"/>
      <c r="L1396" s="65"/>
      <c r="M1396" s="65"/>
      <c r="N1396" s="65"/>
      <c r="O1396" s="65" t="s">
        <v>921</v>
      </c>
      <c r="P1396" s="65"/>
      <c r="Q1396" s="65">
        <v>1</v>
      </c>
      <c r="R1396" s="65">
        <v>994</v>
      </c>
      <c r="S1396" s="65"/>
    </row>
    <row r="1397" spans="1:19" x14ac:dyDescent="0.25">
      <c r="A1397" s="15">
        <v>65</v>
      </c>
      <c r="B1397" s="65"/>
      <c r="C1397" s="65">
        <v>2429</v>
      </c>
      <c r="D1397" s="65"/>
      <c r="E1397" s="65" t="s">
        <v>787</v>
      </c>
      <c r="F1397" s="65">
        <v>0</v>
      </c>
      <c r="G1397" s="65"/>
      <c r="H1397" s="65">
        <v>3</v>
      </c>
      <c r="I1397" s="65" t="e">
        <v>#N/A</v>
      </c>
      <c r="J1397" s="65" t="s">
        <v>899</v>
      </c>
      <c r="K1397" s="65"/>
      <c r="L1397" s="65"/>
      <c r="M1397" s="65"/>
      <c r="N1397" s="65"/>
      <c r="O1397" s="65" t="s">
        <v>922</v>
      </c>
      <c r="P1397" s="65"/>
      <c r="Q1397" s="65">
        <v>1</v>
      </c>
      <c r="R1397" s="65">
        <v>995</v>
      </c>
      <c r="S1397" s="65"/>
    </row>
    <row r="1398" spans="1:19" x14ac:dyDescent="0.25">
      <c r="A1398" s="15">
        <v>65</v>
      </c>
      <c r="B1398" s="65"/>
      <c r="C1398" s="65">
        <v>2429</v>
      </c>
      <c r="D1398" s="65"/>
      <c r="E1398" s="65" t="s">
        <v>787</v>
      </c>
      <c r="F1398" s="65">
        <v>0</v>
      </c>
      <c r="G1398" s="65"/>
      <c r="H1398" s="65">
        <v>3</v>
      </c>
      <c r="I1398" s="65" t="e">
        <v>#N/A</v>
      </c>
      <c r="J1398" s="65" t="s">
        <v>899</v>
      </c>
      <c r="K1398" s="65"/>
      <c r="L1398" s="65"/>
      <c r="M1398" s="65"/>
      <c r="N1398" s="65"/>
      <c r="O1398" s="65" t="s">
        <v>923</v>
      </c>
      <c r="P1398" s="65"/>
      <c r="Q1398" s="65">
        <v>1</v>
      </c>
      <c r="R1398" s="65">
        <v>996</v>
      </c>
      <c r="S1398" s="65"/>
    </row>
    <row r="1399" spans="1:19" x14ac:dyDescent="0.25">
      <c r="A1399" s="15">
        <v>65</v>
      </c>
      <c r="B1399" s="65"/>
      <c r="C1399" s="65">
        <v>2429</v>
      </c>
      <c r="D1399" s="65"/>
      <c r="E1399" s="65" t="s">
        <v>787</v>
      </c>
      <c r="F1399" s="65">
        <v>3</v>
      </c>
      <c r="G1399" s="65"/>
      <c r="H1399" s="65">
        <v>3</v>
      </c>
      <c r="I1399" s="65" t="e">
        <v>#N/A</v>
      </c>
      <c r="J1399" s="65" t="s">
        <v>899</v>
      </c>
      <c r="K1399" s="65"/>
      <c r="L1399" s="65"/>
      <c r="M1399" s="65"/>
      <c r="N1399" s="65"/>
      <c r="O1399" s="65" t="s">
        <v>925</v>
      </c>
      <c r="P1399" s="65"/>
      <c r="Q1399" s="65">
        <v>1</v>
      </c>
      <c r="R1399" s="65">
        <v>1213</v>
      </c>
      <c r="S1399" s="65"/>
    </row>
    <row r="1400" spans="1:19" x14ac:dyDescent="0.25">
      <c r="A1400" s="15">
        <v>65</v>
      </c>
      <c r="B1400" s="65"/>
      <c r="C1400" s="65">
        <v>2429</v>
      </c>
      <c r="D1400" s="65"/>
      <c r="E1400" s="65" t="s">
        <v>787</v>
      </c>
      <c r="F1400" s="65">
        <v>3</v>
      </c>
      <c r="G1400" s="65"/>
      <c r="H1400" s="65">
        <v>3</v>
      </c>
      <c r="I1400" s="65" t="e">
        <v>#N/A</v>
      </c>
      <c r="J1400" s="65" t="s">
        <v>899</v>
      </c>
      <c r="K1400" s="65"/>
      <c r="L1400" s="65"/>
      <c r="M1400" s="65"/>
      <c r="N1400" s="65"/>
      <c r="O1400" s="65" t="s">
        <v>926</v>
      </c>
      <c r="P1400" s="65"/>
      <c r="Q1400" s="65">
        <v>1</v>
      </c>
      <c r="R1400" s="65">
        <v>1214</v>
      </c>
      <c r="S1400" s="65"/>
    </row>
    <row r="1401" spans="1:19" x14ac:dyDescent="0.25">
      <c r="A1401" s="15">
        <v>65</v>
      </c>
      <c r="B1401" s="65"/>
      <c r="C1401" s="65">
        <v>2429</v>
      </c>
      <c r="D1401" s="65"/>
      <c r="E1401" s="65" t="s">
        <v>787</v>
      </c>
      <c r="F1401" s="65">
        <v>3</v>
      </c>
      <c r="G1401" s="65"/>
      <c r="H1401" s="65">
        <v>3</v>
      </c>
      <c r="I1401" s="65" t="e">
        <v>#N/A</v>
      </c>
      <c r="J1401" s="65" t="s">
        <v>899</v>
      </c>
      <c r="K1401" s="65"/>
      <c r="L1401" s="65"/>
      <c r="M1401" s="65"/>
      <c r="N1401" s="65"/>
      <c r="O1401" s="65" t="s">
        <v>927</v>
      </c>
      <c r="P1401" s="65"/>
      <c r="Q1401" s="65">
        <v>1</v>
      </c>
      <c r="R1401" s="65">
        <v>1215</v>
      </c>
      <c r="S1401" s="65"/>
    </row>
    <row r="1402" spans="1:19" x14ac:dyDescent="0.25">
      <c r="A1402" s="15">
        <v>65</v>
      </c>
      <c r="B1402" s="65"/>
      <c r="C1402" s="65">
        <v>2429</v>
      </c>
      <c r="D1402" s="65"/>
      <c r="E1402" s="65" t="s">
        <v>787</v>
      </c>
      <c r="F1402" s="65">
        <v>3</v>
      </c>
      <c r="G1402" s="65"/>
      <c r="H1402" s="65">
        <v>3</v>
      </c>
      <c r="I1402" s="65" t="e">
        <v>#N/A</v>
      </c>
      <c r="J1402" s="65" t="s">
        <v>899</v>
      </c>
      <c r="K1402" s="65"/>
      <c r="L1402" s="65"/>
      <c r="M1402" s="65"/>
      <c r="N1402" s="65"/>
      <c r="O1402" s="65" t="s">
        <v>928</v>
      </c>
      <c r="P1402" s="65"/>
      <c r="Q1402" s="65">
        <v>1</v>
      </c>
      <c r="R1402" s="65">
        <v>1216</v>
      </c>
      <c r="S1402" s="65"/>
    </row>
    <row r="1403" spans="1:19" x14ac:dyDescent="0.25">
      <c r="A1403" s="15">
        <v>65</v>
      </c>
      <c r="B1403" s="65"/>
      <c r="C1403" s="65">
        <v>2429</v>
      </c>
      <c r="D1403" s="65"/>
      <c r="E1403" s="65" t="s">
        <v>787</v>
      </c>
      <c r="F1403" s="65">
        <v>3</v>
      </c>
      <c r="G1403" s="65"/>
      <c r="H1403" s="65">
        <v>3</v>
      </c>
      <c r="I1403" s="65" t="e">
        <v>#N/A</v>
      </c>
      <c r="J1403" s="65" t="s">
        <v>899</v>
      </c>
      <c r="K1403" s="65"/>
      <c r="L1403" s="65"/>
      <c r="M1403" s="65"/>
      <c r="N1403" s="65"/>
      <c r="O1403" s="65" t="s">
        <v>929</v>
      </c>
      <c r="P1403" s="65"/>
      <c r="Q1403" s="65">
        <v>1</v>
      </c>
      <c r="R1403" s="65">
        <v>1217</v>
      </c>
      <c r="S1403" s="65"/>
    </row>
    <row r="1404" spans="1:19" x14ac:dyDescent="0.25">
      <c r="A1404" s="15">
        <v>65</v>
      </c>
      <c r="B1404" s="65"/>
      <c r="C1404" s="65">
        <v>2429</v>
      </c>
      <c r="D1404" s="65"/>
      <c r="E1404" s="65" t="s">
        <v>787</v>
      </c>
      <c r="F1404" s="65">
        <v>3</v>
      </c>
      <c r="G1404" s="65"/>
      <c r="H1404" s="65">
        <v>3</v>
      </c>
      <c r="I1404" s="65" t="e">
        <v>#N/A</v>
      </c>
      <c r="J1404" s="65" t="s">
        <v>899</v>
      </c>
      <c r="K1404" s="65"/>
      <c r="L1404" s="65"/>
      <c r="M1404" s="65"/>
      <c r="N1404" s="65"/>
      <c r="O1404" s="65" t="s">
        <v>930</v>
      </c>
      <c r="P1404" s="65"/>
      <c r="Q1404" s="65">
        <v>1</v>
      </c>
      <c r="R1404" s="65">
        <v>1218</v>
      </c>
      <c r="S1404" s="65"/>
    </row>
    <row r="1405" spans="1:19" x14ac:dyDescent="0.25">
      <c r="A1405" s="15">
        <v>65</v>
      </c>
      <c r="B1405" s="65"/>
      <c r="C1405" s="65">
        <v>2429</v>
      </c>
      <c r="D1405" s="65"/>
      <c r="E1405" s="65" t="s">
        <v>787</v>
      </c>
      <c r="F1405" s="65">
        <v>3</v>
      </c>
      <c r="G1405" s="65"/>
      <c r="H1405" s="65">
        <v>3</v>
      </c>
      <c r="I1405" s="65" t="e">
        <v>#N/A</v>
      </c>
      <c r="J1405" s="65" t="s">
        <v>899</v>
      </c>
      <c r="K1405" s="65"/>
      <c r="L1405" s="65"/>
      <c r="M1405" s="65"/>
      <c r="N1405" s="65"/>
      <c r="O1405" s="65" t="s">
        <v>931</v>
      </c>
      <c r="P1405" s="65"/>
      <c r="Q1405" s="65">
        <v>1</v>
      </c>
      <c r="R1405" s="65">
        <v>1219</v>
      </c>
      <c r="S1405" s="65"/>
    </row>
    <row r="1406" spans="1:19" x14ac:dyDescent="0.25">
      <c r="A1406" s="15">
        <v>65</v>
      </c>
      <c r="B1406" s="65"/>
      <c r="C1406" s="65">
        <v>2429</v>
      </c>
      <c r="D1406" s="65"/>
      <c r="E1406" s="65" t="s">
        <v>787</v>
      </c>
      <c r="F1406" s="65">
        <v>3</v>
      </c>
      <c r="G1406" s="65"/>
      <c r="H1406" s="65">
        <v>3</v>
      </c>
      <c r="I1406" s="65" t="e">
        <v>#N/A</v>
      </c>
      <c r="J1406" s="65" t="s">
        <v>899</v>
      </c>
      <c r="K1406" s="65"/>
      <c r="L1406" s="65"/>
      <c r="M1406" s="65"/>
      <c r="N1406" s="65"/>
      <c r="O1406" s="65" t="s">
        <v>932</v>
      </c>
      <c r="P1406" s="65"/>
      <c r="Q1406" s="65">
        <v>1</v>
      </c>
      <c r="R1406" s="65">
        <v>1220</v>
      </c>
      <c r="S1406" s="65"/>
    </row>
    <row r="1407" spans="1:19" x14ac:dyDescent="0.25">
      <c r="A1407" s="15">
        <v>65</v>
      </c>
      <c r="B1407" s="65"/>
      <c r="C1407" s="65">
        <v>2429</v>
      </c>
      <c r="D1407" s="65"/>
      <c r="E1407" s="65" t="s">
        <v>787</v>
      </c>
      <c r="F1407" s="65">
        <v>3</v>
      </c>
      <c r="G1407" s="65"/>
      <c r="H1407" s="65">
        <v>3</v>
      </c>
      <c r="I1407" s="65" t="e">
        <v>#N/A</v>
      </c>
      <c r="J1407" s="65" t="s">
        <v>899</v>
      </c>
      <c r="K1407" s="65"/>
      <c r="L1407" s="65"/>
      <c r="M1407" s="65"/>
      <c r="N1407" s="65"/>
      <c r="O1407" s="65" t="s">
        <v>933</v>
      </c>
      <c r="P1407" s="65"/>
      <c r="Q1407" s="65">
        <v>1</v>
      </c>
      <c r="R1407" s="65">
        <v>1221</v>
      </c>
      <c r="S1407" s="65"/>
    </row>
    <row r="1408" spans="1:19" x14ac:dyDescent="0.25">
      <c r="A1408" s="15">
        <v>65</v>
      </c>
      <c r="B1408" s="65"/>
      <c r="C1408" s="65">
        <v>2429</v>
      </c>
      <c r="D1408" s="65"/>
      <c r="E1408" s="65" t="s">
        <v>787</v>
      </c>
      <c r="F1408" s="65">
        <v>3</v>
      </c>
      <c r="G1408" s="65"/>
      <c r="H1408" s="65">
        <v>3</v>
      </c>
      <c r="I1408" s="65" t="e">
        <v>#N/A</v>
      </c>
      <c r="J1408" s="65" t="s">
        <v>899</v>
      </c>
      <c r="K1408" s="65"/>
      <c r="L1408" s="65"/>
      <c r="M1408" s="65"/>
      <c r="N1408" s="65"/>
      <c r="O1408" s="65" t="s">
        <v>934</v>
      </c>
      <c r="P1408" s="65"/>
      <c r="Q1408" s="65">
        <v>1</v>
      </c>
      <c r="R1408" s="65">
        <v>1222</v>
      </c>
      <c r="S1408" s="65"/>
    </row>
    <row r="1409" spans="1:19" x14ac:dyDescent="0.25">
      <c r="A1409" s="15">
        <v>65</v>
      </c>
      <c r="B1409" s="65"/>
      <c r="C1409" s="65">
        <v>2429</v>
      </c>
      <c r="D1409" s="65"/>
      <c r="E1409" s="65" t="s">
        <v>787</v>
      </c>
      <c r="F1409" s="65">
        <v>3</v>
      </c>
      <c r="G1409" s="65"/>
      <c r="H1409" s="65">
        <v>3</v>
      </c>
      <c r="I1409" s="65" t="e">
        <v>#N/A</v>
      </c>
      <c r="J1409" s="65" t="s">
        <v>899</v>
      </c>
      <c r="K1409" s="65"/>
      <c r="L1409" s="65"/>
      <c r="M1409" s="65"/>
      <c r="N1409" s="65"/>
      <c r="O1409" s="65" t="s">
        <v>935</v>
      </c>
      <c r="P1409" s="65"/>
      <c r="Q1409" s="65">
        <v>1</v>
      </c>
      <c r="R1409" s="65">
        <v>1223</v>
      </c>
      <c r="S1409" s="65"/>
    </row>
    <row r="1410" spans="1:19" x14ac:dyDescent="0.25">
      <c r="A1410" s="15">
        <v>65</v>
      </c>
      <c r="B1410" s="65"/>
      <c r="C1410" s="65">
        <v>2429</v>
      </c>
      <c r="D1410" s="65"/>
      <c r="E1410" s="65" t="s">
        <v>787</v>
      </c>
      <c r="F1410" s="65">
        <v>3</v>
      </c>
      <c r="G1410" s="65"/>
      <c r="H1410" s="65" t="e">
        <v>#N/A</v>
      </c>
      <c r="I1410" s="65"/>
      <c r="J1410" s="65" t="s">
        <v>899</v>
      </c>
      <c r="K1410" s="65"/>
      <c r="L1410" s="65"/>
      <c r="M1410" s="65"/>
      <c r="N1410" s="65"/>
      <c r="O1410" s="65" t="s">
        <v>937</v>
      </c>
      <c r="P1410" s="65"/>
      <c r="Q1410" s="65">
        <v>1</v>
      </c>
      <c r="R1410" s="65">
        <v>1310</v>
      </c>
      <c r="S1410" s="65"/>
    </row>
    <row r="1411" spans="1:19" x14ac:dyDescent="0.25">
      <c r="A1411" s="15">
        <v>65</v>
      </c>
      <c r="B1411" s="65"/>
      <c r="C1411" s="65">
        <v>2429</v>
      </c>
      <c r="D1411" s="65"/>
      <c r="E1411" s="65" t="s">
        <v>787</v>
      </c>
      <c r="F1411" s="65">
        <v>5</v>
      </c>
      <c r="G1411" s="65"/>
      <c r="H1411" s="65" t="e">
        <v>#N/A</v>
      </c>
      <c r="I1411" s="65"/>
      <c r="J1411" s="65" t="s">
        <v>899</v>
      </c>
      <c r="K1411" s="65"/>
      <c r="L1411" s="65"/>
      <c r="M1411" s="65"/>
      <c r="N1411" s="65"/>
      <c r="O1411" s="65" t="s">
        <v>939</v>
      </c>
      <c r="P1411" s="65"/>
      <c r="Q1411" s="65">
        <v>1</v>
      </c>
      <c r="R1411" s="65">
        <v>1507</v>
      </c>
      <c r="S1411" s="65"/>
    </row>
    <row r="1412" spans="1:19" x14ac:dyDescent="0.25">
      <c r="A1412" s="15">
        <v>65</v>
      </c>
      <c r="B1412" s="65"/>
      <c r="C1412" s="65">
        <v>2429</v>
      </c>
      <c r="D1412" s="65"/>
      <c r="E1412" s="65" t="s">
        <v>787</v>
      </c>
      <c r="F1412" s="65">
        <v>5</v>
      </c>
      <c r="G1412" s="65"/>
      <c r="H1412" s="65" t="e">
        <v>#N/A</v>
      </c>
      <c r="I1412" s="65"/>
      <c r="J1412" s="65" t="s">
        <v>899</v>
      </c>
      <c r="K1412" s="65"/>
      <c r="L1412" s="65"/>
      <c r="M1412" s="65"/>
      <c r="N1412" s="65"/>
      <c r="O1412" s="65" t="s">
        <v>940</v>
      </c>
      <c r="P1412" s="65"/>
      <c r="Q1412" s="65">
        <v>1</v>
      </c>
      <c r="R1412" s="65">
        <v>1508</v>
      </c>
      <c r="S1412" s="65"/>
    </row>
    <row r="1413" spans="1:19" x14ac:dyDescent="0.25">
      <c r="A1413" s="15">
        <v>65</v>
      </c>
      <c r="B1413" s="65"/>
      <c r="C1413" s="65">
        <v>2429</v>
      </c>
      <c r="D1413" s="65"/>
      <c r="E1413" s="65" t="s">
        <v>787</v>
      </c>
      <c r="F1413" s="65">
        <v>5</v>
      </c>
      <c r="G1413" s="65"/>
      <c r="H1413" s="65" t="e">
        <v>#N/A</v>
      </c>
      <c r="I1413" s="65"/>
      <c r="J1413" s="65" t="s">
        <v>899</v>
      </c>
      <c r="K1413" s="65"/>
      <c r="L1413" s="65"/>
      <c r="M1413" s="65"/>
      <c r="N1413" s="65"/>
      <c r="O1413" s="65" t="s">
        <v>941</v>
      </c>
      <c r="P1413" s="65"/>
      <c r="Q1413" s="65">
        <v>1</v>
      </c>
      <c r="R1413" s="65">
        <v>1509</v>
      </c>
      <c r="S1413" s="65"/>
    </row>
    <row r="1414" spans="1:19" x14ac:dyDescent="0.25">
      <c r="A1414" s="15">
        <v>65</v>
      </c>
      <c r="B1414" s="65"/>
      <c r="C1414" s="65">
        <v>2429</v>
      </c>
      <c r="D1414" s="65"/>
      <c r="E1414" s="65" t="s">
        <v>787</v>
      </c>
      <c r="F1414" s="65">
        <v>5</v>
      </c>
      <c r="G1414" s="65"/>
      <c r="H1414" s="65" t="e">
        <v>#N/A</v>
      </c>
      <c r="I1414" s="65"/>
      <c r="J1414" s="65" t="s">
        <v>899</v>
      </c>
      <c r="K1414" s="65"/>
      <c r="L1414" s="65"/>
      <c r="M1414" s="65"/>
      <c r="N1414" s="65"/>
      <c r="O1414" s="65" t="s">
        <v>942</v>
      </c>
      <c r="P1414" s="65"/>
      <c r="Q1414" s="65">
        <v>1</v>
      </c>
      <c r="R1414" s="65">
        <v>1510</v>
      </c>
      <c r="S1414" s="65"/>
    </row>
    <row r="1415" spans="1:19" x14ac:dyDescent="0.25">
      <c r="A1415" s="15">
        <v>65</v>
      </c>
      <c r="B1415" s="65"/>
      <c r="C1415" s="65">
        <v>2429</v>
      </c>
      <c r="D1415" s="65"/>
      <c r="E1415" s="65" t="s">
        <v>787</v>
      </c>
      <c r="F1415" s="65">
        <v>5</v>
      </c>
      <c r="G1415" s="65"/>
      <c r="H1415" s="65" t="e">
        <v>#N/A</v>
      </c>
      <c r="I1415" s="65"/>
      <c r="J1415" s="65" t="s">
        <v>899</v>
      </c>
      <c r="K1415" s="65"/>
      <c r="L1415" s="65"/>
      <c r="M1415" s="65"/>
      <c r="N1415" s="65"/>
      <c r="O1415" s="65" t="s">
        <v>943</v>
      </c>
      <c r="P1415" s="65"/>
      <c r="Q1415" s="65">
        <v>1</v>
      </c>
      <c r="R1415" s="65">
        <v>1511</v>
      </c>
      <c r="S1415" s="65"/>
    </row>
    <row r="1416" spans="1:19" x14ac:dyDescent="0.25">
      <c r="A1416" s="15">
        <v>65</v>
      </c>
      <c r="B1416" s="65"/>
      <c r="C1416" s="65">
        <v>2429</v>
      </c>
      <c r="D1416" s="65"/>
      <c r="E1416" s="65" t="s">
        <v>787</v>
      </c>
      <c r="F1416" s="65">
        <v>5</v>
      </c>
      <c r="G1416" s="65"/>
      <c r="H1416" s="65" t="e">
        <v>#N/A</v>
      </c>
      <c r="I1416" s="65"/>
      <c r="J1416" s="65" t="s">
        <v>899</v>
      </c>
      <c r="K1416" s="65"/>
      <c r="L1416" s="65"/>
      <c r="M1416" s="65"/>
      <c r="N1416" s="65"/>
      <c r="O1416" s="65" t="s">
        <v>944</v>
      </c>
      <c r="P1416" s="65"/>
      <c r="Q1416" s="65">
        <v>1</v>
      </c>
      <c r="R1416" s="65">
        <v>1512</v>
      </c>
      <c r="S1416" s="65"/>
    </row>
    <row r="1417" spans="1:19" x14ac:dyDescent="0.25">
      <c r="A1417" s="15">
        <v>65</v>
      </c>
      <c r="B1417" s="65"/>
      <c r="C1417" s="65">
        <v>2429</v>
      </c>
      <c r="D1417" s="65"/>
      <c r="E1417" s="65" t="s">
        <v>787</v>
      </c>
      <c r="F1417" s="65">
        <v>5</v>
      </c>
      <c r="G1417" s="65"/>
      <c r="H1417" s="65" t="e">
        <v>#N/A</v>
      </c>
      <c r="I1417" s="65"/>
      <c r="J1417" s="65" t="s">
        <v>899</v>
      </c>
      <c r="K1417" s="65"/>
      <c r="L1417" s="65"/>
      <c r="M1417" s="65"/>
      <c r="N1417" s="65"/>
      <c r="O1417" s="65" t="s">
        <v>945</v>
      </c>
      <c r="P1417" s="65"/>
      <c r="Q1417" s="65">
        <v>1</v>
      </c>
      <c r="R1417" s="65">
        <v>1513</v>
      </c>
      <c r="S1417" s="65"/>
    </row>
    <row r="1418" spans="1:19" x14ac:dyDescent="0.25">
      <c r="A1418" s="15">
        <v>65</v>
      </c>
      <c r="B1418" s="65"/>
      <c r="C1418" s="65">
        <v>2429</v>
      </c>
      <c r="D1418" s="65"/>
      <c r="E1418" s="65" t="s">
        <v>787</v>
      </c>
      <c r="F1418" s="65">
        <v>5</v>
      </c>
      <c r="G1418" s="65"/>
      <c r="H1418" s="65" t="e">
        <v>#N/A</v>
      </c>
      <c r="I1418" s="65"/>
      <c r="J1418" s="65" t="s">
        <v>899</v>
      </c>
      <c r="K1418" s="65"/>
      <c r="L1418" s="65"/>
      <c r="M1418" s="65"/>
      <c r="N1418" s="65"/>
      <c r="O1418" s="65" t="s">
        <v>946</v>
      </c>
      <c r="P1418" s="65"/>
      <c r="Q1418" s="65">
        <v>1</v>
      </c>
      <c r="R1418" s="65">
        <v>1514</v>
      </c>
      <c r="S1418" s="65"/>
    </row>
    <row r="1419" spans="1:19" x14ac:dyDescent="0.25">
      <c r="A1419" s="15">
        <v>65</v>
      </c>
      <c r="B1419" s="65"/>
      <c r="C1419" s="65">
        <v>2429</v>
      </c>
      <c r="D1419" s="65"/>
      <c r="E1419" s="65" t="s">
        <v>787</v>
      </c>
      <c r="F1419" s="65">
        <v>5</v>
      </c>
      <c r="G1419" s="65"/>
      <c r="H1419" s="65" t="e">
        <v>#N/A</v>
      </c>
      <c r="I1419" s="65"/>
      <c r="J1419" s="65" t="s">
        <v>899</v>
      </c>
      <c r="K1419" s="65"/>
      <c r="L1419" s="65"/>
      <c r="M1419" s="65"/>
      <c r="N1419" s="65"/>
      <c r="O1419" s="65" t="s">
        <v>947</v>
      </c>
      <c r="P1419" s="65"/>
      <c r="Q1419" s="65">
        <v>1</v>
      </c>
      <c r="R1419" s="65">
        <v>1515</v>
      </c>
      <c r="S1419" s="65"/>
    </row>
    <row r="1420" spans="1:19" x14ac:dyDescent="0.25">
      <c r="A1420" s="15">
        <v>65</v>
      </c>
      <c r="B1420" s="65"/>
      <c r="C1420" s="65">
        <v>2429</v>
      </c>
      <c r="D1420" s="65"/>
      <c r="E1420" s="65" t="s">
        <v>787</v>
      </c>
      <c r="F1420" s="65">
        <v>5</v>
      </c>
      <c r="G1420" s="65"/>
      <c r="H1420" s="65" t="e">
        <v>#N/A</v>
      </c>
      <c r="I1420" s="65"/>
      <c r="J1420" s="65" t="s">
        <v>899</v>
      </c>
      <c r="K1420" s="65"/>
      <c r="L1420" s="65"/>
      <c r="M1420" s="65"/>
      <c r="N1420" s="65"/>
      <c r="O1420" s="65" t="s">
        <v>948</v>
      </c>
      <c r="P1420" s="65"/>
      <c r="Q1420" s="65">
        <v>1</v>
      </c>
      <c r="R1420" s="65">
        <v>1516</v>
      </c>
      <c r="S1420" s="65"/>
    </row>
    <row r="1421" spans="1:19" x14ac:dyDescent="0.25">
      <c r="A1421" s="15">
        <v>65</v>
      </c>
      <c r="B1421" s="65"/>
      <c r="C1421" s="65">
        <v>2429</v>
      </c>
      <c r="D1421" s="65"/>
      <c r="E1421" s="65" t="s">
        <v>787</v>
      </c>
      <c r="F1421" s="65">
        <v>5</v>
      </c>
      <c r="G1421" s="65"/>
      <c r="H1421" s="65" t="e">
        <v>#N/A</v>
      </c>
      <c r="I1421" s="65"/>
      <c r="J1421" s="65" t="s">
        <v>899</v>
      </c>
      <c r="K1421" s="65"/>
      <c r="L1421" s="65"/>
      <c r="M1421" s="65"/>
      <c r="N1421" s="65"/>
      <c r="O1421" s="65" t="s">
        <v>949</v>
      </c>
      <c r="P1421" s="65"/>
      <c r="Q1421" s="65">
        <v>1</v>
      </c>
      <c r="R1421" s="65">
        <v>1517</v>
      </c>
      <c r="S1421" s="65"/>
    </row>
    <row r="1422" spans="1:19" x14ac:dyDescent="0.25">
      <c r="A1422" s="15">
        <v>66</v>
      </c>
      <c r="B1422" s="65"/>
      <c r="C1422" s="65"/>
      <c r="D1422" s="65"/>
      <c r="E1422" s="65"/>
      <c r="F1422" s="65"/>
      <c r="G1422" s="65"/>
      <c r="H1422" s="65"/>
      <c r="I1422" s="65"/>
      <c r="J1422" s="65"/>
      <c r="K1422" s="65"/>
      <c r="L1422" s="65"/>
      <c r="M1422" s="65"/>
      <c r="N1422" s="65"/>
      <c r="O1422" s="65"/>
      <c r="P1422" s="65"/>
      <c r="Q1422" s="65"/>
      <c r="R1422" s="65"/>
      <c r="S1422" s="65"/>
    </row>
    <row r="1423" spans="1:19" x14ac:dyDescent="0.25">
      <c r="A1423" s="15">
        <v>66</v>
      </c>
      <c r="B1423" s="65"/>
      <c r="C1423" s="65"/>
      <c r="D1423" s="65"/>
      <c r="E1423" s="65"/>
      <c r="F1423" s="65"/>
      <c r="G1423" s="65"/>
      <c r="H1423" s="65"/>
      <c r="I1423" s="65"/>
      <c r="J1423" s="65"/>
      <c r="K1423" s="65"/>
      <c r="L1423" s="65"/>
      <c r="M1423" s="65"/>
      <c r="N1423" s="65"/>
      <c r="O1423" s="65" t="s">
        <v>855</v>
      </c>
      <c r="P1423" s="65"/>
      <c r="Q1423" s="65"/>
      <c r="R1423" s="65"/>
      <c r="S1423" s="65"/>
    </row>
    <row r="1424" spans="1:19" x14ac:dyDescent="0.25">
      <c r="A1424" s="15">
        <v>66</v>
      </c>
      <c r="B1424" s="65"/>
      <c r="C1424" s="65"/>
      <c r="D1424" s="65"/>
      <c r="E1424" s="65"/>
      <c r="F1424" s="65"/>
      <c r="G1424" s="65"/>
      <c r="H1424" s="65"/>
      <c r="I1424" s="65"/>
      <c r="J1424" s="65"/>
      <c r="K1424" s="65"/>
      <c r="L1424" s="65"/>
      <c r="M1424" s="65"/>
      <c r="N1424" s="65"/>
      <c r="O1424" s="65" t="s">
        <v>865</v>
      </c>
      <c r="P1424" s="65"/>
      <c r="Q1424" s="65"/>
      <c r="R1424" s="65"/>
      <c r="S1424" s="65"/>
    </row>
    <row r="1425" spans="1:19" x14ac:dyDescent="0.25">
      <c r="A1425" s="15">
        <v>66</v>
      </c>
      <c r="B1425" s="65"/>
      <c r="C1425" s="65"/>
      <c r="D1425" s="65"/>
      <c r="E1425" s="65"/>
      <c r="F1425" s="65"/>
      <c r="G1425" s="65"/>
      <c r="H1425" s="65"/>
      <c r="I1425" s="65"/>
      <c r="J1425" s="65"/>
      <c r="K1425" s="65"/>
      <c r="L1425" s="65"/>
      <c r="M1425" s="65"/>
      <c r="N1425" s="65"/>
      <c r="O1425" s="65" t="s">
        <v>877</v>
      </c>
      <c r="P1425" s="65"/>
      <c r="Q1425" s="65"/>
      <c r="R1425" s="65"/>
      <c r="S1425" s="65"/>
    </row>
    <row r="1426" spans="1:19" x14ac:dyDescent="0.25">
      <c r="A1426" s="15">
        <v>66</v>
      </c>
      <c r="B1426" s="65"/>
      <c r="C1426" s="65" t="s">
        <v>79</v>
      </c>
      <c r="D1426" s="65"/>
      <c r="E1426" s="65" t="s">
        <v>787</v>
      </c>
      <c r="F1426" s="65">
        <v>10</v>
      </c>
      <c r="G1426" s="65"/>
      <c r="H1426" s="65">
        <v>10</v>
      </c>
      <c r="I1426" s="65">
        <v>11.916666666666666</v>
      </c>
      <c r="J1426" s="65" t="s">
        <v>879</v>
      </c>
      <c r="K1426" s="65"/>
      <c r="L1426" s="65"/>
      <c r="M1426" s="65"/>
      <c r="N1426" s="65"/>
      <c r="O1426" s="65" t="s">
        <v>880</v>
      </c>
      <c r="P1426" s="65"/>
      <c r="Q1426" s="65">
        <v>1</v>
      </c>
      <c r="R1426" s="65">
        <v>331</v>
      </c>
      <c r="S1426" s="65"/>
    </row>
    <row r="1427" spans="1:19" x14ac:dyDescent="0.25">
      <c r="A1427" s="15">
        <v>66</v>
      </c>
      <c r="B1427" s="65"/>
      <c r="C1427" s="65">
        <v>2429</v>
      </c>
      <c r="D1427" s="65"/>
      <c r="E1427" s="65" t="s">
        <v>787</v>
      </c>
      <c r="F1427" s="65">
        <v>10</v>
      </c>
      <c r="G1427" s="65"/>
      <c r="H1427" s="65"/>
      <c r="I1427" s="65">
        <v>15.666666666666666</v>
      </c>
      <c r="J1427" s="65" t="s">
        <v>879</v>
      </c>
      <c r="K1427" s="65"/>
      <c r="L1427" s="65"/>
      <c r="M1427" s="65"/>
      <c r="N1427" s="65"/>
      <c r="O1427" s="65" t="s">
        <v>882</v>
      </c>
      <c r="P1427" s="65"/>
      <c r="Q1427" s="65">
        <v>1</v>
      </c>
      <c r="R1427" s="65">
        <v>538</v>
      </c>
      <c r="S1427" s="65"/>
    </row>
    <row r="1428" spans="1:19" x14ac:dyDescent="0.25">
      <c r="A1428" s="15">
        <v>66</v>
      </c>
      <c r="B1428" s="65"/>
      <c r="C1428" s="65">
        <v>2429</v>
      </c>
      <c r="D1428" s="65"/>
      <c r="E1428" s="65" t="s">
        <v>787</v>
      </c>
      <c r="F1428" s="65">
        <v>6</v>
      </c>
      <c r="G1428" s="65"/>
      <c r="H1428" s="65"/>
      <c r="I1428" s="65">
        <v>15.666666666666666</v>
      </c>
      <c r="J1428" s="65" t="s">
        <v>879</v>
      </c>
      <c r="K1428" s="65"/>
      <c r="L1428" s="65"/>
      <c r="M1428" s="65"/>
      <c r="N1428" s="65"/>
      <c r="O1428" s="65" t="s">
        <v>883</v>
      </c>
      <c r="P1428" s="65"/>
      <c r="Q1428" s="65">
        <v>1</v>
      </c>
      <c r="R1428" s="65">
        <v>539</v>
      </c>
      <c r="S1428" s="65"/>
    </row>
    <row r="1429" spans="1:19" x14ac:dyDescent="0.25">
      <c r="A1429" s="15">
        <v>66</v>
      </c>
      <c r="B1429" s="65"/>
      <c r="C1429" s="65">
        <v>2429</v>
      </c>
      <c r="D1429" s="65"/>
      <c r="E1429" s="65" t="s">
        <v>787</v>
      </c>
      <c r="F1429" s="65">
        <v>6</v>
      </c>
      <c r="G1429" s="65"/>
      <c r="H1429" s="65"/>
      <c r="I1429" s="65">
        <v>15.666666666666666</v>
      </c>
      <c r="J1429" s="65" t="s">
        <v>879</v>
      </c>
      <c r="K1429" s="65"/>
      <c r="L1429" s="65"/>
      <c r="M1429" s="65"/>
      <c r="N1429" s="65"/>
      <c r="O1429" s="65" t="s">
        <v>884</v>
      </c>
      <c r="P1429" s="65"/>
      <c r="Q1429" s="65">
        <v>1</v>
      </c>
      <c r="R1429" s="65">
        <v>540</v>
      </c>
      <c r="S1429" s="65"/>
    </row>
    <row r="1430" spans="1:19" x14ac:dyDescent="0.25">
      <c r="A1430" s="15">
        <v>66</v>
      </c>
      <c r="B1430" s="65"/>
      <c r="C1430" s="65">
        <v>2429</v>
      </c>
      <c r="D1430" s="65"/>
      <c r="E1430" s="65" t="s">
        <v>787</v>
      </c>
      <c r="F1430" s="65">
        <v>6</v>
      </c>
      <c r="G1430" s="65"/>
      <c r="H1430" s="65"/>
      <c r="I1430" s="65">
        <v>15.666666666666666</v>
      </c>
      <c r="J1430" s="65" t="s">
        <v>879</v>
      </c>
      <c r="K1430" s="65"/>
      <c r="L1430" s="65"/>
      <c r="M1430" s="65"/>
      <c r="N1430" s="65"/>
      <c r="O1430" s="65" t="s">
        <v>885</v>
      </c>
      <c r="P1430" s="65"/>
      <c r="Q1430" s="65">
        <v>1</v>
      </c>
      <c r="R1430" s="65">
        <v>541</v>
      </c>
      <c r="S1430" s="65"/>
    </row>
    <row r="1431" spans="1:19" x14ac:dyDescent="0.25">
      <c r="A1431" s="15">
        <v>66</v>
      </c>
      <c r="B1431" s="65"/>
      <c r="C1431" s="65">
        <v>2429</v>
      </c>
      <c r="D1431" s="65"/>
      <c r="E1431" s="65" t="s">
        <v>787</v>
      </c>
      <c r="F1431" s="65">
        <v>6</v>
      </c>
      <c r="G1431" s="65"/>
      <c r="H1431" s="65"/>
      <c r="I1431" s="65">
        <v>15.666666666666666</v>
      </c>
      <c r="J1431" s="65" t="s">
        <v>879</v>
      </c>
      <c r="K1431" s="65"/>
      <c r="L1431" s="65"/>
      <c r="M1431" s="65"/>
      <c r="N1431" s="65"/>
      <c r="O1431" s="65" t="s">
        <v>886</v>
      </c>
      <c r="P1431" s="65"/>
      <c r="Q1431" s="65">
        <v>1</v>
      </c>
      <c r="R1431" s="65">
        <v>542</v>
      </c>
      <c r="S1431" s="65"/>
    </row>
    <row r="1432" spans="1:19" x14ac:dyDescent="0.25">
      <c r="A1432" s="15">
        <v>66</v>
      </c>
      <c r="B1432" s="65"/>
      <c r="C1432" s="65">
        <v>2429</v>
      </c>
      <c r="D1432" s="65"/>
      <c r="E1432" s="65" t="s">
        <v>787</v>
      </c>
      <c r="F1432" s="65">
        <v>6</v>
      </c>
      <c r="G1432" s="65"/>
      <c r="H1432" s="65"/>
      <c r="I1432" s="65">
        <v>15.666666666666666</v>
      </c>
      <c r="J1432" s="65" t="s">
        <v>879</v>
      </c>
      <c r="K1432" s="65"/>
      <c r="L1432" s="65"/>
      <c r="M1432" s="65"/>
      <c r="N1432" s="65"/>
      <c r="O1432" s="65" t="s">
        <v>887</v>
      </c>
      <c r="P1432" s="65"/>
      <c r="Q1432" s="65">
        <v>1</v>
      </c>
      <c r="R1432" s="65">
        <v>543</v>
      </c>
      <c r="S1432" s="65"/>
    </row>
    <row r="1433" spans="1:19" x14ac:dyDescent="0.25">
      <c r="A1433" s="15">
        <v>66</v>
      </c>
      <c r="B1433" s="65"/>
      <c r="C1433" s="65">
        <v>2429</v>
      </c>
      <c r="D1433" s="65"/>
      <c r="E1433" s="65" t="s">
        <v>787</v>
      </c>
      <c r="F1433" s="65">
        <v>6</v>
      </c>
      <c r="G1433" s="65"/>
      <c r="H1433" s="65"/>
      <c r="I1433" s="65">
        <v>15.666666666666666</v>
      </c>
      <c r="J1433" s="65" t="s">
        <v>879</v>
      </c>
      <c r="K1433" s="65"/>
      <c r="L1433" s="65"/>
      <c r="M1433" s="65"/>
      <c r="N1433" s="65"/>
      <c r="O1433" s="65" t="s">
        <v>888</v>
      </c>
      <c r="P1433" s="65"/>
      <c r="Q1433" s="65">
        <v>1</v>
      </c>
      <c r="R1433" s="65">
        <v>544</v>
      </c>
      <c r="S1433" s="65"/>
    </row>
    <row r="1434" spans="1:19" x14ac:dyDescent="0.25">
      <c r="A1434" s="15">
        <v>66</v>
      </c>
      <c r="B1434" s="65"/>
      <c r="C1434" s="65">
        <v>2429</v>
      </c>
      <c r="D1434" s="65"/>
      <c r="E1434" s="65" t="s">
        <v>787</v>
      </c>
      <c r="F1434" s="65">
        <v>6</v>
      </c>
      <c r="G1434" s="65"/>
      <c r="H1434" s="65"/>
      <c r="I1434" s="65">
        <v>15.666666666666666</v>
      </c>
      <c r="J1434" s="65" t="s">
        <v>879</v>
      </c>
      <c r="K1434" s="65"/>
      <c r="L1434" s="65"/>
      <c r="M1434" s="65"/>
      <c r="N1434" s="65"/>
      <c r="O1434" s="65" t="s">
        <v>889</v>
      </c>
      <c r="P1434" s="65"/>
      <c r="Q1434" s="65">
        <v>1</v>
      </c>
      <c r="R1434" s="65">
        <v>545</v>
      </c>
      <c r="S1434" s="65"/>
    </row>
    <row r="1435" spans="1:19" x14ac:dyDescent="0.25">
      <c r="A1435" s="15">
        <v>66</v>
      </c>
      <c r="B1435" s="65"/>
      <c r="C1435" s="65">
        <v>2429</v>
      </c>
      <c r="D1435" s="65"/>
      <c r="E1435" s="65" t="s">
        <v>787</v>
      </c>
      <c r="F1435" s="65">
        <v>6</v>
      </c>
      <c r="G1435" s="65"/>
      <c r="H1435" s="65"/>
      <c r="I1435" s="65">
        <v>15.666666666666666</v>
      </c>
      <c r="J1435" s="65" t="s">
        <v>879</v>
      </c>
      <c r="K1435" s="65"/>
      <c r="L1435" s="65"/>
      <c r="M1435" s="65"/>
      <c r="N1435" s="65"/>
      <c r="O1435" s="65" t="s">
        <v>890</v>
      </c>
      <c r="P1435" s="65"/>
      <c r="Q1435" s="65">
        <v>1</v>
      </c>
      <c r="R1435" s="65">
        <v>546</v>
      </c>
      <c r="S1435" s="65"/>
    </row>
    <row r="1436" spans="1:19" x14ac:dyDescent="0.25">
      <c r="A1436" s="15">
        <v>66</v>
      </c>
      <c r="B1436" s="65"/>
      <c r="C1436" s="65">
        <v>2429</v>
      </c>
      <c r="D1436" s="65"/>
      <c r="E1436" s="65" t="s">
        <v>787</v>
      </c>
      <c r="F1436" s="65">
        <v>6</v>
      </c>
      <c r="G1436" s="65"/>
      <c r="H1436" s="65"/>
      <c r="I1436" s="65">
        <v>15.666666666666666</v>
      </c>
      <c r="J1436" s="65" t="s">
        <v>879</v>
      </c>
      <c r="K1436" s="65"/>
      <c r="L1436" s="65"/>
      <c r="M1436" s="65"/>
      <c r="N1436" s="65"/>
      <c r="O1436" s="65" t="s">
        <v>891</v>
      </c>
      <c r="P1436" s="65"/>
      <c r="Q1436" s="65">
        <v>1</v>
      </c>
      <c r="R1436" s="65">
        <v>547</v>
      </c>
      <c r="S1436" s="65"/>
    </row>
    <row r="1437" spans="1:19" x14ac:dyDescent="0.25">
      <c r="A1437" s="15">
        <v>66</v>
      </c>
      <c r="B1437" s="65"/>
      <c r="C1437" s="65">
        <v>2429</v>
      </c>
      <c r="D1437" s="65"/>
      <c r="E1437" s="65" t="s">
        <v>787</v>
      </c>
      <c r="F1437" s="65">
        <v>10</v>
      </c>
      <c r="G1437" s="65"/>
      <c r="H1437" s="65"/>
      <c r="I1437" s="65">
        <v>10.583333333333334</v>
      </c>
      <c r="J1437" s="65" t="s">
        <v>879</v>
      </c>
      <c r="K1437" s="65"/>
      <c r="L1437" s="65"/>
      <c r="M1437" s="65"/>
      <c r="N1437" s="65"/>
      <c r="O1437" s="65" t="s">
        <v>892</v>
      </c>
      <c r="P1437" s="65"/>
      <c r="Q1437" s="65">
        <v>1</v>
      </c>
      <c r="R1437" s="65">
        <v>548</v>
      </c>
      <c r="S1437" s="65"/>
    </row>
    <row r="1438" spans="1:19" x14ac:dyDescent="0.25">
      <c r="A1438" s="15">
        <v>66</v>
      </c>
      <c r="B1438" s="65"/>
      <c r="C1438" s="65">
        <v>2429</v>
      </c>
      <c r="D1438" s="65"/>
      <c r="E1438" s="65" t="s">
        <v>787</v>
      </c>
      <c r="F1438" s="65">
        <v>1</v>
      </c>
      <c r="G1438" s="65"/>
      <c r="H1438" s="65" t="e">
        <v>#N/A</v>
      </c>
      <c r="I1438" s="65"/>
      <c r="J1438" s="65" t="s">
        <v>899</v>
      </c>
      <c r="K1438" s="65" t="s">
        <v>900</v>
      </c>
      <c r="L1438" s="65" t="s">
        <v>900</v>
      </c>
      <c r="M1438" s="65" t="s">
        <v>900</v>
      </c>
      <c r="N1438" s="65" t="s">
        <v>900</v>
      </c>
      <c r="O1438" s="65" t="s">
        <v>901</v>
      </c>
      <c r="P1438" s="65"/>
      <c r="Q1438" s="65">
        <v>1</v>
      </c>
      <c r="R1438" s="65">
        <v>770</v>
      </c>
      <c r="S1438" s="65"/>
    </row>
    <row r="1439" spans="1:19" x14ac:dyDescent="0.25">
      <c r="A1439" s="15">
        <v>66</v>
      </c>
      <c r="B1439" s="65"/>
      <c r="C1439" s="65">
        <v>2429</v>
      </c>
      <c r="D1439" s="65"/>
      <c r="E1439" s="65" t="s">
        <v>787</v>
      </c>
      <c r="F1439" s="65">
        <v>1</v>
      </c>
      <c r="G1439" s="65"/>
      <c r="H1439" s="65" t="e">
        <v>#N/A</v>
      </c>
      <c r="I1439" s="65"/>
      <c r="J1439" s="65" t="s">
        <v>899</v>
      </c>
      <c r="K1439" s="65" t="s">
        <v>900</v>
      </c>
      <c r="L1439" s="65" t="s">
        <v>900</v>
      </c>
      <c r="M1439" s="65" t="s">
        <v>900</v>
      </c>
      <c r="N1439" s="65" t="s">
        <v>900</v>
      </c>
      <c r="O1439" s="65" t="s">
        <v>902</v>
      </c>
      <c r="P1439" s="65"/>
      <c r="Q1439" s="65">
        <v>1</v>
      </c>
      <c r="R1439" s="65">
        <v>771</v>
      </c>
      <c r="S1439" s="65"/>
    </row>
    <row r="1440" spans="1:19" x14ac:dyDescent="0.25">
      <c r="A1440" s="15">
        <v>66</v>
      </c>
      <c r="B1440" s="65"/>
      <c r="C1440" s="65">
        <v>2429</v>
      </c>
      <c r="D1440" s="65"/>
      <c r="E1440" s="65" t="s">
        <v>787</v>
      </c>
      <c r="F1440" s="65">
        <v>1</v>
      </c>
      <c r="G1440" s="65"/>
      <c r="H1440" s="65" t="e">
        <v>#N/A</v>
      </c>
      <c r="I1440" s="65"/>
      <c r="J1440" s="65" t="s">
        <v>899</v>
      </c>
      <c r="K1440" s="65" t="s">
        <v>900</v>
      </c>
      <c r="L1440" s="65" t="s">
        <v>900</v>
      </c>
      <c r="M1440" s="65" t="s">
        <v>900</v>
      </c>
      <c r="N1440" s="65" t="s">
        <v>900</v>
      </c>
      <c r="O1440" s="65" t="s">
        <v>903</v>
      </c>
      <c r="P1440" s="65"/>
      <c r="Q1440" s="65">
        <v>1</v>
      </c>
      <c r="R1440" s="65">
        <v>772</v>
      </c>
      <c r="S1440" s="65"/>
    </row>
    <row r="1441" spans="1:19" x14ac:dyDescent="0.25">
      <c r="A1441" s="15">
        <v>66</v>
      </c>
      <c r="B1441" s="65"/>
      <c r="C1441" s="65">
        <v>2429</v>
      </c>
      <c r="D1441" s="65"/>
      <c r="E1441" s="65" t="s">
        <v>787</v>
      </c>
      <c r="F1441" s="65">
        <v>1</v>
      </c>
      <c r="G1441" s="65"/>
      <c r="H1441" s="65" t="e">
        <v>#N/A</v>
      </c>
      <c r="I1441" s="65"/>
      <c r="J1441" s="65" t="s">
        <v>899</v>
      </c>
      <c r="K1441" s="65" t="s">
        <v>900</v>
      </c>
      <c r="L1441" s="65" t="s">
        <v>900</v>
      </c>
      <c r="M1441" s="65" t="s">
        <v>900</v>
      </c>
      <c r="N1441" s="65" t="s">
        <v>900</v>
      </c>
      <c r="O1441" s="65" t="s">
        <v>904</v>
      </c>
      <c r="P1441" s="65"/>
      <c r="Q1441" s="65">
        <v>1</v>
      </c>
      <c r="R1441" s="65">
        <v>773</v>
      </c>
      <c r="S1441" s="65"/>
    </row>
    <row r="1442" spans="1:19" x14ac:dyDescent="0.25">
      <c r="A1442" s="15">
        <v>66</v>
      </c>
      <c r="B1442" s="65"/>
      <c r="C1442" s="65">
        <v>2429</v>
      </c>
      <c r="D1442" s="65"/>
      <c r="E1442" s="65" t="s">
        <v>787</v>
      </c>
      <c r="F1442" s="65">
        <v>1</v>
      </c>
      <c r="G1442" s="65"/>
      <c r="H1442" s="65" t="e">
        <v>#N/A</v>
      </c>
      <c r="I1442" s="65"/>
      <c r="J1442" s="65" t="s">
        <v>899</v>
      </c>
      <c r="K1442" s="65" t="s">
        <v>900</v>
      </c>
      <c r="L1442" s="65" t="s">
        <v>900</v>
      </c>
      <c r="M1442" s="65" t="s">
        <v>900</v>
      </c>
      <c r="N1442" s="65" t="s">
        <v>900</v>
      </c>
      <c r="O1442" s="65" t="s">
        <v>905</v>
      </c>
      <c r="P1442" s="65"/>
      <c r="Q1442" s="65">
        <v>1</v>
      </c>
      <c r="R1442" s="65">
        <v>774</v>
      </c>
      <c r="S1442" s="65"/>
    </row>
    <row r="1443" spans="1:19" x14ac:dyDescent="0.25">
      <c r="A1443" s="15">
        <v>66</v>
      </c>
      <c r="B1443" s="65"/>
      <c r="C1443" s="65">
        <v>2429</v>
      </c>
      <c r="D1443" s="65"/>
      <c r="E1443" s="65" t="s">
        <v>787</v>
      </c>
      <c r="F1443" s="65">
        <v>1</v>
      </c>
      <c r="G1443" s="65"/>
      <c r="H1443" s="65" t="e">
        <v>#N/A</v>
      </c>
      <c r="I1443" s="65"/>
      <c r="J1443" s="65" t="s">
        <v>899</v>
      </c>
      <c r="K1443" s="65" t="s">
        <v>900</v>
      </c>
      <c r="L1443" s="65" t="s">
        <v>900</v>
      </c>
      <c r="M1443" s="65" t="s">
        <v>900</v>
      </c>
      <c r="N1443" s="65" t="s">
        <v>900</v>
      </c>
      <c r="O1443" s="65" t="s">
        <v>906</v>
      </c>
      <c r="P1443" s="65"/>
      <c r="Q1443" s="65">
        <v>1</v>
      </c>
      <c r="R1443" s="65">
        <v>775</v>
      </c>
      <c r="S1443" s="65"/>
    </row>
    <row r="1444" spans="1:19" x14ac:dyDescent="0.25">
      <c r="A1444" s="15">
        <v>66</v>
      </c>
      <c r="B1444" s="65"/>
      <c r="C1444" s="65">
        <v>2429</v>
      </c>
      <c r="D1444" s="65"/>
      <c r="E1444" s="65" t="s">
        <v>787</v>
      </c>
      <c r="F1444" s="65">
        <v>1</v>
      </c>
      <c r="G1444" s="65"/>
      <c r="H1444" s="65" t="e">
        <v>#N/A</v>
      </c>
      <c r="I1444" s="65"/>
      <c r="J1444" s="65" t="s">
        <v>899</v>
      </c>
      <c r="K1444" s="65" t="s">
        <v>900</v>
      </c>
      <c r="L1444" s="65" t="s">
        <v>900</v>
      </c>
      <c r="M1444" s="65" t="s">
        <v>900</v>
      </c>
      <c r="N1444" s="65" t="s">
        <v>900</v>
      </c>
      <c r="O1444" s="65" t="s">
        <v>907</v>
      </c>
      <c r="P1444" s="65"/>
      <c r="Q1444" s="65">
        <v>1</v>
      </c>
      <c r="R1444" s="65">
        <v>776</v>
      </c>
      <c r="S1444" s="65"/>
    </row>
    <row r="1445" spans="1:19" x14ac:dyDescent="0.25">
      <c r="A1445" s="15">
        <v>66</v>
      </c>
      <c r="B1445" s="65"/>
      <c r="C1445" s="65">
        <v>2429</v>
      </c>
      <c r="D1445" s="65"/>
      <c r="E1445" s="65" t="s">
        <v>787</v>
      </c>
      <c r="F1445" s="65">
        <v>1</v>
      </c>
      <c r="G1445" s="65"/>
      <c r="H1445" s="65" t="e">
        <v>#N/A</v>
      </c>
      <c r="I1445" s="65"/>
      <c r="J1445" s="65" t="s">
        <v>899</v>
      </c>
      <c r="K1445" s="65" t="s">
        <v>900</v>
      </c>
      <c r="L1445" s="65" t="s">
        <v>900</v>
      </c>
      <c r="M1445" s="65" t="s">
        <v>900</v>
      </c>
      <c r="N1445" s="65" t="s">
        <v>900</v>
      </c>
      <c r="O1445" s="65" t="s">
        <v>908</v>
      </c>
      <c r="P1445" s="65"/>
      <c r="Q1445" s="65">
        <v>1</v>
      </c>
      <c r="R1445" s="65">
        <v>777</v>
      </c>
      <c r="S1445" s="65"/>
    </row>
    <row r="1446" spans="1:19" x14ac:dyDescent="0.25">
      <c r="A1446" s="15">
        <v>66</v>
      </c>
      <c r="B1446" s="65"/>
      <c r="C1446" s="65">
        <v>2429</v>
      </c>
      <c r="D1446" s="65"/>
      <c r="E1446" s="65" t="s">
        <v>787</v>
      </c>
      <c r="F1446" s="65">
        <v>1</v>
      </c>
      <c r="G1446" s="65"/>
      <c r="H1446" s="65" t="e">
        <v>#N/A</v>
      </c>
      <c r="I1446" s="65"/>
      <c r="J1446" s="65" t="s">
        <v>899</v>
      </c>
      <c r="K1446" s="65" t="s">
        <v>900</v>
      </c>
      <c r="L1446" s="65" t="s">
        <v>900</v>
      </c>
      <c r="M1446" s="65" t="s">
        <v>900</v>
      </c>
      <c r="N1446" s="65" t="s">
        <v>900</v>
      </c>
      <c r="O1446" s="65" t="s">
        <v>909</v>
      </c>
      <c r="P1446" s="65"/>
      <c r="Q1446" s="65">
        <v>1</v>
      </c>
      <c r="R1446" s="65">
        <v>778</v>
      </c>
      <c r="S1446" s="65"/>
    </row>
    <row r="1447" spans="1:19" x14ac:dyDescent="0.25">
      <c r="A1447" s="15">
        <v>66</v>
      </c>
      <c r="B1447" s="65"/>
      <c r="C1447" s="65">
        <v>2429</v>
      </c>
      <c r="D1447" s="65"/>
      <c r="E1447" s="65" t="s">
        <v>787</v>
      </c>
      <c r="F1447" s="65">
        <v>1</v>
      </c>
      <c r="G1447" s="65"/>
      <c r="H1447" s="65" t="e">
        <v>#N/A</v>
      </c>
      <c r="I1447" s="65"/>
      <c r="J1447" s="65" t="s">
        <v>899</v>
      </c>
      <c r="K1447" s="65" t="s">
        <v>900</v>
      </c>
      <c r="L1447" s="65" t="s">
        <v>900</v>
      </c>
      <c r="M1447" s="65" t="s">
        <v>900</v>
      </c>
      <c r="N1447" s="65" t="s">
        <v>900</v>
      </c>
      <c r="O1447" s="65" t="s">
        <v>910</v>
      </c>
      <c r="P1447" s="65"/>
      <c r="Q1447" s="65">
        <v>1</v>
      </c>
      <c r="R1447" s="65">
        <v>779</v>
      </c>
      <c r="S1447" s="65"/>
    </row>
    <row r="1448" spans="1:19" x14ac:dyDescent="0.25">
      <c r="A1448" s="15">
        <v>66</v>
      </c>
      <c r="B1448" s="65"/>
      <c r="C1448" s="65">
        <v>2429</v>
      </c>
      <c r="D1448" s="65"/>
      <c r="E1448" s="65" t="s">
        <v>787</v>
      </c>
      <c r="F1448" s="65">
        <v>1</v>
      </c>
      <c r="G1448" s="65"/>
      <c r="H1448" s="65" t="e">
        <v>#N/A</v>
      </c>
      <c r="I1448" s="65"/>
      <c r="J1448" s="65" t="s">
        <v>899</v>
      </c>
      <c r="K1448" s="65" t="s">
        <v>900</v>
      </c>
      <c r="L1448" s="65" t="s">
        <v>900</v>
      </c>
      <c r="M1448" s="65" t="s">
        <v>900</v>
      </c>
      <c r="N1448" s="65" t="s">
        <v>900</v>
      </c>
      <c r="O1448" s="65" t="s">
        <v>911</v>
      </c>
      <c r="P1448" s="65"/>
      <c r="Q1448" s="65">
        <v>1</v>
      </c>
      <c r="R1448" s="65">
        <v>780</v>
      </c>
      <c r="S1448" s="65"/>
    </row>
    <row r="1449" spans="1:19" x14ac:dyDescent="0.25">
      <c r="A1449" s="15">
        <v>66</v>
      </c>
      <c r="B1449" s="65"/>
      <c r="C1449" s="65">
        <v>2429</v>
      </c>
      <c r="D1449" s="65"/>
      <c r="E1449" s="65" t="s">
        <v>787</v>
      </c>
      <c r="F1449" s="65">
        <v>0</v>
      </c>
      <c r="G1449" s="65"/>
      <c r="H1449" s="65">
        <v>3</v>
      </c>
      <c r="I1449" s="65" t="e">
        <v>#N/A</v>
      </c>
      <c r="J1449" s="65" t="s">
        <v>899</v>
      </c>
      <c r="K1449" s="65"/>
      <c r="L1449" s="65"/>
      <c r="M1449" s="65"/>
      <c r="N1449" s="65"/>
      <c r="O1449" s="65" t="s">
        <v>913</v>
      </c>
      <c r="P1449" s="65"/>
      <c r="Q1449" s="65">
        <v>1</v>
      </c>
      <c r="R1449" s="65">
        <v>997</v>
      </c>
      <c r="S1449" s="65"/>
    </row>
    <row r="1450" spans="1:19" x14ac:dyDescent="0.25">
      <c r="A1450" s="15">
        <v>66</v>
      </c>
      <c r="B1450" s="65"/>
      <c r="C1450" s="65">
        <v>2429</v>
      </c>
      <c r="D1450" s="65"/>
      <c r="E1450" s="65" t="s">
        <v>787</v>
      </c>
      <c r="F1450" s="65">
        <v>0</v>
      </c>
      <c r="G1450" s="65"/>
      <c r="H1450" s="65">
        <v>3</v>
      </c>
      <c r="I1450" s="65" t="e">
        <v>#N/A</v>
      </c>
      <c r="J1450" s="65" t="s">
        <v>899</v>
      </c>
      <c r="K1450" s="65"/>
      <c r="L1450" s="65"/>
      <c r="M1450" s="65"/>
      <c r="N1450" s="65"/>
      <c r="O1450" s="65" t="s">
        <v>914</v>
      </c>
      <c r="P1450" s="65"/>
      <c r="Q1450" s="65">
        <v>1</v>
      </c>
      <c r="R1450" s="65">
        <v>998</v>
      </c>
      <c r="S1450" s="65"/>
    </row>
    <row r="1451" spans="1:19" x14ac:dyDescent="0.25">
      <c r="A1451" s="15">
        <v>66</v>
      </c>
      <c r="B1451" s="65"/>
      <c r="C1451" s="65">
        <v>2429</v>
      </c>
      <c r="D1451" s="65"/>
      <c r="E1451" s="65" t="s">
        <v>787</v>
      </c>
      <c r="F1451" s="65">
        <v>0</v>
      </c>
      <c r="G1451" s="65"/>
      <c r="H1451" s="65">
        <v>3</v>
      </c>
      <c r="I1451" s="65" t="e">
        <v>#N/A</v>
      </c>
      <c r="J1451" s="65" t="s">
        <v>899</v>
      </c>
      <c r="K1451" s="65"/>
      <c r="L1451" s="65"/>
      <c r="M1451" s="65"/>
      <c r="N1451" s="65"/>
      <c r="O1451" s="65" t="s">
        <v>915</v>
      </c>
      <c r="P1451" s="65"/>
      <c r="Q1451" s="65">
        <v>1</v>
      </c>
      <c r="R1451" s="65">
        <v>999</v>
      </c>
      <c r="S1451" s="65"/>
    </row>
    <row r="1452" spans="1:19" x14ac:dyDescent="0.25">
      <c r="A1452" s="15">
        <v>66</v>
      </c>
      <c r="B1452" s="65"/>
      <c r="C1452" s="65">
        <v>2429</v>
      </c>
      <c r="D1452" s="65"/>
      <c r="E1452" s="65" t="s">
        <v>787</v>
      </c>
      <c r="F1452" s="65">
        <v>0</v>
      </c>
      <c r="G1452" s="65"/>
      <c r="H1452" s="65">
        <v>3</v>
      </c>
      <c r="I1452" s="65" t="e">
        <v>#N/A</v>
      </c>
      <c r="J1452" s="65" t="s">
        <v>899</v>
      </c>
      <c r="K1452" s="65"/>
      <c r="L1452" s="65"/>
      <c r="M1452" s="65"/>
      <c r="N1452" s="65"/>
      <c r="O1452" s="65" t="s">
        <v>916</v>
      </c>
      <c r="P1452" s="65"/>
      <c r="Q1452" s="65">
        <v>1</v>
      </c>
      <c r="R1452" s="65">
        <v>1000</v>
      </c>
      <c r="S1452" s="65"/>
    </row>
    <row r="1453" spans="1:19" x14ac:dyDescent="0.25">
      <c r="A1453" s="15">
        <v>66</v>
      </c>
      <c r="B1453" s="65"/>
      <c r="C1453" s="65">
        <v>2429</v>
      </c>
      <c r="D1453" s="65"/>
      <c r="E1453" s="65" t="s">
        <v>787</v>
      </c>
      <c r="F1453" s="65">
        <v>0</v>
      </c>
      <c r="G1453" s="65"/>
      <c r="H1453" s="65">
        <v>3</v>
      </c>
      <c r="I1453" s="65" t="e">
        <v>#N/A</v>
      </c>
      <c r="J1453" s="65" t="s">
        <v>899</v>
      </c>
      <c r="K1453" s="65"/>
      <c r="L1453" s="65"/>
      <c r="M1453" s="65"/>
      <c r="N1453" s="65"/>
      <c r="O1453" s="65" t="s">
        <v>917</v>
      </c>
      <c r="P1453" s="65"/>
      <c r="Q1453" s="65">
        <v>1</v>
      </c>
      <c r="R1453" s="65">
        <v>1001</v>
      </c>
      <c r="S1453" s="65"/>
    </row>
    <row r="1454" spans="1:19" x14ac:dyDescent="0.25">
      <c r="A1454" s="15">
        <v>66</v>
      </c>
      <c r="B1454" s="65"/>
      <c r="C1454" s="65">
        <v>2429</v>
      </c>
      <c r="D1454" s="65"/>
      <c r="E1454" s="65" t="s">
        <v>787</v>
      </c>
      <c r="F1454" s="65">
        <v>0</v>
      </c>
      <c r="G1454" s="65"/>
      <c r="H1454" s="65">
        <v>3</v>
      </c>
      <c r="I1454" s="65" t="e">
        <v>#N/A</v>
      </c>
      <c r="J1454" s="65" t="s">
        <v>899</v>
      </c>
      <c r="K1454" s="65"/>
      <c r="L1454" s="65"/>
      <c r="M1454" s="65"/>
      <c r="N1454" s="65"/>
      <c r="O1454" s="65" t="s">
        <v>918</v>
      </c>
      <c r="P1454" s="65"/>
      <c r="Q1454" s="65">
        <v>1</v>
      </c>
      <c r="R1454" s="65">
        <v>1002</v>
      </c>
      <c r="S1454" s="65"/>
    </row>
    <row r="1455" spans="1:19" x14ac:dyDescent="0.25">
      <c r="A1455" s="15">
        <v>66</v>
      </c>
      <c r="B1455" s="65"/>
      <c r="C1455" s="65">
        <v>2429</v>
      </c>
      <c r="D1455" s="65"/>
      <c r="E1455" s="65" t="s">
        <v>787</v>
      </c>
      <c r="F1455" s="65">
        <v>0</v>
      </c>
      <c r="G1455" s="65"/>
      <c r="H1455" s="65">
        <v>3</v>
      </c>
      <c r="I1455" s="65" t="e">
        <v>#N/A</v>
      </c>
      <c r="J1455" s="65" t="s">
        <v>899</v>
      </c>
      <c r="K1455" s="65"/>
      <c r="L1455" s="65"/>
      <c r="M1455" s="65"/>
      <c r="N1455" s="65"/>
      <c r="O1455" s="65" t="s">
        <v>919</v>
      </c>
      <c r="P1455" s="65"/>
      <c r="Q1455" s="65">
        <v>1</v>
      </c>
      <c r="R1455" s="65">
        <v>1003</v>
      </c>
      <c r="S1455" s="65"/>
    </row>
    <row r="1456" spans="1:19" x14ac:dyDescent="0.25">
      <c r="A1456" s="15">
        <v>66</v>
      </c>
      <c r="B1456" s="65"/>
      <c r="C1456" s="65">
        <v>2429</v>
      </c>
      <c r="D1456" s="65"/>
      <c r="E1456" s="65" t="s">
        <v>787</v>
      </c>
      <c r="F1456" s="65">
        <v>0</v>
      </c>
      <c r="G1456" s="65"/>
      <c r="H1456" s="65">
        <v>3</v>
      </c>
      <c r="I1456" s="65" t="e">
        <v>#N/A</v>
      </c>
      <c r="J1456" s="65" t="s">
        <v>899</v>
      </c>
      <c r="K1456" s="65"/>
      <c r="L1456" s="65"/>
      <c r="M1456" s="65"/>
      <c r="N1456" s="65"/>
      <c r="O1456" s="65" t="s">
        <v>920</v>
      </c>
      <c r="P1456" s="65"/>
      <c r="Q1456" s="65">
        <v>1</v>
      </c>
      <c r="R1456" s="65">
        <v>1004</v>
      </c>
      <c r="S1456" s="65"/>
    </row>
    <row r="1457" spans="1:19" x14ac:dyDescent="0.25">
      <c r="A1457" s="15">
        <v>66</v>
      </c>
      <c r="B1457" s="65"/>
      <c r="C1457" s="65">
        <v>2429</v>
      </c>
      <c r="D1457" s="65"/>
      <c r="E1457" s="65" t="s">
        <v>787</v>
      </c>
      <c r="F1457" s="65">
        <v>0</v>
      </c>
      <c r="G1457" s="65"/>
      <c r="H1457" s="65">
        <v>3</v>
      </c>
      <c r="I1457" s="65" t="e">
        <v>#N/A</v>
      </c>
      <c r="J1457" s="65" t="s">
        <v>899</v>
      </c>
      <c r="K1457" s="65"/>
      <c r="L1457" s="65"/>
      <c r="M1457" s="65"/>
      <c r="N1457" s="65"/>
      <c r="O1457" s="65" t="s">
        <v>921</v>
      </c>
      <c r="P1457" s="65"/>
      <c r="Q1457" s="65">
        <v>1</v>
      </c>
      <c r="R1457" s="65">
        <v>1005</v>
      </c>
      <c r="S1457" s="65"/>
    </row>
    <row r="1458" spans="1:19" x14ac:dyDescent="0.25">
      <c r="A1458" s="15">
        <v>66</v>
      </c>
      <c r="B1458" s="65"/>
      <c r="C1458" s="65">
        <v>2429</v>
      </c>
      <c r="D1458" s="65"/>
      <c r="E1458" s="65" t="s">
        <v>787</v>
      </c>
      <c r="F1458" s="65">
        <v>0</v>
      </c>
      <c r="G1458" s="65"/>
      <c r="H1458" s="65">
        <v>3</v>
      </c>
      <c r="I1458" s="65" t="e">
        <v>#N/A</v>
      </c>
      <c r="J1458" s="65" t="s">
        <v>899</v>
      </c>
      <c r="K1458" s="65"/>
      <c r="L1458" s="65"/>
      <c r="M1458" s="65"/>
      <c r="N1458" s="65"/>
      <c r="O1458" s="65" t="s">
        <v>922</v>
      </c>
      <c r="P1458" s="65"/>
      <c r="Q1458" s="65">
        <v>1</v>
      </c>
      <c r="R1458" s="65">
        <v>1006</v>
      </c>
      <c r="S1458" s="65"/>
    </row>
    <row r="1459" spans="1:19" x14ac:dyDescent="0.25">
      <c r="A1459" s="15">
        <v>66</v>
      </c>
      <c r="B1459" s="65"/>
      <c r="C1459" s="65">
        <v>2429</v>
      </c>
      <c r="D1459" s="65"/>
      <c r="E1459" s="65" t="s">
        <v>787</v>
      </c>
      <c r="F1459" s="65">
        <v>0</v>
      </c>
      <c r="G1459" s="65"/>
      <c r="H1459" s="65">
        <v>3</v>
      </c>
      <c r="I1459" s="65" t="e">
        <v>#N/A</v>
      </c>
      <c r="J1459" s="65" t="s">
        <v>899</v>
      </c>
      <c r="K1459" s="65"/>
      <c r="L1459" s="65"/>
      <c r="M1459" s="65"/>
      <c r="N1459" s="65"/>
      <c r="O1459" s="65" t="s">
        <v>923</v>
      </c>
      <c r="P1459" s="65"/>
      <c r="Q1459" s="65">
        <v>1</v>
      </c>
      <c r="R1459" s="65">
        <v>1007</v>
      </c>
      <c r="S1459" s="65"/>
    </row>
    <row r="1460" spans="1:19" x14ac:dyDescent="0.25">
      <c r="A1460" s="15">
        <v>66</v>
      </c>
      <c r="B1460" s="65"/>
      <c r="C1460" s="65">
        <v>2429</v>
      </c>
      <c r="D1460" s="65"/>
      <c r="E1460" s="65" t="s">
        <v>787</v>
      </c>
      <c r="F1460" s="65">
        <v>3</v>
      </c>
      <c r="G1460" s="65"/>
      <c r="H1460" s="65">
        <v>3</v>
      </c>
      <c r="I1460" s="65" t="e">
        <v>#N/A</v>
      </c>
      <c r="J1460" s="65" t="s">
        <v>899</v>
      </c>
      <c r="K1460" s="65"/>
      <c r="L1460" s="65"/>
      <c r="M1460" s="65"/>
      <c r="N1460" s="65"/>
      <c r="O1460" s="65" t="s">
        <v>925</v>
      </c>
      <c r="P1460" s="65"/>
      <c r="Q1460" s="65">
        <v>1</v>
      </c>
      <c r="R1460" s="65">
        <v>1224</v>
      </c>
      <c r="S1460" s="65"/>
    </row>
    <row r="1461" spans="1:19" x14ac:dyDescent="0.25">
      <c r="A1461" s="15">
        <v>66</v>
      </c>
      <c r="B1461" s="65"/>
      <c r="C1461" s="65">
        <v>2429</v>
      </c>
      <c r="D1461" s="65"/>
      <c r="E1461" s="65" t="s">
        <v>787</v>
      </c>
      <c r="F1461" s="65">
        <v>3</v>
      </c>
      <c r="G1461" s="65"/>
      <c r="H1461" s="65">
        <v>3</v>
      </c>
      <c r="I1461" s="65" t="e">
        <v>#N/A</v>
      </c>
      <c r="J1461" s="65" t="s">
        <v>899</v>
      </c>
      <c r="K1461" s="65"/>
      <c r="L1461" s="65"/>
      <c r="M1461" s="65"/>
      <c r="N1461" s="65"/>
      <c r="O1461" s="65" t="s">
        <v>926</v>
      </c>
      <c r="P1461" s="65"/>
      <c r="Q1461" s="65">
        <v>1</v>
      </c>
      <c r="R1461" s="65">
        <v>1225</v>
      </c>
      <c r="S1461" s="65"/>
    </row>
    <row r="1462" spans="1:19" x14ac:dyDescent="0.25">
      <c r="A1462" s="15">
        <v>66</v>
      </c>
      <c r="B1462" s="65"/>
      <c r="C1462" s="65">
        <v>2429</v>
      </c>
      <c r="D1462" s="65"/>
      <c r="E1462" s="65" t="s">
        <v>787</v>
      </c>
      <c r="F1462" s="65">
        <v>3</v>
      </c>
      <c r="G1462" s="65"/>
      <c r="H1462" s="65">
        <v>3</v>
      </c>
      <c r="I1462" s="65" t="e">
        <v>#N/A</v>
      </c>
      <c r="J1462" s="65" t="s">
        <v>899</v>
      </c>
      <c r="K1462" s="65"/>
      <c r="L1462" s="65"/>
      <c r="M1462" s="65"/>
      <c r="N1462" s="65"/>
      <c r="O1462" s="65" t="s">
        <v>927</v>
      </c>
      <c r="P1462" s="65"/>
      <c r="Q1462" s="65">
        <v>1</v>
      </c>
      <c r="R1462" s="65">
        <v>1226</v>
      </c>
      <c r="S1462" s="65"/>
    </row>
    <row r="1463" spans="1:19" x14ac:dyDescent="0.25">
      <c r="A1463" s="15">
        <v>66</v>
      </c>
      <c r="B1463" s="65"/>
      <c r="C1463" s="65">
        <v>2429</v>
      </c>
      <c r="D1463" s="65"/>
      <c r="E1463" s="65" t="s">
        <v>787</v>
      </c>
      <c r="F1463" s="65">
        <v>3</v>
      </c>
      <c r="G1463" s="65"/>
      <c r="H1463" s="65">
        <v>3</v>
      </c>
      <c r="I1463" s="65" t="e">
        <v>#N/A</v>
      </c>
      <c r="J1463" s="65" t="s">
        <v>899</v>
      </c>
      <c r="K1463" s="65"/>
      <c r="L1463" s="65"/>
      <c r="M1463" s="65"/>
      <c r="N1463" s="65"/>
      <c r="O1463" s="65" t="s">
        <v>928</v>
      </c>
      <c r="P1463" s="65"/>
      <c r="Q1463" s="65">
        <v>1</v>
      </c>
      <c r="R1463" s="65">
        <v>1227</v>
      </c>
      <c r="S1463" s="65"/>
    </row>
    <row r="1464" spans="1:19" x14ac:dyDescent="0.25">
      <c r="A1464" s="15">
        <v>66</v>
      </c>
      <c r="B1464" s="65"/>
      <c r="C1464" s="65">
        <v>2429</v>
      </c>
      <c r="D1464" s="65"/>
      <c r="E1464" s="65" t="s">
        <v>787</v>
      </c>
      <c r="F1464" s="65">
        <v>3</v>
      </c>
      <c r="G1464" s="65"/>
      <c r="H1464" s="65">
        <v>3</v>
      </c>
      <c r="I1464" s="65" t="e">
        <v>#N/A</v>
      </c>
      <c r="J1464" s="65" t="s">
        <v>899</v>
      </c>
      <c r="K1464" s="65"/>
      <c r="L1464" s="65"/>
      <c r="M1464" s="65"/>
      <c r="N1464" s="65"/>
      <c r="O1464" s="65" t="s">
        <v>929</v>
      </c>
      <c r="P1464" s="65"/>
      <c r="Q1464" s="65">
        <v>1</v>
      </c>
      <c r="R1464" s="65">
        <v>1228</v>
      </c>
      <c r="S1464" s="65"/>
    </row>
    <row r="1465" spans="1:19" x14ac:dyDescent="0.25">
      <c r="A1465" s="15">
        <v>66</v>
      </c>
      <c r="B1465" s="65"/>
      <c r="C1465" s="65">
        <v>2429</v>
      </c>
      <c r="D1465" s="65"/>
      <c r="E1465" s="65" t="s">
        <v>787</v>
      </c>
      <c r="F1465" s="65">
        <v>3</v>
      </c>
      <c r="G1465" s="65"/>
      <c r="H1465" s="65">
        <v>3</v>
      </c>
      <c r="I1465" s="65" t="e">
        <v>#N/A</v>
      </c>
      <c r="J1465" s="65" t="s">
        <v>899</v>
      </c>
      <c r="K1465" s="65"/>
      <c r="L1465" s="65"/>
      <c r="M1465" s="65"/>
      <c r="N1465" s="65"/>
      <c r="O1465" s="65" t="s">
        <v>930</v>
      </c>
      <c r="P1465" s="65"/>
      <c r="Q1465" s="65">
        <v>1</v>
      </c>
      <c r="R1465" s="65">
        <v>1229</v>
      </c>
      <c r="S1465" s="65"/>
    </row>
    <row r="1466" spans="1:19" x14ac:dyDescent="0.25">
      <c r="A1466" s="15">
        <v>66</v>
      </c>
      <c r="B1466" s="65"/>
      <c r="C1466" s="65">
        <v>2429</v>
      </c>
      <c r="D1466" s="65"/>
      <c r="E1466" s="65" t="s">
        <v>787</v>
      </c>
      <c r="F1466" s="65">
        <v>3</v>
      </c>
      <c r="G1466" s="65"/>
      <c r="H1466" s="65">
        <v>3</v>
      </c>
      <c r="I1466" s="65" t="e">
        <v>#N/A</v>
      </c>
      <c r="J1466" s="65" t="s">
        <v>899</v>
      </c>
      <c r="K1466" s="65"/>
      <c r="L1466" s="65"/>
      <c r="M1466" s="65"/>
      <c r="N1466" s="65"/>
      <c r="O1466" s="65" t="s">
        <v>931</v>
      </c>
      <c r="P1466" s="65"/>
      <c r="Q1466" s="65">
        <v>1</v>
      </c>
      <c r="R1466" s="65">
        <v>1230</v>
      </c>
      <c r="S1466" s="65"/>
    </row>
    <row r="1467" spans="1:19" x14ac:dyDescent="0.25">
      <c r="A1467" s="15">
        <v>66</v>
      </c>
      <c r="B1467" s="65"/>
      <c r="C1467" s="65">
        <v>2429</v>
      </c>
      <c r="D1467" s="65"/>
      <c r="E1467" s="65" t="s">
        <v>787</v>
      </c>
      <c r="F1467" s="65">
        <v>3</v>
      </c>
      <c r="G1467" s="65"/>
      <c r="H1467" s="65">
        <v>3</v>
      </c>
      <c r="I1467" s="65" t="e">
        <v>#N/A</v>
      </c>
      <c r="J1467" s="65" t="s">
        <v>899</v>
      </c>
      <c r="K1467" s="65"/>
      <c r="L1467" s="65"/>
      <c r="M1467" s="65"/>
      <c r="N1467" s="65"/>
      <c r="O1467" s="65" t="s">
        <v>932</v>
      </c>
      <c r="P1467" s="65"/>
      <c r="Q1467" s="65">
        <v>1</v>
      </c>
      <c r="R1467" s="65">
        <v>1231</v>
      </c>
      <c r="S1467" s="65"/>
    </row>
    <row r="1468" spans="1:19" x14ac:dyDescent="0.25">
      <c r="A1468" s="15">
        <v>66</v>
      </c>
      <c r="B1468" s="65"/>
      <c r="C1468" s="65">
        <v>2429</v>
      </c>
      <c r="D1468" s="65"/>
      <c r="E1468" s="65" t="s">
        <v>787</v>
      </c>
      <c r="F1468" s="65">
        <v>3</v>
      </c>
      <c r="G1468" s="65"/>
      <c r="H1468" s="65">
        <v>3</v>
      </c>
      <c r="I1468" s="65" t="e">
        <v>#N/A</v>
      </c>
      <c r="J1468" s="65" t="s">
        <v>899</v>
      </c>
      <c r="K1468" s="65"/>
      <c r="L1468" s="65"/>
      <c r="M1468" s="65"/>
      <c r="N1468" s="65"/>
      <c r="O1468" s="65" t="s">
        <v>933</v>
      </c>
      <c r="P1468" s="65"/>
      <c r="Q1468" s="65">
        <v>1</v>
      </c>
      <c r="R1468" s="65">
        <v>1232</v>
      </c>
      <c r="S1468" s="65"/>
    </row>
    <row r="1469" spans="1:19" x14ac:dyDescent="0.25">
      <c r="A1469" s="15">
        <v>66</v>
      </c>
      <c r="B1469" s="65"/>
      <c r="C1469" s="65">
        <v>2429</v>
      </c>
      <c r="D1469" s="65"/>
      <c r="E1469" s="65" t="s">
        <v>787</v>
      </c>
      <c r="F1469" s="65">
        <v>3</v>
      </c>
      <c r="G1469" s="65"/>
      <c r="H1469" s="65">
        <v>3</v>
      </c>
      <c r="I1469" s="65" t="e">
        <v>#N/A</v>
      </c>
      <c r="J1469" s="65" t="s">
        <v>899</v>
      </c>
      <c r="K1469" s="65"/>
      <c r="L1469" s="65"/>
      <c r="M1469" s="65"/>
      <c r="N1469" s="65"/>
      <c r="O1469" s="65" t="s">
        <v>934</v>
      </c>
      <c r="P1469" s="65"/>
      <c r="Q1469" s="65">
        <v>1</v>
      </c>
      <c r="R1469" s="65">
        <v>1233</v>
      </c>
      <c r="S1469" s="65"/>
    </row>
    <row r="1470" spans="1:19" x14ac:dyDescent="0.25">
      <c r="A1470" s="15">
        <v>66</v>
      </c>
      <c r="B1470" s="65"/>
      <c r="C1470" s="65">
        <v>2429</v>
      </c>
      <c r="D1470" s="65"/>
      <c r="E1470" s="65" t="s">
        <v>787</v>
      </c>
      <c r="F1470" s="65">
        <v>3</v>
      </c>
      <c r="G1470" s="65"/>
      <c r="H1470" s="65">
        <v>3</v>
      </c>
      <c r="I1470" s="65" t="e">
        <v>#N/A</v>
      </c>
      <c r="J1470" s="65" t="s">
        <v>899</v>
      </c>
      <c r="K1470" s="65"/>
      <c r="L1470" s="65"/>
      <c r="M1470" s="65"/>
      <c r="N1470" s="65"/>
      <c r="O1470" s="65" t="s">
        <v>935</v>
      </c>
      <c r="P1470" s="65"/>
      <c r="Q1470" s="65">
        <v>1</v>
      </c>
      <c r="R1470" s="65">
        <v>1234</v>
      </c>
      <c r="S1470" s="65"/>
    </row>
    <row r="1471" spans="1:19" x14ac:dyDescent="0.25">
      <c r="A1471" s="15">
        <v>66</v>
      </c>
      <c r="B1471" s="65"/>
      <c r="C1471" s="65">
        <v>2429</v>
      </c>
      <c r="D1471" s="65"/>
      <c r="E1471" s="65" t="s">
        <v>787</v>
      </c>
      <c r="F1471" s="65">
        <v>3</v>
      </c>
      <c r="G1471" s="65"/>
      <c r="H1471" s="65" t="e">
        <v>#N/A</v>
      </c>
      <c r="I1471" s="65"/>
      <c r="J1471" s="65" t="s">
        <v>899</v>
      </c>
      <c r="K1471" s="65"/>
      <c r="L1471" s="65"/>
      <c r="M1471" s="65"/>
      <c r="N1471" s="65"/>
      <c r="O1471" s="65" t="s">
        <v>937</v>
      </c>
      <c r="P1471" s="65"/>
      <c r="Q1471" s="65">
        <v>1</v>
      </c>
      <c r="R1471" s="65">
        <v>1311</v>
      </c>
      <c r="S1471" s="65"/>
    </row>
    <row r="1472" spans="1:19" x14ac:dyDescent="0.25">
      <c r="A1472" s="15">
        <v>66</v>
      </c>
      <c r="B1472" s="65"/>
      <c r="C1472" s="65">
        <v>2429</v>
      </c>
      <c r="D1472" s="65"/>
      <c r="E1472" s="65" t="s">
        <v>787</v>
      </c>
      <c r="F1472" s="65">
        <v>5</v>
      </c>
      <c r="G1472" s="65"/>
      <c r="H1472" s="65" t="e">
        <v>#N/A</v>
      </c>
      <c r="I1472" s="65"/>
      <c r="J1472" s="65" t="s">
        <v>899</v>
      </c>
      <c r="K1472" s="65"/>
      <c r="L1472" s="65"/>
      <c r="M1472" s="65"/>
      <c r="N1472" s="65"/>
      <c r="O1472" s="65" t="s">
        <v>939</v>
      </c>
      <c r="P1472" s="65"/>
      <c r="Q1472" s="65">
        <v>1</v>
      </c>
      <c r="R1472" s="65">
        <v>1518</v>
      </c>
      <c r="S1472" s="65"/>
    </row>
    <row r="1473" spans="1:19" x14ac:dyDescent="0.25">
      <c r="A1473" s="15">
        <v>66</v>
      </c>
      <c r="B1473" s="65"/>
      <c r="C1473" s="65">
        <v>2429</v>
      </c>
      <c r="D1473" s="65"/>
      <c r="E1473" s="65" t="s">
        <v>787</v>
      </c>
      <c r="F1473" s="65">
        <v>5</v>
      </c>
      <c r="G1473" s="65"/>
      <c r="H1473" s="65" t="e">
        <v>#N/A</v>
      </c>
      <c r="I1473" s="65"/>
      <c r="J1473" s="65" t="s">
        <v>899</v>
      </c>
      <c r="K1473" s="65"/>
      <c r="L1473" s="65"/>
      <c r="M1473" s="65"/>
      <c r="N1473" s="65"/>
      <c r="O1473" s="65" t="s">
        <v>940</v>
      </c>
      <c r="P1473" s="65"/>
      <c r="Q1473" s="65">
        <v>1</v>
      </c>
      <c r="R1473" s="65">
        <v>1519</v>
      </c>
      <c r="S1473" s="65"/>
    </row>
    <row r="1474" spans="1:19" x14ac:dyDescent="0.25">
      <c r="A1474" s="15">
        <v>66</v>
      </c>
      <c r="B1474" s="65"/>
      <c r="C1474" s="65">
        <v>2429</v>
      </c>
      <c r="D1474" s="65"/>
      <c r="E1474" s="65" t="s">
        <v>787</v>
      </c>
      <c r="F1474" s="65">
        <v>5</v>
      </c>
      <c r="G1474" s="65"/>
      <c r="H1474" s="65" t="e">
        <v>#N/A</v>
      </c>
      <c r="I1474" s="65"/>
      <c r="J1474" s="65" t="s">
        <v>899</v>
      </c>
      <c r="K1474" s="65"/>
      <c r="L1474" s="65"/>
      <c r="M1474" s="65"/>
      <c r="N1474" s="65"/>
      <c r="O1474" s="65" t="s">
        <v>941</v>
      </c>
      <c r="P1474" s="65"/>
      <c r="Q1474" s="65">
        <v>1</v>
      </c>
      <c r="R1474" s="65">
        <v>1520</v>
      </c>
      <c r="S1474" s="65"/>
    </row>
    <row r="1475" spans="1:19" x14ac:dyDescent="0.25">
      <c r="A1475" s="15">
        <v>66</v>
      </c>
      <c r="B1475" s="65"/>
      <c r="C1475" s="65">
        <v>2429</v>
      </c>
      <c r="D1475" s="65"/>
      <c r="E1475" s="65" t="s">
        <v>787</v>
      </c>
      <c r="F1475" s="65">
        <v>5</v>
      </c>
      <c r="G1475" s="65"/>
      <c r="H1475" s="65" t="e">
        <v>#N/A</v>
      </c>
      <c r="I1475" s="65"/>
      <c r="J1475" s="65" t="s">
        <v>899</v>
      </c>
      <c r="K1475" s="65"/>
      <c r="L1475" s="65"/>
      <c r="M1475" s="65"/>
      <c r="N1475" s="65"/>
      <c r="O1475" s="65" t="s">
        <v>942</v>
      </c>
      <c r="P1475" s="65"/>
      <c r="Q1475" s="65">
        <v>1</v>
      </c>
      <c r="R1475" s="65">
        <v>1521</v>
      </c>
      <c r="S1475" s="65"/>
    </row>
    <row r="1476" spans="1:19" x14ac:dyDescent="0.25">
      <c r="A1476" s="15">
        <v>66</v>
      </c>
      <c r="B1476" s="65"/>
      <c r="C1476" s="65">
        <v>2429</v>
      </c>
      <c r="D1476" s="65"/>
      <c r="E1476" s="65" t="s">
        <v>787</v>
      </c>
      <c r="F1476" s="65">
        <v>5</v>
      </c>
      <c r="G1476" s="65"/>
      <c r="H1476" s="65" t="e">
        <v>#N/A</v>
      </c>
      <c r="I1476" s="65"/>
      <c r="J1476" s="65" t="s">
        <v>899</v>
      </c>
      <c r="K1476" s="65"/>
      <c r="L1476" s="65"/>
      <c r="M1476" s="65"/>
      <c r="N1476" s="65"/>
      <c r="O1476" s="65" t="s">
        <v>943</v>
      </c>
      <c r="P1476" s="65"/>
      <c r="Q1476" s="65">
        <v>1</v>
      </c>
      <c r="R1476" s="65">
        <v>1522</v>
      </c>
      <c r="S1476" s="65"/>
    </row>
    <row r="1477" spans="1:19" x14ac:dyDescent="0.25">
      <c r="A1477" s="15">
        <v>66</v>
      </c>
      <c r="B1477" s="65"/>
      <c r="C1477" s="65">
        <v>2429</v>
      </c>
      <c r="D1477" s="65"/>
      <c r="E1477" s="65" t="s">
        <v>787</v>
      </c>
      <c r="F1477" s="65">
        <v>5</v>
      </c>
      <c r="G1477" s="65"/>
      <c r="H1477" s="65" t="e">
        <v>#N/A</v>
      </c>
      <c r="I1477" s="65"/>
      <c r="J1477" s="65" t="s">
        <v>899</v>
      </c>
      <c r="K1477" s="65"/>
      <c r="L1477" s="65"/>
      <c r="M1477" s="65"/>
      <c r="N1477" s="65"/>
      <c r="O1477" s="65" t="s">
        <v>944</v>
      </c>
      <c r="P1477" s="65"/>
      <c r="Q1477" s="65">
        <v>1</v>
      </c>
      <c r="R1477" s="65">
        <v>1523</v>
      </c>
      <c r="S1477" s="65"/>
    </row>
    <row r="1478" spans="1:19" x14ac:dyDescent="0.25">
      <c r="A1478" s="15">
        <v>66</v>
      </c>
      <c r="B1478" s="65"/>
      <c r="C1478" s="65">
        <v>2429</v>
      </c>
      <c r="D1478" s="65"/>
      <c r="E1478" s="65" t="s">
        <v>787</v>
      </c>
      <c r="F1478" s="65">
        <v>5</v>
      </c>
      <c r="G1478" s="65"/>
      <c r="H1478" s="65" t="e">
        <v>#N/A</v>
      </c>
      <c r="I1478" s="65"/>
      <c r="J1478" s="65" t="s">
        <v>899</v>
      </c>
      <c r="K1478" s="65"/>
      <c r="L1478" s="65"/>
      <c r="M1478" s="65"/>
      <c r="N1478" s="65"/>
      <c r="O1478" s="65" t="s">
        <v>945</v>
      </c>
      <c r="P1478" s="65"/>
      <c r="Q1478" s="65">
        <v>1</v>
      </c>
      <c r="R1478" s="65">
        <v>1524</v>
      </c>
      <c r="S1478" s="65"/>
    </row>
    <row r="1479" spans="1:19" x14ac:dyDescent="0.25">
      <c r="A1479" s="15">
        <v>66</v>
      </c>
      <c r="B1479" s="65"/>
      <c r="C1479" s="65">
        <v>2429</v>
      </c>
      <c r="D1479" s="65"/>
      <c r="E1479" s="65" t="s">
        <v>787</v>
      </c>
      <c r="F1479" s="65">
        <v>5</v>
      </c>
      <c r="G1479" s="65"/>
      <c r="H1479" s="65" t="e">
        <v>#N/A</v>
      </c>
      <c r="I1479" s="65"/>
      <c r="J1479" s="65" t="s">
        <v>899</v>
      </c>
      <c r="K1479" s="65"/>
      <c r="L1479" s="65"/>
      <c r="M1479" s="65"/>
      <c r="N1479" s="65"/>
      <c r="O1479" s="65" t="s">
        <v>946</v>
      </c>
      <c r="P1479" s="65"/>
      <c r="Q1479" s="65">
        <v>1</v>
      </c>
      <c r="R1479" s="65">
        <v>1525</v>
      </c>
      <c r="S1479" s="65"/>
    </row>
    <row r="1480" spans="1:19" x14ac:dyDescent="0.25">
      <c r="A1480" s="15">
        <v>66</v>
      </c>
      <c r="B1480" s="65"/>
      <c r="C1480" s="65">
        <v>2429</v>
      </c>
      <c r="D1480" s="65"/>
      <c r="E1480" s="65" t="s">
        <v>787</v>
      </c>
      <c r="F1480" s="65">
        <v>5</v>
      </c>
      <c r="G1480" s="65"/>
      <c r="H1480" s="65" t="e">
        <v>#N/A</v>
      </c>
      <c r="I1480" s="65"/>
      <c r="J1480" s="65" t="s">
        <v>899</v>
      </c>
      <c r="K1480" s="65"/>
      <c r="L1480" s="65"/>
      <c r="M1480" s="65"/>
      <c r="N1480" s="65"/>
      <c r="O1480" s="65" t="s">
        <v>947</v>
      </c>
      <c r="P1480" s="65"/>
      <c r="Q1480" s="65">
        <v>1</v>
      </c>
      <c r="R1480" s="65">
        <v>1526</v>
      </c>
      <c r="S1480" s="65"/>
    </row>
    <row r="1481" spans="1:19" x14ac:dyDescent="0.25">
      <c r="A1481" s="15">
        <v>66</v>
      </c>
      <c r="B1481" s="65"/>
      <c r="C1481" s="65">
        <v>2429</v>
      </c>
      <c r="D1481" s="65"/>
      <c r="E1481" s="65" t="s">
        <v>787</v>
      </c>
      <c r="F1481" s="65">
        <v>5</v>
      </c>
      <c r="G1481" s="65"/>
      <c r="H1481" s="65" t="e">
        <v>#N/A</v>
      </c>
      <c r="I1481" s="65"/>
      <c r="J1481" s="65" t="s">
        <v>899</v>
      </c>
      <c r="K1481" s="65"/>
      <c r="L1481" s="65"/>
      <c r="M1481" s="65"/>
      <c r="N1481" s="65"/>
      <c r="O1481" s="65" t="s">
        <v>948</v>
      </c>
      <c r="P1481" s="65"/>
      <c r="Q1481" s="65">
        <v>1</v>
      </c>
      <c r="R1481" s="65">
        <v>1527</v>
      </c>
      <c r="S1481" s="65"/>
    </row>
    <row r="1482" spans="1:19" x14ac:dyDescent="0.25">
      <c r="A1482" s="15">
        <v>66</v>
      </c>
      <c r="B1482" s="65"/>
      <c r="C1482" s="65">
        <v>2429</v>
      </c>
      <c r="D1482" s="65"/>
      <c r="E1482" s="65" t="s">
        <v>787</v>
      </c>
      <c r="F1482" s="65">
        <v>5</v>
      </c>
      <c r="G1482" s="65"/>
      <c r="H1482" s="65" t="e">
        <v>#N/A</v>
      </c>
      <c r="I1482" s="65"/>
      <c r="J1482" s="65" t="s">
        <v>899</v>
      </c>
      <c r="K1482" s="65"/>
      <c r="L1482" s="65"/>
      <c r="M1482" s="65"/>
      <c r="N1482" s="65"/>
      <c r="O1482" s="65" t="s">
        <v>949</v>
      </c>
      <c r="P1482" s="65"/>
      <c r="Q1482" s="65">
        <v>1</v>
      </c>
      <c r="R1482" s="65">
        <v>1528</v>
      </c>
      <c r="S1482" s="65"/>
    </row>
    <row r="1483" spans="1:19" x14ac:dyDescent="0.25">
      <c r="A1483" s="15">
        <v>67</v>
      </c>
      <c r="B1483" s="65"/>
      <c r="C1483" s="65"/>
      <c r="D1483" s="65"/>
      <c r="E1483" s="65"/>
      <c r="F1483" s="65"/>
      <c r="G1483" s="65"/>
      <c r="H1483" s="65"/>
      <c r="I1483" s="65"/>
      <c r="J1483" s="65"/>
      <c r="K1483" s="65"/>
      <c r="L1483" s="65"/>
      <c r="M1483" s="65"/>
      <c r="N1483" s="65"/>
      <c r="O1483" s="65"/>
      <c r="P1483" s="65"/>
      <c r="Q1483" s="65"/>
      <c r="R1483" s="65"/>
      <c r="S1483" s="65"/>
    </row>
    <row r="1484" spans="1:19" x14ac:dyDescent="0.25">
      <c r="A1484" s="15">
        <v>67</v>
      </c>
      <c r="B1484" s="65"/>
      <c r="C1484" s="65"/>
      <c r="D1484" s="65"/>
      <c r="E1484" s="65"/>
      <c r="F1484" s="65"/>
      <c r="G1484" s="65"/>
      <c r="H1484" s="65"/>
      <c r="I1484" s="65"/>
      <c r="J1484" s="65"/>
      <c r="K1484" s="65"/>
      <c r="L1484" s="65"/>
      <c r="M1484" s="65"/>
      <c r="N1484" s="65"/>
      <c r="O1484" s="65" t="s">
        <v>856</v>
      </c>
      <c r="P1484" s="65"/>
      <c r="Q1484" s="65"/>
      <c r="R1484" s="65"/>
      <c r="S1484" s="65"/>
    </row>
    <row r="1485" spans="1:19" x14ac:dyDescent="0.25">
      <c r="A1485" s="15">
        <v>67</v>
      </c>
      <c r="B1485" s="65"/>
      <c r="C1485" s="65"/>
      <c r="D1485" s="65"/>
      <c r="E1485" s="65"/>
      <c r="F1485" s="65"/>
      <c r="G1485" s="65"/>
      <c r="H1485" s="65"/>
      <c r="I1485" s="65"/>
      <c r="J1485" s="65"/>
      <c r="K1485" s="65"/>
      <c r="L1485" s="65"/>
      <c r="M1485" s="65"/>
      <c r="N1485" s="65"/>
      <c r="O1485" s="65" t="s">
        <v>865</v>
      </c>
      <c r="P1485" s="65"/>
      <c r="Q1485" s="65"/>
      <c r="R1485" s="65"/>
      <c r="S1485" s="65"/>
    </row>
    <row r="1486" spans="1:19" x14ac:dyDescent="0.25">
      <c r="A1486" s="15">
        <v>67</v>
      </c>
      <c r="B1486" s="65"/>
      <c r="C1486" s="65"/>
      <c r="D1486" s="65"/>
      <c r="E1486" s="65"/>
      <c r="F1486" s="65"/>
      <c r="G1486" s="65"/>
      <c r="H1486" s="65"/>
      <c r="I1486" s="65"/>
      <c r="J1486" s="65"/>
      <c r="K1486" s="65"/>
      <c r="L1486" s="65"/>
      <c r="M1486" s="65"/>
      <c r="N1486" s="65"/>
      <c r="O1486" s="65" t="s">
        <v>877</v>
      </c>
      <c r="P1486" s="65"/>
      <c r="Q1486" s="65"/>
      <c r="R1486" s="65"/>
      <c r="S1486" s="65"/>
    </row>
    <row r="1487" spans="1:19" x14ac:dyDescent="0.25">
      <c r="A1487" s="15">
        <v>67</v>
      </c>
      <c r="B1487" s="65"/>
      <c r="C1487" s="65" t="s">
        <v>79</v>
      </c>
      <c r="D1487" s="65"/>
      <c r="E1487" s="65" t="s">
        <v>787</v>
      </c>
      <c r="F1487" s="65">
        <v>10</v>
      </c>
      <c r="G1487" s="65"/>
      <c r="H1487" s="65">
        <v>10</v>
      </c>
      <c r="I1487" s="65">
        <v>11.916666666666666</v>
      </c>
      <c r="J1487" s="65" t="s">
        <v>879</v>
      </c>
      <c r="K1487" s="65"/>
      <c r="L1487" s="65"/>
      <c r="M1487" s="65"/>
      <c r="N1487" s="65"/>
      <c r="O1487" s="65" t="s">
        <v>880</v>
      </c>
      <c r="P1487" s="65"/>
      <c r="Q1487" s="65">
        <v>1</v>
      </c>
      <c r="R1487" s="65">
        <v>332</v>
      </c>
      <c r="S1487" s="65"/>
    </row>
    <row r="1488" spans="1:19" x14ac:dyDescent="0.25">
      <c r="A1488" s="15">
        <v>67</v>
      </c>
      <c r="B1488" s="65"/>
      <c r="C1488" s="65">
        <v>2429</v>
      </c>
      <c r="D1488" s="65"/>
      <c r="E1488" s="65" t="s">
        <v>787</v>
      </c>
      <c r="F1488" s="65">
        <v>10</v>
      </c>
      <c r="G1488" s="65"/>
      <c r="H1488" s="65"/>
      <c r="I1488" s="65">
        <v>15.666666666666666</v>
      </c>
      <c r="J1488" s="65" t="s">
        <v>879</v>
      </c>
      <c r="K1488" s="65"/>
      <c r="L1488" s="65"/>
      <c r="M1488" s="65"/>
      <c r="N1488" s="65"/>
      <c r="O1488" s="65" t="s">
        <v>882</v>
      </c>
      <c r="P1488" s="65"/>
      <c r="Q1488" s="65">
        <v>1</v>
      </c>
      <c r="R1488" s="65">
        <v>549</v>
      </c>
      <c r="S1488" s="65"/>
    </row>
    <row r="1489" spans="1:19" x14ac:dyDescent="0.25">
      <c r="A1489" s="15">
        <v>67</v>
      </c>
      <c r="B1489" s="65"/>
      <c r="C1489" s="65">
        <v>2429</v>
      </c>
      <c r="D1489" s="65"/>
      <c r="E1489" s="65" t="s">
        <v>787</v>
      </c>
      <c r="F1489" s="65">
        <v>6</v>
      </c>
      <c r="G1489" s="65"/>
      <c r="H1489" s="65"/>
      <c r="I1489" s="65">
        <v>15.666666666666666</v>
      </c>
      <c r="J1489" s="65" t="s">
        <v>879</v>
      </c>
      <c r="K1489" s="65"/>
      <c r="L1489" s="65"/>
      <c r="M1489" s="65"/>
      <c r="N1489" s="65"/>
      <c r="O1489" s="65" t="s">
        <v>883</v>
      </c>
      <c r="P1489" s="65"/>
      <c r="Q1489" s="65">
        <v>1</v>
      </c>
      <c r="R1489" s="65">
        <v>550</v>
      </c>
      <c r="S1489" s="65"/>
    </row>
    <row r="1490" spans="1:19" x14ac:dyDescent="0.25">
      <c r="A1490" s="15">
        <v>67</v>
      </c>
      <c r="B1490" s="65"/>
      <c r="C1490" s="65">
        <v>2429</v>
      </c>
      <c r="D1490" s="65"/>
      <c r="E1490" s="65" t="s">
        <v>787</v>
      </c>
      <c r="F1490" s="65">
        <v>6</v>
      </c>
      <c r="G1490" s="65"/>
      <c r="H1490" s="65"/>
      <c r="I1490" s="65">
        <v>15.666666666666666</v>
      </c>
      <c r="J1490" s="65" t="s">
        <v>879</v>
      </c>
      <c r="K1490" s="65"/>
      <c r="L1490" s="65"/>
      <c r="M1490" s="65"/>
      <c r="N1490" s="65"/>
      <c r="O1490" s="65" t="s">
        <v>884</v>
      </c>
      <c r="P1490" s="65"/>
      <c r="Q1490" s="65">
        <v>1</v>
      </c>
      <c r="R1490" s="65">
        <v>551</v>
      </c>
      <c r="S1490" s="65"/>
    </row>
    <row r="1491" spans="1:19" x14ac:dyDescent="0.25">
      <c r="A1491" s="15">
        <v>67</v>
      </c>
      <c r="B1491" s="65"/>
      <c r="C1491" s="65">
        <v>2429</v>
      </c>
      <c r="D1491" s="65"/>
      <c r="E1491" s="65" t="s">
        <v>787</v>
      </c>
      <c r="F1491" s="65">
        <v>6</v>
      </c>
      <c r="G1491" s="65"/>
      <c r="H1491" s="65"/>
      <c r="I1491" s="65">
        <v>15.666666666666666</v>
      </c>
      <c r="J1491" s="65" t="s">
        <v>879</v>
      </c>
      <c r="K1491" s="65"/>
      <c r="L1491" s="65"/>
      <c r="M1491" s="65"/>
      <c r="N1491" s="65"/>
      <c r="O1491" s="65" t="s">
        <v>885</v>
      </c>
      <c r="P1491" s="65"/>
      <c r="Q1491" s="65">
        <v>1</v>
      </c>
      <c r="R1491" s="65">
        <v>552</v>
      </c>
      <c r="S1491" s="65"/>
    </row>
    <row r="1492" spans="1:19" x14ac:dyDescent="0.25">
      <c r="A1492" s="15">
        <v>67</v>
      </c>
      <c r="B1492" s="65"/>
      <c r="C1492" s="65">
        <v>2429</v>
      </c>
      <c r="D1492" s="65"/>
      <c r="E1492" s="65" t="s">
        <v>787</v>
      </c>
      <c r="F1492" s="65">
        <v>6</v>
      </c>
      <c r="G1492" s="65"/>
      <c r="H1492" s="65"/>
      <c r="I1492" s="65">
        <v>15.666666666666666</v>
      </c>
      <c r="J1492" s="65" t="s">
        <v>879</v>
      </c>
      <c r="K1492" s="65"/>
      <c r="L1492" s="65"/>
      <c r="M1492" s="65"/>
      <c r="N1492" s="65"/>
      <c r="O1492" s="65" t="s">
        <v>886</v>
      </c>
      <c r="P1492" s="65"/>
      <c r="Q1492" s="65">
        <v>1</v>
      </c>
      <c r="R1492" s="65">
        <v>553</v>
      </c>
      <c r="S1492" s="65"/>
    </row>
    <row r="1493" spans="1:19" x14ac:dyDescent="0.25">
      <c r="A1493" s="15">
        <v>67</v>
      </c>
      <c r="B1493" s="65"/>
      <c r="C1493" s="65">
        <v>2429</v>
      </c>
      <c r="D1493" s="65"/>
      <c r="E1493" s="65" t="s">
        <v>787</v>
      </c>
      <c r="F1493" s="65">
        <v>6</v>
      </c>
      <c r="G1493" s="65"/>
      <c r="H1493" s="65"/>
      <c r="I1493" s="65">
        <v>15.666666666666666</v>
      </c>
      <c r="J1493" s="65" t="s">
        <v>879</v>
      </c>
      <c r="K1493" s="65"/>
      <c r="L1493" s="65"/>
      <c r="M1493" s="65"/>
      <c r="N1493" s="65"/>
      <c r="O1493" s="65" t="s">
        <v>887</v>
      </c>
      <c r="P1493" s="65"/>
      <c r="Q1493" s="65">
        <v>1</v>
      </c>
      <c r="R1493" s="65">
        <v>554</v>
      </c>
      <c r="S1493" s="65"/>
    </row>
    <row r="1494" spans="1:19" x14ac:dyDescent="0.25">
      <c r="A1494" s="15">
        <v>67</v>
      </c>
      <c r="B1494" s="65"/>
      <c r="C1494" s="65">
        <v>2429</v>
      </c>
      <c r="D1494" s="65"/>
      <c r="E1494" s="65" t="s">
        <v>787</v>
      </c>
      <c r="F1494" s="65">
        <v>6</v>
      </c>
      <c r="G1494" s="65"/>
      <c r="H1494" s="65"/>
      <c r="I1494" s="65">
        <v>15.666666666666666</v>
      </c>
      <c r="J1494" s="65" t="s">
        <v>879</v>
      </c>
      <c r="K1494" s="65"/>
      <c r="L1494" s="65"/>
      <c r="M1494" s="65"/>
      <c r="N1494" s="65"/>
      <c r="O1494" s="65" t="s">
        <v>888</v>
      </c>
      <c r="P1494" s="65"/>
      <c r="Q1494" s="65">
        <v>1</v>
      </c>
      <c r="R1494" s="65">
        <v>555</v>
      </c>
      <c r="S1494" s="65"/>
    </row>
    <row r="1495" spans="1:19" x14ac:dyDescent="0.25">
      <c r="A1495" s="15">
        <v>67</v>
      </c>
      <c r="B1495" s="65"/>
      <c r="C1495" s="65">
        <v>2429</v>
      </c>
      <c r="D1495" s="65"/>
      <c r="E1495" s="65" t="s">
        <v>787</v>
      </c>
      <c r="F1495" s="65">
        <v>6</v>
      </c>
      <c r="G1495" s="65"/>
      <c r="H1495" s="65"/>
      <c r="I1495" s="65">
        <v>15.666666666666666</v>
      </c>
      <c r="J1495" s="65" t="s">
        <v>879</v>
      </c>
      <c r="K1495" s="65"/>
      <c r="L1495" s="65"/>
      <c r="M1495" s="65"/>
      <c r="N1495" s="65"/>
      <c r="O1495" s="65" t="s">
        <v>889</v>
      </c>
      <c r="P1495" s="65"/>
      <c r="Q1495" s="65">
        <v>1</v>
      </c>
      <c r="R1495" s="65">
        <v>556</v>
      </c>
      <c r="S1495" s="65"/>
    </row>
    <row r="1496" spans="1:19" x14ac:dyDescent="0.25">
      <c r="A1496" s="15">
        <v>67</v>
      </c>
      <c r="B1496" s="65"/>
      <c r="C1496" s="65">
        <v>2429</v>
      </c>
      <c r="D1496" s="65"/>
      <c r="E1496" s="65" t="s">
        <v>787</v>
      </c>
      <c r="F1496" s="65">
        <v>6</v>
      </c>
      <c r="G1496" s="65"/>
      <c r="H1496" s="65"/>
      <c r="I1496" s="65">
        <v>15.666666666666666</v>
      </c>
      <c r="J1496" s="65" t="s">
        <v>879</v>
      </c>
      <c r="K1496" s="65"/>
      <c r="L1496" s="65"/>
      <c r="M1496" s="65"/>
      <c r="N1496" s="65"/>
      <c r="O1496" s="65" t="s">
        <v>890</v>
      </c>
      <c r="P1496" s="65"/>
      <c r="Q1496" s="65">
        <v>1</v>
      </c>
      <c r="R1496" s="65">
        <v>557</v>
      </c>
      <c r="S1496" s="65"/>
    </row>
    <row r="1497" spans="1:19" x14ac:dyDescent="0.25">
      <c r="A1497" s="15">
        <v>67</v>
      </c>
      <c r="B1497" s="65"/>
      <c r="C1497" s="65">
        <v>2429</v>
      </c>
      <c r="D1497" s="65"/>
      <c r="E1497" s="65" t="s">
        <v>787</v>
      </c>
      <c r="F1497" s="65">
        <v>6</v>
      </c>
      <c r="G1497" s="65"/>
      <c r="H1497" s="65"/>
      <c r="I1497" s="65">
        <v>15.666666666666666</v>
      </c>
      <c r="J1497" s="65" t="s">
        <v>879</v>
      </c>
      <c r="K1497" s="65"/>
      <c r="L1497" s="65"/>
      <c r="M1497" s="65"/>
      <c r="N1497" s="65"/>
      <c r="O1497" s="65" t="s">
        <v>891</v>
      </c>
      <c r="P1497" s="65"/>
      <c r="Q1497" s="65">
        <v>1</v>
      </c>
      <c r="R1497" s="65">
        <v>558</v>
      </c>
      <c r="S1497" s="65"/>
    </row>
    <row r="1498" spans="1:19" x14ac:dyDescent="0.25">
      <c r="A1498" s="15">
        <v>67</v>
      </c>
      <c r="B1498" s="65"/>
      <c r="C1498" s="65">
        <v>2429</v>
      </c>
      <c r="D1498" s="65"/>
      <c r="E1498" s="65" t="s">
        <v>787</v>
      </c>
      <c r="F1498" s="65">
        <v>10</v>
      </c>
      <c r="G1498" s="65"/>
      <c r="H1498" s="65"/>
      <c r="I1498" s="65">
        <v>10.583333333333334</v>
      </c>
      <c r="J1498" s="65" t="s">
        <v>879</v>
      </c>
      <c r="K1498" s="65"/>
      <c r="L1498" s="65"/>
      <c r="M1498" s="65"/>
      <c r="N1498" s="65"/>
      <c r="O1498" s="65" t="s">
        <v>892</v>
      </c>
      <c r="P1498" s="65"/>
      <c r="Q1498" s="65">
        <v>1</v>
      </c>
      <c r="R1498" s="65">
        <v>559</v>
      </c>
      <c r="S1498" s="65"/>
    </row>
    <row r="1499" spans="1:19" x14ac:dyDescent="0.25">
      <c r="A1499" s="15">
        <v>67</v>
      </c>
      <c r="B1499" s="65"/>
      <c r="C1499" s="65">
        <v>2429</v>
      </c>
      <c r="D1499" s="65"/>
      <c r="E1499" s="65" t="s">
        <v>787</v>
      </c>
      <c r="F1499" s="65">
        <v>1</v>
      </c>
      <c r="G1499" s="65"/>
      <c r="H1499" s="65" t="e">
        <v>#N/A</v>
      </c>
      <c r="I1499" s="65"/>
      <c r="J1499" s="65" t="s">
        <v>899</v>
      </c>
      <c r="K1499" s="65" t="s">
        <v>900</v>
      </c>
      <c r="L1499" s="65" t="s">
        <v>900</v>
      </c>
      <c r="M1499" s="65" t="s">
        <v>900</v>
      </c>
      <c r="N1499" s="65" t="s">
        <v>900</v>
      </c>
      <c r="O1499" s="65" t="s">
        <v>901</v>
      </c>
      <c r="P1499" s="65"/>
      <c r="Q1499" s="65">
        <v>1</v>
      </c>
      <c r="R1499" s="65">
        <v>781</v>
      </c>
      <c r="S1499" s="65"/>
    </row>
    <row r="1500" spans="1:19" x14ac:dyDescent="0.25">
      <c r="A1500" s="15">
        <v>67</v>
      </c>
      <c r="B1500" s="65"/>
      <c r="C1500" s="65">
        <v>2429</v>
      </c>
      <c r="D1500" s="65"/>
      <c r="E1500" s="65" t="s">
        <v>787</v>
      </c>
      <c r="F1500" s="65">
        <v>1</v>
      </c>
      <c r="G1500" s="65"/>
      <c r="H1500" s="65" t="e">
        <v>#N/A</v>
      </c>
      <c r="I1500" s="65"/>
      <c r="J1500" s="65" t="s">
        <v>899</v>
      </c>
      <c r="K1500" s="65" t="s">
        <v>900</v>
      </c>
      <c r="L1500" s="65" t="s">
        <v>900</v>
      </c>
      <c r="M1500" s="65" t="s">
        <v>900</v>
      </c>
      <c r="N1500" s="65" t="s">
        <v>900</v>
      </c>
      <c r="O1500" s="65" t="s">
        <v>902</v>
      </c>
      <c r="P1500" s="65"/>
      <c r="Q1500" s="65">
        <v>1</v>
      </c>
      <c r="R1500" s="65">
        <v>782</v>
      </c>
      <c r="S1500" s="65"/>
    </row>
    <row r="1501" spans="1:19" x14ac:dyDescent="0.25">
      <c r="A1501" s="15">
        <v>67</v>
      </c>
      <c r="B1501" s="65"/>
      <c r="C1501" s="65">
        <v>2429</v>
      </c>
      <c r="D1501" s="65"/>
      <c r="E1501" s="65" t="s">
        <v>787</v>
      </c>
      <c r="F1501" s="65">
        <v>1</v>
      </c>
      <c r="G1501" s="65"/>
      <c r="H1501" s="65" t="e">
        <v>#N/A</v>
      </c>
      <c r="I1501" s="65"/>
      <c r="J1501" s="65" t="s">
        <v>899</v>
      </c>
      <c r="K1501" s="65" t="s">
        <v>900</v>
      </c>
      <c r="L1501" s="65" t="s">
        <v>900</v>
      </c>
      <c r="M1501" s="65" t="s">
        <v>900</v>
      </c>
      <c r="N1501" s="65" t="s">
        <v>900</v>
      </c>
      <c r="O1501" s="65" t="s">
        <v>903</v>
      </c>
      <c r="P1501" s="65"/>
      <c r="Q1501" s="65">
        <v>1</v>
      </c>
      <c r="R1501" s="65">
        <v>783</v>
      </c>
      <c r="S1501" s="65"/>
    </row>
    <row r="1502" spans="1:19" x14ac:dyDescent="0.25">
      <c r="A1502" s="15">
        <v>67</v>
      </c>
      <c r="B1502" s="65"/>
      <c r="C1502" s="65">
        <v>2429</v>
      </c>
      <c r="D1502" s="65"/>
      <c r="E1502" s="65" t="s">
        <v>787</v>
      </c>
      <c r="F1502" s="65">
        <v>1</v>
      </c>
      <c r="G1502" s="65"/>
      <c r="H1502" s="65" t="e">
        <v>#N/A</v>
      </c>
      <c r="I1502" s="65"/>
      <c r="J1502" s="65" t="s">
        <v>899</v>
      </c>
      <c r="K1502" s="65" t="s">
        <v>900</v>
      </c>
      <c r="L1502" s="65" t="s">
        <v>900</v>
      </c>
      <c r="M1502" s="65" t="s">
        <v>900</v>
      </c>
      <c r="N1502" s="65" t="s">
        <v>900</v>
      </c>
      <c r="O1502" s="65" t="s">
        <v>904</v>
      </c>
      <c r="P1502" s="65"/>
      <c r="Q1502" s="65">
        <v>1</v>
      </c>
      <c r="R1502" s="65">
        <v>784</v>
      </c>
      <c r="S1502" s="65"/>
    </row>
    <row r="1503" spans="1:19" x14ac:dyDescent="0.25">
      <c r="A1503" s="15">
        <v>67</v>
      </c>
      <c r="B1503" s="65"/>
      <c r="C1503" s="65">
        <v>2429</v>
      </c>
      <c r="D1503" s="65"/>
      <c r="E1503" s="65" t="s">
        <v>787</v>
      </c>
      <c r="F1503" s="65">
        <v>1</v>
      </c>
      <c r="G1503" s="65"/>
      <c r="H1503" s="65" t="e">
        <v>#N/A</v>
      </c>
      <c r="I1503" s="65"/>
      <c r="J1503" s="65" t="s">
        <v>899</v>
      </c>
      <c r="K1503" s="65" t="s">
        <v>900</v>
      </c>
      <c r="L1503" s="65" t="s">
        <v>900</v>
      </c>
      <c r="M1503" s="65" t="s">
        <v>900</v>
      </c>
      <c r="N1503" s="65" t="s">
        <v>900</v>
      </c>
      <c r="O1503" s="65" t="s">
        <v>905</v>
      </c>
      <c r="P1503" s="65"/>
      <c r="Q1503" s="65">
        <v>1</v>
      </c>
      <c r="R1503" s="65">
        <v>785</v>
      </c>
      <c r="S1503" s="65"/>
    </row>
    <row r="1504" spans="1:19" x14ac:dyDescent="0.25">
      <c r="A1504" s="15">
        <v>67</v>
      </c>
      <c r="B1504" s="65"/>
      <c r="C1504" s="65">
        <v>2429</v>
      </c>
      <c r="D1504" s="65"/>
      <c r="E1504" s="65" t="s">
        <v>787</v>
      </c>
      <c r="F1504" s="65">
        <v>1</v>
      </c>
      <c r="G1504" s="65"/>
      <c r="H1504" s="65" t="e">
        <v>#N/A</v>
      </c>
      <c r="I1504" s="65"/>
      <c r="J1504" s="65" t="s">
        <v>899</v>
      </c>
      <c r="K1504" s="65" t="s">
        <v>900</v>
      </c>
      <c r="L1504" s="65" t="s">
        <v>900</v>
      </c>
      <c r="M1504" s="65" t="s">
        <v>900</v>
      </c>
      <c r="N1504" s="65" t="s">
        <v>900</v>
      </c>
      <c r="O1504" s="65" t="s">
        <v>906</v>
      </c>
      <c r="P1504" s="65"/>
      <c r="Q1504" s="65">
        <v>1</v>
      </c>
      <c r="R1504" s="65">
        <v>786</v>
      </c>
      <c r="S1504" s="65"/>
    </row>
    <row r="1505" spans="1:19" x14ac:dyDescent="0.25">
      <c r="A1505" s="15">
        <v>67</v>
      </c>
      <c r="B1505" s="65"/>
      <c r="C1505" s="65">
        <v>2429</v>
      </c>
      <c r="D1505" s="65"/>
      <c r="E1505" s="65" t="s">
        <v>787</v>
      </c>
      <c r="F1505" s="65">
        <v>1</v>
      </c>
      <c r="G1505" s="65"/>
      <c r="H1505" s="65" t="e">
        <v>#N/A</v>
      </c>
      <c r="I1505" s="65"/>
      <c r="J1505" s="65" t="s">
        <v>899</v>
      </c>
      <c r="K1505" s="65" t="s">
        <v>900</v>
      </c>
      <c r="L1505" s="65" t="s">
        <v>900</v>
      </c>
      <c r="M1505" s="65" t="s">
        <v>900</v>
      </c>
      <c r="N1505" s="65" t="s">
        <v>900</v>
      </c>
      <c r="O1505" s="65" t="s">
        <v>907</v>
      </c>
      <c r="P1505" s="65"/>
      <c r="Q1505" s="65">
        <v>1</v>
      </c>
      <c r="R1505" s="65">
        <v>787</v>
      </c>
      <c r="S1505" s="65"/>
    </row>
    <row r="1506" spans="1:19" x14ac:dyDescent="0.25">
      <c r="A1506" s="15">
        <v>67</v>
      </c>
      <c r="B1506" s="65"/>
      <c r="C1506" s="65">
        <v>2429</v>
      </c>
      <c r="D1506" s="65"/>
      <c r="E1506" s="65" t="s">
        <v>787</v>
      </c>
      <c r="F1506" s="65">
        <v>1</v>
      </c>
      <c r="G1506" s="65"/>
      <c r="H1506" s="65" t="e">
        <v>#N/A</v>
      </c>
      <c r="I1506" s="65"/>
      <c r="J1506" s="65" t="s">
        <v>899</v>
      </c>
      <c r="K1506" s="65" t="s">
        <v>900</v>
      </c>
      <c r="L1506" s="65" t="s">
        <v>900</v>
      </c>
      <c r="M1506" s="65" t="s">
        <v>900</v>
      </c>
      <c r="N1506" s="65" t="s">
        <v>900</v>
      </c>
      <c r="O1506" s="65" t="s">
        <v>908</v>
      </c>
      <c r="P1506" s="65"/>
      <c r="Q1506" s="65">
        <v>1</v>
      </c>
      <c r="R1506" s="65">
        <v>788</v>
      </c>
      <c r="S1506" s="65"/>
    </row>
    <row r="1507" spans="1:19" x14ac:dyDescent="0.25">
      <c r="A1507" s="15">
        <v>67</v>
      </c>
      <c r="B1507" s="65"/>
      <c r="C1507" s="65">
        <v>2429</v>
      </c>
      <c r="D1507" s="65"/>
      <c r="E1507" s="65" t="s">
        <v>787</v>
      </c>
      <c r="F1507" s="65">
        <v>1</v>
      </c>
      <c r="G1507" s="65"/>
      <c r="H1507" s="65" t="e">
        <v>#N/A</v>
      </c>
      <c r="I1507" s="65"/>
      <c r="J1507" s="65" t="s">
        <v>899</v>
      </c>
      <c r="K1507" s="65" t="s">
        <v>900</v>
      </c>
      <c r="L1507" s="65" t="s">
        <v>900</v>
      </c>
      <c r="M1507" s="65" t="s">
        <v>900</v>
      </c>
      <c r="N1507" s="65" t="s">
        <v>900</v>
      </c>
      <c r="O1507" s="65" t="s">
        <v>909</v>
      </c>
      <c r="P1507" s="65"/>
      <c r="Q1507" s="65">
        <v>1</v>
      </c>
      <c r="R1507" s="65">
        <v>789</v>
      </c>
      <c r="S1507" s="65"/>
    </row>
    <row r="1508" spans="1:19" x14ac:dyDescent="0.25">
      <c r="A1508" s="15">
        <v>67</v>
      </c>
      <c r="B1508" s="65"/>
      <c r="C1508" s="65">
        <v>2429</v>
      </c>
      <c r="D1508" s="65"/>
      <c r="E1508" s="65" t="s">
        <v>787</v>
      </c>
      <c r="F1508" s="65">
        <v>1</v>
      </c>
      <c r="G1508" s="65"/>
      <c r="H1508" s="65" t="e">
        <v>#N/A</v>
      </c>
      <c r="I1508" s="65"/>
      <c r="J1508" s="65" t="s">
        <v>899</v>
      </c>
      <c r="K1508" s="65" t="s">
        <v>900</v>
      </c>
      <c r="L1508" s="65" t="s">
        <v>900</v>
      </c>
      <c r="M1508" s="65" t="s">
        <v>900</v>
      </c>
      <c r="N1508" s="65" t="s">
        <v>900</v>
      </c>
      <c r="O1508" s="65" t="s">
        <v>910</v>
      </c>
      <c r="P1508" s="65"/>
      <c r="Q1508" s="65">
        <v>1</v>
      </c>
      <c r="R1508" s="65">
        <v>790</v>
      </c>
      <c r="S1508" s="65"/>
    </row>
    <row r="1509" spans="1:19" x14ac:dyDescent="0.25">
      <c r="A1509" s="15">
        <v>67</v>
      </c>
      <c r="B1509" s="65"/>
      <c r="C1509" s="65">
        <v>2429</v>
      </c>
      <c r="D1509" s="65"/>
      <c r="E1509" s="65" t="s">
        <v>787</v>
      </c>
      <c r="F1509" s="65">
        <v>1</v>
      </c>
      <c r="G1509" s="65"/>
      <c r="H1509" s="65" t="e">
        <v>#N/A</v>
      </c>
      <c r="I1509" s="65"/>
      <c r="J1509" s="65" t="s">
        <v>899</v>
      </c>
      <c r="K1509" s="65" t="s">
        <v>900</v>
      </c>
      <c r="L1509" s="65" t="s">
        <v>900</v>
      </c>
      <c r="M1509" s="65" t="s">
        <v>900</v>
      </c>
      <c r="N1509" s="65" t="s">
        <v>900</v>
      </c>
      <c r="O1509" s="65" t="s">
        <v>911</v>
      </c>
      <c r="P1509" s="65"/>
      <c r="Q1509" s="65">
        <v>1</v>
      </c>
      <c r="R1509" s="65">
        <v>791</v>
      </c>
      <c r="S1509" s="65"/>
    </row>
    <row r="1510" spans="1:19" x14ac:dyDescent="0.25">
      <c r="A1510" s="15">
        <v>67</v>
      </c>
      <c r="B1510" s="65"/>
      <c r="C1510" s="65">
        <v>2429</v>
      </c>
      <c r="D1510" s="65"/>
      <c r="E1510" s="65" t="s">
        <v>787</v>
      </c>
      <c r="F1510" s="65">
        <v>0</v>
      </c>
      <c r="G1510" s="65"/>
      <c r="H1510" s="65">
        <v>3</v>
      </c>
      <c r="I1510" s="65" t="e">
        <v>#N/A</v>
      </c>
      <c r="J1510" s="65" t="s">
        <v>899</v>
      </c>
      <c r="K1510" s="65"/>
      <c r="L1510" s="65"/>
      <c r="M1510" s="65"/>
      <c r="N1510" s="65"/>
      <c r="O1510" s="65" t="s">
        <v>913</v>
      </c>
      <c r="P1510" s="65"/>
      <c r="Q1510" s="65">
        <v>1</v>
      </c>
      <c r="R1510" s="65">
        <v>1008</v>
      </c>
      <c r="S1510" s="65"/>
    </row>
    <row r="1511" spans="1:19" x14ac:dyDescent="0.25">
      <c r="A1511" s="15">
        <v>67</v>
      </c>
      <c r="B1511" s="65"/>
      <c r="C1511" s="65">
        <v>2429</v>
      </c>
      <c r="D1511" s="65"/>
      <c r="E1511" s="65" t="s">
        <v>787</v>
      </c>
      <c r="F1511" s="65">
        <v>0</v>
      </c>
      <c r="G1511" s="65"/>
      <c r="H1511" s="65">
        <v>3</v>
      </c>
      <c r="I1511" s="65" t="e">
        <v>#N/A</v>
      </c>
      <c r="J1511" s="65" t="s">
        <v>899</v>
      </c>
      <c r="K1511" s="65"/>
      <c r="L1511" s="65"/>
      <c r="M1511" s="65"/>
      <c r="N1511" s="65"/>
      <c r="O1511" s="65" t="s">
        <v>914</v>
      </c>
      <c r="P1511" s="65"/>
      <c r="Q1511" s="65">
        <v>1</v>
      </c>
      <c r="R1511" s="65">
        <v>1009</v>
      </c>
      <c r="S1511" s="65"/>
    </row>
    <row r="1512" spans="1:19" x14ac:dyDescent="0.25">
      <c r="A1512" s="15">
        <v>67</v>
      </c>
      <c r="B1512" s="65"/>
      <c r="C1512" s="65">
        <v>2429</v>
      </c>
      <c r="D1512" s="65"/>
      <c r="E1512" s="65" t="s">
        <v>787</v>
      </c>
      <c r="F1512" s="65">
        <v>0</v>
      </c>
      <c r="G1512" s="65"/>
      <c r="H1512" s="65">
        <v>3</v>
      </c>
      <c r="I1512" s="65" t="e">
        <v>#N/A</v>
      </c>
      <c r="J1512" s="65" t="s">
        <v>899</v>
      </c>
      <c r="K1512" s="65"/>
      <c r="L1512" s="65"/>
      <c r="M1512" s="65"/>
      <c r="N1512" s="65"/>
      <c r="O1512" s="65" t="s">
        <v>915</v>
      </c>
      <c r="P1512" s="65"/>
      <c r="Q1512" s="65">
        <v>1</v>
      </c>
      <c r="R1512" s="65">
        <v>1010</v>
      </c>
      <c r="S1512" s="65"/>
    </row>
    <row r="1513" spans="1:19" x14ac:dyDescent="0.25">
      <c r="A1513" s="15">
        <v>67</v>
      </c>
      <c r="B1513" s="65"/>
      <c r="C1513" s="65">
        <v>2429</v>
      </c>
      <c r="D1513" s="65"/>
      <c r="E1513" s="65" t="s">
        <v>787</v>
      </c>
      <c r="F1513" s="65">
        <v>0</v>
      </c>
      <c r="G1513" s="65"/>
      <c r="H1513" s="65">
        <v>3</v>
      </c>
      <c r="I1513" s="65" t="e">
        <v>#N/A</v>
      </c>
      <c r="J1513" s="65" t="s">
        <v>899</v>
      </c>
      <c r="K1513" s="65"/>
      <c r="L1513" s="65"/>
      <c r="M1513" s="65"/>
      <c r="N1513" s="65"/>
      <c r="O1513" s="65" t="s">
        <v>916</v>
      </c>
      <c r="P1513" s="65"/>
      <c r="Q1513" s="65">
        <v>1</v>
      </c>
      <c r="R1513" s="65">
        <v>1011</v>
      </c>
      <c r="S1513" s="65"/>
    </row>
    <row r="1514" spans="1:19" x14ac:dyDescent="0.25">
      <c r="A1514" s="15">
        <v>67</v>
      </c>
      <c r="B1514" s="65"/>
      <c r="C1514" s="65">
        <v>2429</v>
      </c>
      <c r="D1514" s="65"/>
      <c r="E1514" s="65" t="s">
        <v>787</v>
      </c>
      <c r="F1514" s="65">
        <v>0</v>
      </c>
      <c r="G1514" s="65"/>
      <c r="H1514" s="65">
        <v>3</v>
      </c>
      <c r="I1514" s="65" t="e">
        <v>#N/A</v>
      </c>
      <c r="J1514" s="65" t="s">
        <v>899</v>
      </c>
      <c r="K1514" s="65"/>
      <c r="L1514" s="65"/>
      <c r="M1514" s="65"/>
      <c r="N1514" s="65"/>
      <c r="O1514" s="65" t="s">
        <v>917</v>
      </c>
      <c r="P1514" s="65"/>
      <c r="Q1514" s="65">
        <v>1</v>
      </c>
      <c r="R1514" s="65">
        <v>1012</v>
      </c>
      <c r="S1514" s="65"/>
    </row>
    <row r="1515" spans="1:19" x14ac:dyDescent="0.25">
      <c r="A1515" s="15">
        <v>67</v>
      </c>
      <c r="B1515" s="65"/>
      <c r="C1515" s="65">
        <v>2429</v>
      </c>
      <c r="D1515" s="65"/>
      <c r="E1515" s="65" t="s">
        <v>787</v>
      </c>
      <c r="F1515" s="65">
        <v>0</v>
      </c>
      <c r="G1515" s="65"/>
      <c r="H1515" s="65">
        <v>3</v>
      </c>
      <c r="I1515" s="65" t="e">
        <v>#N/A</v>
      </c>
      <c r="J1515" s="65" t="s">
        <v>899</v>
      </c>
      <c r="K1515" s="65"/>
      <c r="L1515" s="65"/>
      <c r="M1515" s="65"/>
      <c r="N1515" s="65"/>
      <c r="O1515" s="65" t="s">
        <v>918</v>
      </c>
      <c r="P1515" s="65"/>
      <c r="Q1515" s="65">
        <v>1</v>
      </c>
      <c r="R1515" s="65">
        <v>1013</v>
      </c>
      <c r="S1515" s="65"/>
    </row>
    <row r="1516" spans="1:19" x14ac:dyDescent="0.25">
      <c r="A1516" s="15">
        <v>67</v>
      </c>
      <c r="B1516" s="65"/>
      <c r="C1516" s="65">
        <v>2429</v>
      </c>
      <c r="D1516" s="65"/>
      <c r="E1516" s="65" t="s">
        <v>787</v>
      </c>
      <c r="F1516" s="65">
        <v>0</v>
      </c>
      <c r="G1516" s="65"/>
      <c r="H1516" s="65">
        <v>3</v>
      </c>
      <c r="I1516" s="65" t="e">
        <v>#N/A</v>
      </c>
      <c r="J1516" s="65" t="s">
        <v>899</v>
      </c>
      <c r="K1516" s="65"/>
      <c r="L1516" s="65"/>
      <c r="M1516" s="65"/>
      <c r="N1516" s="65"/>
      <c r="O1516" s="65" t="s">
        <v>919</v>
      </c>
      <c r="P1516" s="65"/>
      <c r="Q1516" s="65">
        <v>1</v>
      </c>
      <c r="R1516" s="65">
        <v>1014</v>
      </c>
      <c r="S1516" s="65"/>
    </row>
    <row r="1517" spans="1:19" x14ac:dyDescent="0.25">
      <c r="A1517" s="15">
        <v>67</v>
      </c>
      <c r="B1517" s="65"/>
      <c r="C1517" s="65">
        <v>2429</v>
      </c>
      <c r="D1517" s="65"/>
      <c r="E1517" s="65" t="s">
        <v>787</v>
      </c>
      <c r="F1517" s="65">
        <v>0</v>
      </c>
      <c r="G1517" s="65"/>
      <c r="H1517" s="65">
        <v>3</v>
      </c>
      <c r="I1517" s="65" t="e">
        <v>#N/A</v>
      </c>
      <c r="J1517" s="65" t="s">
        <v>899</v>
      </c>
      <c r="K1517" s="65"/>
      <c r="L1517" s="65"/>
      <c r="M1517" s="65"/>
      <c r="N1517" s="65"/>
      <c r="O1517" s="65" t="s">
        <v>920</v>
      </c>
      <c r="P1517" s="65"/>
      <c r="Q1517" s="65">
        <v>1</v>
      </c>
      <c r="R1517" s="65">
        <v>1015</v>
      </c>
      <c r="S1517" s="65"/>
    </row>
    <row r="1518" spans="1:19" x14ac:dyDescent="0.25">
      <c r="A1518" s="15">
        <v>67</v>
      </c>
      <c r="B1518" s="65"/>
      <c r="C1518" s="65">
        <v>2429</v>
      </c>
      <c r="D1518" s="65"/>
      <c r="E1518" s="65" t="s">
        <v>787</v>
      </c>
      <c r="F1518" s="65">
        <v>0</v>
      </c>
      <c r="G1518" s="65"/>
      <c r="H1518" s="65">
        <v>3</v>
      </c>
      <c r="I1518" s="65" t="e">
        <v>#N/A</v>
      </c>
      <c r="J1518" s="65" t="s">
        <v>899</v>
      </c>
      <c r="K1518" s="65"/>
      <c r="L1518" s="65"/>
      <c r="M1518" s="65"/>
      <c r="N1518" s="65"/>
      <c r="O1518" s="65" t="s">
        <v>921</v>
      </c>
      <c r="P1518" s="65"/>
      <c r="Q1518" s="65">
        <v>1</v>
      </c>
      <c r="R1518" s="65">
        <v>1016</v>
      </c>
      <c r="S1518" s="65"/>
    </row>
    <row r="1519" spans="1:19" x14ac:dyDescent="0.25">
      <c r="A1519" s="15">
        <v>67</v>
      </c>
      <c r="B1519" s="65"/>
      <c r="C1519" s="65">
        <v>2429</v>
      </c>
      <c r="D1519" s="65"/>
      <c r="E1519" s="65" t="s">
        <v>787</v>
      </c>
      <c r="F1519" s="65">
        <v>0</v>
      </c>
      <c r="G1519" s="65"/>
      <c r="H1519" s="65">
        <v>3</v>
      </c>
      <c r="I1519" s="65" t="e">
        <v>#N/A</v>
      </c>
      <c r="J1519" s="65" t="s">
        <v>899</v>
      </c>
      <c r="K1519" s="65"/>
      <c r="L1519" s="65"/>
      <c r="M1519" s="65"/>
      <c r="N1519" s="65"/>
      <c r="O1519" s="65" t="s">
        <v>922</v>
      </c>
      <c r="P1519" s="65"/>
      <c r="Q1519" s="65">
        <v>1</v>
      </c>
      <c r="R1519" s="65">
        <v>1017</v>
      </c>
      <c r="S1519" s="65"/>
    </row>
    <row r="1520" spans="1:19" x14ac:dyDescent="0.25">
      <c r="A1520" s="15">
        <v>67</v>
      </c>
      <c r="B1520" s="65"/>
      <c r="C1520" s="65">
        <v>2429</v>
      </c>
      <c r="D1520" s="65"/>
      <c r="E1520" s="65" t="s">
        <v>787</v>
      </c>
      <c r="F1520" s="65">
        <v>0</v>
      </c>
      <c r="G1520" s="65"/>
      <c r="H1520" s="65">
        <v>3</v>
      </c>
      <c r="I1520" s="65" t="e">
        <v>#N/A</v>
      </c>
      <c r="J1520" s="65" t="s">
        <v>899</v>
      </c>
      <c r="K1520" s="65"/>
      <c r="L1520" s="65"/>
      <c r="M1520" s="65"/>
      <c r="N1520" s="65"/>
      <c r="O1520" s="65" t="s">
        <v>923</v>
      </c>
      <c r="P1520" s="65"/>
      <c r="Q1520" s="65">
        <v>1</v>
      </c>
      <c r="R1520" s="65">
        <v>1018</v>
      </c>
      <c r="S1520" s="65"/>
    </row>
    <row r="1521" spans="1:19" x14ac:dyDescent="0.25">
      <c r="A1521" s="15">
        <v>67</v>
      </c>
      <c r="B1521" s="65"/>
      <c r="C1521" s="65">
        <v>2429</v>
      </c>
      <c r="D1521" s="65"/>
      <c r="E1521" s="65" t="s">
        <v>787</v>
      </c>
      <c r="F1521" s="65">
        <v>3</v>
      </c>
      <c r="G1521" s="65"/>
      <c r="H1521" s="65">
        <v>3</v>
      </c>
      <c r="I1521" s="65" t="e">
        <v>#N/A</v>
      </c>
      <c r="J1521" s="65" t="s">
        <v>899</v>
      </c>
      <c r="K1521" s="65"/>
      <c r="L1521" s="65"/>
      <c r="M1521" s="65"/>
      <c r="N1521" s="65"/>
      <c r="O1521" s="65" t="s">
        <v>925</v>
      </c>
      <c r="P1521" s="65"/>
      <c r="Q1521" s="65">
        <v>1</v>
      </c>
      <c r="R1521" s="65">
        <v>1235</v>
      </c>
      <c r="S1521" s="65"/>
    </row>
    <row r="1522" spans="1:19" x14ac:dyDescent="0.25">
      <c r="A1522" s="15">
        <v>67</v>
      </c>
      <c r="B1522" s="65"/>
      <c r="C1522" s="65">
        <v>2429</v>
      </c>
      <c r="D1522" s="65"/>
      <c r="E1522" s="65" t="s">
        <v>787</v>
      </c>
      <c r="F1522" s="65">
        <v>3</v>
      </c>
      <c r="G1522" s="65"/>
      <c r="H1522" s="65">
        <v>3</v>
      </c>
      <c r="I1522" s="65" t="e">
        <v>#N/A</v>
      </c>
      <c r="J1522" s="65" t="s">
        <v>899</v>
      </c>
      <c r="K1522" s="65"/>
      <c r="L1522" s="65"/>
      <c r="M1522" s="65"/>
      <c r="N1522" s="65"/>
      <c r="O1522" s="65" t="s">
        <v>926</v>
      </c>
      <c r="P1522" s="65"/>
      <c r="Q1522" s="65">
        <v>1</v>
      </c>
      <c r="R1522" s="65">
        <v>1236</v>
      </c>
      <c r="S1522" s="65"/>
    </row>
    <row r="1523" spans="1:19" x14ac:dyDescent="0.25">
      <c r="A1523" s="15">
        <v>67</v>
      </c>
      <c r="B1523" s="65"/>
      <c r="C1523" s="65">
        <v>2429</v>
      </c>
      <c r="D1523" s="65"/>
      <c r="E1523" s="65" t="s">
        <v>787</v>
      </c>
      <c r="F1523" s="65">
        <v>3</v>
      </c>
      <c r="G1523" s="65"/>
      <c r="H1523" s="65">
        <v>3</v>
      </c>
      <c r="I1523" s="65" t="e">
        <v>#N/A</v>
      </c>
      <c r="J1523" s="65" t="s">
        <v>899</v>
      </c>
      <c r="K1523" s="65"/>
      <c r="L1523" s="65"/>
      <c r="M1523" s="65"/>
      <c r="N1523" s="65"/>
      <c r="O1523" s="65" t="s">
        <v>927</v>
      </c>
      <c r="P1523" s="65"/>
      <c r="Q1523" s="65">
        <v>1</v>
      </c>
      <c r="R1523" s="65">
        <v>1237</v>
      </c>
      <c r="S1523" s="65"/>
    </row>
    <row r="1524" spans="1:19" x14ac:dyDescent="0.25">
      <c r="A1524" s="15">
        <v>67</v>
      </c>
      <c r="B1524" s="65"/>
      <c r="C1524" s="65">
        <v>2429</v>
      </c>
      <c r="D1524" s="65"/>
      <c r="E1524" s="65" t="s">
        <v>787</v>
      </c>
      <c r="F1524" s="65">
        <v>3</v>
      </c>
      <c r="G1524" s="65"/>
      <c r="H1524" s="65">
        <v>3</v>
      </c>
      <c r="I1524" s="65" t="e">
        <v>#N/A</v>
      </c>
      <c r="J1524" s="65" t="s">
        <v>899</v>
      </c>
      <c r="K1524" s="65"/>
      <c r="L1524" s="65"/>
      <c r="M1524" s="65"/>
      <c r="N1524" s="65"/>
      <c r="O1524" s="65" t="s">
        <v>928</v>
      </c>
      <c r="P1524" s="65"/>
      <c r="Q1524" s="65">
        <v>1</v>
      </c>
      <c r="R1524" s="65">
        <v>1238</v>
      </c>
      <c r="S1524" s="65"/>
    </row>
    <row r="1525" spans="1:19" x14ac:dyDescent="0.25">
      <c r="A1525" s="15">
        <v>67</v>
      </c>
      <c r="B1525" s="65"/>
      <c r="C1525" s="65">
        <v>2429</v>
      </c>
      <c r="D1525" s="65"/>
      <c r="E1525" s="65" t="s">
        <v>787</v>
      </c>
      <c r="F1525" s="65">
        <v>3</v>
      </c>
      <c r="G1525" s="65"/>
      <c r="H1525" s="65">
        <v>3</v>
      </c>
      <c r="I1525" s="65" t="e">
        <v>#N/A</v>
      </c>
      <c r="J1525" s="65" t="s">
        <v>899</v>
      </c>
      <c r="K1525" s="65"/>
      <c r="L1525" s="65"/>
      <c r="M1525" s="65"/>
      <c r="N1525" s="65"/>
      <c r="O1525" s="65" t="s">
        <v>929</v>
      </c>
      <c r="P1525" s="65"/>
      <c r="Q1525" s="65">
        <v>1</v>
      </c>
      <c r="R1525" s="65">
        <v>1239</v>
      </c>
      <c r="S1525" s="65"/>
    </row>
    <row r="1526" spans="1:19" x14ac:dyDescent="0.25">
      <c r="A1526" s="15">
        <v>67</v>
      </c>
      <c r="B1526" s="65"/>
      <c r="C1526" s="65">
        <v>2429</v>
      </c>
      <c r="D1526" s="65"/>
      <c r="E1526" s="65" t="s">
        <v>787</v>
      </c>
      <c r="F1526" s="65">
        <v>3</v>
      </c>
      <c r="G1526" s="65"/>
      <c r="H1526" s="65">
        <v>3</v>
      </c>
      <c r="I1526" s="65" t="e">
        <v>#N/A</v>
      </c>
      <c r="J1526" s="65" t="s">
        <v>899</v>
      </c>
      <c r="K1526" s="65"/>
      <c r="L1526" s="65"/>
      <c r="M1526" s="65"/>
      <c r="N1526" s="65"/>
      <c r="O1526" s="65" t="s">
        <v>930</v>
      </c>
      <c r="P1526" s="65"/>
      <c r="Q1526" s="65">
        <v>1</v>
      </c>
      <c r="R1526" s="65">
        <v>1240</v>
      </c>
      <c r="S1526" s="65"/>
    </row>
    <row r="1527" spans="1:19" x14ac:dyDescent="0.25">
      <c r="A1527" s="15">
        <v>67</v>
      </c>
      <c r="B1527" s="65"/>
      <c r="C1527" s="65">
        <v>2429</v>
      </c>
      <c r="D1527" s="65"/>
      <c r="E1527" s="65" t="s">
        <v>787</v>
      </c>
      <c r="F1527" s="65">
        <v>3</v>
      </c>
      <c r="G1527" s="65"/>
      <c r="H1527" s="65">
        <v>3</v>
      </c>
      <c r="I1527" s="65" t="e">
        <v>#N/A</v>
      </c>
      <c r="J1527" s="65" t="s">
        <v>899</v>
      </c>
      <c r="K1527" s="65"/>
      <c r="L1527" s="65"/>
      <c r="M1527" s="65"/>
      <c r="N1527" s="65"/>
      <c r="O1527" s="65" t="s">
        <v>931</v>
      </c>
      <c r="P1527" s="65"/>
      <c r="Q1527" s="65">
        <v>1</v>
      </c>
      <c r="R1527" s="65">
        <v>1241</v>
      </c>
      <c r="S1527" s="65"/>
    </row>
    <row r="1528" spans="1:19" x14ac:dyDescent="0.25">
      <c r="A1528" s="15">
        <v>67</v>
      </c>
      <c r="B1528" s="65"/>
      <c r="C1528" s="65">
        <v>2429</v>
      </c>
      <c r="D1528" s="65"/>
      <c r="E1528" s="65" t="s">
        <v>787</v>
      </c>
      <c r="F1528" s="65">
        <v>3</v>
      </c>
      <c r="G1528" s="65"/>
      <c r="H1528" s="65">
        <v>3</v>
      </c>
      <c r="I1528" s="65" t="e">
        <v>#N/A</v>
      </c>
      <c r="J1528" s="65" t="s">
        <v>899</v>
      </c>
      <c r="K1528" s="65"/>
      <c r="L1528" s="65"/>
      <c r="M1528" s="65"/>
      <c r="N1528" s="65"/>
      <c r="O1528" s="65" t="s">
        <v>932</v>
      </c>
      <c r="P1528" s="65"/>
      <c r="Q1528" s="65">
        <v>1</v>
      </c>
      <c r="R1528" s="65">
        <v>1242</v>
      </c>
      <c r="S1528" s="65"/>
    </row>
    <row r="1529" spans="1:19" x14ac:dyDescent="0.25">
      <c r="A1529" s="15">
        <v>67</v>
      </c>
      <c r="B1529" s="65"/>
      <c r="C1529" s="65">
        <v>2429</v>
      </c>
      <c r="D1529" s="65"/>
      <c r="E1529" s="65" t="s">
        <v>787</v>
      </c>
      <c r="F1529" s="65">
        <v>3</v>
      </c>
      <c r="G1529" s="65"/>
      <c r="H1529" s="65">
        <v>3</v>
      </c>
      <c r="I1529" s="65" t="e">
        <v>#N/A</v>
      </c>
      <c r="J1529" s="65" t="s">
        <v>899</v>
      </c>
      <c r="K1529" s="65"/>
      <c r="L1529" s="65"/>
      <c r="M1529" s="65"/>
      <c r="N1529" s="65"/>
      <c r="O1529" s="65" t="s">
        <v>933</v>
      </c>
      <c r="P1529" s="65"/>
      <c r="Q1529" s="65">
        <v>1</v>
      </c>
      <c r="R1529" s="65">
        <v>1243</v>
      </c>
      <c r="S1529" s="65"/>
    </row>
    <row r="1530" spans="1:19" x14ac:dyDescent="0.25">
      <c r="A1530" s="15">
        <v>67</v>
      </c>
      <c r="B1530" s="65"/>
      <c r="C1530" s="65">
        <v>2429</v>
      </c>
      <c r="D1530" s="65"/>
      <c r="E1530" s="65" t="s">
        <v>787</v>
      </c>
      <c r="F1530" s="65">
        <v>3</v>
      </c>
      <c r="G1530" s="65"/>
      <c r="H1530" s="65">
        <v>3</v>
      </c>
      <c r="I1530" s="65" t="e">
        <v>#N/A</v>
      </c>
      <c r="J1530" s="65" t="s">
        <v>899</v>
      </c>
      <c r="K1530" s="65"/>
      <c r="L1530" s="65"/>
      <c r="M1530" s="65"/>
      <c r="N1530" s="65"/>
      <c r="O1530" s="65" t="s">
        <v>934</v>
      </c>
      <c r="P1530" s="65"/>
      <c r="Q1530" s="65">
        <v>1</v>
      </c>
      <c r="R1530" s="65">
        <v>1244</v>
      </c>
      <c r="S1530" s="65"/>
    </row>
    <row r="1531" spans="1:19" x14ac:dyDescent="0.25">
      <c r="A1531" s="15">
        <v>67</v>
      </c>
      <c r="B1531" s="65"/>
      <c r="C1531" s="65">
        <v>2429</v>
      </c>
      <c r="D1531" s="65"/>
      <c r="E1531" s="65" t="s">
        <v>787</v>
      </c>
      <c r="F1531" s="65">
        <v>3</v>
      </c>
      <c r="G1531" s="65"/>
      <c r="H1531" s="65">
        <v>3</v>
      </c>
      <c r="I1531" s="65" t="e">
        <v>#N/A</v>
      </c>
      <c r="J1531" s="65" t="s">
        <v>899</v>
      </c>
      <c r="K1531" s="65"/>
      <c r="L1531" s="65"/>
      <c r="M1531" s="65"/>
      <c r="N1531" s="65"/>
      <c r="O1531" s="65" t="s">
        <v>935</v>
      </c>
      <c r="P1531" s="65"/>
      <c r="Q1531" s="65">
        <v>1</v>
      </c>
      <c r="R1531" s="65">
        <v>1245</v>
      </c>
      <c r="S1531" s="65"/>
    </row>
    <row r="1532" spans="1:19" x14ac:dyDescent="0.25">
      <c r="A1532" s="15">
        <v>67</v>
      </c>
      <c r="B1532" s="65"/>
      <c r="C1532" s="65">
        <v>2429</v>
      </c>
      <c r="D1532" s="65"/>
      <c r="E1532" s="65" t="s">
        <v>787</v>
      </c>
      <c r="F1532" s="65">
        <v>3</v>
      </c>
      <c r="G1532" s="65"/>
      <c r="H1532" s="65" t="e">
        <v>#N/A</v>
      </c>
      <c r="I1532" s="65"/>
      <c r="J1532" s="65" t="s">
        <v>899</v>
      </c>
      <c r="K1532" s="65"/>
      <c r="L1532" s="65"/>
      <c r="M1532" s="65"/>
      <c r="N1532" s="65"/>
      <c r="O1532" s="65" t="s">
        <v>937</v>
      </c>
      <c r="P1532" s="65"/>
      <c r="Q1532" s="65">
        <v>1</v>
      </c>
      <c r="R1532" s="65">
        <v>1312</v>
      </c>
      <c r="S1532" s="65"/>
    </row>
    <row r="1533" spans="1:19" x14ac:dyDescent="0.25">
      <c r="A1533" s="15">
        <v>67</v>
      </c>
      <c r="B1533" s="65"/>
      <c r="C1533" s="65">
        <v>2429</v>
      </c>
      <c r="D1533" s="65"/>
      <c r="E1533" s="65" t="s">
        <v>787</v>
      </c>
      <c r="F1533" s="65">
        <v>5</v>
      </c>
      <c r="G1533" s="65"/>
      <c r="H1533" s="65" t="e">
        <v>#N/A</v>
      </c>
      <c r="I1533" s="65"/>
      <c r="J1533" s="65" t="s">
        <v>899</v>
      </c>
      <c r="K1533" s="65"/>
      <c r="L1533" s="65"/>
      <c r="M1533" s="65"/>
      <c r="N1533" s="65"/>
      <c r="O1533" s="65" t="s">
        <v>939</v>
      </c>
      <c r="P1533" s="65"/>
      <c r="Q1533" s="65">
        <v>1</v>
      </c>
      <c r="R1533" s="65">
        <v>1529</v>
      </c>
      <c r="S1533" s="65"/>
    </row>
    <row r="1534" spans="1:19" x14ac:dyDescent="0.25">
      <c r="A1534" s="15">
        <v>67</v>
      </c>
      <c r="B1534" s="65"/>
      <c r="C1534" s="65">
        <v>2429</v>
      </c>
      <c r="D1534" s="65"/>
      <c r="E1534" s="65" t="s">
        <v>787</v>
      </c>
      <c r="F1534" s="65">
        <v>5</v>
      </c>
      <c r="G1534" s="65"/>
      <c r="H1534" s="65" t="e">
        <v>#N/A</v>
      </c>
      <c r="I1534" s="65"/>
      <c r="J1534" s="65" t="s">
        <v>899</v>
      </c>
      <c r="K1534" s="65"/>
      <c r="L1534" s="65"/>
      <c r="M1534" s="65"/>
      <c r="N1534" s="65"/>
      <c r="O1534" s="65" t="s">
        <v>940</v>
      </c>
      <c r="P1534" s="65"/>
      <c r="Q1534" s="65">
        <v>1</v>
      </c>
      <c r="R1534" s="65">
        <v>1530</v>
      </c>
      <c r="S1534" s="65"/>
    </row>
    <row r="1535" spans="1:19" x14ac:dyDescent="0.25">
      <c r="A1535" s="15">
        <v>67</v>
      </c>
      <c r="B1535" s="65"/>
      <c r="C1535" s="65">
        <v>2429</v>
      </c>
      <c r="D1535" s="65"/>
      <c r="E1535" s="65" t="s">
        <v>787</v>
      </c>
      <c r="F1535" s="65">
        <v>5</v>
      </c>
      <c r="G1535" s="65"/>
      <c r="H1535" s="65" t="e">
        <v>#N/A</v>
      </c>
      <c r="I1535" s="65"/>
      <c r="J1535" s="65" t="s">
        <v>899</v>
      </c>
      <c r="K1535" s="65"/>
      <c r="L1535" s="65"/>
      <c r="M1535" s="65"/>
      <c r="N1535" s="65"/>
      <c r="O1535" s="65" t="s">
        <v>941</v>
      </c>
      <c r="P1535" s="65"/>
      <c r="Q1535" s="65">
        <v>1</v>
      </c>
      <c r="R1535" s="65">
        <v>1531</v>
      </c>
      <c r="S1535" s="65"/>
    </row>
    <row r="1536" spans="1:19" x14ac:dyDescent="0.25">
      <c r="A1536" s="15">
        <v>67</v>
      </c>
      <c r="B1536" s="65"/>
      <c r="C1536" s="65">
        <v>2429</v>
      </c>
      <c r="D1536" s="65"/>
      <c r="E1536" s="65" t="s">
        <v>787</v>
      </c>
      <c r="F1536" s="65">
        <v>5</v>
      </c>
      <c r="G1536" s="65"/>
      <c r="H1536" s="65" t="e">
        <v>#N/A</v>
      </c>
      <c r="I1536" s="65"/>
      <c r="J1536" s="65" t="s">
        <v>899</v>
      </c>
      <c r="K1536" s="65"/>
      <c r="L1536" s="65"/>
      <c r="M1536" s="65"/>
      <c r="N1536" s="65"/>
      <c r="O1536" s="65" t="s">
        <v>942</v>
      </c>
      <c r="P1536" s="65"/>
      <c r="Q1536" s="65">
        <v>1</v>
      </c>
      <c r="R1536" s="65">
        <v>1532</v>
      </c>
      <c r="S1536" s="65"/>
    </row>
    <row r="1537" spans="1:19" x14ac:dyDescent="0.25">
      <c r="A1537" s="15">
        <v>67</v>
      </c>
      <c r="B1537" s="65"/>
      <c r="C1537" s="65">
        <v>2429</v>
      </c>
      <c r="D1537" s="65"/>
      <c r="E1537" s="65" t="s">
        <v>787</v>
      </c>
      <c r="F1537" s="65">
        <v>5</v>
      </c>
      <c r="G1537" s="65"/>
      <c r="H1537" s="65" t="e">
        <v>#N/A</v>
      </c>
      <c r="I1537" s="65"/>
      <c r="J1537" s="65" t="s">
        <v>899</v>
      </c>
      <c r="K1537" s="65"/>
      <c r="L1537" s="65"/>
      <c r="M1537" s="65"/>
      <c r="N1537" s="65"/>
      <c r="O1537" s="65" t="s">
        <v>943</v>
      </c>
      <c r="P1537" s="65"/>
      <c r="Q1537" s="65">
        <v>1</v>
      </c>
      <c r="R1537" s="65">
        <v>1533</v>
      </c>
      <c r="S1537" s="65"/>
    </row>
    <row r="1538" spans="1:19" x14ac:dyDescent="0.25">
      <c r="A1538" s="15">
        <v>67</v>
      </c>
      <c r="B1538" s="65"/>
      <c r="C1538" s="65">
        <v>2429</v>
      </c>
      <c r="D1538" s="65"/>
      <c r="E1538" s="65" t="s">
        <v>787</v>
      </c>
      <c r="F1538" s="65">
        <v>5</v>
      </c>
      <c r="G1538" s="65"/>
      <c r="H1538" s="65" t="e">
        <v>#N/A</v>
      </c>
      <c r="I1538" s="65"/>
      <c r="J1538" s="65" t="s">
        <v>899</v>
      </c>
      <c r="K1538" s="65"/>
      <c r="L1538" s="65"/>
      <c r="M1538" s="65"/>
      <c r="N1538" s="65"/>
      <c r="O1538" s="65" t="s">
        <v>944</v>
      </c>
      <c r="P1538" s="65"/>
      <c r="Q1538" s="65">
        <v>1</v>
      </c>
      <c r="R1538" s="65">
        <v>1534</v>
      </c>
      <c r="S1538" s="65"/>
    </row>
    <row r="1539" spans="1:19" x14ac:dyDescent="0.25">
      <c r="A1539" s="15">
        <v>67</v>
      </c>
      <c r="B1539" s="65"/>
      <c r="C1539" s="65">
        <v>2429</v>
      </c>
      <c r="D1539" s="65"/>
      <c r="E1539" s="65" t="s">
        <v>787</v>
      </c>
      <c r="F1539" s="65">
        <v>5</v>
      </c>
      <c r="G1539" s="65"/>
      <c r="H1539" s="65" t="e">
        <v>#N/A</v>
      </c>
      <c r="I1539" s="65"/>
      <c r="J1539" s="65" t="s">
        <v>899</v>
      </c>
      <c r="K1539" s="65"/>
      <c r="L1539" s="65"/>
      <c r="M1539" s="65"/>
      <c r="N1539" s="65"/>
      <c r="O1539" s="65" t="s">
        <v>945</v>
      </c>
      <c r="P1539" s="65"/>
      <c r="Q1539" s="65">
        <v>1</v>
      </c>
      <c r="R1539" s="65">
        <v>1535</v>
      </c>
      <c r="S1539" s="65"/>
    </row>
    <row r="1540" spans="1:19" x14ac:dyDescent="0.25">
      <c r="A1540" s="15">
        <v>67</v>
      </c>
      <c r="B1540" s="65"/>
      <c r="C1540" s="65">
        <v>2429</v>
      </c>
      <c r="D1540" s="65"/>
      <c r="E1540" s="65" t="s">
        <v>787</v>
      </c>
      <c r="F1540" s="65">
        <v>5</v>
      </c>
      <c r="G1540" s="65"/>
      <c r="H1540" s="65" t="e">
        <v>#N/A</v>
      </c>
      <c r="I1540" s="65"/>
      <c r="J1540" s="65" t="s">
        <v>899</v>
      </c>
      <c r="K1540" s="65"/>
      <c r="L1540" s="65"/>
      <c r="M1540" s="65"/>
      <c r="N1540" s="65"/>
      <c r="O1540" s="65" t="s">
        <v>946</v>
      </c>
      <c r="P1540" s="65"/>
      <c r="Q1540" s="65">
        <v>1</v>
      </c>
      <c r="R1540" s="65">
        <v>1536</v>
      </c>
      <c r="S1540" s="65"/>
    </row>
    <row r="1541" spans="1:19" x14ac:dyDescent="0.25">
      <c r="A1541" s="15">
        <v>67</v>
      </c>
      <c r="B1541" s="65"/>
      <c r="C1541" s="65">
        <v>2429</v>
      </c>
      <c r="D1541" s="65"/>
      <c r="E1541" s="65" t="s">
        <v>787</v>
      </c>
      <c r="F1541" s="65">
        <v>5</v>
      </c>
      <c r="G1541" s="65"/>
      <c r="H1541" s="65" t="e">
        <v>#N/A</v>
      </c>
      <c r="I1541" s="65"/>
      <c r="J1541" s="65" t="s">
        <v>899</v>
      </c>
      <c r="K1541" s="65"/>
      <c r="L1541" s="65"/>
      <c r="M1541" s="65"/>
      <c r="N1541" s="65"/>
      <c r="O1541" s="65" t="s">
        <v>947</v>
      </c>
      <c r="P1541" s="65"/>
      <c r="Q1541" s="65">
        <v>1</v>
      </c>
      <c r="R1541" s="65">
        <v>1537</v>
      </c>
      <c r="S1541" s="65"/>
    </row>
    <row r="1542" spans="1:19" x14ac:dyDescent="0.25">
      <c r="A1542" s="15">
        <v>67</v>
      </c>
      <c r="B1542" s="65"/>
      <c r="C1542" s="65">
        <v>2429</v>
      </c>
      <c r="D1542" s="65"/>
      <c r="E1542" s="65" t="s">
        <v>787</v>
      </c>
      <c r="F1542" s="65">
        <v>5</v>
      </c>
      <c r="G1542" s="65"/>
      <c r="H1542" s="65" t="e">
        <v>#N/A</v>
      </c>
      <c r="I1542" s="65"/>
      <c r="J1542" s="65" t="s">
        <v>899</v>
      </c>
      <c r="K1542" s="65"/>
      <c r="L1542" s="65"/>
      <c r="M1542" s="65"/>
      <c r="N1542" s="65"/>
      <c r="O1542" s="65" t="s">
        <v>948</v>
      </c>
      <c r="P1542" s="65"/>
      <c r="Q1542" s="65">
        <v>1</v>
      </c>
      <c r="R1542" s="65">
        <v>1538</v>
      </c>
      <c r="S1542" s="65"/>
    </row>
    <row r="1543" spans="1:19" x14ac:dyDescent="0.25">
      <c r="A1543" s="15">
        <v>67</v>
      </c>
      <c r="B1543" s="65"/>
      <c r="C1543" s="65">
        <v>2429</v>
      </c>
      <c r="D1543" s="65"/>
      <c r="E1543" s="65" t="s">
        <v>787</v>
      </c>
      <c r="F1543" s="65">
        <v>5</v>
      </c>
      <c r="G1543" s="65"/>
      <c r="H1543" s="65" t="e">
        <v>#N/A</v>
      </c>
      <c r="I1543" s="65"/>
      <c r="J1543" s="65" t="s">
        <v>899</v>
      </c>
      <c r="K1543" s="65"/>
      <c r="L1543" s="65"/>
      <c r="M1543" s="65"/>
      <c r="N1543" s="65"/>
      <c r="O1543" s="65" t="s">
        <v>949</v>
      </c>
      <c r="P1543" s="65"/>
      <c r="Q1543" s="65">
        <v>1</v>
      </c>
      <c r="R1543" s="65">
        <v>1539</v>
      </c>
      <c r="S1543" s="65"/>
    </row>
  </sheetData>
  <sortState xmlns:xlrd2="http://schemas.microsoft.com/office/spreadsheetml/2017/richdata2" ref="A2:S1543">
    <sortCondition ref="A2:A1543"/>
  </sortState>
  <conditionalFormatting sqref="R1:R1048576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C66C9-759D-402F-88F3-F2BC4CFE45E7}">
  <sheetPr codeName="Sheet13"/>
  <dimension ref="A1:AB125"/>
  <sheetViews>
    <sheetView workbookViewId="0">
      <selection activeCell="A126" sqref="A126"/>
    </sheetView>
  </sheetViews>
  <sheetFormatPr defaultColWidth="9" defaultRowHeight="15" x14ac:dyDescent="0.25"/>
  <cols>
    <col min="1" max="2" width="4.7109375" bestFit="1" customWidth="1"/>
    <col min="3" max="3" width="5.28515625" bestFit="1" customWidth="1"/>
    <col min="4" max="4" width="4" bestFit="1" customWidth="1"/>
    <col min="5" max="6" width="5" bestFit="1" customWidth="1"/>
    <col min="7" max="7" width="10.140625" bestFit="1" customWidth="1"/>
    <col min="8" max="8" width="7.42578125" bestFit="1" customWidth="1"/>
    <col min="9" max="9" width="11.85546875" bestFit="1" customWidth="1"/>
    <col min="10" max="10" width="5.7109375" bestFit="1" customWidth="1"/>
    <col min="11" max="11" width="12" bestFit="1" customWidth="1"/>
    <col min="12" max="12" width="7.140625" bestFit="1" customWidth="1"/>
    <col min="13" max="13" width="9.140625" bestFit="1" customWidth="1"/>
    <col min="14" max="15" width="11.140625" bestFit="1" customWidth="1"/>
    <col min="16" max="16" width="9.28515625" bestFit="1" customWidth="1"/>
    <col min="17" max="18" width="11.28515625" bestFit="1" customWidth="1"/>
    <col min="19" max="19" width="7.7109375" bestFit="1" customWidth="1"/>
    <col min="20" max="20" width="4.42578125" bestFit="1" customWidth="1"/>
    <col min="21" max="21" width="14.42578125" bestFit="1" customWidth="1"/>
    <col min="22" max="22" width="14.5703125" bestFit="1" customWidth="1"/>
    <col min="23" max="23" width="8.140625" bestFit="1" customWidth="1"/>
    <col min="24" max="24" width="5.85546875" bestFit="1" customWidth="1"/>
    <col min="25" max="25" width="6" bestFit="1" customWidth="1"/>
    <col min="26" max="26" width="11.5703125" bestFit="1" customWidth="1"/>
    <col min="27" max="27" width="10.42578125" bestFit="1" customWidth="1"/>
    <col min="28" max="28" width="5.42578125" bestFit="1" customWidth="1"/>
    <col min="29" max="29" width="7.5703125" bestFit="1" customWidth="1"/>
    <col min="30" max="30" width="6.7109375" bestFit="1" customWidth="1"/>
    <col min="31" max="31" width="7.28515625" bestFit="1" customWidth="1"/>
    <col min="32" max="32" width="6.28515625" bestFit="1" customWidth="1"/>
  </cols>
  <sheetData>
    <row r="1" spans="1:28" x14ac:dyDescent="0.25">
      <c r="A1" t="s">
        <v>589</v>
      </c>
      <c r="B1" t="s">
        <v>590</v>
      </c>
      <c r="C1" t="s">
        <v>591</v>
      </c>
      <c r="D1" t="s">
        <v>54</v>
      </c>
      <c r="E1" t="s">
        <v>66</v>
      </c>
      <c r="F1" t="s">
        <v>64</v>
      </c>
      <c r="G1" t="s">
        <v>592</v>
      </c>
      <c r="H1" t="s">
        <v>593</v>
      </c>
      <c r="I1" t="s">
        <v>594</v>
      </c>
      <c r="J1" t="s">
        <v>333</v>
      </c>
      <c r="K1" t="s">
        <v>595</v>
      </c>
      <c r="L1" t="s">
        <v>596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597</v>
      </c>
      <c r="T1" t="s">
        <v>598</v>
      </c>
      <c r="U1" t="s">
        <v>599</v>
      </c>
      <c r="V1" t="s">
        <v>600</v>
      </c>
      <c r="W1" t="s">
        <v>601</v>
      </c>
      <c r="X1" t="s">
        <v>602</v>
      </c>
      <c r="Y1" t="s">
        <v>603</v>
      </c>
      <c r="Z1" t="s">
        <v>604</v>
      </c>
      <c r="AA1" t="s">
        <v>605</v>
      </c>
      <c r="AB1" t="s">
        <v>786</v>
      </c>
    </row>
    <row r="2" spans="1:28" x14ac:dyDescent="0.25">
      <c r="A2" t="s">
        <v>747</v>
      </c>
      <c r="W2" t="s">
        <v>44</v>
      </c>
      <c r="X2" t="s">
        <v>747</v>
      </c>
      <c r="Z2" t="s">
        <v>745</v>
      </c>
    </row>
    <row r="3" spans="1:28" x14ac:dyDescent="0.25">
      <c r="A3">
        <v>1</v>
      </c>
      <c r="W3" t="s">
        <v>116</v>
      </c>
      <c r="X3" t="s">
        <v>747</v>
      </c>
    </row>
    <row r="4" spans="1:28" x14ac:dyDescent="0.25">
      <c r="A4" t="s">
        <v>717</v>
      </c>
      <c r="W4" t="s">
        <v>73</v>
      </c>
      <c r="X4" t="s">
        <v>747</v>
      </c>
      <c r="Z4" t="s">
        <v>717</v>
      </c>
    </row>
    <row r="5" spans="1:28" x14ac:dyDescent="0.25">
      <c r="A5">
        <v>6</v>
      </c>
      <c r="S5">
        <v>6</v>
      </c>
      <c r="W5" t="s">
        <v>99</v>
      </c>
      <c r="X5" t="s">
        <v>747</v>
      </c>
      <c r="Z5" t="s">
        <v>722</v>
      </c>
    </row>
    <row r="6" spans="1:28" x14ac:dyDescent="0.25">
      <c r="A6">
        <v>6</v>
      </c>
      <c r="S6">
        <v>6</v>
      </c>
      <c r="W6" t="s">
        <v>99</v>
      </c>
      <c r="X6" t="s">
        <v>747</v>
      </c>
      <c r="Z6" t="s">
        <v>733</v>
      </c>
    </row>
    <row r="7" spans="1:28" x14ac:dyDescent="0.25">
      <c r="A7">
        <v>6</v>
      </c>
      <c r="S7">
        <v>6</v>
      </c>
      <c r="W7" t="s">
        <v>99</v>
      </c>
      <c r="X7" t="s">
        <v>747</v>
      </c>
      <c r="Z7" t="s">
        <v>742</v>
      </c>
    </row>
    <row r="8" spans="1:28" x14ac:dyDescent="0.25">
      <c r="A8">
        <v>6</v>
      </c>
      <c r="S8">
        <v>6</v>
      </c>
      <c r="W8" t="s">
        <v>99</v>
      </c>
      <c r="X8" t="s">
        <v>747</v>
      </c>
      <c r="Z8" t="s">
        <v>749</v>
      </c>
    </row>
    <row r="9" spans="1:28" x14ac:dyDescent="0.25">
      <c r="A9">
        <v>6</v>
      </c>
      <c r="S9">
        <v>6</v>
      </c>
      <c r="W9" t="s">
        <v>99</v>
      </c>
      <c r="X9" t="s">
        <v>747</v>
      </c>
      <c r="Z9" t="s">
        <v>755</v>
      </c>
    </row>
    <row r="10" spans="1:28" x14ac:dyDescent="0.25">
      <c r="A10" t="s">
        <v>728</v>
      </c>
      <c r="W10" t="s">
        <v>44</v>
      </c>
      <c r="X10" t="s">
        <v>728</v>
      </c>
      <c r="Z10" t="s">
        <v>726</v>
      </c>
    </row>
    <row r="11" spans="1:28" x14ac:dyDescent="0.25">
      <c r="A11" t="s">
        <v>728</v>
      </c>
      <c r="W11" t="s">
        <v>44</v>
      </c>
      <c r="X11" t="s">
        <v>728</v>
      </c>
      <c r="Z11" t="s">
        <v>733</v>
      </c>
    </row>
    <row r="12" spans="1:28" x14ac:dyDescent="0.25">
      <c r="A12" t="s">
        <v>728</v>
      </c>
      <c r="W12" t="s">
        <v>44</v>
      </c>
      <c r="X12" t="s">
        <v>728</v>
      </c>
      <c r="Z12" t="s">
        <v>748</v>
      </c>
    </row>
    <row r="13" spans="1:28" x14ac:dyDescent="0.25">
      <c r="A13" t="s">
        <v>728</v>
      </c>
      <c r="W13" t="s">
        <v>44</v>
      </c>
      <c r="X13" t="s">
        <v>728</v>
      </c>
      <c r="Z13" t="s">
        <v>750</v>
      </c>
    </row>
    <row r="14" spans="1:28" x14ac:dyDescent="0.25">
      <c r="A14" t="s">
        <v>728</v>
      </c>
      <c r="W14" t="s">
        <v>44</v>
      </c>
      <c r="X14" t="s">
        <v>728</v>
      </c>
      <c r="Z14" t="s">
        <v>754</v>
      </c>
    </row>
    <row r="15" spans="1:28" x14ac:dyDescent="0.25">
      <c r="A15">
        <v>2</v>
      </c>
      <c r="W15" t="s">
        <v>116</v>
      </c>
      <c r="X15" t="s">
        <v>728</v>
      </c>
    </row>
    <row r="16" spans="1:28" x14ac:dyDescent="0.25">
      <c r="A16" t="s">
        <v>733</v>
      </c>
      <c r="W16" t="s">
        <v>73</v>
      </c>
      <c r="X16" t="s">
        <v>728</v>
      </c>
      <c r="Z16" t="s">
        <v>733</v>
      </c>
    </row>
    <row r="17" spans="1:26" x14ac:dyDescent="0.25">
      <c r="A17">
        <v>8</v>
      </c>
      <c r="S17">
        <v>8</v>
      </c>
      <c r="W17" t="s">
        <v>99</v>
      </c>
      <c r="X17" t="s">
        <v>728</v>
      </c>
      <c r="Z17" t="s">
        <v>734</v>
      </c>
    </row>
    <row r="18" spans="1:26" x14ac:dyDescent="0.25">
      <c r="A18">
        <v>8</v>
      </c>
      <c r="S18">
        <v>8</v>
      </c>
      <c r="W18" t="s">
        <v>99</v>
      </c>
      <c r="X18" t="s">
        <v>728</v>
      </c>
      <c r="Z18" t="s">
        <v>726</v>
      </c>
    </row>
    <row r="19" spans="1:26" x14ac:dyDescent="0.25">
      <c r="A19">
        <v>8</v>
      </c>
      <c r="S19">
        <v>8</v>
      </c>
      <c r="W19" t="s">
        <v>99</v>
      </c>
      <c r="X19" t="s">
        <v>728</v>
      </c>
      <c r="Z19" t="s">
        <v>748</v>
      </c>
    </row>
    <row r="20" spans="1:26" x14ac:dyDescent="0.25">
      <c r="A20">
        <v>8</v>
      </c>
      <c r="S20">
        <v>8</v>
      </c>
      <c r="W20" t="s">
        <v>99</v>
      </c>
      <c r="X20" t="s">
        <v>728</v>
      </c>
      <c r="Z20" t="s">
        <v>742</v>
      </c>
    </row>
    <row r="21" spans="1:26" x14ac:dyDescent="0.25">
      <c r="A21">
        <v>8</v>
      </c>
      <c r="S21">
        <v>8</v>
      </c>
      <c r="W21" t="s">
        <v>99</v>
      </c>
      <c r="X21" t="s">
        <v>728</v>
      </c>
      <c r="Z21" t="s">
        <v>756</v>
      </c>
    </row>
    <row r="22" spans="1:26" x14ac:dyDescent="0.25">
      <c r="A22" t="s">
        <v>721</v>
      </c>
      <c r="W22" t="s">
        <v>44</v>
      </c>
      <c r="X22" t="s">
        <v>721</v>
      </c>
      <c r="Z22" t="s">
        <v>717</v>
      </c>
    </row>
    <row r="23" spans="1:26" x14ac:dyDescent="0.25">
      <c r="A23">
        <v>3</v>
      </c>
      <c r="W23" t="s">
        <v>116</v>
      </c>
      <c r="X23" t="s">
        <v>721</v>
      </c>
    </row>
    <row r="24" spans="1:26" x14ac:dyDescent="0.25">
      <c r="A24" t="s">
        <v>755</v>
      </c>
      <c r="W24" t="s">
        <v>73</v>
      </c>
      <c r="X24" t="s">
        <v>721</v>
      </c>
      <c r="Z24" t="s">
        <v>755</v>
      </c>
    </row>
    <row r="25" spans="1:26" x14ac:dyDescent="0.25">
      <c r="A25">
        <v>10</v>
      </c>
      <c r="S25">
        <v>10</v>
      </c>
      <c r="W25" t="s">
        <v>99</v>
      </c>
      <c r="X25" t="s">
        <v>721</v>
      </c>
      <c r="Z25" t="s">
        <v>740</v>
      </c>
    </row>
    <row r="26" spans="1:26" x14ac:dyDescent="0.25">
      <c r="A26">
        <v>10</v>
      </c>
      <c r="S26">
        <v>10</v>
      </c>
      <c r="W26" t="s">
        <v>99</v>
      </c>
      <c r="X26" t="s">
        <v>721</v>
      </c>
      <c r="Z26" t="s">
        <v>742</v>
      </c>
    </row>
    <row r="27" spans="1:26" x14ac:dyDescent="0.25">
      <c r="A27">
        <v>10</v>
      </c>
      <c r="S27">
        <v>10</v>
      </c>
      <c r="W27" t="s">
        <v>99</v>
      </c>
      <c r="X27" t="s">
        <v>721</v>
      </c>
      <c r="Z27" t="s">
        <v>745</v>
      </c>
    </row>
    <row r="28" spans="1:26" x14ac:dyDescent="0.25">
      <c r="A28" t="s">
        <v>732</v>
      </c>
      <c r="W28" t="s">
        <v>44</v>
      </c>
      <c r="X28" t="s">
        <v>732</v>
      </c>
      <c r="Z28" t="s">
        <v>726</v>
      </c>
    </row>
    <row r="29" spans="1:26" x14ac:dyDescent="0.25">
      <c r="A29" t="s">
        <v>732</v>
      </c>
      <c r="W29" t="s">
        <v>44</v>
      </c>
      <c r="X29" t="s">
        <v>732</v>
      </c>
      <c r="Z29" t="s">
        <v>750</v>
      </c>
    </row>
    <row r="30" spans="1:26" x14ac:dyDescent="0.25">
      <c r="A30">
        <v>4</v>
      </c>
      <c r="W30" t="s">
        <v>116</v>
      </c>
      <c r="X30" t="s">
        <v>732</v>
      </c>
    </row>
    <row r="31" spans="1:26" x14ac:dyDescent="0.25">
      <c r="A31" t="s">
        <v>734</v>
      </c>
      <c r="W31" t="s">
        <v>73</v>
      </c>
      <c r="X31" t="s">
        <v>732</v>
      </c>
      <c r="Z31" t="s">
        <v>734</v>
      </c>
    </row>
    <row r="32" spans="1:26" x14ac:dyDescent="0.25">
      <c r="A32">
        <v>12</v>
      </c>
      <c r="S32">
        <v>12</v>
      </c>
      <c r="W32" t="s">
        <v>99</v>
      </c>
      <c r="X32" t="s">
        <v>732</v>
      </c>
      <c r="Z32" t="s">
        <v>726</v>
      </c>
    </row>
    <row r="33" spans="1:26" x14ac:dyDescent="0.25">
      <c r="A33">
        <v>12</v>
      </c>
      <c r="S33">
        <v>12</v>
      </c>
      <c r="W33" t="s">
        <v>99</v>
      </c>
      <c r="X33" t="s">
        <v>732</v>
      </c>
      <c r="Z33" t="s">
        <v>733</v>
      </c>
    </row>
    <row r="34" spans="1:26" x14ac:dyDescent="0.25">
      <c r="A34">
        <v>12</v>
      </c>
      <c r="S34">
        <v>12</v>
      </c>
      <c r="W34" t="s">
        <v>99</v>
      </c>
      <c r="X34" t="s">
        <v>732</v>
      </c>
      <c r="Z34" t="s">
        <v>748</v>
      </c>
    </row>
    <row r="35" spans="1:26" x14ac:dyDescent="0.25">
      <c r="A35">
        <v>12</v>
      </c>
      <c r="S35">
        <v>12</v>
      </c>
      <c r="W35" t="s">
        <v>99</v>
      </c>
      <c r="X35" t="s">
        <v>732</v>
      </c>
      <c r="Z35" t="s">
        <v>750</v>
      </c>
    </row>
    <row r="36" spans="1:26" x14ac:dyDescent="0.25">
      <c r="A36">
        <v>12</v>
      </c>
      <c r="S36">
        <v>12</v>
      </c>
      <c r="W36" t="s">
        <v>99</v>
      </c>
      <c r="X36" t="s">
        <v>732</v>
      </c>
      <c r="Z36" t="s">
        <v>754</v>
      </c>
    </row>
    <row r="37" spans="1:26" x14ac:dyDescent="0.25">
      <c r="A37" t="s">
        <v>738</v>
      </c>
      <c r="W37" t="s">
        <v>44</v>
      </c>
      <c r="X37" t="s">
        <v>738</v>
      </c>
      <c r="Z37" t="s">
        <v>726</v>
      </c>
    </row>
    <row r="38" spans="1:26" x14ac:dyDescent="0.25">
      <c r="A38">
        <v>5</v>
      </c>
      <c r="W38" t="s">
        <v>116</v>
      </c>
      <c r="X38" t="s">
        <v>738</v>
      </c>
    </row>
    <row r="39" spans="1:26" x14ac:dyDescent="0.25">
      <c r="A39" t="s">
        <v>745</v>
      </c>
      <c r="W39" t="s">
        <v>73</v>
      </c>
      <c r="X39" t="s">
        <v>738</v>
      </c>
      <c r="Z39" t="s">
        <v>745</v>
      </c>
    </row>
    <row r="40" spans="1:26" x14ac:dyDescent="0.25">
      <c r="A40">
        <v>14</v>
      </c>
      <c r="S40">
        <v>14</v>
      </c>
      <c r="W40" t="s">
        <v>99</v>
      </c>
      <c r="X40" t="s">
        <v>738</v>
      </c>
      <c r="Z40" t="s">
        <v>717</v>
      </c>
    </row>
    <row r="41" spans="1:26" x14ac:dyDescent="0.25">
      <c r="A41">
        <v>6</v>
      </c>
      <c r="W41" t="s">
        <v>116</v>
      </c>
      <c r="X41" t="s">
        <v>756</v>
      </c>
    </row>
    <row r="42" spans="1:26" x14ac:dyDescent="0.25">
      <c r="A42" t="s">
        <v>750</v>
      </c>
      <c r="W42" t="s">
        <v>73</v>
      </c>
      <c r="X42" t="s">
        <v>756</v>
      </c>
      <c r="Z42" t="s">
        <v>750</v>
      </c>
    </row>
    <row r="43" spans="1:26" x14ac:dyDescent="0.25">
      <c r="A43">
        <v>16</v>
      </c>
      <c r="S43">
        <v>16</v>
      </c>
      <c r="W43" t="s">
        <v>99</v>
      </c>
      <c r="X43" t="s">
        <v>756</v>
      </c>
      <c r="Z43" t="s">
        <v>726</v>
      </c>
    </row>
    <row r="44" spans="1:26" x14ac:dyDescent="0.25">
      <c r="A44">
        <v>16</v>
      </c>
      <c r="S44">
        <v>16</v>
      </c>
      <c r="W44" t="s">
        <v>99</v>
      </c>
      <c r="X44" t="s">
        <v>756</v>
      </c>
      <c r="Z44" t="s">
        <v>750</v>
      </c>
    </row>
    <row r="45" spans="1:26" x14ac:dyDescent="0.25">
      <c r="A45" t="s">
        <v>742</v>
      </c>
      <c r="W45" t="s">
        <v>44</v>
      </c>
      <c r="X45" t="s">
        <v>742</v>
      </c>
      <c r="Z45" t="s">
        <v>742</v>
      </c>
    </row>
    <row r="46" spans="1:26" x14ac:dyDescent="0.25">
      <c r="A46">
        <v>7</v>
      </c>
      <c r="W46" t="s">
        <v>116</v>
      </c>
      <c r="X46" t="s">
        <v>742</v>
      </c>
    </row>
    <row r="47" spans="1:26" x14ac:dyDescent="0.25">
      <c r="A47" t="s">
        <v>748</v>
      </c>
      <c r="W47" t="s">
        <v>73</v>
      </c>
      <c r="X47" t="s">
        <v>742</v>
      </c>
      <c r="Z47" t="s">
        <v>748</v>
      </c>
    </row>
    <row r="48" spans="1:26" x14ac:dyDescent="0.25">
      <c r="A48">
        <v>18</v>
      </c>
      <c r="S48">
        <v>18</v>
      </c>
      <c r="W48" t="s">
        <v>99</v>
      </c>
      <c r="X48" t="s">
        <v>742</v>
      </c>
      <c r="Z48" t="s">
        <v>726</v>
      </c>
    </row>
    <row r="49" spans="1:26" x14ac:dyDescent="0.25">
      <c r="A49" t="s">
        <v>740</v>
      </c>
      <c r="W49" t="s">
        <v>44</v>
      </c>
      <c r="X49" t="s">
        <v>740</v>
      </c>
      <c r="Z49" t="s">
        <v>740</v>
      </c>
    </row>
    <row r="50" spans="1:26" x14ac:dyDescent="0.25">
      <c r="A50">
        <v>8</v>
      </c>
      <c r="W50" t="s">
        <v>116</v>
      </c>
      <c r="X50" t="s">
        <v>740</v>
      </c>
    </row>
    <row r="51" spans="1:26" x14ac:dyDescent="0.25">
      <c r="A51" t="s">
        <v>749</v>
      </c>
      <c r="W51" t="s">
        <v>73</v>
      </c>
      <c r="X51" t="s">
        <v>740</v>
      </c>
      <c r="Z51" t="s">
        <v>749</v>
      </c>
    </row>
    <row r="52" spans="1:26" x14ac:dyDescent="0.25">
      <c r="A52" t="s">
        <v>725</v>
      </c>
      <c r="W52" t="s">
        <v>44</v>
      </c>
      <c r="X52" t="s">
        <v>725</v>
      </c>
      <c r="Z52" t="s">
        <v>722</v>
      </c>
    </row>
    <row r="53" spans="1:26" x14ac:dyDescent="0.25">
      <c r="A53" t="s">
        <v>725</v>
      </c>
      <c r="W53" t="s">
        <v>44</v>
      </c>
      <c r="X53" t="s">
        <v>725</v>
      </c>
      <c r="Z53" t="s">
        <v>726</v>
      </c>
    </row>
    <row r="54" spans="1:26" x14ac:dyDescent="0.25">
      <c r="A54" t="s">
        <v>725</v>
      </c>
      <c r="W54" t="s">
        <v>44</v>
      </c>
      <c r="X54" t="s">
        <v>725</v>
      </c>
      <c r="Z54" t="s">
        <v>733</v>
      </c>
    </row>
    <row r="55" spans="1:26" x14ac:dyDescent="0.25">
      <c r="A55" t="s">
        <v>725</v>
      </c>
      <c r="W55" t="s">
        <v>44</v>
      </c>
      <c r="X55" t="s">
        <v>725</v>
      </c>
      <c r="Z55" t="s">
        <v>749</v>
      </c>
    </row>
    <row r="56" spans="1:26" x14ac:dyDescent="0.25">
      <c r="A56" t="s">
        <v>725</v>
      </c>
      <c r="W56" t="s">
        <v>44</v>
      </c>
      <c r="X56" t="s">
        <v>725</v>
      </c>
      <c r="Z56" t="s">
        <v>750</v>
      </c>
    </row>
    <row r="57" spans="1:26" x14ac:dyDescent="0.25">
      <c r="A57" t="s">
        <v>725</v>
      </c>
      <c r="W57" t="s">
        <v>44</v>
      </c>
      <c r="X57" t="s">
        <v>725</v>
      </c>
      <c r="Z57" t="s">
        <v>755</v>
      </c>
    </row>
    <row r="58" spans="1:26" x14ac:dyDescent="0.25">
      <c r="A58">
        <v>9</v>
      </c>
      <c r="W58" t="s">
        <v>116</v>
      </c>
      <c r="X58" t="s">
        <v>725</v>
      </c>
    </row>
    <row r="59" spans="1:26" x14ac:dyDescent="0.25">
      <c r="A59" t="s">
        <v>726</v>
      </c>
      <c r="W59" t="s">
        <v>73</v>
      </c>
      <c r="X59" t="s">
        <v>725</v>
      </c>
      <c r="Z59" t="s">
        <v>726</v>
      </c>
    </row>
    <row r="60" spans="1:26" x14ac:dyDescent="0.25">
      <c r="A60" t="s">
        <v>736</v>
      </c>
      <c r="W60" t="s">
        <v>44</v>
      </c>
      <c r="X60" t="s">
        <v>736</v>
      </c>
      <c r="Z60" t="s">
        <v>734</v>
      </c>
    </row>
    <row r="61" spans="1:26" x14ac:dyDescent="0.25">
      <c r="A61" t="s">
        <v>736</v>
      </c>
      <c r="W61" t="s">
        <v>44</v>
      </c>
      <c r="X61" t="s">
        <v>736</v>
      </c>
      <c r="Z61" t="s">
        <v>726</v>
      </c>
    </row>
    <row r="62" spans="1:26" x14ac:dyDescent="0.25">
      <c r="A62" t="s">
        <v>736</v>
      </c>
      <c r="W62" t="s">
        <v>44</v>
      </c>
      <c r="X62" t="s">
        <v>736</v>
      </c>
      <c r="Z62" t="s">
        <v>748</v>
      </c>
    </row>
    <row r="63" spans="1:26" x14ac:dyDescent="0.25">
      <c r="A63">
        <v>10</v>
      </c>
      <c r="W63" t="s">
        <v>116</v>
      </c>
      <c r="X63" t="s">
        <v>736</v>
      </c>
    </row>
    <row r="64" spans="1:26" x14ac:dyDescent="0.25">
      <c r="A64" t="s">
        <v>756</v>
      </c>
      <c r="W64" t="s">
        <v>73</v>
      </c>
      <c r="X64" t="s">
        <v>736</v>
      </c>
      <c r="Z64" t="s">
        <v>756</v>
      </c>
    </row>
    <row r="65" spans="1:26" x14ac:dyDescent="0.25">
      <c r="A65">
        <v>11</v>
      </c>
      <c r="W65" t="s">
        <v>116</v>
      </c>
      <c r="X65">
        <v>11</v>
      </c>
    </row>
    <row r="66" spans="1:26" x14ac:dyDescent="0.25">
      <c r="A66" t="s">
        <v>742</v>
      </c>
      <c r="W66" t="s">
        <v>73</v>
      </c>
      <c r="X66">
        <v>11</v>
      </c>
      <c r="Z66" t="s">
        <v>742</v>
      </c>
    </row>
    <row r="67" spans="1:26" x14ac:dyDescent="0.25">
      <c r="A67">
        <v>12</v>
      </c>
      <c r="W67" t="s">
        <v>116</v>
      </c>
      <c r="X67">
        <v>12</v>
      </c>
    </row>
    <row r="68" spans="1:26" x14ac:dyDescent="0.25">
      <c r="A68" t="s">
        <v>754</v>
      </c>
      <c r="W68" t="s">
        <v>73</v>
      </c>
      <c r="X68">
        <v>12</v>
      </c>
      <c r="Z68" t="s">
        <v>754</v>
      </c>
    </row>
    <row r="69" spans="1:26" x14ac:dyDescent="0.25">
      <c r="A69">
        <v>13</v>
      </c>
      <c r="W69" t="s">
        <v>116</v>
      </c>
      <c r="X69">
        <v>13</v>
      </c>
    </row>
    <row r="70" spans="1:26" x14ac:dyDescent="0.25">
      <c r="A70" t="s">
        <v>740</v>
      </c>
      <c r="W70" t="s">
        <v>73</v>
      </c>
      <c r="X70">
        <v>13</v>
      </c>
      <c r="Z70" t="s">
        <v>740</v>
      </c>
    </row>
    <row r="71" spans="1:26" x14ac:dyDescent="0.25">
      <c r="A71">
        <v>14</v>
      </c>
      <c r="W71" t="s">
        <v>116</v>
      </c>
      <c r="X71">
        <v>14</v>
      </c>
    </row>
    <row r="72" spans="1:26" x14ac:dyDescent="0.25">
      <c r="A72" t="s">
        <v>722</v>
      </c>
      <c r="W72" t="s">
        <v>73</v>
      </c>
      <c r="X72">
        <v>14</v>
      </c>
      <c r="Z72" t="s">
        <v>722</v>
      </c>
    </row>
    <row r="73" spans="1:26" x14ac:dyDescent="0.25">
      <c r="A73">
        <v>15</v>
      </c>
      <c r="W73" t="s">
        <v>116</v>
      </c>
      <c r="X73">
        <v>15</v>
      </c>
    </row>
    <row r="74" spans="1:26" x14ac:dyDescent="0.25">
      <c r="A74">
        <v>16</v>
      </c>
      <c r="W74" t="s">
        <v>116</v>
      </c>
      <c r="X74">
        <v>16</v>
      </c>
    </row>
    <row r="75" spans="1:26" x14ac:dyDescent="0.25">
      <c r="A75">
        <v>17</v>
      </c>
      <c r="W75" t="s">
        <v>116</v>
      </c>
      <c r="X75">
        <v>17</v>
      </c>
    </row>
    <row r="76" spans="1:26" x14ac:dyDescent="0.25">
      <c r="A76">
        <v>18</v>
      </c>
      <c r="W76" t="s">
        <v>116</v>
      </c>
      <c r="X76">
        <v>18</v>
      </c>
    </row>
    <row r="77" spans="1:26" x14ac:dyDescent="0.25">
      <c r="A77">
        <v>19</v>
      </c>
      <c r="W77" t="s">
        <v>116</v>
      </c>
      <c r="X77">
        <v>19</v>
      </c>
    </row>
    <row r="78" spans="1:26" x14ac:dyDescent="0.25">
      <c r="A78">
        <v>20</v>
      </c>
      <c r="W78" t="s">
        <v>116</v>
      </c>
      <c r="X78">
        <v>20</v>
      </c>
    </row>
    <row r="79" spans="1:26" x14ac:dyDescent="0.25">
      <c r="A79">
        <v>21</v>
      </c>
      <c r="W79" t="s">
        <v>116</v>
      </c>
      <c r="X79">
        <v>21</v>
      </c>
    </row>
    <row r="80" spans="1:26" x14ac:dyDescent="0.25">
      <c r="A80">
        <v>22</v>
      </c>
      <c r="W80" t="s">
        <v>116</v>
      </c>
      <c r="X80">
        <v>22</v>
      </c>
    </row>
    <row r="81" spans="1:24" x14ac:dyDescent="0.25">
      <c r="A81">
        <v>23</v>
      </c>
      <c r="W81" t="s">
        <v>116</v>
      </c>
      <c r="X81">
        <v>23</v>
      </c>
    </row>
    <row r="82" spans="1:24" x14ac:dyDescent="0.25">
      <c r="A82">
        <v>24</v>
      </c>
      <c r="W82" t="s">
        <v>116</v>
      </c>
      <c r="X82">
        <v>24</v>
      </c>
    </row>
    <row r="83" spans="1:24" x14ac:dyDescent="0.25">
      <c r="A83">
        <v>25</v>
      </c>
      <c r="W83" t="s">
        <v>116</v>
      </c>
      <c r="X83">
        <v>25</v>
      </c>
    </row>
    <row r="84" spans="1:24" x14ac:dyDescent="0.25">
      <c r="A84">
        <v>26</v>
      </c>
      <c r="W84" t="s">
        <v>116</v>
      </c>
      <c r="X84">
        <v>26</v>
      </c>
    </row>
    <row r="85" spans="1:24" x14ac:dyDescent="0.25">
      <c r="A85">
        <v>27</v>
      </c>
      <c r="W85" t="s">
        <v>116</v>
      </c>
      <c r="X85">
        <v>27</v>
      </c>
    </row>
    <row r="86" spans="1:24" x14ac:dyDescent="0.25">
      <c r="A86">
        <v>28</v>
      </c>
      <c r="W86" t="s">
        <v>116</v>
      </c>
      <c r="X86">
        <v>28</v>
      </c>
    </row>
    <row r="87" spans="1:24" x14ac:dyDescent="0.25">
      <c r="A87">
        <v>29</v>
      </c>
      <c r="W87" t="s">
        <v>116</v>
      </c>
      <c r="X87">
        <v>29</v>
      </c>
    </row>
    <row r="88" spans="1:24" x14ac:dyDescent="0.25">
      <c r="A88">
        <v>30</v>
      </c>
      <c r="W88" t="s">
        <v>116</v>
      </c>
      <c r="X88">
        <v>30</v>
      </c>
    </row>
    <row r="89" spans="1:24" x14ac:dyDescent="0.25">
      <c r="A89">
        <v>31</v>
      </c>
      <c r="W89" t="s">
        <v>116</v>
      </c>
      <c r="X89">
        <v>31</v>
      </c>
    </row>
    <row r="90" spans="1:24" x14ac:dyDescent="0.25">
      <c r="A90">
        <v>32</v>
      </c>
      <c r="W90" t="s">
        <v>116</v>
      </c>
      <c r="X90">
        <v>32</v>
      </c>
    </row>
    <row r="91" spans="1:24" x14ac:dyDescent="0.25">
      <c r="A91">
        <v>33</v>
      </c>
      <c r="W91" t="s">
        <v>116</v>
      </c>
      <c r="X91">
        <v>33</v>
      </c>
    </row>
    <row r="92" spans="1:24" x14ac:dyDescent="0.25">
      <c r="A92">
        <v>34</v>
      </c>
      <c r="W92" t="s">
        <v>116</v>
      </c>
      <c r="X92">
        <v>34</v>
      </c>
    </row>
    <row r="93" spans="1:24" x14ac:dyDescent="0.25">
      <c r="A93">
        <v>35</v>
      </c>
      <c r="W93" t="s">
        <v>116</v>
      </c>
      <c r="X93">
        <v>35</v>
      </c>
    </row>
    <row r="94" spans="1:24" x14ac:dyDescent="0.25">
      <c r="A94">
        <v>36</v>
      </c>
      <c r="W94" t="s">
        <v>116</v>
      </c>
      <c r="X94">
        <v>36</v>
      </c>
    </row>
    <row r="95" spans="1:24" x14ac:dyDescent="0.25">
      <c r="A95">
        <v>37</v>
      </c>
      <c r="W95" t="s">
        <v>116</v>
      </c>
      <c r="X95">
        <v>37</v>
      </c>
    </row>
    <row r="96" spans="1:24" x14ac:dyDescent="0.25">
      <c r="A96">
        <v>38</v>
      </c>
      <c r="W96" t="s">
        <v>116</v>
      </c>
      <c r="X96">
        <v>38</v>
      </c>
    </row>
    <row r="97" spans="1:24" x14ac:dyDescent="0.25">
      <c r="A97">
        <v>39</v>
      </c>
      <c r="W97" t="s">
        <v>116</v>
      </c>
      <c r="X97">
        <v>39</v>
      </c>
    </row>
    <row r="98" spans="1:24" x14ac:dyDescent="0.25">
      <c r="A98">
        <v>40</v>
      </c>
      <c r="W98" t="s">
        <v>116</v>
      </c>
      <c r="X98">
        <v>40</v>
      </c>
    </row>
    <row r="99" spans="1:24" x14ac:dyDescent="0.25">
      <c r="A99">
        <v>41</v>
      </c>
      <c r="W99" t="s">
        <v>116</v>
      </c>
      <c r="X99">
        <v>41</v>
      </c>
    </row>
    <row r="100" spans="1:24" x14ac:dyDescent="0.25">
      <c r="A100">
        <v>42</v>
      </c>
      <c r="W100" t="s">
        <v>116</v>
      </c>
      <c r="X100">
        <v>42</v>
      </c>
    </row>
    <row r="101" spans="1:24" x14ac:dyDescent="0.25">
      <c r="A101">
        <v>43</v>
      </c>
      <c r="W101" t="s">
        <v>116</v>
      </c>
      <c r="X101">
        <v>43</v>
      </c>
    </row>
    <row r="102" spans="1:24" x14ac:dyDescent="0.25">
      <c r="A102">
        <v>44</v>
      </c>
      <c r="W102" t="s">
        <v>116</v>
      </c>
      <c r="X102">
        <v>44</v>
      </c>
    </row>
    <row r="103" spans="1:24" x14ac:dyDescent="0.25">
      <c r="A103">
        <v>45</v>
      </c>
      <c r="W103" t="s">
        <v>116</v>
      </c>
      <c r="X103">
        <v>45</v>
      </c>
    </row>
    <row r="104" spans="1:24" x14ac:dyDescent="0.25">
      <c r="A104">
        <v>46</v>
      </c>
      <c r="W104" t="s">
        <v>116</v>
      </c>
      <c r="X104">
        <v>46</v>
      </c>
    </row>
    <row r="105" spans="1:24" x14ac:dyDescent="0.25">
      <c r="A105">
        <v>47</v>
      </c>
      <c r="W105" t="s">
        <v>116</v>
      </c>
      <c r="X105">
        <v>47</v>
      </c>
    </row>
    <row r="106" spans="1:24" x14ac:dyDescent="0.25">
      <c r="A106">
        <v>48</v>
      </c>
      <c r="W106" t="s">
        <v>116</v>
      </c>
      <c r="X106">
        <v>48</v>
      </c>
    </row>
    <row r="107" spans="1:24" x14ac:dyDescent="0.25">
      <c r="A107">
        <v>49</v>
      </c>
      <c r="W107" t="s">
        <v>116</v>
      </c>
      <c r="X107">
        <v>49</v>
      </c>
    </row>
    <row r="108" spans="1:24" x14ac:dyDescent="0.25">
      <c r="A108">
        <v>50</v>
      </c>
      <c r="W108" t="s">
        <v>116</v>
      </c>
      <c r="X108">
        <v>50</v>
      </c>
    </row>
    <row r="109" spans="1:24" x14ac:dyDescent="0.25">
      <c r="A109">
        <v>51</v>
      </c>
      <c r="W109" t="s">
        <v>116</v>
      </c>
      <c r="X109">
        <v>51</v>
      </c>
    </row>
    <row r="110" spans="1:24" x14ac:dyDescent="0.25">
      <c r="A110">
        <v>52</v>
      </c>
      <c r="W110" t="s">
        <v>116</v>
      </c>
      <c r="X110">
        <v>52</v>
      </c>
    </row>
    <row r="111" spans="1:24" x14ac:dyDescent="0.25">
      <c r="A111">
        <v>53</v>
      </c>
      <c r="W111" t="s">
        <v>116</v>
      </c>
      <c r="X111">
        <v>53</v>
      </c>
    </row>
    <row r="112" spans="1:24" x14ac:dyDescent="0.25">
      <c r="A112">
        <v>54</v>
      </c>
      <c r="W112" t="s">
        <v>116</v>
      </c>
      <c r="X112">
        <v>54</v>
      </c>
    </row>
    <row r="113" spans="1:24" x14ac:dyDescent="0.25">
      <c r="A113">
        <v>55</v>
      </c>
      <c r="W113" t="s">
        <v>116</v>
      </c>
      <c r="X113">
        <v>55</v>
      </c>
    </row>
    <row r="114" spans="1:24" x14ac:dyDescent="0.25">
      <c r="A114">
        <v>56</v>
      </c>
      <c r="W114" t="s">
        <v>116</v>
      </c>
      <c r="X114">
        <v>56</v>
      </c>
    </row>
    <row r="115" spans="1:24" x14ac:dyDescent="0.25">
      <c r="A115">
        <v>57</v>
      </c>
      <c r="W115" t="s">
        <v>116</v>
      </c>
      <c r="X115">
        <v>57</v>
      </c>
    </row>
    <row r="116" spans="1:24" x14ac:dyDescent="0.25">
      <c r="A116">
        <v>58</v>
      </c>
      <c r="W116" t="s">
        <v>116</v>
      </c>
      <c r="X116">
        <v>58</v>
      </c>
    </row>
    <row r="117" spans="1:24" x14ac:dyDescent="0.25">
      <c r="A117">
        <v>59</v>
      </c>
      <c r="W117" t="s">
        <v>116</v>
      </c>
      <c r="X117">
        <v>59</v>
      </c>
    </row>
    <row r="118" spans="1:24" x14ac:dyDescent="0.25">
      <c r="A118">
        <v>60</v>
      </c>
      <c r="W118" t="s">
        <v>116</v>
      </c>
      <c r="X118">
        <v>60</v>
      </c>
    </row>
    <row r="119" spans="1:24" x14ac:dyDescent="0.25">
      <c r="A119">
        <v>61</v>
      </c>
      <c r="W119" t="s">
        <v>116</v>
      </c>
      <c r="X119">
        <v>61</v>
      </c>
    </row>
    <row r="120" spans="1:24" x14ac:dyDescent="0.25">
      <c r="A120">
        <v>62</v>
      </c>
      <c r="W120" t="s">
        <v>116</v>
      </c>
      <c r="X120">
        <v>62</v>
      </c>
    </row>
    <row r="121" spans="1:24" x14ac:dyDescent="0.25">
      <c r="A121">
        <v>63</v>
      </c>
      <c r="W121" t="s">
        <v>116</v>
      </c>
      <c r="X121">
        <v>63</v>
      </c>
    </row>
    <row r="122" spans="1:24" x14ac:dyDescent="0.25">
      <c r="A122">
        <v>64</v>
      </c>
      <c r="W122" t="s">
        <v>116</v>
      </c>
      <c r="X122">
        <v>64</v>
      </c>
    </row>
    <row r="123" spans="1:24" x14ac:dyDescent="0.25">
      <c r="A123">
        <v>65</v>
      </c>
      <c r="W123" t="s">
        <v>116</v>
      </c>
      <c r="X123">
        <v>65</v>
      </c>
    </row>
    <row r="124" spans="1:24" x14ac:dyDescent="0.25">
      <c r="A124">
        <v>66</v>
      </c>
      <c r="W124" t="s">
        <v>116</v>
      </c>
      <c r="X124">
        <v>66</v>
      </c>
    </row>
    <row r="125" spans="1:24" x14ac:dyDescent="0.25">
      <c r="A125">
        <v>67</v>
      </c>
      <c r="W125" t="s">
        <v>116</v>
      </c>
      <c r="X125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SD</vt:lpstr>
      <vt:lpstr>SD (AU)</vt:lpstr>
      <vt:lpstr>Level</vt:lpstr>
      <vt:lpstr>Level Wise PSI</vt:lpstr>
      <vt:lpstr>Lap</vt:lpstr>
      <vt:lpstr>Grade</vt:lpstr>
      <vt:lpstr>Coupler</vt:lpstr>
      <vt:lpstr>Data</vt:lpstr>
      <vt:lpstr>Ties</vt:lpstr>
      <vt:lpstr>Take-off</vt:lpstr>
      <vt:lpstr>Take-off-Edit</vt:lpstr>
      <vt:lpstr>Soule</vt:lpstr>
      <vt:lpstr>TiesFinal</vt:lpstr>
      <vt:lpstr>A615GR100</vt:lpstr>
      <vt:lpstr>A615GR60</vt:lpstr>
      <vt:lpstr>A615GR75</vt:lpstr>
      <vt:lpstr>A615GR80</vt:lpstr>
      <vt:lpstr>A706GR60</vt:lpstr>
      <vt:lpstr>A706GR80</vt:lpstr>
      <vt:lpstr>BCName</vt:lpstr>
      <vt:lpstr>BSize</vt:lpstr>
      <vt:lpstr>BSizeO</vt:lpstr>
      <vt:lpstr>CBSize</vt:lpstr>
      <vt:lpstr>CCFCoupler</vt:lpstr>
      <vt:lpstr>CCMFM</vt:lpstr>
      <vt:lpstr>CCName</vt:lpstr>
      <vt:lpstr>CCoupler</vt:lpstr>
      <vt:lpstr>CLop</vt:lpstr>
      <vt:lpstr>CLPR</vt:lpstr>
      <vt:lpstr>CName</vt:lpstr>
      <vt:lpstr>ColumnSize</vt:lpstr>
      <vt:lpstr>ColumnType</vt:lpstr>
      <vt:lpstr>CountZone</vt:lpstr>
      <vt:lpstr>Coupler</vt:lpstr>
      <vt:lpstr>Customername</vt:lpstr>
      <vt:lpstr>DwlEndCon</vt:lpstr>
      <vt:lpstr>ElementName</vt:lpstr>
      <vt:lpstr>EName</vt:lpstr>
      <vt:lpstr>EndType</vt:lpstr>
      <vt:lpstr>Grade</vt:lpstr>
      <vt:lpstr>Grade_VT</vt:lpstr>
      <vt:lpstr>Lap</vt:lpstr>
      <vt:lpstr>LEVEL</vt:lpstr>
      <vt:lpstr>Lift</vt:lpstr>
      <vt:lpstr>LiftO</vt:lpstr>
      <vt:lpstr>PSI</vt:lpstr>
      <vt:lpstr>PSIPL</vt:lpstr>
      <vt:lpstr>Quantity</vt:lpstr>
      <vt:lpstr>S135Range</vt:lpstr>
      <vt:lpstr>S180Range</vt:lpstr>
      <vt:lpstr>S90Range</vt:lpstr>
      <vt:lpstr>SAC</vt:lpstr>
      <vt:lpstr>TCName</vt:lpstr>
      <vt:lpstr>TData</vt:lpstr>
      <vt:lpstr>TDBarSize</vt:lpstr>
      <vt:lpstr>TDBarSizeStatus</vt:lpstr>
      <vt:lpstr>TDL</vt:lpstr>
      <vt:lpstr>TDLevel</vt:lpstr>
      <vt:lpstr>TDLevelStatus</vt:lpstr>
      <vt:lpstr>TDQTY</vt:lpstr>
      <vt:lpstr>TDTH</vt:lpstr>
      <vt:lpstr>TDVertBars</vt:lpstr>
      <vt:lpstr>TDwlBSize</vt:lpstr>
      <vt:lpstr>TDwlCount</vt:lpstr>
      <vt:lpstr>THead</vt:lpstr>
      <vt:lpstr>Ties_Type01</vt:lpstr>
      <vt:lpstr>TiesType</vt:lpstr>
      <vt:lpstr>TopEnd</vt:lpstr>
      <vt:lpstr>TSize</vt:lpstr>
      <vt:lpstr>Unit_Wt</vt:lpstr>
      <vt:lpstr>VDBarSize</vt:lpstr>
      <vt:lpstr>VDBarSizeStatus</vt:lpstr>
      <vt:lpstr>VDLevel</vt:lpstr>
      <vt:lpstr>VDLevelStatus</vt:lpstr>
      <vt:lpstr>verticalDowel</vt:lpstr>
      <vt:lpstr>Zone</vt:lpstr>
      <vt:lpstr>Zone_V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Suresh J</dc:creator>
  <cp:keywords/>
  <dc:description/>
  <cp:lastModifiedBy>Kartickraj A</cp:lastModifiedBy>
  <cp:revision/>
  <dcterms:created xsi:type="dcterms:W3CDTF">2024-03-25T11:18:21Z</dcterms:created>
  <dcterms:modified xsi:type="dcterms:W3CDTF">2025-09-22T09:39:28Z</dcterms:modified>
  <cp:category/>
  <cp:contentStatus/>
</cp:coreProperties>
</file>